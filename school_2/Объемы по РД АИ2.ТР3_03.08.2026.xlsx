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МФ-СТРОЙ\Desktop\"/>
    </mc:Choice>
  </mc:AlternateContent>
  <xr:revisionPtr revIDLastSave="0" documentId="13_ncr:1_{4CAC2D47-53CF-4843-BA9D-AAF2C3B2191F}" xr6:coauthVersionLast="47" xr6:coauthVersionMax="47" xr10:uidLastSave="{00000000-0000-0000-0000-000000000000}"/>
  <bookViews>
    <workbookView xWindow="-4008" yWindow="-17388" windowWidth="30936" windowHeight="16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F18" i="1"/>
  <c r="G18" i="1"/>
  <c r="D18" i="1"/>
  <c r="H16" i="1" l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18" i="1" s="1"/>
</calcChain>
</file>

<file path=xl/sharedStrings.xml><?xml version="1.0" encoding="utf-8"?>
<sst xmlns="http://schemas.openxmlformats.org/spreadsheetml/2006/main" count="52" uniqueCount="39">
  <si>
    <t>Наименование</t>
  </si>
  <si>
    <t>Марка</t>
  </si>
  <si>
    <t>2 этаж</t>
  </si>
  <si>
    <t>3 этаж</t>
  </si>
  <si>
    <t>ПОТОЛКИ</t>
  </si>
  <si>
    <t>ед. изм.</t>
  </si>
  <si>
    <t>1 этаж</t>
  </si>
  <si>
    <t>Подвал</t>
  </si>
  <si>
    <t>м²</t>
  </si>
  <si>
    <t>ПТ-1.1</t>
  </si>
  <si>
    <t>ПТ-1.2</t>
  </si>
  <si>
    <t>ПТ-1.4</t>
  </si>
  <si>
    <t>ПТ-1.8</t>
  </si>
  <si>
    <t>ПТ-2.1</t>
  </si>
  <si>
    <t>ПТ-2.3</t>
  </si>
  <si>
    <t>ПТ-2.4</t>
  </si>
  <si>
    <t>ПТ-2.5</t>
  </si>
  <si>
    <t>ПТ-2.6</t>
  </si>
  <si>
    <t>ПТ-2.7</t>
  </si>
  <si>
    <t>ПТ-2.8</t>
  </si>
  <si>
    <t>ПТ-2.10</t>
  </si>
  <si>
    <t>ПТ-2.14</t>
  </si>
  <si>
    <t>ПТ-2.16</t>
  </si>
  <si>
    <t>Всего по РД АИ2.ТР3 от 03.08.2026</t>
  </si>
  <si>
    <r>
      <t>Краска огнестойкая, матовая, моющаяся, влагостойкая водно-дисперсионная, силикатная</t>
    </r>
    <r>
      <rPr>
        <sz val="11"/>
        <rFont val="Calibri"/>
        <family val="2"/>
        <charset val="204"/>
        <scheme val="minor"/>
      </rPr>
      <t xml:space="preserve"> </t>
    </r>
    <r>
      <rPr>
        <strike/>
        <sz val="11"/>
        <rFont val="Calibri"/>
        <family val="2"/>
        <charset val="204"/>
        <scheme val="minor"/>
      </rPr>
      <t>BRAVO PROFI W-200</t>
    </r>
    <r>
      <rPr>
        <sz val="11"/>
        <rFont val="Calibri"/>
        <family val="2"/>
        <scheme val="minor"/>
      </rPr>
      <t xml:space="preserve"> КанцлерЪ негорючая </t>
    </r>
    <r>
      <rPr>
        <b/>
        <sz val="11"/>
        <color rgb="FFFF0000"/>
        <rFont val="Calibri"/>
        <family val="2"/>
        <charset val="204"/>
        <scheme val="minor"/>
      </rPr>
      <t>КМ0</t>
    </r>
    <r>
      <rPr>
        <sz val="11"/>
        <rFont val="Calibri"/>
        <family val="2"/>
        <scheme val="minor"/>
      </rPr>
      <t xml:space="preserve">, RAL </t>
    </r>
    <r>
      <rPr>
        <b/>
        <sz val="11"/>
        <rFont val="Calibri"/>
        <family val="2"/>
        <scheme val="minor"/>
      </rPr>
      <t>9003</t>
    </r>
    <r>
      <rPr>
        <sz val="11"/>
        <rFont val="Calibri"/>
        <family val="2"/>
        <scheme val="minor"/>
      </rPr>
      <t>, 2 класс истирания, класс ПБ: НГ</t>
    </r>
  </si>
  <si>
    <r>
      <t xml:space="preserve">Краска огнестойкая, матовая, моющаяся, влагостойкая водно-дисперсионная, силикатная </t>
    </r>
    <r>
      <rPr>
        <strike/>
        <sz val="11"/>
        <rFont val="Calibri"/>
        <family val="2"/>
        <charset val="204"/>
        <scheme val="minor"/>
      </rPr>
      <t>BRAVO PROFI W-200</t>
    </r>
    <r>
      <rPr>
        <sz val="11"/>
        <rFont val="Calibri"/>
        <family val="2"/>
        <scheme val="minor"/>
      </rPr>
      <t xml:space="preserve"> КанцлерЪ негорючая </t>
    </r>
    <r>
      <rPr>
        <b/>
        <sz val="11"/>
        <color rgb="FFFF0000"/>
        <rFont val="Calibri"/>
        <family val="2"/>
        <charset val="204"/>
        <scheme val="minor"/>
      </rPr>
      <t>КМ0</t>
    </r>
    <r>
      <rPr>
        <sz val="11"/>
        <rFont val="Calibri"/>
        <family val="2"/>
        <scheme val="minor"/>
      </rPr>
      <t xml:space="preserve">, RAL </t>
    </r>
    <r>
      <rPr>
        <b/>
        <sz val="11"/>
        <rFont val="Calibri"/>
        <family val="2"/>
        <scheme val="minor"/>
      </rPr>
      <t>7044</t>
    </r>
    <r>
      <rPr>
        <sz val="11"/>
        <rFont val="Calibri"/>
        <family val="2"/>
        <scheme val="minor"/>
      </rPr>
      <t>, 2 класс истирания, класс ПБ: НГ. Покраска по подготовленной бетонной поверхности, с заводом на стены на 500 мм от плиты перекрытия</t>
    </r>
  </si>
  <si>
    <r>
      <t xml:space="preserve">Краска огнестойкая, матовая, моющаяся, влагостойкая водно-дисперсионная, силикатная </t>
    </r>
    <r>
      <rPr>
        <strike/>
        <sz val="11"/>
        <rFont val="Calibri"/>
        <family val="2"/>
        <charset val="204"/>
        <scheme val="minor"/>
      </rPr>
      <t>BRAVO PROFI W-200</t>
    </r>
    <r>
      <rPr>
        <sz val="11"/>
        <rFont val="Calibri"/>
        <family val="2"/>
        <scheme val="minor"/>
      </rPr>
      <t xml:space="preserve"> КанцлерЪ негорючая </t>
    </r>
    <r>
      <rPr>
        <b/>
        <sz val="11"/>
        <color rgb="FFFF0000"/>
        <rFont val="Calibri"/>
        <family val="2"/>
        <charset val="204"/>
        <scheme val="minor"/>
      </rPr>
      <t>КМ0</t>
    </r>
    <r>
      <rPr>
        <sz val="11"/>
        <rFont val="Calibri"/>
        <family val="2"/>
        <scheme val="minor"/>
      </rPr>
      <t xml:space="preserve">, NCS S </t>
    </r>
    <r>
      <rPr>
        <b/>
        <sz val="11"/>
        <rFont val="Calibri"/>
        <family val="2"/>
        <scheme val="minor"/>
      </rPr>
      <t>1070-Y30R</t>
    </r>
    <r>
      <rPr>
        <sz val="11"/>
        <rFont val="Calibri"/>
        <family val="2"/>
        <scheme val="minor"/>
      </rPr>
      <t>, 2 класс истирания, класс ПБ: НГ</t>
    </r>
  </si>
  <si>
    <r>
      <t xml:space="preserve">Краска огнестойкая, матовая, моющаяся, влагостойкая водно-дисперсионная, силикатная </t>
    </r>
    <r>
      <rPr>
        <strike/>
        <sz val="11"/>
        <rFont val="Calibri"/>
        <family val="2"/>
        <charset val="204"/>
        <scheme val="minor"/>
      </rPr>
      <t>BRAVO PROFI W-200</t>
    </r>
    <r>
      <rPr>
        <sz val="11"/>
        <rFont val="Calibri"/>
        <family val="2"/>
        <scheme val="minor"/>
      </rPr>
      <t xml:space="preserve"> КанцлерЪ негорючая </t>
    </r>
    <r>
      <rPr>
        <b/>
        <sz val="11"/>
        <color rgb="FFFF0000"/>
        <rFont val="Calibri"/>
        <family val="2"/>
        <charset val="204"/>
        <scheme val="minor"/>
      </rPr>
      <t>КМ0</t>
    </r>
    <r>
      <rPr>
        <sz val="11"/>
        <rFont val="Calibri"/>
        <family val="2"/>
        <scheme val="minor"/>
      </rPr>
      <t xml:space="preserve">, NCS S </t>
    </r>
    <r>
      <rPr>
        <b/>
        <sz val="11"/>
        <rFont val="Calibri"/>
        <family val="2"/>
        <scheme val="minor"/>
      </rPr>
      <t>2030-R80B</t>
    </r>
    <r>
      <rPr>
        <sz val="11"/>
        <rFont val="Calibri"/>
        <family val="2"/>
        <scheme val="minor"/>
      </rPr>
      <t>, 2 класс истирания, класс ПБ: НГ</t>
    </r>
  </si>
  <si>
    <r>
      <t xml:space="preserve">Краска огнестойкая, матовая, моющаяся, влагостойкая водно-дисперсионная, силикатная </t>
    </r>
    <r>
      <rPr>
        <strike/>
        <sz val="11"/>
        <rFont val="Calibri"/>
        <family val="2"/>
        <charset val="204"/>
        <scheme val="minor"/>
      </rPr>
      <t>BRAVO PROFI W-200</t>
    </r>
    <r>
      <rPr>
        <sz val="11"/>
        <rFont val="Calibri"/>
        <family val="2"/>
        <scheme val="minor"/>
      </rPr>
      <t xml:space="preserve"> КанцлерЪ негорючая </t>
    </r>
    <r>
      <rPr>
        <b/>
        <sz val="11"/>
        <color rgb="FFFF0000"/>
        <rFont val="Calibri"/>
        <family val="2"/>
        <charset val="204"/>
        <scheme val="minor"/>
      </rPr>
      <t>КМ0</t>
    </r>
    <r>
      <rPr>
        <sz val="11"/>
        <rFont val="Calibri"/>
        <family val="2"/>
        <scheme val="minor"/>
      </rPr>
      <t xml:space="preserve">, NCS S </t>
    </r>
    <r>
      <rPr>
        <b/>
        <sz val="11"/>
        <rFont val="Calibri"/>
        <family val="2"/>
        <scheme val="minor"/>
      </rPr>
      <t>5020-R70B</t>
    </r>
    <r>
      <rPr>
        <sz val="11"/>
        <rFont val="Calibri"/>
        <family val="2"/>
        <scheme val="minor"/>
      </rPr>
      <t>, 2 класс истирания, класс ПБ: НГ</t>
    </r>
  </si>
  <si>
    <r>
      <t xml:space="preserve">Краска огнестойкая, матовая, моющаяся, влагостойкая водно-дисперсионная, силикатная </t>
    </r>
    <r>
      <rPr>
        <strike/>
        <sz val="11"/>
        <rFont val="Calibri"/>
        <family val="2"/>
        <charset val="204"/>
        <scheme val="minor"/>
      </rPr>
      <t>BRAVO PROFI W-200</t>
    </r>
    <r>
      <rPr>
        <sz val="11"/>
        <rFont val="Calibri"/>
        <family val="2"/>
        <scheme val="minor"/>
      </rPr>
      <t xml:space="preserve"> КанцлерЪ негорючая </t>
    </r>
    <r>
      <rPr>
        <b/>
        <sz val="11"/>
        <color rgb="FFFF0000"/>
        <rFont val="Calibri"/>
        <family val="2"/>
        <charset val="204"/>
        <scheme val="minor"/>
      </rPr>
      <t>КМ0</t>
    </r>
    <r>
      <rPr>
        <sz val="11"/>
        <rFont val="Calibri"/>
        <family val="2"/>
        <scheme val="minor"/>
      </rPr>
      <t xml:space="preserve">, NCS S </t>
    </r>
    <r>
      <rPr>
        <b/>
        <sz val="11"/>
        <rFont val="Calibri"/>
        <family val="2"/>
        <scheme val="minor"/>
      </rPr>
      <t>5030-R90B</t>
    </r>
    <r>
      <rPr>
        <sz val="11"/>
        <rFont val="Calibri"/>
        <family val="2"/>
        <scheme val="minor"/>
      </rPr>
      <t>, 2 класс истирания, класс ПБ: НГ</t>
    </r>
  </si>
  <si>
    <r>
      <t xml:space="preserve">Краска огнестойкая, матовая, моющаяся, влагостойкая водно-дисперсионная, силикатная </t>
    </r>
    <r>
      <rPr>
        <strike/>
        <sz val="11"/>
        <rFont val="Calibri"/>
        <family val="2"/>
        <charset val="204"/>
        <scheme val="minor"/>
      </rPr>
      <t>BRAVO PROFI W-200</t>
    </r>
    <r>
      <rPr>
        <sz val="11"/>
        <rFont val="Calibri"/>
        <family val="2"/>
        <scheme val="minor"/>
      </rPr>
      <t xml:space="preserve"> КанцлерЪ негорючая </t>
    </r>
    <r>
      <rPr>
        <b/>
        <sz val="11"/>
        <color rgb="FFFF0000"/>
        <rFont val="Calibri"/>
        <family val="2"/>
        <charset val="204"/>
        <scheme val="minor"/>
      </rPr>
      <t>КМ0</t>
    </r>
    <r>
      <rPr>
        <sz val="11"/>
        <rFont val="Calibri"/>
        <family val="2"/>
        <scheme val="minor"/>
      </rPr>
      <t xml:space="preserve">, NCS S </t>
    </r>
    <r>
      <rPr>
        <b/>
        <sz val="11"/>
        <rFont val="Calibri"/>
        <family val="2"/>
        <scheme val="minor"/>
      </rPr>
      <t>2060-G40Y</t>
    </r>
    <r>
      <rPr>
        <sz val="11"/>
        <rFont val="Calibri"/>
        <family val="2"/>
        <scheme val="minor"/>
      </rPr>
      <t>, 2 класс истирания, класс ПБ: НГ</t>
    </r>
  </si>
  <si>
    <r>
      <t xml:space="preserve">Краска огнестойкая, матовая, моющаяся, влагостойкая водно-дисперсионная, силикатная </t>
    </r>
    <r>
      <rPr>
        <strike/>
        <sz val="11"/>
        <rFont val="Calibri"/>
        <family val="2"/>
        <charset val="204"/>
        <scheme val="minor"/>
      </rPr>
      <t>BRAVO PROFI W-200</t>
    </r>
    <r>
      <rPr>
        <sz val="11"/>
        <rFont val="Calibri"/>
        <family val="2"/>
        <scheme val="minor"/>
      </rPr>
      <t xml:space="preserve"> КанцлерЪ негорючая </t>
    </r>
    <r>
      <rPr>
        <b/>
        <sz val="11"/>
        <color rgb="FFFF0000"/>
        <rFont val="Calibri"/>
        <family val="2"/>
        <charset val="204"/>
        <scheme val="minor"/>
      </rPr>
      <t>КМ0</t>
    </r>
    <r>
      <rPr>
        <sz val="11"/>
        <rFont val="Calibri"/>
        <family val="2"/>
        <scheme val="minor"/>
      </rPr>
      <t xml:space="preserve">, NCS S </t>
    </r>
    <r>
      <rPr>
        <b/>
        <sz val="11"/>
        <rFont val="Calibri"/>
        <family val="2"/>
        <scheme val="minor"/>
      </rPr>
      <t>3040-R20B</t>
    </r>
    <r>
      <rPr>
        <sz val="11"/>
        <rFont val="Calibri"/>
        <family val="2"/>
        <scheme val="minor"/>
      </rPr>
      <t>, 2 класс истирания, класс ПБ: НГ</t>
    </r>
  </si>
  <si>
    <r>
      <t xml:space="preserve">Краска огнестойкая, матовая, моющаяся, влагостойкая водно-дисперсионная, силикатная </t>
    </r>
    <r>
      <rPr>
        <strike/>
        <sz val="11"/>
        <rFont val="Calibri"/>
        <family val="2"/>
        <charset val="204"/>
        <scheme val="minor"/>
      </rPr>
      <t>BRAVO PROFI W-200</t>
    </r>
    <r>
      <rPr>
        <sz val="11"/>
        <rFont val="Calibri"/>
        <family val="2"/>
        <scheme val="minor"/>
      </rPr>
      <t xml:space="preserve"> КанцлерЪ негорючая </t>
    </r>
    <r>
      <rPr>
        <b/>
        <sz val="11"/>
        <color rgb="FFFF0000"/>
        <rFont val="Calibri"/>
        <family val="2"/>
        <charset val="204"/>
        <scheme val="minor"/>
      </rPr>
      <t>КМ0</t>
    </r>
    <r>
      <rPr>
        <sz val="11"/>
        <rFont val="Calibri"/>
        <family val="2"/>
        <scheme val="minor"/>
      </rPr>
      <t xml:space="preserve">, NCS S </t>
    </r>
    <r>
      <rPr>
        <b/>
        <sz val="11"/>
        <rFont val="Calibri"/>
        <family val="2"/>
        <scheme val="minor"/>
      </rPr>
      <t>4020-R90B</t>
    </r>
    <r>
      <rPr>
        <sz val="11"/>
        <rFont val="Calibri"/>
        <family val="2"/>
        <scheme val="minor"/>
      </rPr>
      <t>, 2 класс истирания, класс ПБ: НГ</t>
    </r>
  </si>
  <si>
    <r>
      <t xml:space="preserve">Краска огнестойкая, матовая, моющаяся, влагостойкая водно-дисперсионная, силикатная </t>
    </r>
    <r>
      <rPr>
        <strike/>
        <sz val="11"/>
        <rFont val="Calibri"/>
        <family val="2"/>
        <charset val="204"/>
        <scheme val="minor"/>
      </rPr>
      <t>BRAVO PROFI W-200</t>
    </r>
    <r>
      <rPr>
        <sz val="11"/>
        <rFont val="Calibri"/>
        <family val="2"/>
        <scheme val="minor"/>
      </rPr>
      <t xml:space="preserve"> КанцлерЪ негорючая </t>
    </r>
    <r>
      <rPr>
        <b/>
        <sz val="11"/>
        <color rgb="FFFF0000"/>
        <rFont val="Calibri"/>
        <family val="2"/>
        <charset val="204"/>
        <scheme val="minor"/>
      </rPr>
      <t>КМ0</t>
    </r>
    <r>
      <rPr>
        <sz val="11"/>
        <rFont val="Calibri"/>
        <family val="2"/>
        <scheme val="minor"/>
      </rPr>
      <t xml:space="preserve">, RAL </t>
    </r>
    <r>
      <rPr>
        <b/>
        <sz val="11"/>
        <rFont val="Calibri"/>
        <family val="2"/>
        <scheme val="minor"/>
      </rPr>
      <t>7016</t>
    </r>
    <r>
      <rPr>
        <sz val="11"/>
        <rFont val="Calibri"/>
        <family val="2"/>
        <scheme val="minor"/>
      </rPr>
      <t>, 2 класс истирания, класс ПБ: НГ</t>
    </r>
  </si>
  <si>
    <r>
      <t xml:space="preserve">Краска матовая, моющаяся, влагостойкая, водно-дисперсионная на основе акриловой дисперсии, </t>
    </r>
    <r>
      <rPr>
        <strike/>
        <sz val="11"/>
        <color theme="1"/>
        <rFont val="Calibri"/>
        <family val="2"/>
        <charset val="204"/>
        <scheme val="minor"/>
      </rPr>
      <t xml:space="preserve">BRAVO PROFI арт. </t>
    </r>
    <r>
      <rPr>
        <strike/>
        <sz val="11"/>
        <rFont val="Calibri"/>
        <family val="2"/>
        <charset val="204"/>
        <scheme val="minor"/>
      </rPr>
      <t>FW-55</t>
    </r>
    <r>
      <rPr>
        <strike/>
        <sz val="11"/>
        <color theme="1"/>
        <rFont val="Calibri"/>
        <family val="2"/>
        <charset val="204"/>
        <scheme val="minor"/>
      </rPr>
      <t>,</t>
    </r>
    <r>
      <rPr>
        <sz val="11"/>
        <color theme="1"/>
        <rFont val="Calibri"/>
        <family val="2"/>
        <scheme val="minor"/>
      </rPr>
      <t xml:space="preserve"> КанцлерЪ К7 RAL </t>
    </r>
    <r>
      <rPr>
        <b/>
        <sz val="11"/>
        <color theme="1"/>
        <rFont val="Calibri"/>
        <family val="2"/>
        <charset val="204"/>
        <scheme val="minor"/>
      </rPr>
      <t>9003</t>
    </r>
    <r>
      <rPr>
        <sz val="11"/>
        <color theme="1"/>
        <rFont val="Calibri"/>
        <family val="2"/>
        <scheme val="minor"/>
      </rPr>
      <t>, белая, 1 класс истирания. Класс ПБ: Г1, В1, Д1, Т1 (</t>
    </r>
    <r>
      <rPr>
        <b/>
        <sz val="11"/>
        <color rgb="FF00B0F0"/>
        <rFont val="Calibri"/>
        <family val="2"/>
        <charset val="204"/>
        <scheme val="minor"/>
      </rPr>
      <t>КМ1</t>
    </r>
    <r>
      <rPr>
        <sz val="11"/>
        <color theme="1"/>
        <rFont val="Calibri"/>
        <family val="2"/>
        <scheme val="minor"/>
      </rPr>
      <t>)</t>
    </r>
  </si>
  <si>
    <r>
      <t xml:space="preserve">Краска матовая, моющаяся, влагостойкая, водно-дисперсионная на основе акриловой дисперсии,  </t>
    </r>
    <r>
      <rPr>
        <strike/>
        <sz val="11"/>
        <color theme="1"/>
        <rFont val="Calibri"/>
        <family val="2"/>
        <charset val="204"/>
        <scheme val="minor"/>
      </rPr>
      <t>BRAVO PROFI арт. FW-55</t>
    </r>
    <r>
      <rPr>
        <sz val="11"/>
        <color theme="1"/>
        <rFont val="Calibri"/>
        <family val="2"/>
        <scheme val="minor"/>
      </rPr>
      <t xml:space="preserve">, КанцлерЪ К7, RAL </t>
    </r>
    <r>
      <rPr>
        <b/>
        <sz val="11"/>
        <color theme="1"/>
        <rFont val="Calibri"/>
        <family val="2"/>
        <charset val="204"/>
        <scheme val="minor"/>
      </rPr>
      <t>7044</t>
    </r>
    <r>
      <rPr>
        <sz val="11"/>
        <color theme="1"/>
        <rFont val="Calibri"/>
        <family val="2"/>
        <scheme val="minor"/>
      </rPr>
      <t>, серый-шелк, 1 класс истирания. Класс ПБ: Г1, В1, Д1, Т1 (</t>
    </r>
    <r>
      <rPr>
        <b/>
        <sz val="11"/>
        <color rgb="FF00B0F0"/>
        <rFont val="Calibri"/>
        <family val="2"/>
        <charset val="204"/>
        <scheme val="minor"/>
      </rPr>
      <t>КМ1</t>
    </r>
    <r>
      <rPr>
        <sz val="11"/>
        <color theme="1"/>
        <rFont val="Calibri"/>
        <family val="2"/>
        <scheme val="minor"/>
      </rPr>
      <t>)</t>
    </r>
  </si>
  <si>
    <r>
      <t xml:space="preserve">Краска матовая, моющаяся, влагостойкая, водно-дисперсионная на основе акриловой дисперсии,  </t>
    </r>
    <r>
      <rPr>
        <strike/>
        <sz val="11"/>
        <color theme="1"/>
        <rFont val="Calibri"/>
        <family val="2"/>
        <charset val="204"/>
        <scheme val="minor"/>
      </rPr>
      <t>BRAVO PROFI арт. FW-55</t>
    </r>
    <r>
      <rPr>
        <sz val="11"/>
        <color theme="1"/>
        <rFont val="Calibri"/>
        <family val="2"/>
        <scheme val="minor"/>
      </rPr>
      <t xml:space="preserve">, КанцлерЪ К7, NCS S </t>
    </r>
    <r>
      <rPr>
        <b/>
        <sz val="11"/>
        <color theme="1"/>
        <rFont val="Calibri"/>
        <family val="2"/>
        <charset val="204"/>
        <scheme val="minor"/>
      </rPr>
      <t>5030-R90B</t>
    </r>
    <r>
      <rPr>
        <sz val="11"/>
        <color theme="1"/>
        <rFont val="Calibri"/>
        <family val="2"/>
        <scheme val="minor"/>
      </rPr>
      <t>, 1 класс истирания, Класс ПБ: Г1, В1, Д1, Т1 (</t>
    </r>
    <r>
      <rPr>
        <b/>
        <sz val="11"/>
        <color rgb="FF00B0F0"/>
        <rFont val="Calibri"/>
        <family val="2"/>
        <charset val="204"/>
        <scheme val="minor"/>
      </rPr>
      <t>КМ1</t>
    </r>
    <r>
      <rPr>
        <sz val="11"/>
        <color theme="1"/>
        <rFont val="Calibri"/>
        <family val="2"/>
        <scheme val="minor"/>
      </rPr>
      <t>)</t>
    </r>
  </si>
  <si>
    <r>
      <t xml:space="preserve">Краска матовая, моющаяся, влагостойкая, водно-дисперсионная на основе акриловой дисперсии, </t>
    </r>
    <r>
      <rPr>
        <strike/>
        <sz val="11"/>
        <color theme="1"/>
        <rFont val="Calibri"/>
        <family val="2"/>
        <charset val="204"/>
        <scheme val="minor"/>
      </rPr>
      <t xml:space="preserve"> BRAVO PROFI арт. FW-55</t>
    </r>
    <r>
      <rPr>
        <sz val="11"/>
        <color theme="1"/>
        <rFont val="Calibri"/>
        <family val="2"/>
        <scheme val="minor"/>
      </rPr>
      <t xml:space="preserve">, КанцлерЪ К7, NCS S </t>
    </r>
    <r>
      <rPr>
        <b/>
        <sz val="11"/>
        <color theme="1"/>
        <rFont val="Calibri"/>
        <family val="2"/>
        <charset val="204"/>
        <scheme val="minor"/>
      </rPr>
      <t>2060-G40Y</t>
    </r>
    <r>
      <rPr>
        <sz val="11"/>
        <color theme="1"/>
        <rFont val="Calibri"/>
        <family val="2"/>
        <scheme val="minor"/>
      </rPr>
      <t>, 1 класс истирания, Класс ПБ: Г1, В1, Д1, Т1 (</t>
    </r>
    <r>
      <rPr>
        <b/>
        <sz val="11"/>
        <color rgb="FF00B0F0"/>
        <rFont val="Calibri"/>
        <family val="2"/>
        <charset val="204"/>
        <scheme val="minor"/>
      </rPr>
      <t>КМ1</t>
    </r>
    <r>
      <rPr>
        <sz val="11"/>
        <color theme="1"/>
        <rFont val="Calibri"/>
        <family val="2"/>
        <scheme val="minor"/>
      </rPr>
      <t>)</t>
    </r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</si>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</sst>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trike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00B0F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 wrapText="1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0" fillId="2" borderId="4" xfId="0" applyFill="1" applyBorder="1" applyAlignment="1">
      <alignment vertical="center"/>
    </xf>
    <xf numFmtId="0" fontId="0" fillId="0" borderId="0" xfId="0" applyFill="1" applyAlignment="1">
      <alignment vertical="center"/>
    </xf>
    <xf numFmtId="4" fontId="1" fillId="2" borderId="4" xfId="0" applyNumberFormat="1" applyFont="1" applyFill="1" applyBorder="1" applyAlignment="1">
      <alignment vertical="center"/>
    </xf>
    <xf numFmtId="4" fontId="1" fillId="0" borderId="2" xfId="0" applyNumberFormat="1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4" fontId="1" fillId="0" borderId="8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10" xfId="0" applyFill="1" applyBorder="1" applyAlignment="1">
      <alignment vertical="center" wrapText="1"/>
    </xf>
    <xf numFmtId="0" fontId="0" fillId="2" borderId="11" xfId="0" applyFill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="85" zoomScaleNormal="85" workbookViewId="0">
      <pane ySplit="1" topLeftCell="A11" activePane="bottomLeft" state="frozen"/>
      <selection pane="bottomLeft" activeCell="C28" sqref="C28"/>
    </sheetView>
  </sheetViews>
  <sheetFormatPr defaultRowHeight="14.4" x14ac:dyDescent="0.3"/>
  <cols>
    <col min="1" max="1" width="3.109375" style="1" customWidth="1"/>
    <col min="2" max="2" width="10.21875" style="2" customWidth="1"/>
    <col min="3" max="3" width="77.109375" style="8" customWidth="1"/>
    <col min="4" max="5" width="8.33203125" style="3" customWidth="1"/>
    <col min="6" max="7" width="8.33203125" style="1" customWidth="1"/>
    <col min="8" max="8" width="13.6640625" style="17" customWidth="1"/>
    <col min="9" max="9" width="6.21875" style="2" customWidth="1"/>
    <col min="10" max="16384" width="8.88671875" style="1"/>
  </cols>
  <sheetData>
    <row r="1" spans="1:9" s="2" customFormat="1" ht="43.2" x14ac:dyDescent="0.3">
      <c r="A1" s="4"/>
      <c r="B1" s="4" t="s">
        <v>1</v>
      </c>
      <c r="C1" s="18" t="s">
        <v>0</v>
      </c>
      <c r="D1" s="20" t="s">
        <v>7</v>
      </c>
      <c r="E1" s="21" t="s">
        <v>6</v>
      </c>
      <c r="F1" s="21" t="s">
        <v>2</v>
      </c>
      <c r="G1" s="21" t="s">
        <v>3</v>
      </c>
      <c r="H1" s="22" t="s">
        <v>23</v>
      </c>
      <c r="I1" s="23" t="s">
        <v>5</v>
      </c>
    </row>
    <row r="2" spans="1:9" x14ac:dyDescent="0.3">
      <c r="A2" s="11"/>
      <c r="B2" s="9" t="s">
        <v>4</v>
      </c>
      <c r="C2" s="10"/>
      <c r="D2" s="25"/>
      <c r="E2" s="12"/>
      <c r="F2" s="13"/>
      <c r="G2" s="13"/>
      <c r="H2" s="15"/>
      <c r="I2" s="26"/>
    </row>
    <row r="3" spans="1:9" s="14" customFormat="1" ht="43.2" x14ac:dyDescent="0.3">
      <c r="A3" s="5"/>
      <c r="B3" s="7" t="s">
        <v>9</v>
      </c>
      <c r="C3" s="19" t="s">
        <v>34</v>
      </c>
      <c r="D3" s="27">
        <v>1286.9000000000001</v>
      </c>
      <c r="E3" s="6">
        <v>61.5</v>
      </c>
      <c r="F3" s="5">
        <v>175.2</v>
      </c>
      <c r="G3" s="5">
        <v>357.8</v>
      </c>
      <c r="H3" s="16">
        <f>G3+F3++E3+D3</f>
        <v>1881.4</v>
      </c>
      <c r="I3" s="24" t="s">
        <v>8</v>
      </c>
    </row>
    <row r="4" spans="1:9" s="14" customFormat="1" ht="43.2" x14ac:dyDescent="0.3">
      <c r="A4" s="5"/>
      <c r="B4" s="7" t="s">
        <v>10</v>
      </c>
      <c r="C4" s="19" t="s">
        <v>35</v>
      </c>
      <c r="D4" s="27">
        <v>0</v>
      </c>
      <c r="E4" s="6">
        <v>277.7</v>
      </c>
      <c r="F4" s="5">
        <v>0</v>
      </c>
      <c r="G4" s="5">
        <v>0</v>
      </c>
      <c r="H4" s="16">
        <f t="shared" ref="H4:H16" si="0">G4+F4++E4+D4</f>
        <v>277.7</v>
      </c>
      <c r="I4" s="24" t="s">
        <v>8</v>
      </c>
    </row>
    <row r="5" spans="1:9" s="14" customFormat="1" ht="43.2" x14ac:dyDescent="0.3">
      <c r="A5" s="5"/>
      <c r="B5" s="7" t="s">
        <v>11</v>
      </c>
      <c r="C5" s="19" t="s">
        <v>36</v>
      </c>
      <c r="D5" s="27">
        <v>0</v>
      </c>
      <c r="E5" s="6">
        <v>1.3</v>
      </c>
      <c r="F5" s="5">
        <v>0.9</v>
      </c>
      <c r="G5" s="5">
        <v>0.7</v>
      </c>
      <c r="H5" s="16">
        <f t="shared" si="0"/>
        <v>2.9000000000000004</v>
      </c>
      <c r="I5" s="24" t="s">
        <v>8</v>
      </c>
    </row>
    <row r="6" spans="1:9" s="14" customFormat="1" ht="43.2" x14ac:dyDescent="0.3">
      <c r="A6" s="5"/>
      <c r="B6" s="7" t="s">
        <v>12</v>
      </c>
      <c r="C6" s="19" t="s">
        <v>37</v>
      </c>
      <c r="D6" s="27">
        <v>0</v>
      </c>
      <c r="E6" s="6">
        <v>1.5</v>
      </c>
      <c r="F6" s="5">
        <v>1.5</v>
      </c>
      <c r="G6" s="5">
        <v>1.5</v>
      </c>
      <c r="H6" s="16">
        <f t="shared" si="0"/>
        <v>4.5</v>
      </c>
      <c r="I6" s="24" t="s">
        <v>8</v>
      </c>
    </row>
    <row r="7" spans="1:9" s="14" customFormat="1" ht="45.6" customHeight="1" x14ac:dyDescent="0.3">
      <c r="A7" s="5"/>
      <c r="B7" s="7" t="s">
        <v>13</v>
      </c>
      <c r="C7" s="28" t="s">
        <v>24</v>
      </c>
      <c r="D7" s="27">
        <v>363</v>
      </c>
      <c r="E7" s="6">
        <v>175.2</v>
      </c>
      <c r="F7" s="5">
        <v>18.3</v>
      </c>
      <c r="G7" s="5">
        <v>85.9</v>
      </c>
      <c r="H7" s="16">
        <f t="shared" si="0"/>
        <v>642.4</v>
      </c>
      <c r="I7" s="24" t="s">
        <v>8</v>
      </c>
    </row>
    <row r="8" spans="1:9" s="14" customFormat="1" ht="57.6" x14ac:dyDescent="0.3">
      <c r="A8" s="5"/>
      <c r="B8" s="7" t="s">
        <v>14</v>
      </c>
      <c r="C8" s="28" t="s">
        <v>25</v>
      </c>
      <c r="D8" s="27">
        <v>0</v>
      </c>
      <c r="E8" s="6">
        <v>687.6</v>
      </c>
      <c r="F8" s="5">
        <v>468.7</v>
      </c>
      <c r="G8" s="5">
        <v>672.3</v>
      </c>
      <c r="H8" s="16">
        <f t="shared" si="0"/>
        <v>1828.6</v>
      </c>
      <c r="I8" s="24" t="s">
        <v>8</v>
      </c>
    </row>
    <row r="9" spans="1:9" s="14" customFormat="1" ht="43.2" x14ac:dyDescent="0.3">
      <c r="A9" s="5"/>
      <c r="B9" s="7" t="s">
        <v>15</v>
      </c>
      <c r="C9" s="28" t="s">
        <v>26</v>
      </c>
      <c r="D9" s="27">
        <v>0</v>
      </c>
      <c r="E9" s="6">
        <v>7.5</v>
      </c>
      <c r="F9" s="5">
        <v>28.9</v>
      </c>
      <c r="G9" s="5">
        <v>26.9</v>
      </c>
      <c r="H9" s="16">
        <f t="shared" si="0"/>
        <v>63.3</v>
      </c>
      <c r="I9" s="24" t="s">
        <v>8</v>
      </c>
    </row>
    <row r="10" spans="1:9" s="14" customFormat="1" ht="43.2" x14ac:dyDescent="0.3">
      <c r="A10" s="5"/>
      <c r="B10" s="7" t="s">
        <v>16</v>
      </c>
      <c r="C10" s="28" t="s">
        <v>27</v>
      </c>
      <c r="D10" s="27">
        <v>0</v>
      </c>
      <c r="E10" s="6">
        <v>13.6</v>
      </c>
      <c r="F10" s="5">
        <v>32.200000000000003</v>
      </c>
      <c r="G10" s="5">
        <v>28.3</v>
      </c>
      <c r="H10" s="16">
        <f t="shared" si="0"/>
        <v>74.099999999999994</v>
      </c>
      <c r="I10" s="24" t="s">
        <v>8</v>
      </c>
    </row>
    <row r="11" spans="1:9" s="14" customFormat="1" ht="43.2" x14ac:dyDescent="0.3">
      <c r="A11" s="5"/>
      <c r="B11" s="7" t="s">
        <v>17</v>
      </c>
      <c r="C11" s="28" t="s">
        <v>28</v>
      </c>
      <c r="D11" s="27">
        <v>0</v>
      </c>
      <c r="E11" s="6">
        <v>10</v>
      </c>
      <c r="F11" s="5">
        <v>28.8</v>
      </c>
      <c r="G11" s="5">
        <v>26</v>
      </c>
      <c r="H11" s="16">
        <f t="shared" si="0"/>
        <v>64.8</v>
      </c>
      <c r="I11" s="24" t="s">
        <v>8</v>
      </c>
    </row>
    <row r="12" spans="1:9" s="14" customFormat="1" ht="43.2" x14ac:dyDescent="0.3">
      <c r="A12" s="5"/>
      <c r="B12" s="7" t="s">
        <v>18</v>
      </c>
      <c r="C12" s="28" t="s">
        <v>29</v>
      </c>
      <c r="D12" s="27">
        <v>0</v>
      </c>
      <c r="E12" s="6">
        <v>16</v>
      </c>
      <c r="F12" s="5">
        <v>38.700000000000003</v>
      </c>
      <c r="G12" s="5">
        <v>34.799999999999997</v>
      </c>
      <c r="H12" s="16">
        <f t="shared" si="0"/>
        <v>89.5</v>
      </c>
      <c r="I12" s="24" t="s">
        <v>8</v>
      </c>
    </row>
    <row r="13" spans="1:9" s="14" customFormat="1" ht="43.2" x14ac:dyDescent="0.3">
      <c r="A13" s="5"/>
      <c r="B13" s="7" t="s">
        <v>19</v>
      </c>
      <c r="C13" s="28" t="s">
        <v>30</v>
      </c>
      <c r="D13" s="27">
        <v>0</v>
      </c>
      <c r="E13" s="6">
        <v>17.3</v>
      </c>
      <c r="F13" s="5">
        <v>38.700000000000003</v>
      </c>
      <c r="G13" s="5">
        <v>31.5</v>
      </c>
      <c r="H13" s="16">
        <f t="shared" si="0"/>
        <v>87.5</v>
      </c>
      <c r="I13" s="24" t="s">
        <v>8</v>
      </c>
    </row>
    <row r="14" spans="1:9" s="14" customFormat="1" ht="43.2" x14ac:dyDescent="0.3">
      <c r="A14" s="5"/>
      <c r="B14" s="7" t="s">
        <v>20</v>
      </c>
      <c r="C14" s="28" t="s">
        <v>31</v>
      </c>
      <c r="D14" s="27">
        <v>0</v>
      </c>
      <c r="E14" s="6">
        <v>16.5</v>
      </c>
      <c r="F14" s="5">
        <v>33.6</v>
      </c>
      <c r="G14" s="5">
        <v>30.7</v>
      </c>
      <c r="H14" s="16">
        <f t="shared" si="0"/>
        <v>80.8</v>
      </c>
      <c r="I14" s="24" t="s">
        <v>8</v>
      </c>
    </row>
    <row r="15" spans="1:9" s="14" customFormat="1" ht="43.2" x14ac:dyDescent="0.3">
      <c r="A15" s="5"/>
      <c r="B15" s="7" t="s">
        <v>21</v>
      </c>
      <c r="C15" s="28" t="s">
        <v>32</v>
      </c>
      <c r="D15" s="27">
        <v>0</v>
      </c>
      <c r="E15" s="6">
        <v>12.1</v>
      </c>
      <c r="F15" s="5">
        <v>29.4</v>
      </c>
      <c r="G15" s="5">
        <v>27.3</v>
      </c>
      <c r="H15" s="16">
        <f t="shared" si="0"/>
        <v>68.8</v>
      </c>
      <c r="I15" s="24" t="s">
        <v>8</v>
      </c>
    </row>
    <row r="16" spans="1:9" s="14" customFormat="1" ht="43.2" x14ac:dyDescent="0.3">
      <c r="A16" s="5"/>
      <c r="B16" s="7" t="s">
        <v>22</v>
      </c>
      <c r="C16" s="28" t="s">
        <v>33</v>
      </c>
      <c r="D16" s="27">
        <v>0</v>
      </c>
      <c r="E16" s="6">
        <v>1862.9</v>
      </c>
      <c r="F16" s="5">
        <v>1616.1</v>
      </c>
      <c r="G16" s="5">
        <v>1412.8</v>
      </c>
      <c r="H16" s="16">
        <f t="shared" si="0"/>
        <v>4891.7999999999993</v>
      </c>
      <c r="I16" s="24" t="s">
        <v>8</v>
      </c>
    </row>
    <row r="18" spans="2:9" s="32" customFormat="1" x14ac:dyDescent="0.3">
      <c r="B18" s="29"/>
      <c r="C18" s="30" t="s">
        <v>38</v>
      </c>
      <c r="D18" s="31">
        <f>SUM(D3:D17)</f>
        <v>1649.9</v>
      </c>
      <c r="E18" s="31">
        <f>SUM(E3:E17)</f>
        <v>3160.7</v>
      </c>
      <c r="F18" s="31">
        <f>SUM(F3:F17)</f>
        <v>2511</v>
      </c>
      <c r="G18" s="31">
        <f>SUM(G3:G17)</f>
        <v>2736.5</v>
      </c>
      <c r="H18" s="31">
        <f>SUM(H3:H17)</f>
        <v>10058.1</v>
      </c>
      <c r="I18" s="29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МФ-СТРОЙ</dc:creator>
  <cp:lastModifiedBy>МФ-СТРОЙ</cp:lastModifiedBy>
  <dcterms:created xsi:type="dcterms:W3CDTF">2025-07-21T09:59:32Z</dcterms:created>
  <dcterms:modified xsi:type="dcterms:W3CDTF">2026-08-14T07:01:40Z</dcterms:modified>
</cp:coreProperties>
</file>