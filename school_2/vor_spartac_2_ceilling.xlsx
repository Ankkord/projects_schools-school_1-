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4"/>
  </bookViews>
  <sheets>
    <sheet name="Table 1" sheetId="2" r:id="rId1"/>
    <sheet name="Лист4" sheetId="5" r:id="rId2"/>
    <sheet name="Лист2" sheetId="3" r:id="rId3"/>
    <sheet name="Лист1" sheetId="1" r:id="rId4"/>
    <sheet name="2расчет" sheetId="9" r:id="rId5"/>
    <sheet name="3вор" sheetId="4" r:id="rId6"/>
    <sheet name="3пом" sheetId="8" r:id="rId7"/>
    <sheet name="3расчет" sheetId="6" r:id="rId8"/>
  </sheets>
  <calcPr calcId="152511"/>
</workbook>
</file>

<file path=xl/calcChain.xml><?xml version="1.0" encoding="utf-8"?>
<calcChain xmlns="http://schemas.openxmlformats.org/spreadsheetml/2006/main">
  <c r="E3" i="6" l="1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8" i="6"/>
  <c r="E29" i="6"/>
  <c r="E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2" i="6"/>
  <c r="F3" i="9"/>
  <c r="F4" i="9"/>
  <c r="F6" i="9"/>
  <c r="F7" i="9"/>
  <c r="F9" i="9"/>
  <c r="F10" i="9"/>
  <c r="F11" i="9"/>
  <c r="F12" i="9"/>
  <c r="F13" i="9"/>
  <c r="F14" i="9"/>
  <c r="F15" i="9"/>
  <c r="F17" i="9"/>
  <c r="F18" i="9"/>
  <c r="F19" i="9"/>
  <c r="F20" i="9"/>
  <c r="F21" i="9"/>
  <c r="F22" i="9"/>
  <c r="F23" i="9"/>
  <c r="F24" i="9"/>
  <c r="F26" i="9"/>
  <c r="F27" i="9"/>
  <c r="F28" i="9"/>
  <c r="F29" i="9"/>
  <c r="F30" i="9"/>
  <c r="F2" i="9"/>
  <c r="D31" i="9"/>
  <c r="E3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2" i="9"/>
  <c r="G42" i="9" l="1"/>
  <c r="G40" i="9"/>
  <c r="G41" i="9"/>
  <c r="G45" i="9"/>
  <c r="G44" i="9"/>
  <c r="G43" i="9"/>
  <c r="H42" i="6"/>
  <c r="H41" i="6"/>
  <c r="H40" i="6"/>
  <c r="H43" i="6"/>
  <c r="H44" i="6"/>
  <c r="H45" i="6"/>
  <c r="C39" i="9" l="1"/>
  <c r="C25" i="9"/>
  <c r="F25" i="9" s="1"/>
  <c r="C38" i="9"/>
  <c r="C16" i="9"/>
  <c r="F16" i="9" s="1"/>
  <c r="C37" i="9"/>
  <c r="C36" i="9"/>
  <c r="C8" i="9"/>
  <c r="F8" i="9" s="1"/>
  <c r="C34" i="9"/>
  <c r="C5" i="9"/>
  <c r="B31" i="9"/>
  <c r="B30" i="8"/>
  <c r="E3" i="4" s="1"/>
  <c r="E6" i="4" s="1"/>
  <c r="E8" i="4" s="1"/>
  <c r="D25" i="6"/>
  <c r="E25" i="6" s="1"/>
  <c r="D26" i="6"/>
  <c r="E26" i="6" s="1"/>
  <c r="D27" i="6"/>
  <c r="E27" i="6" s="1"/>
  <c r="D24" i="6"/>
  <c r="E24" i="6" s="1"/>
  <c r="B30" i="6"/>
  <c r="C31" i="9" l="1"/>
  <c r="F5" i="9"/>
  <c r="H46" i="6"/>
  <c r="D30" i="6"/>
  <c r="E4" i="4"/>
  <c r="E7" i="4"/>
  <c r="E5" i="4"/>
  <c r="G46" i="9" l="1"/>
  <c r="G49" i="9" s="1"/>
  <c r="H47" i="6"/>
  <c r="B31" i="1"/>
  <c r="E3" i="3" s="1"/>
  <c r="E5" i="3" l="1"/>
  <c r="E6" i="3"/>
  <c r="E4" i="3"/>
  <c r="E8" i="3" l="1"/>
  <c r="E7" i="3"/>
</calcChain>
</file>

<file path=xl/sharedStrings.xml><?xml version="1.0" encoding="utf-8"?>
<sst xmlns="http://schemas.openxmlformats.org/spreadsheetml/2006/main" count="475" uniqueCount="114">
  <si>
    <r>
      <rPr>
        <i/>
        <sz val="15.5"/>
        <rFont val="ISOCPEUR"/>
        <family val="2"/>
      </rPr>
      <t>Наименование</t>
    </r>
    <r>
      <rPr>
        <sz val="15.5"/>
        <rFont val="Times New Roman"/>
        <family val="1"/>
      </rPr>
      <t xml:space="preserve"> </t>
    </r>
    <r>
      <rPr>
        <i/>
        <sz val="15.5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</si>
  <si>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время,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</si>
  <si>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обеспыливание;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подвесной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потолок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АИ)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</si>
  <si>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</si>
  <si>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начальных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коридором)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</si>
  <si>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</si>
  <si>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</si>
  <si>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</si>
  <si>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актового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</si>
  <si>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Технический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центр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</si>
  <si>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клетка</t>
    </r>
  </si>
  <si>
    <r>
      <rPr>
        <i/>
        <sz val="11"/>
        <rFont val="ISOCPEUR"/>
        <family val="2"/>
      </rPr>
      <t>Лифтовый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</si>
  <si>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</si>
  <si>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</si>
  <si>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</si>
  <si>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</si>
  <si>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</si>
  <si>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детей)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</si>
  <si>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</si>
  <si>
    <r>
      <rPr>
        <i/>
        <sz val="11"/>
        <rFont val="ISOCPEUR"/>
        <family val="2"/>
      </rPr>
      <t>Многофункциональный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закрытый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фонд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</si>
  <si>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Раздевальная</t>
    </r>
  </si>
  <si>
    <r>
      <rPr>
        <i/>
        <sz val="11"/>
        <rFont val="ISOCPEUR"/>
        <family val="2"/>
      </rPr>
      <t>Душевая</t>
    </r>
  </si>
  <si>
    <r>
      <rPr>
        <i/>
        <sz val="11"/>
        <rFont val="ISOCPEUR"/>
        <family val="2"/>
      </rPr>
      <t>Туалет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</si>
  <si>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</si>
  <si>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</si>
  <si>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</si>
  <si>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</si>
  <si>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Универсальный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18x30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разделительным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занавесом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электрическом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приводе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</si>
  <si>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окраска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9003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(марку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огнестойкость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краски
</t>
    </r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</si>
  <si>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</si>
  <si>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5-9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</si>
  <si>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коридором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</si>
  <si>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экология+география+ОБЖ)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</si>
  <si>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</si>
  <si>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АВ)</t>
    </r>
  </si>
  <si>
    <r>
      <rPr>
        <i/>
        <sz val="11"/>
        <rFont val="ISOCPEUR"/>
        <family val="2"/>
      </rPr>
      <t xml:space="preserve">Инженерный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</si>
  <si>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Лаборантская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</si>
  <si>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</si>
  <si>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средней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</si>
  <si>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Верхние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ряды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пространства</t>
    </r>
  </si>
  <si>
    <r>
      <rPr>
        <i/>
        <sz val="11"/>
        <rFont val="ISOCPEUR"/>
        <family val="2"/>
      </rPr>
      <t xml:space="preserve">Академический
</t>
    </r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</si>
  <si>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Лекционная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аудитория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</si>
  <si>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</si>
  <si>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личной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гигиены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</si>
  <si>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</si>
  <si>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Шахматный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кружок</t>
    </r>
  </si>
  <si>
    <r>
      <rPr>
        <i/>
        <sz val="11"/>
        <rFont val="ISOCPEUR"/>
        <family val="2"/>
      </rPr>
      <t>Лабораторно-исследовательский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</si>
  <si>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отделке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</si>
  <si>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</si>
  <si>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универсального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назначения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(10-11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классы)</t>
    </r>
  </si>
  <si>
    <r>
      <rPr>
        <i/>
        <sz val="11"/>
        <rFont val="ISOCPEUR"/>
        <family val="2"/>
      </rPr>
      <t>Специализированный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физика+химия+биология)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</si>
  <si>
    <r>
      <rPr>
        <i/>
        <sz val="11"/>
        <rFont val="ISOCPEUR"/>
        <family val="2"/>
      </rPr>
      <t>Лаборантская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А)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</si>
  <si>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информатики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</si>
  <si>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 xml:space="preserve">Медицинский
</t>
    </r>
    <r>
      <rPr>
        <i/>
        <sz val="11"/>
        <rFont val="ISOCPEUR"/>
        <family val="2"/>
      </rPr>
      <t>лабороторно-исследовательский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</si>
  <si>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IT-полигон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трансформируемыми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зоны</t>
    </r>
  </si>
  <si>
    <r>
      <rPr>
        <i/>
        <sz val="11"/>
        <rFont val="ISOCPEUR"/>
        <family val="2"/>
      </rPr>
      <t>Мастерская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акварельной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живописи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рисунка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кладовой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</si>
  <si>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основной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старшей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</si>
  <si>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(физика)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фронтальной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формой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обучения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</si>
  <si>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обработки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</si>
  <si>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установки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технологического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</si>
  <si>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оборудования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расходных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материалов</t>
    </r>
  </si>
  <si>
    <r>
      <rPr>
        <i/>
        <sz val="11"/>
        <rFont val="ISOCPEUR"/>
        <family val="2"/>
      </rPr>
      <t>Кладовая</t>
    </r>
  </si>
  <si>
    <t>пт-6</t>
  </si>
  <si>
    <t>Столбец1</t>
  </si>
  <si>
    <t>пт-2.16</t>
  </si>
  <si>
    <t>отдельно</t>
  </si>
  <si>
    <t>пт-5.1</t>
  </si>
  <si>
    <t>пт-2.5</t>
  </si>
  <si>
    <t>пт-7</t>
  </si>
  <si>
    <t>Итог:</t>
  </si>
  <si>
    <t>Подготовка поверхности СКБ / потолка / ЖБ / 5 мм</t>
  </si>
  <si>
    <t>м2</t>
  </si>
  <si>
    <t>Грунтовка БЕТОН-КОНТАКТ_/</t>
  </si>
  <si>
    <t>кг</t>
  </si>
  <si>
    <t>Шпатлевка гипсовая_ / белая / Унифицированная по ПИК-СТАНДАРТ, 30кг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</si>
  <si>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</si>
  <si>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</si>
  <si>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</si>
  <si>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Наименование</t>
  </si>
  <si>
    <t>Ед. изм.</t>
  </si>
  <si>
    <t>Коэф. расхода</t>
  </si>
  <si>
    <t>Объем</t>
  </si>
  <si>
    <t>Тип</t>
  </si>
  <si>
    <t>Примечание</t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</si>
  <si>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я</t>
    </r>
  </si>
  <si>
    <r>
      <rPr>
        <i/>
        <sz val="10"/>
        <rFont val="ГОСТ тип А"/>
        <family val="2"/>
        <charset val="204"/>
      </rPr>
      <t>Вид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</si>
  <si>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</si>
  <si>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затирка;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"Бетоноконтакт";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шпатлёвка;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
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=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5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мм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</si>
  <si>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необходимости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выравнивания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</si>
  <si>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</si>
  <si>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</si>
  <si>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Ведомость работ и используемых материалов</t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</si>
  <si>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i/>
        <sz val="10"/>
        <rFont val="ГОСТ тип А"/>
        <family val="2"/>
        <charset val="204"/>
      </rPr>
      <t>я</t>
    </r>
  </si>
  <si>
    <t>итог:</t>
  </si>
  <si>
    <t>лист 1</t>
  </si>
  <si>
    <t>лист 2</t>
  </si>
  <si>
    <t>лист 3</t>
  </si>
  <si>
    <t>лист 4</t>
  </si>
  <si>
    <t>лист 5</t>
  </si>
  <si>
    <t>лист 6</t>
  </si>
  <si>
    <t>3 этаж. Шпаклевка потолков финишная под покраску</t>
  </si>
  <si>
    <t xml:space="preserve">3 этаж. Шпаклевка потолков базовая </t>
  </si>
  <si>
    <t>2 этаж. Шпаклевка потолков базовая</t>
  </si>
  <si>
    <t>2 этаж. Шпаклевка потолков финишная под покраску</t>
  </si>
  <si>
    <t>Площадь
по полу</t>
  </si>
  <si>
    <t>Номер помещения</t>
  </si>
  <si>
    <t>Площадь, м²</t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</si>
  <si>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>по исп схемам</t>
    </r>
  </si>
  <si>
    <t>по исп схема</t>
  </si>
  <si>
    <t>По РД
по полу</t>
  </si>
  <si>
    <t>разница
между полом и потолком</t>
  </si>
  <si>
    <t>По в-ти
потолка</t>
  </si>
  <si>
    <t>По вед-ти(РД)
потолка</t>
  </si>
  <si>
    <t>Разница между полом и потолком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</si>
</sst>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0.0"/>
    <numFmt numFmtId="165" formatCode="#,##0.000"/>
  </numFmts>
  <fonts count="18" x14ac:knownFonts="1">
    <font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i/>
      <sz val="15.5"/>
      <name val="ISOCPEUR"/>
      <family val="2"/>
    </font>
    <font>
      <sz val="15.5"/>
      <name val="Times New Roman"/>
      <family val="1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1"/>
      <name val="ISOCPEU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Calibri"/>
      <family val="2"/>
      <scheme val="minor"/>
    </font>
    <font>
      <b/>
      <i/>
      <sz val="10"/>
      <color theme="1"/>
      <name val="ГОСТ тип А"/>
      <family val="2"/>
      <charset val="204"/>
    </font>
    <font>
      <i/>
      <sz val="10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43" fontId="15" fillId="0" borderId="0" applyFont="0" applyFill="0" applyBorder="0" applyAlignment="0" applyProtection="0"/>
  </cellStyleXfs>
  <cellXfs count="110">
    <xf numFmtId="0" fontId="0" fillId="0" borderId="0" xfId="0"/>
    <xf numFmtId="0" fontId="1" fillId="0" borderId="0" xfId="1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5" xfId="1" applyFill="1" applyBorder="1" applyAlignment="1">
      <alignment horizontal="left" vertical="top" wrapText="1" indent="5"/>
    </xf>
    <xf numFmtId="0" fontId="1" fillId="0" borderId="1" xfId="1" applyFill="1" applyBorder="1" applyAlignment="1">
      <alignment horizontal="left" vertical="top" wrapText="1"/>
    </xf>
    <xf numFmtId="164" fontId="4" fillId="0" borderId="1" xfId="1" applyNumberFormat="1" applyFont="1" applyFill="1" applyBorder="1" applyAlignment="1">
      <alignment horizontal="center" vertical="center" shrinkToFit="1"/>
    </xf>
    <xf numFmtId="0" fontId="7" fillId="0" borderId="1" xfId="1" applyFont="1" applyFill="1" applyBorder="1" applyAlignment="1">
      <alignment horizontal="left" vertical="center" wrapText="1"/>
    </xf>
    <xf numFmtId="0" fontId="1" fillId="0" borderId="1" xfId="1" applyFill="1" applyBorder="1" applyAlignment="1">
      <alignment horizontal="left" vertical="center" wrapText="1"/>
    </xf>
    <xf numFmtId="0" fontId="1" fillId="0" borderId="7" xfId="1" applyFill="1" applyBorder="1" applyAlignment="1">
      <alignment horizontal="left" vertical="top" wrapText="1"/>
    </xf>
    <xf numFmtId="0" fontId="1" fillId="0" borderId="3" xfId="1" applyFill="1" applyBorder="1" applyAlignment="1">
      <alignment horizontal="left" vertical="center" wrapText="1"/>
    </xf>
    <xf numFmtId="0" fontId="1" fillId="0" borderId="3" xfId="1" applyFill="1" applyBorder="1" applyAlignment="1">
      <alignment horizontal="left" vertical="top" wrapText="1"/>
    </xf>
    <xf numFmtId="164" fontId="4" fillId="0" borderId="3" xfId="1" applyNumberFormat="1" applyFont="1" applyFill="1" applyBorder="1" applyAlignment="1">
      <alignment horizontal="center" vertical="center" shrinkToFit="1"/>
    </xf>
    <xf numFmtId="0" fontId="7" fillId="0" borderId="3" xfId="1" applyFont="1" applyFill="1" applyBorder="1" applyAlignment="1">
      <alignment horizontal="left" vertical="center" wrapText="1"/>
    </xf>
    <xf numFmtId="0" fontId="1" fillId="0" borderId="5" xfId="1" applyFill="1" applyBorder="1" applyAlignment="1">
      <alignment horizontal="left" vertical="center" wrapText="1"/>
    </xf>
    <xf numFmtId="0" fontId="1" fillId="0" borderId="5" xfId="1" applyFill="1" applyBorder="1" applyAlignment="1">
      <alignment horizontal="left" vertical="top" wrapText="1"/>
    </xf>
    <xf numFmtId="164" fontId="4" fillId="0" borderId="5" xfId="1" applyNumberFormat="1" applyFont="1" applyFill="1" applyBorder="1" applyAlignment="1">
      <alignment horizontal="center" vertical="center" shrinkToFit="1"/>
    </xf>
    <xf numFmtId="0" fontId="1" fillId="0" borderId="6" xfId="1" applyFill="1" applyBorder="1" applyAlignment="1">
      <alignment horizontal="left" vertical="center" wrapText="1"/>
    </xf>
    <xf numFmtId="0" fontId="1" fillId="0" borderId="6" xfId="1" applyFill="1" applyBorder="1" applyAlignment="1">
      <alignment horizontal="left" vertical="top" wrapText="1"/>
    </xf>
    <xf numFmtId="164" fontId="4" fillId="0" borderId="6" xfId="1" applyNumberFormat="1" applyFont="1" applyFill="1" applyBorder="1" applyAlignment="1">
      <alignment horizontal="center" vertical="center" shrinkToFit="1"/>
    </xf>
    <xf numFmtId="164" fontId="4" fillId="0" borderId="3" xfId="1" applyNumberFormat="1" applyFont="1" applyFill="1" applyBorder="1" applyAlignment="1">
      <alignment horizontal="center" shrinkToFit="1"/>
    </xf>
    <xf numFmtId="3" fontId="4" fillId="0" borderId="2" xfId="1" applyNumberFormat="1" applyFont="1" applyFill="1" applyBorder="1" applyAlignment="1">
      <alignment horizontal="center" vertical="center" shrinkToFit="1"/>
    </xf>
    <xf numFmtId="3" fontId="4" fillId="0" borderId="4" xfId="1" applyNumberFormat="1" applyFont="1" applyFill="1" applyBorder="1" applyAlignment="1">
      <alignment horizontal="center" vertical="center" shrinkToFit="1"/>
    </xf>
    <xf numFmtId="3" fontId="4" fillId="0" borderId="0" xfId="1" applyNumberFormat="1" applyFont="1" applyFill="1" applyBorder="1" applyAlignment="1">
      <alignment horizontal="center" vertical="center" shrinkToFit="1"/>
    </xf>
    <xf numFmtId="3" fontId="4" fillId="0" borderId="7" xfId="1" applyNumberFormat="1" applyFont="1" applyFill="1" applyBorder="1" applyAlignment="1">
      <alignment horizontal="center" vertical="center" shrinkToFit="1"/>
    </xf>
    <xf numFmtId="0" fontId="8" fillId="0" borderId="9" xfId="0" applyFont="1" applyBorder="1" applyAlignment="1">
      <alignment vertical="center"/>
    </xf>
    <xf numFmtId="2" fontId="8" fillId="0" borderId="9" xfId="0" applyNumberFormat="1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0" fontId="9" fillId="0" borderId="0" xfId="0" applyFont="1"/>
    <xf numFmtId="0" fontId="10" fillId="0" borderId="0" xfId="1" applyFont="1" applyFill="1" applyBorder="1" applyAlignment="1">
      <alignment horizontal="center" vertical="top" wrapText="1"/>
    </xf>
    <xf numFmtId="0" fontId="10" fillId="0" borderId="5" xfId="1" applyFont="1" applyFill="1" applyBorder="1" applyAlignment="1">
      <alignment horizontal="left" vertical="center" wrapText="1" indent="5"/>
    </xf>
    <xf numFmtId="0" fontId="10" fillId="0" borderId="5" xfId="1" applyFont="1" applyFill="1" applyBorder="1" applyAlignment="1">
      <alignment horizontal="left" vertical="top" wrapText="1" indent="2"/>
    </xf>
    <xf numFmtId="0" fontId="10" fillId="0" borderId="0" xfId="1" applyFont="1" applyFill="1" applyBorder="1" applyAlignment="1">
      <alignment horizontal="left" vertical="top"/>
    </xf>
    <xf numFmtId="0" fontId="10" fillId="0" borderId="1" xfId="1" applyFont="1" applyFill="1" applyBorder="1" applyAlignment="1">
      <alignment horizontal="left" vertical="top" wrapText="1"/>
    </xf>
    <xf numFmtId="0" fontId="10" fillId="0" borderId="3" xfId="1" applyFont="1" applyFill="1" applyBorder="1" applyAlignment="1">
      <alignment horizontal="left" vertical="top" wrapText="1"/>
    </xf>
    <xf numFmtId="0" fontId="10" fillId="0" borderId="3" xfId="1" applyFont="1" applyFill="1" applyBorder="1" applyAlignment="1">
      <alignment horizontal="left" vertical="center" wrapText="1"/>
    </xf>
    <xf numFmtId="0" fontId="10" fillId="0" borderId="2" xfId="1" applyFont="1" applyFill="1" applyBorder="1" applyAlignment="1">
      <alignment horizontal="left" vertical="top" wrapText="1"/>
    </xf>
    <xf numFmtId="0" fontId="10" fillId="0" borderId="1" xfId="1" applyFont="1" applyFill="1" applyBorder="1" applyAlignment="1">
      <alignment horizontal="left" vertical="center" wrapText="1"/>
    </xf>
    <xf numFmtId="0" fontId="10" fillId="0" borderId="4" xfId="1" applyFont="1" applyFill="1" applyBorder="1" applyAlignment="1">
      <alignment horizontal="left" vertical="top" wrapText="1"/>
    </xf>
    <xf numFmtId="0" fontId="13" fillId="0" borderId="5" xfId="1" applyFont="1" applyFill="1" applyBorder="1" applyAlignment="1">
      <alignment horizontal="left" vertical="top" wrapText="1" indent="4"/>
    </xf>
    <xf numFmtId="3" fontId="11" fillId="0" borderId="2" xfId="1" applyNumberFormat="1" applyFont="1" applyFill="1" applyBorder="1" applyAlignment="1">
      <alignment horizontal="center" vertical="center" shrinkToFit="1"/>
    </xf>
    <xf numFmtId="164" fontId="11" fillId="0" borderId="1" xfId="1" applyNumberFormat="1" applyFont="1" applyFill="1" applyBorder="1" applyAlignment="1">
      <alignment horizontal="center" vertical="center" shrinkToFit="1"/>
    </xf>
    <xf numFmtId="3" fontId="11" fillId="0" borderId="4" xfId="1" applyNumberFormat="1" applyFont="1" applyFill="1" applyBorder="1" applyAlignment="1">
      <alignment horizontal="center" vertical="center" shrinkToFit="1"/>
    </xf>
    <xf numFmtId="164" fontId="11" fillId="0" borderId="3" xfId="1" applyNumberFormat="1" applyFont="1" applyFill="1" applyBorder="1" applyAlignment="1">
      <alignment horizontal="center" vertical="center" shrinkToFit="1"/>
    </xf>
    <xf numFmtId="164" fontId="11" fillId="0" borderId="3" xfId="1" applyNumberFormat="1" applyFont="1" applyFill="1" applyBorder="1" applyAlignment="1">
      <alignment horizontal="center" shrinkToFit="1"/>
    </xf>
    <xf numFmtId="164" fontId="11" fillId="2" borderId="11" xfId="1" applyNumberFormat="1" applyFont="1" applyFill="1" applyBorder="1" applyAlignment="1">
      <alignment horizontal="center" vertical="center" shrinkToFit="1"/>
    </xf>
    <xf numFmtId="164" fontId="11" fillId="0" borderId="11" xfId="1" applyNumberFormat="1" applyFont="1" applyBorder="1" applyAlignment="1">
      <alignment horizontal="center" vertical="center" shrinkToFit="1"/>
    </xf>
    <xf numFmtId="164" fontId="11" fillId="2" borderId="11" xfId="1" applyNumberFormat="1" applyFont="1" applyFill="1" applyBorder="1" applyAlignment="1">
      <alignment horizontal="center" shrinkToFit="1"/>
    </xf>
    <xf numFmtId="0" fontId="9" fillId="0" borderId="11" xfId="0" applyFont="1" applyBorder="1"/>
    <xf numFmtId="0" fontId="14" fillId="0" borderId="11" xfId="1" applyNumberFormat="1" applyFont="1" applyFill="1" applyBorder="1" applyAlignment="1">
      <alignment horizontal="center" vertical="top" wrapText="1"/>
    </xf>
    <xf numFmtId="3" fontId="11" fillId="0" borderId="11" xfId="1" applyNumberFormat="1" applyFont="1" applyFill="1" applyBorder="1" applyAlignment="1">
      <alignment horizontal="center" vertical="center" shrinkToFit="1"/>
    </xf>
    <xf numFmtId="0" fontId="10" fillId="0" borderId="8" xfId="0" applyFont="1" applyFill="1" applyBorder="1" applyAlignment="1" applyProtection="1">
      <alignment horizontal="left" vertical="center" wrapText="1"/>
    </xf>
    <xf numFmtId="0" fontId="10" fillId="0" borderId="8" xfId="0" applyFont="1" applyFill="1" applyBorder="1" applyAlignment="1" applyProtection="1">
      <alignment horizontal="center" vertical="center" wrapText="1"/>
    </xf>
    <xf numFmtId="165" fontId="10" fillId="0" borderId="8" xfId="0" applyNumberFormat="1" applyFont="1" applyFill="1" applyBorder="1" applyAlignment="1" applyProtection="1">
      <alignment horizontal="center" vertical="center" wrapText="1"/>
    </xf>
    <xf numFmtId="0" fontId="11" fillId="0" borderId="8" xfId="0" applyFont="1" applyFill="1" applyBorder="1" applyAlignment="1" applyProtection="1">
      <alignment horizontal="right" vertical="center" wrapText="1"/>
    </xf>
    <xf numFmtId="0" fontId="10" fillId="0" borderId="8" xfId="0" applyFont="1" applyFill="1" applyBorder="1" applyAlignment="1" applyProtection="1">
      <alignment horizontal="center" vertical="center"/>
    </xf>
    <xf numFmtId="165" fontId="10" fillId="0" borderId="8" xfId="0" applyNumberFormat="1" applyFont="1" applyFill="1" applyBorder="1" applyAlignment="1" applyProtection="1">
      <alignment horizontal="center" vertical="center"/>
    </xf>
    <xf numFmtId="164" fontId="10" fillId="0" borderId="0" xfId="1" applyNumberFormat="1" applyFont="1" applyFill="1" applyBorder="1" applyAlignment="1">
      <alignment horizontal="left" vertical="top"/>
    </xf>
    <xf numFmtId="164" fontId="0" fillId="0" borderId="0" xfId="0" applyNumberFormat="1"/>
    <xf numFmtId="3" fontId="4" fillId="3" borderId="1" xfId="1" applyNumberFormat="1" applyFont="1" applyFill="1" applyBorder="1" applyAlignment="1">
      <alignment horizontal="center" vertical="center" shrinkToFit="1"/>
    </xf>
    <xf numFmtId="164" fontId="4" fillId="3" borderId="1" xfId="1" applyNumberFormat="1" applyFont="1" applyFill="1" applyBorder="1" applyAlignment="1">
      <alignment horizontal="center" vertical="center" shrinkToFit="1"/>
    </xf>
    <xf numFmtId="3" fontId="4" fillId="3" borderId="3" xfId="1" applyNumberFormat="1" applyFont="1" applyFill="1" applyBorder="1" applyAlignment="1">
      <alignment horizontal="center" vertical="center" shrinkToFit="1"/>
    </xf>
    <xf numFmtId="164" fontId="4" fillId="3" borderId="3" xfId="1" applyNumberFormat="1" applyFont="1" applyFill="1" applyBorder="1" applyAlignment="1">
      <alignment horizontal="center" vertical="center" shrinkToFit="1"/>
    </xf>
    <xf numFmtId="3" fontId="4" fillId="4" borderId="1" xfId="1" applyNumberFormat="1" applyFont="1" applyFill="1" applyBorder="1" applyAlignment="1">
      <alignment horizontal="center" vertical="center" shrinkToFit="1"/>
    </xf>
    <xf numFmtId="164" fontId="4" fillId="4" borderId="1" xfId="1" applyNumberFormat="1" applyFont="1" applyFill="1" applyBorder="1" applyAlignment="1">
      <alignment horizontal="center" vertical="center" shrinkToFit="1"/>
    </xf>
    <xf numFmtId="164" fontId="11" fillId="0" borderId="11" xfId="1" applyNumberFormat="1" applyFont="1" applyFill="1" applyBorder="1" applyAlignment="1">
      <alignment horizontal="center" vertical="center" shrinkToFit="1"/>
    </xf>
    <xf numFmtId="0" fontId="14" fillId="0" borderId="11" xfId="1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4" fontId="9" fillId="0" borderId="11" xfId="0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vertical="center"/>
    </xf>
    <xf numFmtId="2" fontId="16" fillId="0" borderId="9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11" fillId="0" borderId="8" xfId="0" applyFont="1" applyFill="1" applyBorder="1" applyAlignment="1" applyProtection="1">
      <alignment horizontal="left" vertical="center" wrapText="1"/>
    </xf>
    <xf numFmtId="0" fontId="11" fillId="0" borderId="8" xfId="0" applyFont="1" applyFill="1" applyBorder="1" applyAlignment="1" applyProtection="1">
      <alignment horizontal="center" vertical="center" wrapText="1"/>
    </xf>
    <xf numFmtId="165" fontId="11" fillId="0" borderId="8" xfId="0" applyNumberFormat="1" applyFont="1" applyFill="1" applyBorder="1" applyAlignment="1" applyProtection="1">
      <alignment horizontal="center" vertical="center" wrapText="1"/>
    </xf>
    <xf numFmtId="0" fontId="11" fillId="0" borderId="8" xfId="0" applyFont="1" applyFill="1" applyBorder="1" applyAlignment="1" applyProtection="1">
      <alignment horizontal="center" vertical="center"/>
    </xf>
    <xf numFmtId="165" fontId="11" fillId="0" borderId="8" xfId="0" applyNumberFormat="1" applyFont="1" applyFill="1" applyBorder="1" applyAlignment="1" applyProtection="1">
      <alignment horizontal="center" vertical="center"/>
    </xf>
    <xf numFmtId="0" fontId="17" fillId="0" borderId="0" xfId="0" applyFont="1"/>
    <xf numFmtId="2" fontId="9" fillId="0" borderId="11" xfId="0" applyNumberFormat="1" applyFont="1" applyBorder="1"/>
    <xf numFmtId="0" fontId="9" fillId="0" borderId="0" xfId="0" applyFont="1" applyAlignment="1">
      <alignment wrapText="1"/>
    </xf>
    <xf numFmtId="0" fontId="12" fillId="0" borderId="11" xfId="1" applyNumberFormat="1" applyFont="1" applyBorder="1" applyAlignment="1">
      <alignment horizontal="center" vertical="top" wrapText="1"/>
    </xf>
    <xf numFmtId="2" fontId="0" fillId="0" borderId="0" xfId="2" applyNumberFormat="1" applyFont="1"/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4" fillId="0" borderId="11" xfId="1" applyNumberFormat="1" applyFont="1" applyFill="1" applyBorder="1" applyAlignment="1">
      <alignment horizontal="left" vertical="top" wrapText="1" indent="2"/>
    </xf>
    <xf numFmtId="0" fontId="0" fillId="0" borderId="0" xfId="0" applyFill="1"/>
    <xf numFmtId="164" fontId="0" fillId="0" borderId="0" xfId="0" applyNumberFormat="1" applyFill="1"/>
    <xf numFmtId="164" fontId="11" fillId="0" borderId="11" xfId="1" applyNumberFormat="1" applyFont="1" applyFill="1" applyBorder="1" applyAlignment="1">
      <alignment horizontal="center" shrinkToFit="1"/>
    </xf>
    <xf numFmtId="0" fontId="9" fillId="0" borderId="11" xfId="0" applyFont="1" applyFill="1" applyBorder="1"/>
    <xf numFmtId="164" fontId="9" fillId="0" borderId="11" xfId="0" applyNumberFormat="1" applyFont="1" applyFill="1" applyBorder="1"/>
    <xf numFmtId="0" fontId="0" fillId="0" borderId="11" xfId="0" applyFill="1" applyBorder="1"/>
    <xf numFmtId="0" fontId="0" fillId="0" borderId="11" xfId="0" applyFill="1" applyBorder="1" applyAlignment="1">
      <alignment wrapText="1"/>
    </xf>
    <xf numFmtId="164" fontId="0" fillId="0" borderId="11" xfId="0" applyNumberFormat="1" applyFill="1" applyBorder="1"/>
    <xf numFmtId="3" fontId="11" fillId="5" borderId="11" xfId="1" applyNumberFormat="1" applyFont="1" applyFill="1" applyBorder="1" applyAlignment="1">
      <alignment horizontal="center" vertical="center" shrinkToFit="1"/>
    </xf>
    <xf numFmtId="164" fontId="11" fillId="5" borderId="11" xfId="1" applyNumberFormat="1" applyFont="1" applyFill="1" applyBorder="1" applyAlignment="1">
      <alignment horizontal="center" vertical="center" shrinkToFit="1"/>
    </xf>
    <xf numFmtId="0" fontId="0" fillId="5" borderId="11" xfId="0" applyFill="1" applyBorder="1"/>
    <xf numFmtId="164" fontId="0" fillId="5" borderId="11" xfId="0" applyNumberFormat="1" applyFill="1" applyBorder="1"/>
    <xf numFmtId="165" fontId="10" fillId="0" borderId="0" xfId="0" applyNumberFormat="1" applyFont="1" applyFill="1" applyBorder="1" applyAlignment="1" applyProtection="1">
      <alignment horizontal="center" vertical="center" wrapText="1"/>
    </xf>
    <xf numFmtId="0" fontId="13" fillId="0" borderId="11" xfId="1" applyNumberFormat="1" applyFont="1" applyFill="1" applyBorder="1" applyAlignment="1">
      <alignment horizontal="left" vertical="top" wrapText="1"/>
    </xf>
    <xf numFmtId="3" fontId="4" fillId="0" borderId="11" xfId="1" applyNumberFormat="1" applyFont="1" applyFill="1" applyBorder="1" applyAlignment="1">
      <alignment horizontal="center" vertical="center" wrapText="1" shrinkToFit="1"/>
    </xf>
    <xf numFmtId="164" fontId="4" fillId="0" borderId="11" xfId="1" applyNumberFormat="1" applyFont="1" applyFill="1" applyBorder="1" applyAlignment="1">
      <alignment horizontal="center" vertical="center" wrapText="1" shrinkToFit="1"/>
    </xf>
    <xf numFmtId="164" fontId="0" fillId="0" borderId="11" xfId="0" applyNumberFormat="1" applyFill="1" applyBorder="1" applyAlignment="1">
      <alignment wrapText="1"/>
    </xf>
    <xf numFmtId="3" fontId="4" fillId="6" borderId="11" xfId="1" applyNumberFormat="1" applyFont="1" applyFill="1" applyBorder="1" applyAlignment="1">
      <alignment horizontal="center" vertical="center" wrapText="1" shrinkToFit="1"/>
    </xf>
    <xf numFmtId="164" fontId="4" fillId="6" borderId="11" xfId="1" applyNumberFormat="1" applyFont="1" applyFill="1" applyBorder="1" applyAlignment="1">
      <alignment horizontal="center" vertical="center" wrapText="1" shrinkToFit="1"/>
    </xf>
    <xf numFmtId="0" fontId="0" fillId="6" borderId="11" xfId="0" applyFill="1" applyBorder="1" applyAlignment="1">
      <alignment wrapText="1"/>
    </xf>
    <xf numFmtId="164" fontId="0" fillId="6" borderId="11" xfId="0" applyNumberFormat="1" applyFill="1" applyBorder="1" applyAlignment="1">
      <alignment wrapText="1"/>
    </xf>
  </cellXfs>
  <cellStyles count="3">
    <cellStyle name="Обычный" xfId="0" builtinId="0"/>
    <cellStyle name="Обычный 2" xfId="1"/>
    <cellStyle name="Финансовый" xfId="2" builtinId="3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Таблица1" displayName="Таблица1" ref="A1:F142" totalsRowShown="0" tableBorderDxfId="6">
  <autoFilter ref="A1:F142">
    <filterColumn colId="0">
      <customFilters>
        <customFilter operator="lessThan" val="3000"/>
      </customFilters>
    </filterColumn>
    <filterColumn colId="2">
      <filters blank="1">
        <filter val="-  затирка;_x000a_-  грунтовка  &quot;Бетоноконтакт&quot;;_x000a_-  шпатлёвка;_x000a_-  грунтовка  глубокого проникновения_x000a_δ  =  5  мм"/>
        <filter val="-  окраска  RAL  9003  (марку  и огнестойкость  краски_x000a_см.  раздел  КР)"/>
      </filters>
    </filterColumn>
  </autoFilter>
  <tableColumns count="6">
    <tableColumn id="1" name="Номер помещени я" dataDxfId="5" dataCellStyle="Обычный 2"/>
    <tableColumn id="2" name="Наименование помещения" dataDxfId="4" dataCellStyle="Обычный 2"/>
    <tableColumn id="3" name="Вид  отделки" dataDxfId="3" dataCellStyle="Обычный 2"/>
    <tableColumn id="4" name="Площадь, м²" dataDxfId="2" dataCellStyle="Обычный 2"/>
    <tableColumn id="5" name="Примечание" dataDxfId="1" dataCellStyle="Обычный 2"/>
    <tableColumn id="6" name="Столбец1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9"/>
  <sheetViews>
    <sheetView topLeftCell="A55" zoomScaleNormal="100" workbookViewId="0">
      <selection activeCell="D38" sqref="D38"/>
    </sheetView>
  </sheetViews>
  <sheetFormatPr defaultRowHeight="12.75" x14ac:dyDescent="0.25"/>
  <cols>
    <col min="1" max="1" width="18.7109375" style="31" customWidth="1"/>
    <col min="2" max="2" width="32" style="1" hidden="1" customWidth="1"/>
    <col min="3" max="3" width="29.7109375" style="31" customWidth="1"/>
    <col min="4" max="4" width="17" style="31" customWidth="1"/>
    <col min="5" max="5" width="25.85546875" style="31" customWidth="1"/>
    <col min="6" max="6" width="15.42578125" style="31" customWidth="1"/>
    <col min="7" max="16384" width="9.140625" style="31"/>
  </cols>
  <sheetData>
    <row r="1" spans="1:6" ht="42" x14ac:dyDescent="0.25">
      <c r="A1" s="28" t="s">
        <v>84</v>
      </c>
      <c r="B1" s="3" t="s">
        <v>0</v>
      </c>
      <c r="C1" s="29" t="s">
        <v>85</v>
      </c>
      <c r="D1" s="30" t="s">
        <v>86</v>
      </c>
      <c r="E1" s="38" t="s">
        <v>83</v>
      </c>
      <c r="F1" s="31" t="s">
        <v>63</v>
      </c>
    </row>
    <row r="2" spans="1:6" s="1" customFormat="1" ht="75" hidden="1" x14ac:dyDescent="0.25">
      <c r="A2" s="20">
        <v>2001</v>
      </c>
      <c r="B2" s="4" t="s">
        <v>1</v>
      </c>
      <c r="C2" s="4" t="s">
        <v>2</v>
      </c>
      <c r="D2" s="5">
        <v>80.7</v>
      </c>
      <c r="E2" s="4" t="s">
        <v>3</v>
      </c>
      <c r="F2" s="1" t="s">
        <v>62</v>
      </c>
    </row>
    <row r="3" spans="1:6" s="1" customFormat="1" ht="75" hidden="1" x14ac:dyDescent="0.25">
      <c r="A3" s="20">
        <v>2002</v>
      </c>
      <c r="B3" s="4" t="s">
        <v>1</v>
      </c>
      <c r="C3" s="4" t="s">
        <v>2</v>
      </c>
      <c r="D3" s="5">
        <v>64.8</v>
      </c>
      <c r="E3" s="4" t="s">
        <v>3</v>
      </c>
      <c r="F3" s="1" t="s">
        <v>62</v>
      </c>
    </row>
    <row r="4" spans="1:6" ht="76.5" x14ac:dyDescent="0.25">
      <c r="A4" s="39">
        <v>2003</v>
      </c>
      <c r="B4" s="7" t="s">
        <v>4</v>
      </c>
      <c r="C4" s="32" t="s">
        <v>87</v>
      </c>
      <c r="D4" s="40">
        <v>218.2</v>
      </c>
      <c r="E4" s="32" t="s">
        <v>88</v>
      </c>
      <c r="F4" s="31" t="s">
        <v>64</v>
      </c>
    </row>
    <row r="5" spans="1:6" s="1" customFormat="1" ht="75" hidden="1" x14ac:dyDescent="0.25">
      <c r="A5" s="20">
        <v>2004</v>
      </c>
      <c r="B5" s="7" t="s">
        <v>6</v>
      </c>
      <c r="C5" s="4" t="s">
        <v>2</v>
      </c>
      <c r="D5" s="5">
        <v>45.5</v>
      </c>
      <c r="E5" s="4" t="s">
        <v>3</v>
      </c>
      <c r="F5" s="1" t="s">
        <v>62</v>
      </c>
    </row>
    <row r="6" spans="1:6" s="1" customFormat="1" ht="75" hidden="1" x14ac:dyDescent="0.25">
      <c r="A6" s="20">
        <v>2005</v>
      </c>
      <c r="B6" s="7" t="s">
        <v>7</v>
      </c>
      <c r="C6" s="4" t="s">
        <v>2</v>
      </c>
      <c r="D6" s="5">
        <v>23.7</v>
      </c>
      <c r="E6" s="4" t="s">
        <v>3</v>
      </c>
      <c r="F6" s="1" t="s">
        <v>62</v>
      </c>
    </row>
    <row r="7" spans="1:6" ht="76.5" x14ac:dyDescent="0.25">
      <c r="A7" s="39">
        <v>2006</v>
      </c>
      <c r="B7" s="7" t="s">
        <v>8</v>
      </c>
      <c r="C7" s="32" t="s">
        <v>87</v>
      </c>
      <c r="D7" s="40">
        <v>0</v>
      </c>
      <c r="E7" s="32" t="s">
        <v>88</v>
      </c>
      <c r="F7" s="31" t="s">
        <v>65</v>
      </c>
    </row>
    <row r="8" spans="1:6" s="1" customFormat="1" ht="75" hidden="1" x14ac:dyDescent="0.25">
      <c r="A8" s="20">
        <v>2007</v>
      </c>
      <c r="B8" s="7" t="s">
        <v>9</v>
      </c>
      <c r="C8" s="4" t="s">
        <v>2</v>
      </c>
      <c r="D8" s="5">
        <v>23.7</v>
      </c>
      <c r="E8" s="4" t="s">
        <v>3</v>
      </c>
      <c r="F8" s="1" t="s">
        <v>66</v>
      </c>
    </row>
    <row r="9" spans="1:6" ht="76.5" x14ac:dyDescent="0.25">
      <c r="A9" s="39">
        <v>2008</v>
      </c>
      <c r="B9" s="7" t="s">
        <v>10</v>
      </c>
      <c r="C9" s="32" t="s">
        <v>87</v>
      </c>
      <c r="D9" s="40">
        <v>65.599999999999994</v>
      </c>
      <c r="E9" s="32" t="s">
        <v>88</v>
      </c>
      <c r="F9" s="31" t="s">
        <v>67</v>
      </c>
    </row>
    <row r="10" spans="1:6" ht="76.5" x14ac:dyDescent="0.25">
      <c r="A10" s="41">
        <v>2009</v>
      </c>
      <c r="B10" s="9" t="s">
        <v>11</v>
      </c>
      <c r="C10" s="33" t="s">
        <v>87</v>
      </c>
      <c r="D10" s="42">
        <v>10.3</v>
      </c>
      <c r="E10" s="33" t="s">
        <v>88</v>
      </c>
      <c r="F10" s="31" t="s">
        <v>64</v>
      </c>
    </row>
    <row r="11" spans="1:6" ht="76.5" x14ac:dyDescent="0.2">
      <c r="A11" s="41">
        <v>2010</v>
      </c>
      <c r="B11" s="9" t="s">
        <v>12</v>
      </c>
      <c r="C11" s="33" t="s">
        <v>87</v>
      </c>
      <c r="D11" s="43">
        <v>23.5</v>
      </c>
      <c r="E11" s="34" t="s">
        <v>89</v>
      </c>
      <c r="F11" s="31" t="s">
        <v>64</v>
      </c>
    </row>
    <row r="12" spans="1:6" s="1" customFormat="1" ht="75" hidden="1" x14ac:dyDescent="0.25">
      <c r="A12" s="20">
        <v>2011</v>
      </c>
      <c r="B12" s="7" t="s">
        <v>14</v>
      </c>
      <c r="C12" s="4" t="s">
        <v>2</v>
      </c>
      <c r="D12" s="5">
        <v>4.7</v>
      </c>
      <c r="E12" s="7" t="s">
        <v>3</v>
      </c>
      <c r="F12" s="1" t="s">
        <v>68</v>
      </c>
    </row>
    <row r="13" spans="1:6" s="1" customFormat="1" ht="75" hidden="1" x14ac:dyDescent="0.25">
      <c r="A13" s="20">
        <v>2012</v>
      </c>
      <c r="B13" s="7" t="s">
        <v>15</v>
      </c>
      <c r="C13" s="4" t="s">
        <v>2</v>
      </c>
      <c r="D13" s="5">
        <v>63.2</v>
      </c>
      <c r="E13" s="4" t="s">
        <v>3</v>
      </c>
    </row>
    <row r="14" spans="1:6" s="1" customFormat="1" ht="75" hidden="1" x14ac:dyDescent="0.25">
      <c r="A14" s="20">
        <v>2013</v>
      </c>
      <c r="B14" s="7" t="s">
        <v>15</v>
      </c>
      <c r="C14" s="4" t="s">
        <v>2</v>
      </c>
      <c r="D14" s="5">
        <v>64.2</v>
      </c>
      <c r="E14" s="4" t="s">
        <v>3</v>
      </c>
    </row>
    <row r="15" spans="1:6" s="1" customFormat="1" ht="75" hidden="1" x14ac:dyDescent="0.25">
      <c r="A15" s="20">
        <v>2014</v>
      </c>
      <c r="B15" s="7" t="s">
        <v>15</v>
      </c>
      <c r="C15" s="4" t="s">
        <v>2</v>
      </c>
      <c r="D15" s="5">
        <v>64.8</v>
      </c>
      <c r="E15" s="4" t="s">
        <v>3</v>
      </c>
    </row>
    <row r="16" spans="1:6" s="1" customFormat="1" ht="75" hidden="1" x14ac:dyDescent="0.25">
      <c r="A16" s="20">
        <v>2015</v>
      </c>
      <c r="B16" s="7" t="s">
        <v>15</v>
      </c>
      <c r="C16" s="4" t="s">
        <v>2</v>
      </c>
      <c r="D16" s="5">
        <v>63.4</v>
      </c>
      <c r="E16" s="4" t="s">
        <v>3</v>
      </c>
    </row>
    <row r="17" spans="1:5" s="1" customFormat="1" ht="75" hidden="1" x14ac:dyDescent="0.25">
      <c r="A17" s="20">
        <v>2016</v>
      </c>
      <c r="B17" s="7" t="s">
        <v>15</v>
      </c>
      <c r="C17" s="4" t="s">
        <v>2</v>
      </c>
      <c r="D17" s="5">
        <v>63.9</v>
      </c>
      <c r="E17" s="4" t="s">
        <v>3</v>
      </c>
    </row>
    <row r="18" spans="1:5" ht="51" x14ac:dyDescent="0.25">
      <c r="A18" s="39">
        <v>2017</v>
      </c>
      <c r="B18" s="7" t="s">
        <v>4</v>
      </c>
      <c r="C18" s="35"/>
      <c r="D18" s="40">
        <v>478.8</v>
      </c>
      <c r="E18" s="32" t="s">
        <v>88</v>
      </c>
    </row>
    <row r="19" spans="1:5" ht="51" x14ac:dyDescent="0.25">
      <c r="A19" s="39">
        <v>2018</v>
      </c>
      <c r="B19" s="7" t="s">
        <v>16</v>
      </c>
      <c r="C19" s="35"/>
      <c r="D19" s="40">
        <v>19.600000000000001</v>
      </c>
      <c r="E19" s="36" t="s">
        <v>88</v>
      </c>
    </row>
    <row r="20" spans="1:5" ht="51" x14ac:dyDescent="0.25">
      <c r="A20" s="41">
        <v>2019</v>
      </c>
      <c r="B20" s="9" t="s">
        <v>10</v>
      </c>
      <c r="C20" s="37"/>
      <c r="D20" s="42">
        <v>78.5</v>
      </c>
      <c r="E20" s="33" t="s">
        <v>88</v>
      </c>
    </row>
    <row r="21" spans="1:5" ht="51" x14ac:dyDescent="0.25">
      <c r="A21" s="39">
        <v>2020</v>
      </c>
      <c r="B21" s="7" t="s">
        <v>17</v>
      </c>
      <c r="C21" s="35"/>
      <c r="D21" s="40">
        <v>10.3</v>
      </c>
      <c r="E21" s="36" t="s">
        <v>88</v>
      </c>
    </row>
    <row r="22" spans="1:5" s="1" customFormat="1" ht="75" hidden="1" x14ac:dyDescent="0.25">
      <c r="A22" s="20">
        <v>2021</v>
      </c>
      <c r="B22" s="7" t="s">
        <v>18</v>
      </c>
      <c r="C22" s="4" t="s">
        <v>2</v>
      </c>
      <c r="D22" s="5">
        <v>5.5</v>
      </c>
      <c r="E22" s="7" t="s">
        <v>3</v>
      </c>
    </row>
    <row r="23" spans="1:5" ht="105" x14ac:dyDescent="0.25">
      <c r="A23" s="39">
        <v>2022</v>
      </c>
      <c r="B23" s="4" t="s">
        <v>19</v>
      </c>
      <c r="C23" s="35"/>
      <c r="D23" s="40">
        <v>478.7</v>
      </c>
      <c r="E23" s="32" t="s">
        <v>88</v>
      </c>
    </row>
    <row r="24" spans="1:5" ht="51" x14ac:dyDescent="0.25">
      <c r="A24" s="39">
        <v>2023</v>
      </c>
      <c r="B24" s="7" t="s">
        <v>10</v>
      </c>
      <c r="C24" s="35"/>
      <c r="D24" s="40">
        <v>60.4</v>
      </c>
      <c r="E24" s="32" t="s">
        <v>88</v>
      </c>
    </row>
    <row r="25" spans="1:5" ht="51" x14ac:dyDescent="0.25">
      <c r="A25" s="39">
        <v>2024</v>
      </c>
      <c r="B25" s="7" t="s">
        <v>10</v>
      </c>
      <c r="C25" s="35"/>
      <c r="D25" s="40">
        <v>60.3</v>
      </c>
      <c r="E25" s="32" t="s">
        <v>88</v>
      </c>
    </row>
    <row r="26" spans="1:5" s="1" customFormat="1" ht="75" hidden="1" x14ac:dyDescent="0.25">
      <c r="A26" s="20">
        <v>2025</v>
      </c>
      <c r="B26" s="6" t="s">
        <v>20</v>
      </c>
      <c r="C26" s="4" t="s">
        <v>2</v>
      </c>
      <c r="D26" s="5">
        <v>28.1</v>
      </c>
      <c r="E26" s="4" t="s">
        <v>3</v>
      </c>
    </row>
    <row r="27" spans="1:5" ht="51" x14ac:dyDescent="0.25">
      <c r="A27" s="39">
        <v>2026</v>
      </c>
      <c r="B27" s="6" t="s">
        <v>21</v>
      </c>
      <c r="C27" s="35"/>
      <c r="D27" s="40">
        <v>16.600000000000001</v>
      </c>
      <c r="E27" s="36" t="s">
        <v>88</v>
      </c>
    </row>
    <row r="28" spans="1:5" ht="51" x14ac:dyDescent="0.25">
      <c r="A28" s="39">
        <v>2027</v>
      </c>
      <c r="B28" s="6" t="s">
        <v>22</v>
      </c>
      <c r="C28" s="35"/>
      <c r="D28" s="40">
        <v>8.1</v>
      </c>
      <c r="E28" s="36" t="s">
        <v>88</v>
      </c>
    </row>
    <row r="29" spans="1:5" ht="51" x14ac:dyDescent="0.25">
      <c r="A29" s="41">
        <v>2028</v>
      </c>
      <c r="B29" s="12" t="s">
        <v>21</v>
      </c>
      <c r="C29" s="37"/>
      <c r="D29" s="42">
        <v>19.8</v>
      </c>
      <c r="E29" s="34" t="s">
        <v>88</v>
      </c>
    </row>
    <row r="30" spans="1:5" ht="76.5" x14ac:dyDescent="0.25">
      <c r="A30" s="39">
        <v>2029</v>
      </c>
      <c r="B30" s="6" t="s">
        <v>22</v>
      </c>
      <c r="C30" s="32" t="s">
        <v>87</v>
      </c>
      <c r="D30" s="40">
        <v>8.1999999999999993</v>
      </c>
      <c r="E30" s="36" t="s">
        <v>88</v>
      </c>
    </row>
    <row r="31" spans="1:5" s="1" customFormat="1" ht="75" hidden="1" x14ac:dyDescent="0.25">
      <c r="A31" s="20">
        <v>2030</v>
      </c>
      <c r="B31" s="6" t="s">
        <v>20</v>
      </c>
      <c r="C31" s="4" t="s">
        <v>2</v>
      </c>
      <c r="D31" s="5">
        <v>32</v>
      </c>
      <c r="E31" s="4" t="s">
        <v>3</v>
      </c>
    </row>
    <row r="32" spans="1:5" s="1" customFormat="1" ht="75" hidden="1" x14ac:dyDescent="0.25">
      <c r="A32" s="20">
        <v>2031</v>
      </c>
      <c r="B32" s="7" t="s">
        <v>23</v>
      </c>
      <c r="C32" s="4" t="s">
        <v>2</v>
      </c>
      <c r="D32" s="5">
        <v>21.6</v>
      </c>
      <c r="E32" s="7" t="s">
        <v>3</v>
      </c>
    </row>
    <row r="33" spans="1:6" ht="76.5" x14ac:dyDescent="0.25">
      <c r="A33" s="39">
        <v>2032</v>
      </c>
      <c r="B33" s="7" t="s">
        <v>24</v>
      </c>
      <c r="C33" s="32" t="s">
        <v>87</v>
      </c>
      <c r="D33" s="40">
        <v>20.100000000000001</v>
      </c>
      <c r="E33" s="36" t="s">
        <v>88</v>
      </c>
    </row>
    <row r="34" spans="1:6" s="1" customFormat="1" ht="75" hidden="1" x14ac:dyDescent="0.25">
      <c r="A34" s="20">
        <v>2033</v>
      </c>
      <c r="B34" s="7" t="s">
        <v>25</v>
      </c>
      <c r="C34" s="4" t="s">
        <v>2</v>
      </c>
      <c r="D34" s="5">
        <v>32.9</v>
      </c>
      <c r="E34" s="4" t="s">
        <v>3</v>
      </c>
    </row>
    <row r="35" spans="1:6" s="1" customFormat="1" ht="75" hidden="1" x14ac:dyDescent="0.25">
      <c r="A35" s="20">
        <v>2034</v>
      </c>
      <c r="B35" s="7" t="s">
        <v>18</v>
      </c>
      <c r="C35" s="4" t="s">
        <v>2</v>
      </c>
      <c r="D35" s="5">
        <v>8.1</v>
      </c>
      <c r="E35" s="7" t="s">
        <v>3</v>
      </c>
    </row>
    <row r="36" spans="1:6" s="1" customFormat="1" ht="75" hidden="1" x14ac:dyDescent="0.25">
      <c r="A36" s="20">
        <v>2035</v>
      </c>
      <c r="B36" s="7" t="s">
        <v>14</v>
      </c>
      <c r="C36" s="4" t="s">
        <v>2</v>
      </c>
      <c r="D36" s="5">
        <v>7.5</v>
      </c>
      <c r="E36" s="7" t="s">
        <v>3</v>
      </c>
    </row>
    <row r="37" spans="1:6" s="1" customFormat="1" ht="75" hidden="1" x14ac:dyDescent="0.25">
      <c r="A37" s="20">
        <v>2036</v>
      </c>
      <c r="B37" s="4" t="s">
        <v>26</v>
      </c>
      <c r="C37" s="4" t="s">
        <v>2</v>
      </c>
      <c r="D37" s="5">
        <v>88.5</v>
      </c>
      <c r="E37" s="4" t="s">
        <v>3</v>
      </c>
    </row>
    <row r="38" spans="1:6" s="1" customFormat="1" ht="75" x14ac:dyDescent="0.25">
      <c r="A38" s="21">
        <v>2037</v>
      </c>
      <c r="B38" s="10" t="s">
        <v>27</v>
      </c>
      <c r="C38" s="9" t="s">
        <v>28</v>
      </c>
      <c r="D38" s="11">
        <v>554.29999999999995</v>
      </c>
      <c r="E38" s="10" t="s">
        <v>3</v>
      </c>
      <c r="F38" s="1" t="s">
        <v>65</v>
      </c>
    </row>
    <row r="39" spans="1:6" s="1" customFormat="1" ht="75" hidden="1" x14ac:dyDescent="0.25">
      <c r="A39" s="20">
        <v>2038</v>
      </c>
      <c r="B39" s="7" t="s">
        <v>29</v>
      </c>
      <c r="C39" s="4" t="s">
        <v>2</v>
      </c>
      <c r="D39" s="5">
        <v>65.5</v>
      </c>
      <c r="E39" s="4" t="s">
        <v>3</v>
      </c>
    </row>
    <row r="40" spans="1:6" s="1" customFormat="1" ht="75" hidden="1" x14ac:dyDescent="0.25">
      <c r="A40" s="20">
        <v>2039</v>
      </c>
      <c r="B40" s="7" t="s">
        <v>30</v>
      </c>
      <c r="C40" s="4" t="s">
        <v>2</v>
      </c>
      <c r="D40" s="5">
        <v>62.3</v>
      </c>
      <c r="E40" s="4" t="s">
        <v>3</v>
      </c>
    </row>
    <row r="41" spans="1:6" s="1" customFormat="1" ht="75" hidden="1" x14ac:dyDescent="0.25">
      <c r="A41" s="20">
        <v>2040</v>
      </c>
      <c r="B41" s="7" t="s">
        <v>30</v>
      </c>
      <c r="C41" s="4" t="s">
        <v>2</v>
      </c>
      <c r="D41" s="5">
        <v>64.400000000000006</v>
      </c>
      <c r="E41" s="4" t="s">
        <v>3</v>
      </c>
    </row>
    <row r="42" spans="1:6" s="1" customFormat="1" ht="75" hidden="1" x14ac:dyDescent="0.25">
      <c r="A42" s="20">
        <v>2041</v>
      </c>
      <c r="B42" s="7" t="s">
        <v>30</v>
      </c>
      <c r="C42" s="4" t="s">
        <v>2</v>
      </c>
      <c r="D42" s="5">
        <v>64.099999999999994</v>
      </c>
      <c r="E42" s="4" t="s">
        <v>3</v>
      </c>
    </row>
    <row r="43" spans="1:6" ht="76.5" x14ac:dyDescent="0.25">
      <c r="A43" s="39">
        <v>2042</v>
      </c>
      <c r="B43" s="7" t="s">
        <v>31</v>
      </c>
      <c r="C43" s="32" t="s">
        <v>87</v>
      </c>
      <c r="D43" s="40">
        <v>103.6</v>
      </c>
      <c r="E43" s="32" t="s">
        <v>88</v>
      </c>
    </row>
    <row r="44" spans="1:6" ht="76.5" x14ac:dyDescent="0.25">
      <c r="A44" s="39">
        <v>2043</v>
      </c>
      <c r="B44" s="7" t="s">
        <v>11</v>
      </c>
      <c r="C44" s="32" t="s">
        <v>87</v>
      </c>
      <c r="D44" s="40">
        <v>10.4</v>
      </c>
      <c r="E44" s="32" t="s">
        <v>88</v>
      </c>
    </row>
    <row r="45" spans="1:6" ht="76.5" x14ac:dyDescent="0.25">
      <c r="A45" s="39">
        <v>2044</v>
      </c>
      <c r="B45" s="7" t="s">
        <v>10</v>
      </c>
      <c r="C45" s="32" t="s">
        <v>87</v>
      </c>
      <c r="D45" s="40">
        <v>71.8</v>
      </c>
      <c r="E45" s="32" t="s">
        <v>88</v>
      </c>
    </row>
    <row r="46" spans="1:6" s="1" customFormat="1" ht="75" hidden="1" x14ac:dyDescent="0.25">
      <c r="A46" s="20">
        <v>2045</v>
      </c>
      <c r="B46" s="4" t="s">
        <v>32</v>
      </c>
      <c r="C46" s="4" t="s">
        <v>2</v>
      </c>
      <c r="D46" s="5">
        <v>432.2</v>
      </c>
      <c r="E46" s="4" t="s">
        <v>3</v>
      </c>
    </row>
    <row r="47" spans="1:6" ht="76.5" x14ac:dyDescent="0.25">
      <c r="A47" s="41">
        <v>2046</v>
      </c>
      <c r="B47" s="12" t="s">
        <v>33</v>
      </c>
      <c r="C47" s="33" t="s">
        <v>87</v>
      </c>
      <c r="D47" s="42">
        <v>326</v>
      </c>
      <c r="E47" s="33" t="s">
        <v>88</v>
      </c>
    </row>
    <row r="48" spans="1:6" s="1" customFormat="1" ht="75" hidden="1" x14ac:dyDescent="0.25">
      <c r="A48" s="21">
        <v>2047</v>
      </c>
      <c r="B48" s="9" t="s">
        <v>34</v>
      </c>
      <c r="C48" s="10" t="s">
        <v>2</v>
      </c>
      <c r="D48" s="19">
        <v>41.9</v>
      </c>
      <c r="E48" s="9" t="s">
        <v>3</v>
      </c>
    </row>
    <row r="49" spans="1:5" s="1" customFormat="1" ht="75" hidden="1" x14ac:dyDescent="0.25">
      <c r="A49" s="20">
        <v>2048</v>
      </c>
      <c r="B49" s="4" t="s">
        <v>35</v>
      </c>
      <c r="C49" s="4" t="s">
        <v>2</v>
      </c>
      <c r="D49" s="5">
        <v>342.3</v>
      </c>
      <c r="E49" s="4" t="s">
        <v>3</v>
      </c>
    </row>
    <row r="50" spans="1:5" ht="51" x14ac:dyDescent="0.25">
      <c r="A50" s="39">
        <v>2049</v>
      </c>
      <c r="B50" s="6" t="s">
        <v>33</v>
      </c>
      <c r="C50" s="35"/>
      <c r="D50" s="40">
        <v>256.2</v>
      </c>
      <c r="E50" s="32" t="s">
        <v>88</v>
      </c>
    </row>
    <row r="51" spans="1:5" s="1" customFormat="1" ht="75" hidden="1" x14ac:dyDescent="0.25">
      <c r="A51" s="20">
        <v>2050</v>
      </c>
      <c r="B51" s="6" t="s">
        <v>36</v>
      </c>
      <c r="C51" s="4" t="s">
        <v>2</v>
      </c>
      <c r="D51" s="5">
        <v>38.4</v>
      </c>
      <c r="E51" s="4" t="s">
        <v>3</v>
      </c>
    </row>
    <row r="52" spans="1:5" ht="51" x14ac:dyDescent="0.25">
      <c r="A52" s="39">
        <v>2051</v>
      </c>
      <c r="B52" s="7" t="s">
        <v>37</v>
      </c>
      <c r="C52" s="35"/>
      <c r="D52" s="40">
        <v>22.2</v>
      </c>
      <c r="E52" s="36" t="s">
        <v>88</v>
      </c>
    </row>
    <row r="53" spans="1:5" ht="51" x14ac:dyDescent="0.25">
      <c r="A53" s="39">
        <v>2052</v>
      </c>
      <c r="B53" s="7" t="s">
        <v>14</v>
      </c>
      <c r="C53" s="35"/>
      <c r="D53" s="40">
        <v>4.4000000000000004</v>
      </c>
      <c r="E53" s="36" t="s">
        <v>88</v>
      </c>
    </row>
    <row r="54" spans="1:5" ht="51" x14ac:dyDescent="0.25">
      <c r="A54" s="39">
        <v>2053</v>
      </c>
      <c r="B54" s="7" t="s">
        <v>17</v>
      </c>
      <c r="C54" s="35"/>
      <c r="D54" s="40">
        <v>5.6</v>
      </c>
      <c r="E54" s="36" t="s">
        <v>88</v>
      </c>
    </row>
    <row r="55" spans="1:5" ht="51" x14ac:dyDescent="0.25">
      <c r="A55" s="39">
        <v>2054</v>
      </c>
      <c r="B55" s="7" t="s">
        <v>38</v>
      </c>
      <c r="C55" s="35"/>
      <c r="D55" s="40">
        <v>22.1</v>
      </c>
      <c r="E55" s="36" t="s">
        <v>88</v>
      </c>
    </row>
    <row r="56" spans="1:5" ht="51" x14ac:dyDescent="0.25">
      <c r="A56" s="39">
        <v>2055</v>
      </c>
      <c r="B56" s="7" t="s">
        <v>11</v>
      </c>
      <c r="C56" s="35"/>
      <c r="D56" s="40">
        <v>10.3</v>
      </c>
      <c r="E56" s="32" t="s">
        <v>88</v>
      </c>
    </row>
    <row r="57" spans="1:5" ht="51" x14ac:dyDescent="0.25">
      <c r="A57" s="41">
        <v>2056</v>
      </c>
      <c r="B57" s="9" t="s">
        <v>10</v>
      </c>
      <c r="C57" s="37"/>
      <c r="D57" s="42">
        <v>70.400000000000006</v>
      </c>
      <c r="E57" s="33" t="s">
        <v>88</v>
      </c>
    </row>
    <row r="58" spans="1:5" s="1" customFormat="1" ht="28.35" hidden="1" customHeight="1" x14ac:dyDescent="0.25">
      <c r="A58" s="22"/>
      <c r="B58" s="13"/>
      <c r="C58" s="2"/>
      <c r="D58" s="15"/>
      <c r="E58" s="14"/>
    </row>
    <row r="59" spans="1:5" s="1" customFormat="1" ht="42.6" hidden="1" customHeight="1" x14ac:dyDescent="0.25">
      <c r="A59" s="22"/>
      <c r="B59" s="13"/>
      <c r="C59" s="2"/>
      <c r="D59" s="15"/>
      <c r="E59" s="14"/>
    </row>
    <row r="60" spans="1:5" s="1" customFormat="1" ht="29.85" hidden="1" customHeight="1" x14ac:dyDescent="0.25">
      <c r="A60" s="23"/>
      <c r="B60" s="16"/>
      <c r="C60" s="8"/>
      <c r="D60" s="18"/>
      <c r="E60" s="17"/>
    </row>
    <row r="61" spans="1:5" ht="51" x14ac:dyDescent="0.25">
      <c r="A61" s="39">
        <v>2057</v>
      </c>
      <c r="B61" s="7" t="s">
        <v>9</v>
      </c>
      <c r="C61" s="35"/>
      <c r="D61" s="40">
        <v>19.899999999999999</v>
      </c>
      <c r="E61" s="32" t="s">
        <v>88</v>
      </c>
    </row>
    <row r="62" spans="1:5" ht="51" x14ac:dyDescent="0.25">
      <c r="A62" s="39">
        <v>2058</v>
      </c>
      <c r="B62" s="7" t="s">
        <v>39</v>
      </c>
      <c r="C62" s="35"/>
      <c r="D62" s="40">
        <v>142.69999999999999</v>
      </c>
      <c r="E62" s="32" t="s">
        <v>88</v>
      </c>
    </row>
    <row r="63" spans="1:5" s="1" customFormat="1" ht="75" hidden="1" x14ac:dyDescent="0.25">
      <c r="A63" s="20">
        <v>2059</v>
      </c>
      <c r="B63" s="7" t="s">
        <v>14</v>
      </c>
      <c r="C63" s="4" t="s">
        <v>2</v>
      </c>
      <c r="D63" s="5">
        <v>4.5999999999999996</v>
      </c>
      <c r="E63" s="7" t="s">
        <v>3</v>
      </c>
    </row>
    <row r="64" spans="1:5" s="1" customFormat="1" ht="75" hidden="1" x14ac:dyDescent="0.25">
      <c r="A64" s="20">
        <v>2060</v>
      </c>
      <c r="B64" s="6" t="s">
        <v>36</v>
      </c>
      <c r="C64" s="4" t="s">
        <v>2</v>
      </c>
      <c r="D64" s="5">
        <v>34.6</v>
      </c>
      <c r="E64" s="4" t="s">
        <v>3</v>
      </c>
    </row>
    <row r="65" spans="1:5" s="1" customFormat="1" ht="75" hidden="1" x14ac:dyDescent="0.25">
      <c r="A65" s="20">
        <v>2061</v>
      </c>
      <c r="B65" s="4" t="s">
        <v>40</v>
      </c>
      <c r="C65" s="4" t="s">
        <v>2</v>
      </c>
      <c r="D65" s="5">
        <v>0</v>
      </c>
      <c r="E65" s="4" t="s">
        <v>3</v>
      </c>
    </row>
    <row r="66" spans="1:5" ht="51" x14ac:dyDescent="0.25">
      <c r="A66" s="39">
        <v>2062</v>
      </c>
      <c r="B66" s="7" t="s">
        <v>31</v>
      </c>
      <c r="C66" s="35"/>
      <c r="D66" s="40">
        <v>426.5</v>
      </c>
      <c r="E66" s="32" t="s">
        <v>88</v>
      </c>
    </row>
    <row r="67" spans="1:5" ht="51" x14ac:dyDescent="0.25">
      <c r="A67" s="39">
        <v>2063</v>
      </c>
      <c r="B67" s="7" t="s">
        <v>10</v>
      </c>
      <c r="C67" s="35"/>
      <c r="D67" s="40">
        <v>61.7</v>
      </c>
      <c r="E67" s="32" t="s">
        <v>88</v>
      </c>
    </row>
    <row r="68" spans="1:5" s="1" customFormat="1" ht="75" hidden="1" x14ac:dyDescent="0.25">
      <c r="A68" s="20">
        <v>2064</v>
      </c>
      <c r="B68" s="7" t="s">
        <v>30</v>
      </c>
      <c r="C68" s="4" t="s">
        <v>2</v>
      </c>
      <c r="D68" s="5">
        <v>66.099999999999994</v>
      </c>
      <c r="E68" s="4" t="s">
        <v>3</v>
      </c>
    </row>
    <row r="69" spans="1:5" s="1" customFormat="1" ht="75" hidden="1" x14ac:dyDescent="0.25">
      <c r="A69" s="21">
        <v>2065</v>
      </c>
      <c r="B69" s="9" t="s">
        <v>14</v>
      </c>
      <c r="C69" s="4" t="s">
        <v>2</v>
      </c>
      <c r="D69" s="11">
        <v>4.2</v>
      </c>
      <c r="E69" s="9" t="s">
        <v>3</v>
      </c>
    </row>
    <row r="70" spans="1:5" s="1" customFormat="1" ht="75" hidden="1" x14ac:dyDescent="0.25">
      <c r="A70" s="20">
        <v>2066</v>
      </c>
      <c r="B70" s="7" t="s">
        <v>41</v>
      </c>
      <c r="C70" s="4" t="s">
        <v>2</v>
      </c>
      <c r="D70" s="5">
        <v>92.2</v>
      </c>
      <c r="E70" s="4" t="s">
        <v>3</v>
      </c>
    </row>
    <row r="71" spans="1:5" ht="51" x14ac:dyDescent="0.25">
      <c r="A71" s="39">
        <v>2067</v>
      </c>
      <c r="B71" s="6" t="s">
        <v>33</v>
      </c>
      <c r="C71" s="35"/>
      <c r="D71" s="40">
        <v>90.8</v>
      </c>
      <c r="E71" s="32" t="s">
        <v>88</v>
      </c>
    </row>
    <row r="72" spans="1:5" ht="51" x14ac:dyDescent="0.25">
      <c r="A72" s="39">
        <v>2068</v>
      </c>
      <c r="B72" s="6" t="s">
        <v>42</v>
      </c>
      <c r="C72" s="35"/>
      <c r="D72" s="40">
        <v>112.7</v>
      </c>
      <c r="E72" s="32" t="s">
        <v>88</v>
      </c>
    </row>
    <row r="73" spans="1:5" ht="51" x14ac:dyDescent="0.25">
      <c r="A73" s="39">
        <v>2069</v>
      </c>
      <c r="B73" s="7" t="s">
        <v>43</v>
      </c>
      <c r="C73" s="35"/>
      <c r="D73" s="40">
        <v>3.2</v>
      </c>
      <c r="E73" s="36" t="s">
        <v>88</v>
      </c>
    </row>
    <row r="74" spans="1:5" ht="51" x14ac:dyDescent="0.25">
      <c r="A74" s="39">
        <v>2070</v>
      </c>
      <c r="B74" s="7" t="s">
        <v>44</v>
      </c>
      <c r="C74" s="35"/>
      <c r="D74" s="40">
        <v>15.3</v>
      </c>
      <c r="E74" s="32" t="s">
        <v>88</v>
      </c>
    </row>
    <row r="75" spans="1:5" ht="51" x14ac:dyDescent="0.25">
      <c r="A75" s="39">
        <v>2071</v>
      </c>
      <c r="B75" s="6" t="s">
        <v>33</v>
      </c>
      <c r="C75" s="35"/>
      <c r="D75" s="40">
        <v>257.10000000000002</v>
      </c>
      <c r="E75" s="32" t="s">
        <v>88</v>
      </c>
    </row>
    <row r="76" spans="1:5" s="1" customFormat="1" ht="75" hidden="1" x14ac:dyDescent="0.25">
      <c r="A76" s="20">
        <v>3001</v>
      </c>
      <c r="B76" s="7" t="s">
        <v>15</v>
      </c>
      <c r="C76" s="4" t="s">
        <v>2</v>
      </c>
      <c r="D76" s="5">
        <v>80.400000000000006</v>
      </c>
      <c r="E76" s="4" t="s">
        <v>3</v>
      </c>
    </row>
    <row r="77" spans="1:5" s="1" customFormat="1" ht="75" hidden="1" x14ac:dyDescent="0.25">
      <c r="A77" s="20">
        <v>3002</v>
      </c>
      <c r="B77" s="7" t="s">
        <v>15</v>
      </c>
      <c r="C77" s="4" t="s">
        <v>2</v>
      </c>
      <c r="D77" s="5">
        <v>63.3</v>
      </c>
      <c r="E77" s="4" t="s">
        <v>3</v>
      </c>
    </row>
    <row r="78" spans="1:5" s="1" customFormat="1" ht="75" hidden="1" x14ac:dyDescent="0.25">
      <c r="A78" s="20">
        <v>3003</v>
      </c>
      <c r="B78" s="7" t="s">
        <v>45</v>
      </c>
      <c r="C78" s="4" t="s">
        <v>2</v>
      </c>
      <c r="D78" s="5">
        <v>84.7</v>
      </c>
      <c r="E78" s="4" t="s">
        <v>3</v>
      </c>
    </row>
    <row r="79" spans="1:5" s="1" customFormat="1" ht="105" hidden="1" x14ac:dyDescent="0.25">
      <c r="A79" s="20">
        <v>3004</v>
      </c>
      <c r="B79" s="7" t="s">
        <v>4</v>
      </c>
      <c r="C79" s="4" t="s">
        <v>5</v>
      </c>
      <c r="D79" s="5">
        <v>244.1</v>
      </c>
      <c r="E79" s="4" t="s">
        <v>3</v>
      </c>
    </row>
    <row r="80" spans="1:5" s="1" customFormat="1" ht="75" hidden="1" x14ac:dyDescent="0.25">
      <c r="A80" s="20">
        <v>3005</v>
      </c>
      <c r="B80" s="6" t="s">
        <v>36</v>
      </c>
      <c r="C80" s="4" t="s">
        <v>2</v>
      </c>
      <c r="D80" s="5">
        <v>18.399999999999999</v>
      </c>
      <c r="E80" s="4" t="s">
        <v>3</v>
      </c>
    </row>
    <row r="81" spans="1:7" s="1" customFormat="1" ht="105" hidden="1" x14ac:dyDescent="0.25">
      <c r="A81" s="20">
        <v>3006</v>
      </c>
      <c r="B81" s="7" t="s">
        <v>10</v>
      </c>
      <c r="C81" s="4" t="s">
        <v>5</v>
      </c>
      <c r="D81" s="5">
        <v>52</v>
      </c>
      <c r="E81" s="4" t="s">
        <v>3</v>
      </c>
      <c r="G81" s="1">
        <v>31.54</v>
      </c>
    </row>
    <row r="82" spans="1:7" s="1" customFormat="1" ht="105" hidden="1" x14ac:dyDescent="0.25">
      <c r="A82" s="20">
        <v>3007</v>
      </c>
      <c r="B82" s="7" t="s">
        <v>11</v>
      </c>
      <c r="C82" s="4" t="s">
        <v>5</v>
      </c>
      <c r="D82" s="5">
        <v>9.1</v>
      </c>
      <c r="E82" s="4" t="s">
        <v>3</v>
      </c>
    </row>
    <row r="83" spans="1:7" s="1" customFormat="1" ht="75" hidden="1" x14ac:dyDescent="0.25">
      <c r="A83" s="20">
        <v>3008</v>
      </c>
      <c r="B83" s="7" t="s">
        <v>14</v>
      </c>
      <c r="C83" s="4" t="s">
        <v>2</v>
      </c>
      <c r="D83" s="5">
        <v>4.7</v>
      </c>
      <c r="E83" s="7" t="s">
        <v>3</v>
      </c>
    </row>
    <row r="84" spans="1:7" s="1" customFormat="1" ht="105" hidden="1" x14ac:dyDescent="0.25">
      <c r="A84" s="21">
        <v>3009</v>
      </c>
      <c r="B84" s="9" t="s">
        <v>12</v>
      </c>
      <c r="C84" s="10" t="s">
        <v>5</v>
      </c>
      <c r="D84" s="11">
        <v>23.5</v>
      </c>
      <c r="E84" s="9" t="s">
        <v>3</v>
      </c>
    </row>
    <row r="85" spans="1:7" s="1" customFormat="1" ht="75" hidden="1" x14ac:dyDescent="0.25">
      <c r="A85" s="21">
        <v>3010</v>
      </c>
      <c r="B85" s="9" t="s">
        <v>46</v>
      </c>
      <c r="C85" s="10" t="s">
        <v>2</v>
      </c>
      <c r="D85" s="11">
        <v>103.1</v>
      </c>
      <c r="E85" s="9" t="s">
        <v>47</v>
      </c>
    </row>
    <row r="86" spans="1:7" s="1" customFormat="1" ht="75" hidden="1" x14ac:dyDescent="0.25">
      <c r="A86" s="20">
        <v>3011</v>
      </c>
      <c r="B86" s="4" t="s">
        <v>26</v>
      </c>
      <c r="C86" s="4" t="s">
        <v>2</v>
      </c>
      <c r="D86" s="5">
        <v>89.8</v>
      </c>
      <c r="E86" s="4" t="s">
        <v>3</v>
      </c>
    </row>
    <row r="87" spans="1:7" s="1" customFormat="1" ht="105" hidden="1" x14ac:dyDescent="0.25">
      <c r="A87" s="20">
        <v>3012</v>
      </c>
      <c r="B87" s="7" t="s">
        <v>4</v>
      </c>
      <c r="C87" s="4" t="s">
        <v>5</v>
      </c>
      <c r="D87" s="5">
        <v>470.2</v>
      </c>
      <c r="E87" s="4" t="s">
        <v>3</v>
      </c>
    </row>
    <row r="88" spans="1:7" s="1" customFormat="1" ht="75" hidden="1" x14ac:dyDescent="0.25">
      <c r="A88" s="20">
        <v>3013</v>
      </c>
      <c r="B88" s="7" t="s">
        <v>15</v>
      </c>
      <c r="C88" s="4" t="s">
        <v>2</v>
      </c>
      <c r="D88" s="5">
        <v>63</v>
      </c>
      <c r="E88" s="4" t="s">
        <v>3</v>
      </c>
    </row>
    <row r="89" spans="1:7" s="1" customFormat="1" ht="75" hidden="1" x14ac:dyDescent="0.25">
      <c r="A89" s="20">
        <v>3014</v>
      </c>
      <c r="B89" s="7" t="s">
        <v>15</v>
      </c>
      <c r="C89" s="4" t="s">
        <v>2</v>
      </c>
      <c r="D89" s="5">
        <v>63.6</v>
      </c>
      <c r="E89" s="4" t="s">
        <v>3</v>
      </c>
    </row>
    <row r="90" spans="1:7" s="1" customFormat="1" ht="105" hidden="1" x14ac:dyDescent="0.25">
      <c r="A90" s="20">
        <v>3015</v>
      </c>
      <c r="B90" s="7" t="s">
        <v>16</v>
      </c>
      <c r="C90" s="4" t="s">
        <v>5</v>
      </c>
      <c r="D90" s="5">
        <v>19.600000000000001</v>
      </c>
      <c r="E90" s="7" t="s">
        <v>3</v>
      </c>
    </row>
    <row r="91" spans="1:7" s="1" customFormat="1" ht="105" hidden="1" x14ac:dyDescent="0.25">
      <c r="A91" s="20">
        <v>3016</v>
      </c>
      <c r="B91" s="7" t="s">
        <v>10</v>
      </c>
      <c r="C91" s="4" t="s">
        <v>5</v>
      </c>
      <c r="D91" s="5">
        <v>58.5</v>
      </c>
      <c r="E91" s="4" t="s">
        <v>3</v>
      </c>
    </row>
    <row r="92" spans="1:7" s="1" customFormat="1" ht="105" hidden="1" x14ac:dyDescent="0.25">
      <c r="A92" s="20">
        <v>3017</v>
      </c>
      <c r="B92" s="7" t="s">
        <v>17</v>
      </c>
      <c r="C92" s="4" t="s">
        <v>5</v>
      </c>
      <c r="D92" s="5">
        <v>10.3</v>
      </c>
      <c r="E92" s="7" t="s">
        <v>3</v>
      </c>
    </row>
    <row r="93" spans="1:7" s="1" customFormat="1" ht="75" hidden="1" x14ac:dyDescent="0.25">
      <c r="A93" s="20">
        <v>3018</v>
      </c>
      <c r="B93" s="7" t="s">
        <v>18</v>
      </c>
      <c r="C93" s="4" t="s">
        <v>2</v>
      </c>
      <c r="D93" s="5">
        <v>5.5</v>
      </c>
      <c r="E93" s="7" t="s">
        <v>3</v>
      </c>
    </row>
    <row r="94" spans="1:7" s="1" customFormat="1" ht="105" hidden="1" x14ac:dyDescent="0.25">
      <c r="A94" s="21">
        <v>3019</v>
      </c>
      <c r="B94" s="10" t="s">
        <v>19</v>
      </c>
      <c r="C94" s="4" t="s">
        <v>5</v>
      </c>
      <c r="D94" s="11">
        <v>321.8</v>
      </c>
      <c r="E94" s="10" t="s">
        <v>3</v>
      </c>
    </row>
    <row r="95" spans="1:7" s="1" customFormat="1" ht="105" hidden="1" x14ac:dyDescent="0.25">
      <c r="A95" s="20">
        <v>3020</v>
      </c>
      <c r="B95" s="7" t="s">
        <v>10</v>
      </c>
      <c r="C95" s="4" t="s">
        <v>5</v>
      </c>
      <c r="D95" s="5">
        <v>49</v>
      </c>
      <c r="E95" s="4" t="s">
        <v>3</v>
      </c>
    </row>
    <row r="96" spans="1:7" s="1" customFormat="1" ht="75" hidden="1" x14ac:dyDescent="0.25">
      <c r="A96" s="20">
        <v>3021</v>
      </c>
      <c r="B96" s="6" t="s">
        <v>36</v>
      </c>
      <c r="C96" s="4" t="s">
        <v>2</v>
      </c>
      <c r="D96" s="5">
        <v>24.7</v>
      </c>
      <c r="E96" s="4" t="s">
        <v>3</v>
      </c>
    </row>
    <row r="97" spans="1:5" s="1" customFormat="1" ht="75" hidden="1" x14ac:dyDescent="0.25">
      <c r="A97" s="20">
        <v>3022</v>
      </c>
      <c r="B97" s="7" t="s">
        <v>48</v>
      </c>
      <c r="C97" s="4" t="s">
        <v>2</v>
      </c>
      <c r="D97" s="5">
        <v>150.19999999999999</v>
      </c>
      <c r="E97" s="4" t="s">
        <v>3</v>
      </c>
    </row>
    <row r="98" spans="1:5" s="1" customFormat="1" ht="105" hidden="1" x14ac:dyDescent="0.25">
      <c r="A98" s="20">
        <v>3023</v>
      </c>
      <c r="B98" s="7" t="s">
        <v>31</v>
      </c>
      <c r="C98" s="4" t="s">
        <v>5</v>
      </c>
      <c r="D98" s="5">
        <v>364.3</v>
      </c>
      <c r="E98" s="4" t="s">
        <v>3</v>
      </c>
    </row>
    <row r="99" spans="1:5" s="1" customFormat="1" ht="105" hidden="1" x14ac:dyDescent="0.25">
      <c r="A99" s="20">
        <v>3024</v>
      </c>
      <c r="B99" s="7" t="s">
        <v>10</v>
      </c>
      <c r="C99" s="4" t="s">
        <v>5</v>
      </c>
      <c r="D99" s="5">
        <v>49</v>
      </c>
      <c r="E99" s="4" t="s">
        <v>3</v>
      </c>
    </row>
    <row r="100" spans="1:5" s="1" customFormat="1" ht="75" hidden="1" x14ac:dyDescent="0.25">
      <c r="A100" s="20">
        <v>3025</v>
      </c>
      <c r="B100" s="7" t="s">
        <v>18</v>
      </c>
      <c r="C100" s="4" t="s">
        <v>2</v>
      </c>
      <c r="D100" s="5">
        <v>8.1</v>
      </c>
      <c r="E100" s="7" t="s">
        <v>3</v>
      </c>
    </row>
    <row r="101" spans="1:5" s="1" customFormat="1" ht="75" hidden="1" x14ac:dyDescent="0.25">
      <c r="A101" s="20">
        <v>3026</v>
      </c>
      <c r="B101" s="7" t="s">
        <v>14</v>
      </c>
      <c r="C101" s="4" t="s">
        <v>2</v>
      </c>
      <c r="D101" s="5">
        <v>7.5</v>
      </c>
      <c r="E101" s="7" t="s">
        <v>3</v>
      </c>
    </row>
    <row r="102" spans="1:5" s="1" customFormat="1" ht="75" hidden="1" x14ac:dyDescent="0.25">
      <c r="A102" s="20">
        <v>3027</v>
      </c>
      <c r="B102" s="4" t="s">
        <v>26</v>
      </c>
      <c r="C102" s="4" t="s">
        <v>2</v>
      </c>
      <c r="D102" s="5">
        <v>90.2</v>
      </c>
      <c r="E102" s="4" t="s">
        <v>3</v>
      </c>
    </row>
    <row r="103" spans="1:5" s="1" customFormat="1" ht="75" hidden="1" x14ac:dyDescent="0.25">
      <c r="A103" s="21">
        <v>3028</v>
      </c>
      <c r="B103" s="9" t="s">
        <v>49</v>
      </c>
      <c r="C103" s="4" t="s">
        <v>2</v>
      </c>
      <c r="D103" s="11">
        <v>63.5</v>
      </c>
      <c r="E103" s="10" t="s">
        <v>3</v>
      </c>
    </row>
    <row r="104" spans="1:5" s="1" customFormat="1" ht="75" hidden="1" x14ac:dyDescent="0.25">
      <c r="A104" s="20">
        <v>3029</v>
      </c>
      <c r="B104" s="7" t="s">
        <v>14</v>
      </c>
      <c r="C104" s="4" t="s">
        <v>2</v>
      </c>
      <c r="D104" s="5">
        <v>4.4000000000000004</v>
      </c>
      <c r="E104" s="7" t="s">
        <v>3</v>
      </c>
    </row>
    <row r="105" spans="1:5" s="1" customFormat="1" ht="75" hidden="1" x14ac:dyDescent="0.25">
      <c r="A105" s="20">
        <v>3030</v>
      </c>
      <c r="B105" s="7" t="s">
        <v>49</v>
      </c>
      <c r="C105" s="4" t="s">
        <v>2</v>
      </c>
      <c r="D105" s="5">
        <v>63.9</v>
      </c>
      <c r="E105" s="4" t="s">
        <v>3</v>
      </c>
    </row>
    <row r="106" spans="1:5" s="1" customFormat="1" ht="75" hidden="1" x14ac:dyDescent="0.25">
      <c r="A106" s="20">
        <v>3031</v>
      </c>
      <c r="B106" s="7" t="s">
        <v>49</v>
      </c>
      <c r="C106" s="4" t="s">
        <v>2</v>
      </c>
      <c r="D106" s="5">
        <v>64.2</v>
      </c>
      <c r="E106" s="4" t="s">
        <v>3</v>
      </c>
    </row>
    <row r="107" spans="1:5" s="1" customFormat="1" ht="75" hidden="1" x14ac:dyDescent="0.25">
      <c r="A107" s="20">
        <v>3032</v>
      </c>
      <c r="B107" s="7" t="s">
        <v>49</v>
      </c>
      <c r="C107" s="4" t="s">
        <v>2</v>
      </c>
      <c r="D107" s="5">
        <v>64.099999999999994</v>
      </c>
      <c r="E107" s="4" t="s">
        <v>3</v>
      </c>
    </row>
    <row r="108" spans="1:5" s="1" customFormat="1" ht="105" hidden="1" x14ac:dyDescent="0.25">
      <c r="A108" s="20">
        <v>3033</v>
      </c>
      <c r="B108" s="7" t="s">
        <v>11</v>
      </c>
      <c r="C108" s="4" t="s">
        <v>5</v>
      </c>
      <c r="D108" s="5">
        <v>9.1999999999999993</v>
      </c>
      <c r="E108" s="4" t="s">
        <v>3</v>
      </c>
    </row>
    <row r="109" spans="1:5" s="1" customFormat="1" ht="105" hidden="1" x14ac:dyDescent="0.25">
      <c r="A109" s="20">
        <v>3034</v>
      </c>
      <c r="B109" s="7" t="s">
        <v>10</v>
      </c>
      <c r="C109" s="4" t="s">
        <v>5</v>
      </c>
      <c r="D109" s="5">
        <v>55.2</v>
      </c>
      <c r="E109" s="4" t="s">
        <v>3</v>
      </c>
    </row>
    <row r="110" spans="1:5" s="1" customFormat="1" ht="75" hidden="1" x14ac:dyDescent="0.25">
      <c r="A110" s="20">
        <v>3035</v>
      </c>
      <c r="B110" s="7" t="s">
        <v>49</v>
      </c>
      <c r="C110" s="4" t="s">
        <v>2</v>
      </c>
      <c r="D110" s="5">
        <v>63.3</v>
      </c>
      <c r="E110" s="4" t="s">
        <v>3</v>
      </c>
    </row>
    <row r="111" spans="1:5" s="1" customFormat="1" ht="75" hidden="1" x14ac:dyDescent="0.25">
      <c r="A111" s="20">
        <v>3036</v>
      </c>
      <c r="B111" s="7" t="s">
        <v>30</v>
      </c>
      <c r="C111" s="4" t="s">
        <v>2</v>
      </c>
      <c r="D111" s="5">
        <v>62.6</v>
      </c>
      <c r="E111" s="4" t="s">
        <v>3</v>
      </c>
    </row>
    <row r="112" spans="1:5" s="1" customFormat="1" ht="105" hidden="1" x14ac:dyDescent="0.25">
      <c r="A112" s="21">
        <v>3037</v>
      </c>
      <c r="B112" s="12" t="s">
        <v>33</v>
      </c>
      <c r="C112" s="10" t="s">
        <v>5</v>
      </c>
      <c r="D112" s="11">
        <v>232.5</v>
      </c>
      <c r="E112" s="10" t="s">
        <v>3</v>
      </c>
    </row>
    <row r="113" spans="1:5" s="1" customFormat="1" ht="75" hidden="1" x14ac:dyDescent="0.25">
      <c r="A113" s="21">
        <v>3038</v>
      </c>
      <c r="B113" s="9" t="s">
        <v>50</v>
      </c>
      <c r="C113" s="10" t="s">
        <v>2</v>
      </c>
      <c r="D113" s="5">
        <v>393.2</v>
      </c>
      <c r="E113" s="9" t="s">
        <v>13</v>
      </c>
    </row>
    <row r="114" spans="1:5" s="1" customFormat="1" ht="75" hidden="1" x14ac:dyDescent="0.25">
      <c r="A114" s="20">
        <v>3039</v>
      </c>
      <c r="B114" s="7" t="s">
        <v>51</v>
      </c>
      <c r="C114" s="4" t="s">
        <v>2</v>
      </c>
      <c r="D114" s="5">
        <v>20.399999999999999</v>
      </c>
      <c r="E114" s="4" t="s">
        <v>3</v>
      </c>
    </row>
    <row r="115" spans="1:5" s="1" customFormat="1" ht="75" hidden="1" x14ac:dyDescent="0.25">
      <c r="A115" s="20">
        <v>3040</v>
      </c>
      <c r="B115" s="4" t="s">
        <v>52</v>
      </c>
      <c r="C115" s="4" t="s">
        <v>2</v>
      </c>
      <c r="D115" s="5">
        <v>120.7</v>
      </c>
      <c r="E115" s="4" t="s">
        <v>3</v>
      </c>
    </row>
    <row r="116" spans="1:5" s="1" customFormat="1" ht="105" hidden="1" x14ac:dyDescent="0.25">
      <c r="A116" s="20">
        <v>3041</v>
      </c>
      <c r="B116" s="6" t="s">
        <v>33</v>
      </c>
      <c r="C116" s="10" t="s">
        <v>5</v>
      </c>
      <c r="D116" s="5">
        <v>331.2</v>
      </c>
      <c r="E116" s="4" t="s">
        <v>3</v>
      </c>
    </row>
    <row r="117" spans="1:5" s="1" customFormat="1" ht="105" hidden="1" x14ac:dyDescent="0.25">
      <c r="A117" s="20">
        <v>3042</v>
      </c>
      <c r="B117" s="7" t="s">
        <v>37</v>
      </c>
      <c r="C117" s="10" t="s">
        <v>5</v>
      </c>
      <c r="D117" s="5">
        <v>22.2</v>
      </c>
      <c r="E117" s="7" t="s">
        <v>3</v>
      </c>
    </row>
    <row r="118" spans="1:5" s="1" customFormat="1" ht="105" hidden="1" x14ac:dyDescent="0.25">
      <c r="A118" s="20">
        <v>3043</v>
      </c>
      <c r="B118" s="7" t="s">
        <v>38</v>
      </c>
      <c r="C118" s="10" t="s">
        <v>5</v>
      </c>
      <c r="D118" s="5">
        <v>22.1</v>
      </c>
      <c r="E118" s="7" t="s">
        <v>3</v>
      </c>
    </row>
    <row r="119" spans="1:5" s="1" customFormat="1" ht="75" hidden="1" x14ac:dyDescent="0.25">
      <c r="A119" s="20">
        <v>3044</v>
      </c>
      <c r="B119" s="7" t="s">
        <v>14</v>
      </c>
      <c r="C119" s="4" t="s">
        <v>2</v>
      </c>
      <c r="D119" s="5">
        <v>4.4000000000000004</v>
      </c>
      <c r="E119" s="7" t="s">
        <v>3</v>
      </c>
    </row>
    <row r="120" spans="1:5" s="1" customFormat="1" ht="105" hidden="1" x14ac:dyDescent="0.25">
      <c r="A120" s="20">
        <v>3045</v>
      </c>
      <c r="B120" s="7" t="s">
        <v>17</v>
      </c>
      <c r="C120" s="10" t="s">
        <v>5</v>
      </c>
      <c r="D120" s="5">
        <v>5.6</v>
      </c>
      <c r="E120" s="7" t="s">
        <v>3</v>
      </c>
    </row>
    <row r="121" spans="1:5" s="1" customFormat="1" ht="105" hidden="1" x14ac:dyDescent="0.25">
      <c r="A121" s="20">
        <v>3046</v>
      </c>
      <c r="B121" s="7" t="s">
        <v>11</v>
      </c>
      <c r="C121" s="10" t="s">
        <v>5</v>
      </c>
      <c r="D121" s="5">
        <v>9.1</v>
      </c>
      <c r="E121" s="4" t="s">
        <v>3</v>
      </c>
    </row>
    <row r="122" spans="1:5" s="1" customFormat="1" ht="105" hidden="1" x14ac:dyDescent="0.25">
      <c r="A122" s="21">
        <v>3047</v>
      </c>
      <c r="B122" s="9" t="s">
        <v>10</v>
      </c>
      <c r="C122" s="10" t="s">
        <v>5</v>
      </c>
      <c r="D122" s="11">
        <v>54.4</v>
      </c>
      <c r="E122" s="10" t="s">
        <v>3</v>
      </c>
    </row>
    <row r="123" spans="1:5" s="1" customFormat="1" ht="75" hidden="1" x14ac:dyDescent="0.25">
      <c r="A123" s="20">
        <v>3048</v>
      </c>
      <c r="B123" s="7" t="s">
        <v>6</v>
      </c>
      <c r="C123" s="4" t="s">
        <v>2</v>
      </c>
      <c r="D123" s="5">
        <v>94.1</v>
      </c>
      <c r="E123" s="4" t="s">
        <v>3</v>
      </c>
    </row>
    <row r="124" spans="1:5" s="1" customFormat="1" ht="75" hidden="1" x14ac:dyDescent="0.25">
      <c r="A124" s="20">
        <v>3049</v>
      </c>
      <c r="B124" s="6" t="s">
        <v>36</v>
      </c>
      <c r="C124" s="4" t="s">
        <v>2</v>
      </c>
      <c r="D124" s="5">
        <v>40.799999999999997</v>
      </c>
      <c r="E124" s="4" t="s">
        <v>3</v>
      </c>
    </row>
    <row r="125" spans="1:5" s="1" customFormat="1" ht="75" hidden="1" x14ac:dyDescent="0.25">
      <c r="A125" s="20">
        <v>3050</v>
      </c>
      <c r="B125" s="4" t="s">
        <v>53</v>
      </c>
      <c r="C125" s="4" t="s">
        <v>2</v>
      </c>
      <c r="D125" s="5">
        <v>156.4</v>
      </c>
      <c r="E125" s="4" t="s">
        <v>3</v>
      </c>
    </row>
    <row r="126" spans="1:5" s="1" customFormat="1" ht="105" hidden="1" x14ac:dyDescent="0.25">
      <c r="A126" s="20">
        <v>3051</v>
      </c>
      <c r="B126" s="7" t="s">
        <v>31</v>
      </c>
      <c r="C126" s="4" t="s">
        <v>5</v>
      </c>
      <c r="D126" s="5">
        <v>363.8</v>
      </c>
      <c r="E126" s="4" t="s">
        <v>3</v>
      </c>
    </row>
    <row r="127" spans="1:5" s="1" customFormat="1" ht="105" hidden="1" x14ac:dyDescent="0.25">
      <c r="A127" s="20">
        <v>3052</v>
      </c>
      <c r="B127" s="7" t="s">
        <v>10</v>
      </c>
      <c r="C127" s="4" t="s">
        <v>5</v>
      </c>
      <c r="D127" s="5">
        <v>50.1</v>
      </c>
      <c r="E127" s="4" t="s">
        <v>3</v>
      </c>
    </row>
    <row r="128" spans="1:5" s="1" customFormat="1" ht="105" hidden="1" x14ac:dyDescent="0.25">
      <c r="A128" s="20">
        <v>3053</v>
      </c>
      <c r="B128" s="7" t="s">
        <v>54</v>
      </c>
      <c r="C128" s="4" t="s">
        <v>5</v>
      </c>
      <c r="D128" s="5">
        <v>200.9</v>
      </c>
      <c r="E128" s="4" t="s">
        <v>3</v>
      </c>
    </row>
    <row r="129" spans="1:5" s="1" customFormat="1" ht="75" hidden="1" x14ac:dyDescent="0.25">
      <c r="A129" s="20">
        <v>3054</v>
      </c>
      <c r="B129" s="7" t="s">
        <v>55</v>
      </c>
      <c r="C129" s="4" t="s">
        <v>2</v>
      </c>
      <c r="D129" s="5">
        <v>90</v>
      </c>
      <c r="E129" s="4" t="s">
        <v>3</v>
      </c>
    </row>
    <row r="130" spans="1:5" s="1" customFormat="1" ht="105" hidden="1" x14ac:dyDescent="0.25">
      <c r="A130" s="20">
        <v>3055</v>
      </c>
      <c r="B130" s="7" t="s">
        <v>56</v>
      </c>
      <c r="C130" s="4" t="s">
        <v>5</v>
      </c>
      <c r="D130" s="5">
        <v>14.5</v>
      </c>
      <c r="E130" s="7" t="s">
        <v>3</v>
      </c>
    </row>
    <row r="131" spans="1:5" s="1" customFormat="1" ht="105" hidden="1" x14ac:dyDescent="0.25">
      <c r="A131" s="21">
        <v>3057</v>
      </c>
      <c r="B131" s="9" t="s">
        <v>43</v>
      </c>
      <c r="C131" s="10" t="s">
        <v>5</v>
      </c>
      <c r="D131" s="11">
        <v>8.6</v>
      </c>
      <c r="E131" s="9" t="s">
        <v>3</v>
      </c>
    </row>
    <row r="132" spans="1:5" s="1" customFormat="1" ht="75" hidden="1" x14ac:dyDescent="0.25">
      <c r="A132" s="21">
        <v>3058</v>
      </c>
      <c r="B132" s="9" t="s">
        <v>57</v>
      </c>
      <c r="C132" s="10" t="s">
        <v>2</v>
      </c>
      <c r="D132" s="11">
        <v>76.5</v>
      </c>
      <c r="E132" s="9" t="s">
        <v>47</v>
      </c>
    </row>
    <row r="133" spans="1:5" s="1" customFormat="1" ht="75" hidden="1" x14ac:dyDescent="0.25">
      <c r="A133" s="20">
        <v>3058</v>
      </c>
      <c r="B133" s="7" t="s">
        <v>57</v>
      </c>
      <c r="C133" s="4" t="s">
        <v>2</v>
      </c>
      <c r="D133" s="5">
        <v>76.5</v>
      </c>
      <c r="E133" s="4" t="s">
        <v>3</v>
      </c>
    </row>
    <row r="134" spans="1:5" s="1" customFormat="1" ht="105" hidden="1" x14ac:dyDescent="0.25">
      <c r="A134" s="20">
        <v>3059</v>
      </c>
      <c r="B134" s="7" t="s">
        <v>58</v>
      </c>
      <c r="C134" s="4" t="s">
        <v>5</v>
      </c>
      <c r="D134" s="5">
        <v>39</v>
      </c>
      <c r="E134" s="4" t="s">
        <v>3</v>
      </c>
    </row>
    <row r="135" spans="1:5" s="1" customFormat="1" ht="105" hidden="1" x14ac:dyDescent="0.25">
      <c r="A135" s="20">
        <v>3060</v>
      </c>
      <c r="B135" s="7" t="s">
        <v>59</v>
      </c>
      <c r="C135" s="4" t="s">
        <v>5</v>
      </c>
      <c r="D135" s="5">
        <v>7.6</v>
      </c>
      <c r="E135" s="4" t="s">
        <v>3</v>
      </c>
    </row>
    <row r="136" spans="1:5" s="1" customFormat="1" ht="105" hidden="1" x14ac:dyDescent="0.25">
      <c r="A136" s="20">
        <v>3061</v>
      </c>
      <c r="B136" s="7" t="s">
        <v>60</v>
      </c>
      <c r="C136" s="4" t="s">
        <v>5</v>
      </c>
      <c r="D136" s="5">
        <v>12.8</v>
      </c>
      <c r="E136" s="4" t="s">
        <v>3</v>
      </c>
    </row>
    <row r="137" spans="1:5" s="1" customFormat="1" ht="105" hidden="1" x14ac:dyDescent="0.25">
      <c r="A137" s="20">
        <v>3062</v>
      </c>
      <c r="B137" s="6" t="s">
        <v>61</v>
      </c>
      <c r="C137" s="4" t="s">
        <v>5</v>
      </c>
      <c r="D137" s="5">
        <v>11.8</v>
      </c>
      <c r="E137" s="4" t="s">
        <v>3</v>
      </c>
    </row>
    <row r="138" spans="1:5" s="1" customFormat="1" ht="105" hidden="1" x14ac:dyDescent="0.25">
      <c r="A138" s="20">
        <v>3063</v>
      </c>
      <c r="B138" s="6" t="s">
        <v>42</v>
      </c>
      <c r="C138" s="4" t="s">
        <v>5</v>
      </c>
      <c r="D138" s="5">
        <v>72.8</v>
      </c>
      <c r="E138" s="4" t="s">
        <v>3</v>
      </c>
    </row>
    <row r="139" spans="1:5" s="1" customFormat="1" ht="105" hidden="1" x14ac:dyDescent="0.25">
      <c r="A139" s="20">
        <v>3064</v>
      </c>
      <c r="B139" s="7" t="s">
        <v>37</v>
      </c>
      <c r="C139" s="4" t="s">
        <v>5</v>
      </c>
      <c r="D139" s="5">
        <v>15.6</v>
      </c>
      <c r="E139" s="7" t="s">
        <v>3</v>
      </c>
    </row>
    <row r="140" spans="1:5" s="1" customFormat="1" ht="105" hidden="1" x14ac:dyDescent="0.25">
      <c r="A140" s="20">
        <v>3065</v>
      </c>
      <c r="B140" s="7" t="s">
        <v>43</v>
      </c>
      <c r="C140" s="4" t="s">
        <v>5</v>
      </c>
      <c r="D140" s="5">
        <v>3.2</v>
      </c>
      <c r="E140" s="7" t="s">
        <v>3</v>
      </c>
    </row>
    <row r="141" spans="1:5" s="1" customFormat="1" ht="105" hidden="1" x14ac:dyDescent="0.25">
      <c r="A141" s="21">
        <v>3066</v>
      </c>
      <c r="B141" s="9" t="s">
        <v>31</v>
      </c>
      <c r="C141" s="10" t="s">
        <v>5</v>
      </c>
      <c r="D141" s="11">
        <v>102.2</v>
      </c>
      <c r="E141" s="10" t="s">
        <v>3</v>
      </c>
    </row>
    <row r="142" spans="1:5" s="1" customFormat="1" ht="105" hidden="1" x14ac:dyDescent="0.25">
      <c r="A142" s="21">
        <v>3067</v>
      </c>
      <c r="B142" s="9" t="s">
        <v>44</v>
      </c>
      <c r="C142" s="10" t="s">
        <v>5</v>
      </c>
      <c r="D142" s="11">
        <v>15.3</v>
      </c>
      <c r="E142" s="10" t="s">
        <v>3</v>
      </c>
    </row>
    <row r="149" spans="5:5" x14ac:dyDescent="0.25">
      <c r="E149" s="5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Normal="100" workbookViewId="0">
      <selection activeCell="E3" sqref="E3"/>
    </sheetView>
  </sheetViews>
  <sheetFormatPr defaultColWidth="22.28515625" defaultRowHeight="12.75" x14ac:dyDescent="0.2"/>
  <cols>
    <col min="1" max="1" width="51" style="27" customWidth="1"/>
    <col min="2" max="2" width="41.140625" style="27" customWidth="1"/>
    <col min="3" max="3" width="13.140625" style="27" customWidth="1"/>
    <col min="4" max="4" width="14.28515625" style="27" customWidth="1"/>
    <col min="5" max="5" width="15.42578125" style="27" customWidth="1"/>
    <col min="6" max="16384" width="22.28515625" style="27"/>
  </cols>
  <sheetData>
    <row r="1" spans="1:5" ht="15.75" customHeight="1" thickBot="1" x14ac:dyDescent="0.25">
      <c r="A1" s="82" t="s">
        <v>91</v>
      </c>
      <c r="B1" s="83"/>
      <c r="C1" s="83"/>
      <c r="D1" s="83"/>
      <c r="E1" s="84"/>
    </row>
    <row r="2" spans="1:5" x14ac:dyDescent="0.2">
      <c r="A2" s="24" t="s">
        <v>82</v>
      </c>
      <c r="B2" s="24" t="s">
        <v>78</v>
      </c>
      <c r="C2" s="25" t="s">
        <v>79</v>
      </c>
      <c r="D2" s="25" t="s">
        <v>80</v>
      </c>
      <c r="E2" s="26" t="s">
        <v>81</v>
      </c>
    </row>
    <row r="3" spans="1:5" x14ac:dyDescent="0.2">
      <c r="A3" s="50" t="s">
        <v>70</v>
      </c>
      <c r="B3" s="51" t="s">
        <v>102</v>
      </c>
      <c r="C3" s="51" t="s">
        <v>71</v>
      </c>
      <c r="D3" s="52">
        <v>1</v>
      </c>
      <c r="E3" s="52">
        <f>Лист1!B31</f>
        <v>2126.1999999999998</v>
      </c>
    </row>
    <row r="4" spans="1:5" x14ac:dyDescent="0.2">
      <c r="A4" s="53" t="s">
        <v>72</v>
      </c>
      <c r="B4" s="51"/>
      <c r="C4" s="54" t="s">
        <v>73</v>
      </c>
      <c r="D4" s="55">
        <v>0.15</v>
      </c>
      <c r="E4" s="55">
        <f>E3*D4</f>
        <v>318.92999999999995</v>
      </c>
    </row>
    <row r="5" spans="1:5" ht="25.5" x14ac:dyDescent="0.2">
      <c r="A5" s="53" t="s">
        <v>74</v>
      </c>
      <c r="B5" s="51"/>
      <c r="C5" s="54" t="s">
        <v>73</v>
      </c>
      <c r="D5" s="55">
        <v>4.5</v>
      </c>
      <c r="E5" s="55">
        <f>E3*D5</f>
        <v>9567.9</v>
      </c>
    </row>
    <row r="6" spans="1:5" ht="25.5" x14ac:dyDescent="0.2">
      <c r="A6" s="50" t="s">
        <v>75</v>
      </c>
      <c r="B6" s="51" t="s">
        <v>103</v>
      </c>
      <c r="C6" s="51" t="s">
        <v>71</v>
      </c>
      <c r="D6" s="52">
        <v>1</v>
      </c>
      <c r="E6" s="52">
        <f>E3</f>
        <v>2126.1999999999998</v>
      </c>
    </row>
    <row r="7" spans="1:5" ht="25.5" x14ac:dyDescent="0.2">
      <c r="A7" s="53" t="s">
        <v>76</v>
      </c>
      <c r="B7" s="51"/>
      <c r="C7" s="54" t="s">
        <v>73</v>
      </c>
      <c r="D7" s="55">
        <v>1.8</v>
      </c>
      <c r="E7" s="55">
        <f>E6*D7</f>
        <v>3827.16</v>
      </c>
    </row>
    <row r="8" spans="1:5" ht="25.5" x14ac:dyDescent="0.2">
      <c r="A8" s="53" t="s">
        <v>77</v>
      </c>
      <c r="B8" s="51"/>
      <c r="C8" s="54" t="s">
        <v>73</v>
      </c>
      <c r="D8" s="55">
        <v>0.15</v>
      </c>
      <c r="E8" s="55">
        <f>E6*D8</f>
        <v>318.92999999999995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zoomScale="115" zoomScaleNormal="115" workbookViewId="0">
      <selection activeCell="E17" sqref="E17"/>
    </sheetView>
  </sheetViews>
  <sheetFormatPr defaultRowHeight="12.75" x14ac:dyDescent="0.2"/>
  <cols>
    <col min="1" max="1" width="11.7109375" style="27" customWidth="1"/>
    <col min="2" max="2" width="10.85546875" style="27" customWidth="1"/>
    <col min="3" max="16384" width="9.140625" style="27"/>
  </cols>
  <sheetData>
    <row r="1" spans="1:2" s="79" customFormat="1" ht="25.5" x14ac:dyDescent="0.2">
      <c r="A1" s="48" t="s">
        <v>90</v>
      </c>
      <c r="B1" s="80" t="s">
        <v>86</v>
      </c>
    </row>
    <row r="2" spans="1:2" x14ac:dyDescent="0.2">
      <c r="A2" s="49">
        <v>2003</v>
      </c>
      <c r="B2" s="44">
        <v>217.89999999999998</v>
      </c>
    </row>
    <row r="3" spans="1:2" x14ac:dyDescent="0.2">
      <c r="A3" s="49">
        <v>2009</v>
      </c>
      <c r="B3" s="45">
        <v>8.9</v>
      </c>
    </row>
    <row r="4" spans="1:2" x14ac:dyDescent="0.2">
      <c r="A4" s="49">
        <v>2010</v>
      </c>
      <c r="B4" s="46">
        <v>21.6</v>
      </c>
    </row>
    <row r="5" spans="1:2" x14ac:dyDescent="0.2">
      <c r="A5" s="49">
        <v>2017</v>
      </c>
      <c r="B5" s="45">
        <v>236.70000000000002</v>
      </c>
    </row>
    <row r="6" spans="1:2" x14ac:dyDescent="0.2">
      <c r="A6" s="49">
        <v>2018</v>
      </c>
      <c r="B6" s="44">
        <v>18.900000000000002</v>
      </c>
    </row>
    <row r="7" spans="1:2" x14ac:dyDescent="0.2">
      <c r="A7" s="49">
        <v>2020</v>
      </c>
      <c r="B7" s="44">
        <v>9.6000000000000014</v>
      </c>
    </row>
    <row r="8" spans="1:2" x14ac:dyDescent="0.2">
      <c r="A8" s="49">
        <v>2022</v>
      </c>
      <c r="B8" s="45">
        <v>471.2</v>
      </c>
    </row>
    <row r="9" spans="1:2" x14ac:dyDescent="0.2">
      <c r="A9" s="49">
        <v>2026</v>
      </c>
      <c r="B9" s="44">
        <v>15.6</v>
      </c>
    </row>
    <row r="10" spans="1:2" x14ac:dyDescent="0.2">
      <c r="A10" s="49">
        <v>2027</v>
      </c>
      <c r="B10" s="45">
        <v>7.6</v>
      </c>
    </row>
    <row r="11" spans="1:2" x14ac:dyDescent="0.2">
      <c r="A11" s="49">
        <v>2028</v>
      </c>
      <c r="B11" s="44">
        <v>19</v>
      </c>
    </row>
    <row r="12" spans="1:2" x14ac:dyDescent="0.2">
      <c r="A12" s="49">
        <v>2029</v>
      </c>
      <c r="B12" s="45">
        <v>7.2999999999999989</v>
      </c>
    </row>
    <row r="13" spans="1:2" x14ac:dyDescent="0.2">
      <c r="A13" s="49">
        <v>2032</v>
      </c>
      <c r="B13" s="44">
        <v>19.5</v>
      </c>
    </row>
    <row r="14" spans="1:2" x14ac:dyDescent="0.2">
      <c r="A14" s="49">
        <v>2042</v>
      </c>
      <c r="B14" s="45">
        <v>101.8</v>
      </c>
    </row>
    <row r="15" spans="1:2" x14ac:dyDescent="0.2">
      <c r="A15" s="49">
        <v>2043</v>
      </c>
      <c r="B15" s="44">
        <v>10.3</v>
      </c>
    </row>
    <row r="16" spans="1:2" x14ac:dyDescent="0.2">
      <c r="A16" s="49">
        <v>2046</v>
      </c>
      <c r="B16" s="44">
        <v>162.10000000000002</v>
      </c>
    </row>
    <row r="17" spans="1:2" x14ac:dyDescent="0.2">
      <c r="A17" s="49">
        <v>2049</v>
      </c>
      <c r="B17" s="45">
        <v>127.00000000000001</v>
      </c>
    </row>
    <row r="18" spans="1:2" x14ac:dyDescent="0.2">
      <c r="A18" s="49">
        <v>2051</v>
      </c>
      <c r="B18" s="44">
        <v>21.4</v>
      </c>
    </row>
    <row r="19" spans="1:2" x14ac:dyDescent="0.2">
      <c r="A19" s="49">
        <v>2052</v>
      </c>
      <c r="B19" s="45">
        <v>4</v>
      </c>
    </row>
    <row r="20" spans="1:2" x14ac:dyDescent="0.2">
      <c r="A20" s="49">
        <v>2053</v>
      </c>
      <c r="B20" s="44">
        <v>5.3</v>
      </c>
    </row>
    <row r="21" spans="1:2" x14ac:dyDescent="0.2">
      <c r="A21" s="49">
        <v>2054</v>
      </c>
      <c r="B21" s="45">
        <v>20.6</v>
      </c>
    </row>
    <row r="22" spans="1:2" x14ac:dyDescent="0.2">
      <c r="A22" s="49">
        <v>2055</v>
      </c>
      <c r="B22" s="44">
        <v>8.6000000000000014</v>
      </c>
    </row>
    <row r="23" spans="1:2" x14ac:dyDescent="0.2">
      <c r="A23" s="49">
        <v>2057</v>
      </c>
      <c r="B23" s="44">
        <v>18</v>
      </c>
    </row>
    <row r="24" spans="1:2" x14ac:dyDescent="0.2">
      <c r="A24" s="49">
        <v>2058</v>
      </c>
      <c r="B24" s="45">
        <v>34.299999999999997</v>
      </c>
    </row>
    <row r="25" spans="1:2" x14ac:dyDescent="0.2">
      <c r="A25" s="49">
        <v>2062</v>
      </c>
      <c r="B25" s="44">
        <v>212.7</v>
      </c>
    </row>
    <row r="26" spans="1:2" x14ac:dyDescent="0.2">
      <c r="A26" s="49">
        <v>2067</v>
      </c>
      <c r="B26" s="44">
        <v>89.6</v>
      </c>
    </row>
    <row r="27" spans="1:2" x14ac:dyDescent="0.2">
      <c r="A27" s="49">
        <v>2068</v>
      </c>
      <c r="B27" s="45">
        <v>111.8</v>
      </c>
    </row>
    <row r="28" spans="1:2" x14ac:dyDescent="0.2">
      <c r="A28" s="49">
        <v>2069</v>
      </c>
      <c r="B28" s="44">
        <v>3.1</v>
      </c>
    </row>
    <row r="29" spans="1:2" x14ac:dyDescent="0.2">
      <c r="A29" s="49">
        <v>2070</v>
      </c>
      <c r="B29" s="45">
        <v>13.700000000000001</v>
      </c>
    </row>
    <row r="30" spans="1:2" x14ac:dyDescent="0.2">
      <c r="A30" s="49">
        <v>2071</v>
      </c>
      <c r="B30" s="44">
        <v>128.1</v>
      </c>
    </row>
    <row r="31" spans="1:2" x14ac:dyDescent="0.2">
      <c r="A31" s="47" t="s">
        <v>69</v>
      </c>
      <c r="B31" s="78">
        <f>SUM(B2:B30)</f>
        <v>2126.1999999999998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tabSelected="1" workbookViewId="0">
      <selection activeCell="K1" sqref="K1:P1048576"/>
    </sheetView>
  </sheetViews>
  <sheetFormatPr defaultRowHeight="15" x14ac:dyDescent="0.25"/>
  <cols>
    <col min="1" max="1" width="17.42578125" style="89" customWidth="1"/>
    <col min="2" max="2" width="13.7109375" style="89" customWidth="1"/>
    <col min="3" max="5" width="9.140625" style="89" customWidth="1"/>
    <col min="6" max="6" width="14.28515625" style="89" customWidth="1"/>
    <col min="7" max="16384" width="9.140625" style="89"/>
  </cols>
  <sheetData>
    <row r="1" spans="1:6" ht="45" x14ac:dyDescent="0.25">
      <c r="A1" s="48" t="s">
        <v>90</v>
      </c>
      <c r="B1" s="88" t="s">
        <v>107</v>
      </c>
      <c r="C1" s="95" t="s">
        <v>111</v>
      </c>
      <c r="D1" s="94"/>
      <c r="E1" s="95" t="s">
        <v>104</v>
      </c>
      <c r="F1" s="95" t="s">
        <v>110</v>
      </c>
    </row>
    <row r="2" spans="1:6" x14ac:dyDescent="0.25">
      <c r="A2" s="49">
        <v>2003</v>
      </c>
      <c r="B2" s="64">
        <f>Лист1!B2</f>
        <v>217.89999999999998</v>
      </c>
      <c r="C2" s="64">
        <v>218.2</v>
      </c>
      <c r="D2" s="94"/>
      <c r="E2" s="64">
        <v>218.2</v>
      </c>
      <c r="F2" s="96">
        <f>C2-E2</f>
        <v>0</v>
      </c>
    </row>
    <row r="3" spans="1:6" x14ac:dyDescent="0.25">
      <c r="A3" s="49">
        <v>2009</v>
      </c>
      <c r="B3" s="64">
        <f>Лист1!B3</f>
        <v>8.9</v>
      </c>
      <c r="C3" s="64">
        <v>10.3</v>
      </c>
      <c r="D3" s="94"/>
      <c r="E3" s="64">
        <v>10.3</v>
      </c>
      <c r="F3" s="96">
        <f t="shared" ref="F3:F30" si="0">C3-E3</f>
        <v>0</v>
      </c>
    </row>
    <row r="4" spans="1:6" x14ac:dyDescent="0.25">
      <c r="A4" s="49">
        <v>2010</v>
      </c>
      <c r="B4" s="64">
        <f>Лист1!B4</f>
        <v>21.6</v>
      </c>
      <c r="C4" s="91">
        <v>23.5</v>
      </c>
      <c r="D4" s="94"/>
      <c r="E4" s="91">
        <v>23.5</v>
      </c>
      <c r="F4" s="96">
        <f t="shared" si="0"/>
        <v>0</v>
      </c>
    </row>
    <row r="5" spans="1:6" x14ac:dyDescent="0.25">
      <c r="A5" s="97">
        <v>2017</v>
      </c>
      <c r="B5" s="98">
        <f>Лист1!B5</f>
        <v>236.70000000000002</v>
      </c>
      <c r="C5" s="98">
        <f>478.8</f>
        <v>478.8</v>
      </c>
      <c r="D5" s="99"/>
      <c r="E5" s="98">
        <v>237.9</v>
      </c>
      <c r="F5" s="100">
        <f t="shared" si="0"/>
        <v>240.9</v>
      </c>
    </row>
    <row r="6" spans="1:6" x14ac:dyDescent="0.25">
      <c r="A6" s="49">
        <v>2018</v>
      </c>
      <c r="B6" s="64">
        <f>Лист1!B6</f>
        <v>18.900000000000002</v>
      </c>
      <c r="C6" s="64">
        <v>19.600000000000001</v>
      </c>
      <c r="D6" s="94"/>
      <c r="E6" s="64">
        <v>19.600000000000001</v>
      </c>
      <c r="F6" s="96">
        <f t="shared" si="0"/>
        <v>0</v>
      </c>
    </row>
    <row r="7" spans="1:6" x14ac:dyDescent="0.25">
      <c r="A7" s="49">
        <v>2020</v>
      </c>
      <c r="B7" s="64">
        <f>Лист1!B7</f>
        <v>9.6000000000000014</v>
      </c>
      <c r="C7" s="64">
        <v>10.3</v>
      </c>
      <c r="D7" s="94"/>
      <c r="E7" s="64">
        <v>10.3</v>
      </c>
      <c r="F7" s="96">
        <f t="shared" si="0"/>
        <v>0</v>
      </c>
    </row>
    <row r="8" spans="1:6" x14ac:dyDescent="0.25">
      <c r="A8" s="49">
        <v>2022</v>
      </c>
      <c r="B8" s="64">
        <f>Лист1!B8</f>
        <v>471.2</v>
      </c>
      <c r="C8" s="64">
        <f>478.7</f>
        <v>478.7</v>
      </c>
      <c r="D8" s="94"/>
      <c r="E8" s="64">
        <v>476.6</v>
      </c>
      <c r="F8" s="96">
        <f t="shared" si="0"/>
        <v>2.0999999999999659</v>
      </c>
    </row>
    <row r="9" spans="1:6" x14ac:dyDescent="0.25">
      <c r="A9" s="49">
        <v>2026</v>
      </c>
      <c r="B9" s="64">
        <f>Лист1!B9</f>
        <v>15.6</v>
      </c>
      <c r="C9" s="64">
        <v>16.600000000000001</v>
      </c>
      <c r="D9" s="94"/>
      <c r="E9" s="64">
        <v>16.600000000000001</v>
      </c>
      <c r="F9" s="96">
        <f t="shared" si="0"/>
        <v>0</v>
      </c>
    </row>
    <row r="10" spans="1:6" x14ac:dyDescent="0.25">
      <c r="A10" s="49">
        <v>2027</v>
      </c>
      <c r="B10" s="64">
        <f>Лист1!B10</f>
        <v>7.6</v>
      </c>
      <c r="C10" s="64">
        <v>8.1</v>
      </c>
      <c r="D10" s="94"/>
      <c r="E10" s="64">
        <v>8.1</v>
      </c>
      <c r="F10" s="96">
        <f t="shared" si="0"/>
        <v>0</v>
      </c>
    </row>
    <row r="11" spans="1:6" x14ac:dyDescent="0.25">
      <c r="A11" s="49">
        <v>2028</v>
      </c>
      <c r="B11" s="64">
        <f>Лист1!B11</f>
        <v>19</v>
      </c>
      <c r="C11" s="64">
        <v>19.8</v>
      </c>
      <c r="D11" s="94"/>
      <c r="E11" s="64">
        <v>19.8</v>
      </c>
      <c r="F11" s="96">
        <f t="shared" si="0"/>
        <v>0</v>
      </c>
    </row>
    <row r="12" spans="1:6" x14ac:dyDescent="0.25">
      <c r="A12" s="49">
        <v>2029</v>
      </c>
      <c r="B12" s="64">
        <f>Лист1!B12</f>
        <v>7.2999999999999989</v>
      </c>
      <c r="C12" s="64">
        <v>8.1999999999999993</v>
      </c>
      <c r="D12" s="94"/>
      <c r="E12" s="64">
        <v>8.1999999999999993</v>
      </c>
      <c r="F12" s="96">
        <f t="shared" si="0"/>
        <v>0</v>
      </c>
    </row>
    <row r="13" spans="1:6" x14ac:dyDescent="0.25">
      <c r="A13" s="49">
        <v>2032</v>
      </c>
      <c r="B13" s="64">
        <f>Лист1!B13</f>
        <v>19.5</v>
      </c>
      <c r="C13" s="64">
        <v>20.100000000000001</v>
      </c>
      <c r="D13" s="94"/>
      <c r="E13" s="64">
        <v>20.100000000000001</v>
      </c>
      <c r="F13" s="96">
        <f t="shared" si="0"/>
        <v>0</v>
      </c>
    </row>
    <row r="14" spans="1:6" x14ac:dyDescent="0.25">
      <c r="A14" s="49">
        <v>2042</v>
      </c>
      <c r="B14" s="64">
        <f>Лист1!B14</f>
        <v>101.8</v>
      </c>
      <c r="C14" s="64">
        <v>103.6</v>
      </c>
      <c r="D14" s="94"/>
      <c r="E14" s="64">
        <v>103.6</v>
      </c>
      <c r="F14" s="96">
        <f t="shared" si="0"/>
        <v>0</v>
      </c>
    </row>
    <row r="15" spans="1:6" x14ac:dyDescent="0.25">
      <c r="A15" s="49">
        <v>2043</v>
      </c>
      <c r="B15" s="64">
        <f>Лист1!B15</f>
        <v>10.3</v>
      </c>
      <c r="C15" s="64">
        <v>10.4</v>
      </c>
      <c r="D15" s="94"/>
      <c r="E15" s="64">
        <v>10.4</v>
      </c>
      <c r="F15" s="96">
        <f t="shared" si="0"/>
        <v>0</v>
      </c>
    </row>
    <row r="16" spans="1:6" x14ac:dyDescent="0.25">
      <c r="A16" s="97">
        <v>2046</v>
      </c>
      <c r="B16" s="98">
        <f>Лист1!B16</f>
        <v>162.10000000000002</v>
      </c>
      <c r="C16" s="98">
        <f>326</f>
        <v>326</v>
      </c>
      <c r="D16" s="99"/>
      <c r="E16" s="98">
        <v>163.30000000000001</v>
      </c>
      <c r="F16" s="100">
        <f t="shared" si="0"/>
        <v>162.69999999999999</v>
      </c>
    </row>
    <row r="17" spans="1:6" x14ac:dyDescent="0.25">
      <c r="A17" s="97">
        <v>2049</v>
      </c>
      <c r="B17" s="98">
        <f>Лист1!B17</f>
        <v>127.00000000000001</v>
      </c>
      <c r="C17" s="98">
        <v>256.2</v>
      </c>
      <c r="D17" s="99"/>
      <c r="E17" s="98">
        <v>128.30000000000001</v>
      </c>
      <c r="F17" s="100">
        <f t="shared" si="0"/>
        <v>127.89999999999998</v>
      </c>
    </row>
    <row r="18" spans="1:6" x14ac:dyDescent="0.25">
      <c r="A18" s="49">
        <v>2051</v>
      </c>
      <c r="B18" s="64">
        <f>Лист1!B18</f>
        <v>21.4</v>
      </c>
      <c r="C18" s="64">
        <v>22.2</v>
      </c>
      <c r="D18" s="94"/>
      <c r="E18" s="64">
        <v>22.2</v>
      </c>
      <c r="F18" s="96">
        <f t="shared" si="0"/>
        <v>0</v>
      </c>
    </row>
    <row r="19" spans="1:6" x14ac:dyDescent="0.25">
      <c r="A19" s="49">
        <v>2052</v>
      </c>
      <c r="B19" s="64">
        <f>Лист1!B19</f>
        <v>4</v>
      </c>
      <c r="C19" s="64">
        <v>4.4000000000000004</v>
      </c>
      <c r="D19" s="94"/>
      <c r="E19" s="64">
        <v>4.4000000000000004</v>
      </c>
      <c r="F19" s="96">
        <f t="shared" si="0"/>
        <v>0</v>
      </c>
    </row>
    <row r="20" spans="1:6" x14ac:dyDescent="0.25">
      <c r="A20" s="49">
        <v>2053</v>
      </c>
      <c r="B20" s="64">
        <f>Лист1!B20</f>
        <v>5.3</v>
      </c>
      <c r="C20" s="64">
        <v>5.6</v>
      </c>
      <c r="D20" s="94"/>
      <c r="E20" s="64">
        <v>5.6</v>
      </c>
      <c r="F20" s="96">
        <f t="shared" si="0"/>
        <v>0</v>
      </c>
    </row>
    <row r="21" spans="1:6" x14ac:dyDescent="0.25">
      <c r="A21" s="49">
        <v>2054</v>
      </c>
      <c r="B21" s="64">
        <f>Лист1!B21</f>
        <v>20.6</v>
      </c>
      <c r="C21" s="64">
        <v>22.1</v>
      </c>
      <c r="D21" s="94"/>
      <c r="E21" s="64">
        <v>22.1</v>
      </c>
      <c r="F21" s="96">
        <f t="shared" si="0"/>
        <v>0</v>
      </c>
    </row>
    <row r="22" spans="1:6" x14ac:dyDescent="0.25">
      <c r="A22" s="49">
        <v>2055</v>
      </c>
      <c r="B22" s="64">
        <f>Лист1!B22</f>
        <v>8.6000000000000014</v>
      </c>
      <c r="C22" s="64">
        <v>10.3</v>
      </c>
      <c r="D22" s="94"/>
      <c r="E22" s="64">
        <v>10.3</v>
      </c>
      <c r="F22" s="96">
        <f t="shared" si="0"/>
        <v>0</v>
      </c>
    </row>
    <row r="23" spans="1:6" x14ac:dyDescent="0.25">
      <c r="A23" s="49">
        <v>2057</v>
      </c>
      <c r="B23" s="64">
        <f>Лист1!B23</f>
        <v>18</v>
      </c>
      <c r="C23" s="64">
        <v>19.899999999999999</v>
      </c>
      <c r="D23" s="94"/>
      <c r="E23" s="64">
        <v>19.899999999999999</v>
      </c>
      <c r="F23" s="96">
        <f t="shared" si="0"/>
        <v>0</v>
      </c>
    </row>
    <row r="24" spans="1:6" x14ac:dyDescent="0.25">
      <c r="A24" s="49">
        <v>2058</v>
      </c>
      <c r="B24" s="64">
        <f>Лист1!B24</f>
        <v>34.299999999999997</v>
      </c>
      <c r="C24" s="64">
        <v>35.799999999999997</v>
      </c>
      <c r="D24" s="94"/>
      <c r="E24" s="64">
        <v>35.799999999999997</v>
      </c>
      <c r="F24" s="96">
        <f t="shared" si="0"/>
        <v>0</v>
      </c>
    </row>
    <row r="25" spans="1:6" x14ac:dyDescent="0.25">
      <c r="A25" s="97">
        <v>2062</v>
      </c>
      <c r="B25" s="98">
        <f>Лист1!B25</f>
        <v>212.7</v>
      </c>
      <c r="C25" s="98">
        <f>426.5</f>
        <v>426.5</v>
      </c>
      <c r="D25" s="99"/>
      <c r="E25" s="98">
        <v>213.5</v>
      </c>
      <c r="F25" s="100">
        <f t="shared" si="0"/>
        <v>213</v>
      </c>
    </row>
    <row r="26" spans="1:6" x14ac:dyDescent="0.25">
      <c r="A26" s="49">
        <v>2067</v>
      </c>
      <c r="B26" s="64">
        <f>Лист1!B26</f>
        <v>89.6</v>
      </c>
      <c r="C26" s="64">
        <v>90.8</v>
      </c>
      <c r="D26" s="94"/>
      <c r="E26" s="64">
        <v>90.8</v>
      </c>
      <c r="F26" s="96">
        <f t="shared" si="0"/>
        <v>0</v>
      </c>
    </row>
    <row r="27" spans="1:6" x14ac:dyDescent="0.25">
      <c r="A27" s="49">
        <v>2068</v>
      </c>
      <c r="B27" s="64">
        <f>Лист1!B27</f>
        <v>111.8</v>
      </c>
      <c r="C27" s="64">
        <v>112.7</v>
      </c>
      <c r="D27" s="94"/>
      <c r="E27" s="64">
        <v>112.7</v>
      </c>
      <c r="F27" s="96">
        <f t="shared" si="0"/>
        <v>0</v>
      </c>
    </row>
    <row r="28" spans="1:6" x14ac:dyDescent="0.25">
      <c r="A28" s="49">
        <v>2069</v>
      </c>
      <c r="B28" s="64">
        <f>Лист1!B28</f>
        <v>3.1</v>
      </c>
      <c r="C28" s="64">
        <v>3.2</v>
      </c>
      <c r="D28" s="94"/>
      <c r="E28" s="64">
        <v>3.2</v>
      </c>
      <c r="F28" s="96">
        <f t="shared" si="0"/>
        <v>0</v>
      </c>
    </row>
    <row r="29" spans="1:6" x14ac:dyDescent="0.25">
      <c r="A29" s="49">
        <v>2070</v>
      </c>
      <c r="B29" s="64">
        <f>Лист1!B29</f>
        <v>13.700000000000001</v>
      </c>
      <c r="C29" s="64">
        <v>15.3</v>
      </c>
      <c r="D29" s="94"/>
      <c r="E29" s="64">
        <v>15.3</v>
      </c>
      <c r="F29" s="96">
        <f t="shared" si="0"/>
        <v>0</v>
      </c>
    </row>
    <row r="30" spans="1:6" x14ac:dyDescent="0.25">
      <c r="A30" s="97">
        <v>2071</v>
      </c>
      <c r="B30" s="98">
        <f>Лист1!B30</f>
        <v>128.1</v>
      </c>
      <c r="C30" s="98">
        <v>257.10000000000002</v>
      </c>
      <c r="D30" s="99"/>
      <c r="E30" s="98">
        <v>128.9</v>
      </c>
      <c r="F30" s="100">
        <f t="shared" si="0"/>
        <v>128.20000000000002</v>
      </c>
    </row>
    <row r="31" spans="1:6" x14ac:dyDescent="0.25">
      <c r="A31" s="92" t="s">
        <v>69</v>
      </c>
      <c r="B31" s="93">
        <f>SUM(B2:B30)</f>
        <v>2126.1999999999998</v>
      </c>
      <c r="C31" s="93">
        <f t="shared" ref="C31:E31" si="1">SUM(C2:C30)</f>
        <v>3034.3</v>
      </c>
      <c r="D31" s="93">
        <f t="shared" si="1"/>
        <v>0</v>
      </c>
      <c r="E31" s="93">
        <f t="shared" si="1"/>
        <v>2159.5</v>
      </c>
      <c r="F31" s="94"/>
    </row>
    <row r="33" spans="1:7" x14ac:dyDescent="0.25">
      <c r="A33" s="49">
        <v>2008</v>
      </c>
      <c r="B33" s="64">
        <v>57.099999999999994</v>
      </c>
      <c r="C33" s="64">
        <v>40.299999999999997</v>
      </c>
      <c r="E33" s="89">
        <v>31.5</v>
      </c>
    </row>
    <row r="34" spans="1:7" x14ac:dyDescent="0.25">
      <c r="A34" s="49">
        <v>2019</v>
      </c>
      <c r="B34" s="64">
        <v>55.6</v>
      </c>
      <c r="C34" s="64">
        <f>40.6+15</f>
        <v>55.6</v>
      </c>
      <c r="E34" s="89">
        <v>38</v>
      </c>
    </row>
    <row r="35" spans="1:7" x14ac:dyDescent="0.25">
      <c r="A35" s="49">
        <v>2023</v>
      </c>
      <c r="B35" s="64">
        <v>23.4</v>
      </c>
      <c r="C35" s="64">
        <v>23.4</v>
      </c>
      <c r="E35" s="89">
        <v>28.9</v>
      </c>
    </row>
    <row r="36" spans="1:7" x14ac:dyDescent="0.25">
      <c r="A36" s="49">
        <v>2024</v>
      </c>
      <c r="B36" s="64">
        <v>67.599999999999994</v>
      </c>
      <c r="C36" s="64">
        <f>52.6+15</f>
        <v>67.599999999999994</v>
      </c>
      <c r="E36" s="89">
        <v>28.9</v>
      </c>
    </row>
    <row r="37" spans="1:7" x14ac:dyDescent="0.25">
      <c r="A37" s="49">
        <v>2044</v>
      </c>
      <c r="B37" s="64">
        <v>63.6</v>
      </c>
      <c r="C37" s="64">
        <f>43.6+20</f>
        <v>63.6</v>
      </c>
      <c r="E37" s="89">
        <v>34.700000000000003</v>
      </c>
    </row>
    <row r="38" spans="1:7" x14ac:dyDescent="0.25">
      <c r="A38" s="49">
        <v>2056</v>
      </c>
      <c r="B38" s="64">
        <v>50.4</v>
      </c>
      <c r="C38" s="64">
        <f>30.4+20</f>
        <v>50.4</v>
      </c>
      <c r="E38" s="89">
        <v>33.9</v>
      </c>
    </row>
    <row r="39" spans="1:7" x14ac:dyDescent="0.25">
      <c r="A39" s="49">
        <v>2063</v>
      </c>
      <c r="B39" s="64">
        <v>66.099999999999994</v>
      </c>
      <c r="C39" s="64">
        <f>23.4+22.7+20</f>
        <v>66.099999999999994</v>
      </c>
      <c r="E39" s="89">
        <v>29.6</v>
      </c>
    </row>
    <row r="40" spans="1:7" x14ac:dyDescent="0.25">
      <c r="F40" s="89" t="s">
        <v>94</v>
      </c>
      <c r="G40" s="90">
        <f>B23+B24+B25</f>
        <v>265</v>
      </c>
    </row>
    <row r="41" spans="1:7" x14ac:dyDescent="0.25">
      <c r="B41" s="90"/>
      <c r="E41" s="90"/>
      <c r="F41" s="89" t="s">
        <v>95</v>
      </c>
      <c r="G41" s="90">
        <f>SUM(B16:B22)+B28</f>
        <v>352.10000000000008</v>
      </c>
    </row>
    <row r="42" spans="1:7" x14ac:dyDescent="0.25">
      <c r="F42" s="89" t="s">
        <v>96</v>
      </c>
      <c r="G42" s="90">
        <f>B14+B15+B30</f>
        <v>240.2</v>
      </c>
    </row>
    <row r="43" spans="1:7" x14ac:dyDescent="0.25">
      <c r="F43" s="89" t="s">
        <v>97</v>
      </c>
      <c r="G43" s="90">
        <f>SUM(B8:B13)+B26+B27</f>
        <v>741.6</v>
      </c>
    </row>
    <row r="44" spans="1:7" x14ac:dyDescent="0.25">
      <c r="F44" s="89" t="s">
        <v>98</v>
      </c>
      <c r="G44" s="90">
        <f>SUM(B5:B7)+B29</f>
        <v>278.90000000000003</v>
      </c>
    </row>
    <row r="45" spans="1:7" x14ac:dyDescent="0.25">
      <c r="F45" s="89" t="s">
        <v>99</v>
      </c>
      <c r="G45" s="90">
        <f>SUM(B2:B4)</f>
        <v>248.39999999999998</v>
      </c>
    </row>
    <row r="46" spans="1:7" x14ac:dyDescent="0.25">
      <c r="G46" s="90">
        <f>SUM(G40:G45)</f>
        <v>2126.2000000000003</v>
      </c>
    </row>
    <row r="47" spans="1:7" x14ac:dyDescent="0.25">
      <c r="G47" s="89">
        <v>0</v>
      </c>
    </row>
    <row r="49" spans="7:7" x14ac:dyDescent="0.25">
      <c r="G49" s="90">
        <f>G46-B31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E7" sqref="E7"/>
    </sheetView>
  </sheetViews>
  <sheetFormatPr defaultRowHeight="12.75" x14ac:dyDescent="0.2"/>
  <cols>
    <col min="1" max="1" width="26.85546875" style="77" customWidth="1"/>
    <col min="2" max="2" width="41.140625" style="77" customWidth="1"/>
    <col min="3" max="3" width="13.140625" style="77" customWidth="1"/>
    <col min="4" max="4" width="14.28515625" style="77" customWidth="1"/>
    <col min="5" max="5" width="15.42578125" style="77" customWidth="1"/>
    <col min="6" max="16384" width="9.140625" style="77"/>
  </cols>
  <sheetData>
    <row r="1" spans="1:5" ht="13.5" thickBot="1" x14ac:dyDescent="0.25">
      <c r="A1" s="85" t="s">
        <v>91</v>
      </c>
      <c r="B1" s="86"/>
      <c r="C1" s="86"/>
      <c r="D1" s="86"/>
      <c r="E1" s="87"/>
    </row>
    <row r="2" spans="1:5" x14ac:dyDescent="0.2">
      <c r="A2" s="69" t="s">
        <v>82</v>
      </c>
      <c r="B2" s="69" t="s">
        <v>78</v>
      </c>
      <c r="C2" s="70" t="s">
        <v>79</v>
      </c>
      <c r="D2" s="70" t="s">
        <v>80</v>
      </c>
      <c r="E2" s="71" t="s">
        <v>81</v>
      </c>
    </row>
    <row r="3" spans="1:5" ht="25.5" x14ac:dyDescent="0.2">
      <c r="A3" s="72" t="s">
        <v>70</v>
      </c>
      <c r="B3" s="73" t="s">
        <v>101</v>
      </c>
      <c r="C3" s="73" t="s">
        <v>71</v>
      </c>
      <c r="D3" s="74">
        <v>1</v>
      </c>
      <c r="E3" s="74">
        <f>'3пом'!B30</f>
        <v>2056.7999999999997</v>
      </c>
    </row>
    <row r="4" spans="1:5" x14ac:dyDescent="0.2">
      <c r="A4" s="53" t="s">
        <v>72</v>
      </c>
      <c r="B4" s="73"/>
      <c r="C4" s="75" t="s">
        <v>73</v>
      </c>
      <c r="D4" s="76">
        <v>0.15</v>
      </c>
      <c r="E4" s="76">
        <f>D4*E3</f>
        <v>308.51999999999992</v>
      </c>
    </row>
    <row r="5" spans="1:5" ht="38.25" x14ac:dyDescent="0.2">
      <c r="A5" s="53" t="s">
        <v>74</v>
      </c>
      <c r="B5" s="73"/>
      <c r="C5" s="75" t="s">
        <v>73</v>
      </c>
      <c r="D5" s="76">
        <v>4.5</v>
      </c>
      <c r="E5" s="76">
        <f>D5*E3</f>
        <v>9255.5999999999985</v>
      </c>
    </row>
    <row r="6" spans="1:5" ht="38.25" x14ac:dyDescent="0.2">
      <c r="A6" s="72" t="s">
        <v>75</v>
      </c>
      <c r="B6" s="73" t="s">
        <v>100</v>
      </c>
      <c r="C6" s="73" t="s">
        <v>71</v>
      </c>
      <c r="D6" s="74">
        <v>1</v>
      </c>
      <c r="E6" s="74">
        <f>E3</f>
        <v>2056.7999999999997</v>
      </c>
    </row>
    <row r="7" spans="1:5" ht="38.25" x14ac:dyDescent="0.2">
      <c r="A7" s="53" t="s">
        <v>76</v>
      </c>
      <c r="B7" s="73"/>
      <c r="C7" s="75" t="s">
        <v>73</v>
      </c>
      <c r="D7" s="76">
        <v>1.8</v>
      </c>
      <c r="E7" s="76">
        <f>D7*E6</f>
        <v>3702.24</v>
      </c>
    </row>
    <row r="8" spans="1:5" ht="38.25" x14ac:dyDescent="0.2">
      <c r="A8" s="53" t="s">
        <v>77</v>
      </c>
      <c r="B8" s="73"/>
      <c r="C8" s="75" t="s">
        <v>73</v>
      </c>
      <c r="D8" s="76">
        <v>0.15</v>
      </c>
      <c r="E8" s="76">
        <f>D8*E6</f>
        <v>308.51999999999992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>
      <selection activeCell="B2" sqref="B2:B29"/>
    </sheetView>
  </sheetViews>
  <sheetFormatPr defaultRowHeight="12.75" x14ac:dyDescent="0.25"/>
  <cols>
    <col min="1" max="1" width="10" style="66" customWidth="1"/>
    <col min="2" max="16384" width="9.140625" style="66"/>
  </cols>
  <sheetData>
    <row r="1" spans="1:2" ht="25.5" x14ac:dyDescent="0.25">
      <c r="A1" s="65" t="s">
        <v>105</v>
      </c>
      <c r="B1" s="65" t="s">
        <v>106</v>
      </c>
    </row>
    <row r="2" spans="1:2" x14ac:dyDescent="0.25">
      <c r="A2" s="49">
        <v>3004</v>
      </c>
      <c r="B2" s="64">
        <v>241.1</v>
      </c>
    </row>
    <row r="3" spans="1:2" x14ac:dyDescent="0.25">
      <c r="A3" s="49">
        <v>3007</v>
      </c>
      <c r="B3" s="64">
        <v>8.1</v>
      </c>
    </row>
    <row r="4" spans="1:2" x14ac:dyDescent="0.25">
      <c r="A4" s="49">
        <v>3009</v>
      </c>
      <c r="B4" s="64">
        <v>22.8</v>
      </c>
    </row>
    <row r="5" spans="1:2" x14ac:dyDescent="0.25">
      <c r="A5" s="49">
        <v>3012</v>
      </c>
      <c r="B5" s="64">
        <v>233.5</v>
      </c>
    </row>
    <row r="6" spans="1:2" x14ac:dyDescent="0.25">
      <c r="A6" s="49">
        <v>3015</v>
      </c>
      <c r="B6" s="64">
        <v>19.100000000000001</v>
      </c>
    </row>
    <row r="7" spans="1:2" x14ac:dyDescent="0.25">
      <c r="A7" s="49">
        <v>3017</v>
      </c>
      <c r="B7" s="64">
        <v>9.4</v>
      </c>
    </row>
    <row r="8" spans="1:2" x14ac:dyDescent="0.25">
      <c r="A8" s="49">
        <v>3019</v>
      </c>
      <c r="B8" s="64">
        <v>315.5</v>
      </c>
    </row>
    <row r="9" spans="1:2" x14ac:dyDescent="0.25">
      <c r="A9" s="49">
        <v>3023</v>
      </c>
      <c r="B9" s="64">
        <v>185.9</v>
      </c>
    </row>
    <row r="10" spans="1:2" x14ac:dyDescent="0.25">
      <c r="A10" s="49">
        <v>3033</v>
      </c>
      <c r="B10" s="64">
        <v>8.8999999999999986</v>
      </c>
    </row>
    <row r="11" spans="1:2" x14ac:dyDescent="0.25">
      <c r="A11" s="49">
        <v>3037</v>
      </c>
      <c r="B11" s="64">
        <v>111.60000000000001</v>
      </c>
    </row>
    <row r="12" spans="1:2" x14ac:dyDescent="0.25">
      <c r="A12" s="49">
        <v>3041</v>
      </c>
      <c r="B12" s="64">
        <v>159.80000000000001</v>
      </c>
    </row>
    <row r="13" spans="1:2" x14ac:dyDescent="0.25">
      <c r="A13" s="49">
        <v>3042</v>
      </c>
      <c r="B13" s="64">
        <v>21.4</v>
      </c>
    </row>
    <row r="14" spans="1:2" x14ac:dyDescent="0.25">
      <c r="A14" s="49">
        <v>3043</v>
      </c>
      <c r="B14" s="64">
        <v>21.8</v>
      </c>
    </row>
    <row r="15" spans="1:2" x14ac:dyDescent="0.25">
      <c r="A15" s="49">
        <v>3045</v>
      </c>
      <c r="B15" s="64">
        <v>4.5999999999999996</v>
      </c>
    </row>
    <row r="16" spans="1:2" x14ac:dyDescent="0.25">
      <c r="A16" s="49">
        <v>3046</v>
      </c>
      <c r="B16" s="64">
        <v>9</v>
      </c>
    </row>
    <row r="17" spans="1:2" x14ac:dyDescent="0.25">
      <c r="A17" s="49">
        <v>3051</v>
      </c>
      <c r="B17" s="64">
        <v>193.7</v>
      </c>
    </row>
    <row r="18" spans="1:2" x14ac:dyDescent="0.25">
      <c r="A18" s="49">
        <v>3053</v>
      </c>
      <c r="B18" s="64">
        <v>198.20000000000002</v>
      </c>
    </row>
    <row r="19" spans="1:2" x14ac:dyDescent="0.25">
      <c r="A19" s="49">
        <v>3055</v>
      </c>
      <c r="B19" s="64">
        <v>13.8</v>
      </c>
    </row>
    <row r="20" spans="1:2" x14ac:dyDescent="0.25">
      <c r="A20" s="49">
        <v>3057</v>
      </c>
      <c r="B20" s="64">
        <v>8</v>
      </c>
    </row>
    <row r="21" spans="1:2" x14ac:dyDescent="0.25">
      <c r="A21" s="49">
        <v>3059</v>
      </c>
      <c r="B21" s="64">
        <v>38.799999999999997</v>
      </c>
    </row>
    <row r="22" spans="1:2" x14ac:dyDescent="0.25">
      <c r="A22" s="49">
        <v>3060</v>
      </c>
      <c r="B22" s="64">
        <v>7.5</v>
      </c>
    </row>
    <row r="23" spans="1:2" x14ac:dyDescent="0.25">
      <c r="A23" s="49">
        <v>3061</v>
      </c>
      <c r="B23" s="64">
        <v>12</v>
      </c>
    </row>
    <row r="24" spans="1:2" x14ac:dyDescent="0.25">
      <c r="A24" s="49">
        <v>3062</v>
      </c>
      <c r="B24" s="64">
        <v>11.5</v>
      </c>
    </row>
    <row r="25" spans="1:2" x14ac:dyDescent="0.25">
      <c r="A25" s="49">
        <v>3063</v>
      </c>
      <c r="B25" s="64">
        <v>72</v>
      </c>
    </row>
    <row r="26" spans="1:2" x14ac:dyDescent="0.25">
      <c r="A26" s="49">
        <v>3064</v>
      </c>
      <c r="B26" s="64">
        <v>14.6</v>
      </c>
    </row>
    <row r="27" spans="1:2" x14ac:dyDescent="0.25">
      <c r="A27" s="49">
        <v>3065</v>
      </c>
      <c r="B27" s="64">
        <v>2.3000000000000003</v>
      </c>
    </row>
    <row r="28" spans="1:2" x14ac:dyDescent="0.25">
      <c r="A28" s="49">
        <v>3066</v>
      </c>
      <c r="B28" s="64">
        <v>97.600000000000009</v>
      </c>
    </row>
    <row r="29" spans="1:2" x14ac:dyDescent="0.25">
      <c r="A29" s="49">
        <v>3067</v>
      </c>
      <c r="B29" s="64">
        <v>14.299999999999999</v>
      </c>
    </row>
    <row r="30" spans="1:2" x14ac:dyDescent="0.25">
      <c r="A30" s="67" t="s">
        <v>93</v>
      </c>
      <c r="B30" s="68">
        <f>SUM(B2:B29)</f>
        <v>2056.7999999999997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zoomScale="85" zoomScaleNormal="85" workbookViewId="0">
      <selection activeCell="K1" sqref="K1:O1048576"/>
    </sheetView>
  </sheetViews>
  <sheetFormatPr defaultRowHeight="15" x14ac:dyDescent="0.25"/>
  <cols>
    <col min="1" max="1" width="10.28515625" customWidth="1"/>
    <col min="2" max="2" width="14.28515625" customWidth="1"/>
    <col min="3" max="3" width="12.85546875" customWidth="1"/>
    <col min="4" max="4" width="9.140625" customWidth="1"/>
    <col min="5" max="5" width="15.5703125" customWidth="1"/>
    <col min="8" max="8" width="9.5703125" bestFit="1" customWidth="1"/>
  </cols>
  <sheetData>
    <row r="1" spans="1:5" ht="45" x14ac:dyDescent="0.25">
      <c r="A1" s="48" t="s">
        <v>92</v>
      </c>
      <c r="B1" s="102" t="s">
        <v>108</v>
      </c>
      <c r="C1" s="95" t="s">
        <v>112</v>
      </c>
      <c r="D1" s="95" t="s">
        <v>109</v>
      </c>
      <c r="E1" s="95" t="s">
        <v>113</v>
      </c>
    </row>
    <row r="2" spans="1:5" x14ac:dyDescent="0.25">
      <c r="A2" s="103">
        <v>3004</v>
      </c>
      <c r="B2" s="104">
        <f>'3пом'!B2</f>
        <v>241.1</v>
      </c>
      <c r="C2" s="104">
        <v>244.1</v>
      </c>
      <c r="D2" s="95">
        <v>244.9</v>
      </c>
      <c r="E2" s="105">
        <f>C2-D2</f>
        <v>-0.80000000000001137</v>
      </c>
    </row>
    <row r="3" spans="1:5" x14ac:dyDescent="0.25">
      <c r="A3" s="103">
        <v>3007</v>
      </c>
      <c r="B3" s="104">
        <f>'3пом'!B3</f>
        <v>8.1</v>
      </c>
      <c r="C3" s="104">
        <v>9.1</v>
      </c>
      <c r="D3" s="95">
        <v>9.1</v>
      </c>
      <c r="E3" s="105">
        <f t="shared" ref="E3:E29" si="0">C3-D3</f>
        <v>0</v>
      </c>
    </row>
    <row r="4" spans="1:5" x14ac:dyDescent="0.25">
      <c r="A4" s="103">
        <v>3009</v>
      </c>
      <c r="B4" s="104">
        <f>'3пом'!B4</f>
        <v>22.8</v>
      </c>
      <c r="C4" s="104">
        <v>23.5</v>
      </c>
      <c r="D4" s="95">
        <v>23.5</v>
      </c>
      <c r="E4" s="105">
        <f t="shared" si="0"/>
        <v>0</v>
      </c>
    </row>
    <row r="5" spans="1:5" x14ac:dyDescent="0.25">
      <c r="A5" s="106">
        <v>3012</v>
      </c>
      <c r="B5" s="107">
        <f>'3пом'!B5</f>
        <v>233.5</v>
      </c>
      <c r="C5" s="107">
        <v>470.2</v>
      </c>
      <c r="D5" s="108">
        <v>235.7</v>
      </c>
      <c r="E5" s="109">
        <f t="shared" si="0"/>
        <v>234.5</v>
      </c>
    </row>
    <row r="6" spans="1:5" x14ac:dyDescent="0.25">
      <c r="A6" s="103">
        <v>3015</v>
      </c>
      <c r="B6" s="104">
        <f>'3пом'!B6</f>
        <v>19.100000000000001</v>
      </c>
      <c r="C6" s="104">
        <v>19.600000000000001</v>
      </c>
      <c r="D6" s="95">
        <v>19.600000000000001</v>
      </c>
      <c r="E6" s="105">
        <f t="shared" si="0"/>
        <v>0</v>
      </c>
    </row>
    <row r="7" spans="1:5" x14ac:dyDescent="0.25">
      <c r="A7" s="103">
        <v>3017</v>
      </c>
      <c r="B7" s="104">
        <f>'3пом'!B7</f>
        <v>9.4</v>
      </c>
      <c r="C7" s="104">
        <v>10.3</v>
      </c>
      <c r="D7" s="95">
        <v>10.3</v>
      </c>
      <c r="E7" s="105">
        <f t="shared" si="0"/>
        <v>0</v>
      </c>
    </row>
    <row r="8" spans="1:5" x14ac:dyDescent="0.25">
      <c r="A8" s="103">
        <v>3019</v>
      </c>
      <c r="B8" s="104">
        <f>'3пом'!B8</f>
        <v>315.5</v>
      </c>
      <c r="C8" s="104">
        <v>321.8</v>
      </c>
      <c r="D8" s="95">
        <v>320.39999999999998</v>
      </c>
      <c r="E8" s="105">
        <f t="shared" si="0"/>
        <v>1.4000000000000341</v>
      </c>
    </row>
    <row r="9" spans="1:5" x14ac:dyDescent="0.25">
      <c r="A9" s="106">
        <v>3023</v>
      </c>
      <c r="B9" s="107">
        <f>'3пом'!B9</f>
        <v>185.9</v>
      </c>
      <c r="C9" s="107">
        <v>364.3</v>
      </c>
      <c r="D9" s="108">
        <v>188.6</v>
      </c>
      <c r="E9" s="109">
        <f t="shared" si="0"/>
        <v>175.70000000000002</v>
      </c>
    </row>
    <row r="10" spans="1:5" x14ac:dyDescent="0.25">
      <c r="A10" s="103">
        <v>3033</v>
      </c>
      <c r="B10" s="104">
        <f>'3пом'!B10</f>
        <v>8.8999999999999986</v>
      </c>
      <c r="C10" s="104">
        <v>9.1999999999999993</v>
      </c>
      <c r="D10" s="95">
        <v>9.1999999999999993</v>
      </c>
      <c r="E10" s="105">
        <f t="shared" si="0"/>
        <v>0</v>
      </c>
    </row>
    <row r="11" spans="1:5" x14ac:dyDescent="0.25">
      <c r="A11" s="106">
        <v>3037</v>
      </c>
      <c r="B11" s="107">
        <f>'3пом'!B11</f>
        <v>111.60000000000001</v>
      </c>
      <c r="C11" s="107">
        <v>232.5</v>
      </c>
      <c r="D11" s="108">
        <v>116.4</v>
      </c>
      <c r="E11" s="109">
        <f t="shared" si="0"/>
        <v>116.1</v>
      </c>
    </row>
    <row r="12" spans="1:5" x14ac:dyDescent="0.25">
      <c r="A12" s="106">
        <v>3041</v>
      </c>
      <c r="B12" s="107">
        <f>'3пом'!B12</f>
        <v>159.80000000000001</v>
      </c>
      <c r="C12" s="107">
        <v>331.2</v>
      </c>
      <c r="D12" s="108">
        <v>165.8</v>
      </c>
      <c r="E12" s="109">
        <f t="shared" si="0"/>
        <v>165.39999999999998</v>
      </c>
    </row>
    <row r="13" spans="1:5" x14ac:dyDescent="0.25">
      <c r="A13" s="103">
        <v>3042</v>
      </c>
      <c r="B13" s="104">
        <f>'3пом'!B13</f>
        <v>21.4</v>
      </c>
      <c r="C13" s="104">
        <v>22.2</v>
      </c>
      <c r="D13" s="95">
        <v>22.2</v>
      </c>
      <c r="E13" s="105">
        <f t="shared" si="0"/>
        <v>0</v>
      </c>
    </row>
    <row r="14" spans="1:5" x14ac:dyDescent="0.25">
      <c r="A14" s="103">
        <v>3043</v>
      </c>
      <c r="B14" s="104">
        <f>'3пом'!B14</f>
        <v>21.8</v>
      </c>
      <c r="C14" s="104">
        <v>22.1</v>
      </c>
      <c r="D14" s="95">
        <v>22.1</v>
      </c>
      <c r="E14" s="105">
        <f t="shared" si="0"/>
        <v>0</v>
      </c>
    </row>
    <row r="15" spans="1:5" x14ac:dyDescent="0.25">
      <c r="A15" s="103">
        <v>3045</v>
      </c>
      <c r="B15" s="104">
        <f>'3пом'!B15</f>
        <v>4.5999999999999996</v>
      </c>
      <c r="C15" s="104">
        <v>5.6</v>
      </c>
      <c r="D15" s="95">
        <v>5.6</v>
      </c>
      <c r="E15" s="105">
        <f t="shared" si="0"/>
        <v>0</v>
      </c>
    </row>
    <row r="16" spans="1:5" x14ac:dyDescent="0.25">
      <c r="A16" s="103">
        <v>3046</v>
      </c>
      <c r="B16" s="104">
        <f>'3пом'!B16</f>
        <v>9</v>
      </c>
      <c r="C16" s="104">
        <v>9.1</v>
      </c>
      <c r="D16" s="95">
        <v>9.1</v>
      </c>
      <c r="E16" s="105">
        <f t="shared" si="0"/>
        <v>0</v>
      </c>
    </row>
    <row r="17" spans="1:5" x14ac:dyDescent="0.25">
      <c r="A17" s="106">
        <v>3051</v>
      </c>
      <c r="B17" s="107">
        <f>'3пом'!B17</f>
        <v>193.7</v>
      </c>
      <c r="C17" s="107">
        <v>363.8</v>
      </c>
      <c r="D17" s="108">
        <v>198.1</v>
      </c>
      <c r="E17" s="109">
        <f t="shared" si="0"/>
        <v>165.70000000000002</v>
      </c>
    </row>
    <row r="18" spans="1:5" x14ac:dyDescent="0.25">
      <c r="A18" s="103">
        <v>3053</v>
      </c>
      <c r="B18" s="104">
        <f>'3пом'!B18</f>
        <v>198.20000000000002</v>
      </c>
      <c r="C18" s="104">
        <v>200.9</v>
      </c>
      <c r="D18" s="95">
        <v>200.9</v>
      </c>
      <c r="E18" s="105">
        <f t="shared" si="0"/>
        <v>0</v>
      </c>
    </row>
    <row r="19" spans="1:5" x14ac:dyDescent="0.25">
      <c r="A19" s="103">
        <v>3055</v>
      </c>
      <c r="B19" s="104">
        <f>'3пом'!B19</f>
        <v>13.8</v>
      </c>
      <c r="C19" s="104">
        <v>14.5</v>
      </c>
      <c r="D19" s="95">
        <v>14.5</v>
      </c>
      <c r="E19" s="105">
        <f t="shared" si="0"/>
        <v>0</v>
      </c>
    </row>
    <row r="20" spans="1:5" x14ac:dyDescent="0.25">
      <c r="A20" s="103">
        <v>3057</v>
      </c>
      <c r="B20" s="104">
        <f>'3пом'!B20</f>
        <v>8</v>
      </c>
      <c r="C20" s="104">
        <v>8.6</v>
      </c>
      <c r="D20" s="95">
        <v>8.6</v>
      </c>
      <c r="E20" s="105">
        <f t="shared" si="0"/>
        <v>0</v>
      </c>
    </row>
    <row r="21" spans="1:5" x14ac:dyDescent="0.25">
      <c r="A21" s="103">
        <v>3059</v>
      </c>
      <c r="B21" s="104">
        <f>'3пом'!B21</f>
        <v>38.799999999999997</v>
      </c>
      <c r="C21" s="104">
        <v>39</v>
      </c>
      <c r="D21" s="95">
        <v>39</v>
      </c>
      <c r="E21" s="105">
        <f t="shared" si="0"/>
        <v>0</v>
      </c>
    </row>
    <row r="22" spans="1:5" x14ac:dyDescent="0.25">
      <c r="A22" s="103">
        <v>3060</v>
      </c>
      <c r="B22" s="104">
        <f>'3пом'!B22</f>
        <v>7.5</v>
      </c>
      <c r="C22" s="104">
        <v>7.6</v>
      </c>
      <c r="D22" s="95">
        <v>7.6</v>
      </c>
      <c r="E22" s="105">
        <f t="shared" si="0"/>
        <v>0</v>
      </c>
    </row>
    <row r="23" spans="1:5" x14ac:dyDescent="0.25">
      <c r="A23" s="103">
        <v>3061</v>
      </c>
      <c r="B23" s="104">
        <f>'3пом'!B23</f>
        <v>12</v>
      </c>
      <c r="C23" s="104">
        <v>12.8</v>
      </c>
      <c r="D23" s="95">
        <v>12.8</v>
      </c>
      <c r="E23" s="105">
        <f t="shared" si="0"/>
        <v>0</v>
      </c>
    </row>
    <row r="24" spans="1:5" x14ac:dyDescent="0.25">
      <c r="A24" s="103">
        <v>3062</v>
      </c>
      <c r="B24" s="104">
        <f>'3пом'!B24</f>
        <v>11.5</v>
      </c>
      <c r="C24" s="104">
        <v>11.8</v>
      </c>
      <c r="D24" s="105">
        <f>B24</f>
        <v>11.5</v>
      </c>
      <c r="E24" s="105">
        <f t="shared" si="0"/>
        <v>0.30000000000000071</v>
      </c>
    </row>
    <row r="25" spans="1:5" x14ac:dyDescent="0.25">
      <c r="A25" s="103">
        <v>3063</v>
      </c>
      <c r="B25" s="104">
        <f>'3пом'!B25</f>
        <v>72</v>
      </c>
      <c r="C25" s="104">
        <v>72.8</v>
      </c>
      <c r="D25" s="105">
        <f t="shared" ref="D25:D27" si="1">B25</f>
        <v>72</v>
      </c>
      <c r="E25" s="105">
        <f t="shared" si="0"/>
        <v>0.79999999999999716</v>
      </c>
    </row>
    <row r="26" spans="1:5" x14ac:dyDescent="0.25">
      <c r="A26" s="103">
        <v>3064</v>
      </c>
      <c r="B26" s="104">
        <f>'3пом'!B26</f>
        <v>14.6</v>
      </c>
      <c r="C26" s="104">
        <v>15.6</v>
      </c>
      <c r="D26" s="105">
        <f t="shared" si="1"/>
        <v>14.6</v>
      </c>
      <c r="E26" s="105">
        <f t="shared" si="0"/>
        <v>1</v>
      </c>
    </row>
    <row r="27" spans="1:5" x14ac:dyDescent="0.25">
      <c r="A27" s="103">
        <v>3065</v>
      </c>
      <c r="B27" s="104">
        <f>'3пом'!B27</f>
        <v>2.3000000000000003</v>
      </c>
      <c r="C27" s="104">
        <v>3.2</v>
      </c>
      <c r="D27" s="105">
        <f t="shared" si="1"/>
        <v>2.3000000000000003</v>
      </c>
      <c r="E27" s="105">
        <f t="shared" si="0"/>
        <v>0.89999999999999991</v>
      </c>
    </row>
    <row r="28" spans="1:5" x14ac:dyDescent="0.25">
      <c r="A28" s="103">
        <v>3066</v>
      </c>
      <c r="B28" s="104">
        <f>'3пом'!B28</f>
        <v>97.600000000000009</v>
      </c>
      <c r="C28" s="104">
        <v>102.2</v>
      </c>
      <c r="D28" s="95">
        <v>101.7</v>
      </c>
      <c r="E28" s="105">
        <f t="shared" si="0"/>
        <v>0.5</v>
      </c>
    </row>
    <row r="29" spans="1:5" x14ac:dyDescent="0.25">
      <c r="A29" s="103">
        <v>3067</v>
      </c>
      <c r="B29" s="104">
        <f>'3пом'!B29</f>
        <v>14.299999999999999</v>
      </c>
      <c r="C29" s="104">
        <v>15.3</v>
      </c>
      <c r="D29" s="95">
        <v>15.2</v>
      </c>
      <c r="E29" s="105">
        <f t="shared" si="0"/>
        <v>0.10000000000000142</v>
      </c>
    </row>
    <row r="30" spans="1:5" x14ac:dyDescent="0.25">
      <c r="B30" s="57">
        <f>SUM(B2:B29)</f>
        <v>2056.7999999999997</v>
      </c>
      <c r="D30" s="57">
        <f t="shared" ref="D30" si="2">SUM(D2:D29)</f>
        <v>2101.2999999999993</v>
      </c>
    </row>
    <row r="31" spans="1:5" x14ac:dyDescent="0.25">
      <c r="D31" s="101"/>
    </row>
    <row r="33" spans="1:8" x14ac:dyDescent="0.25">
      <c r="A33" s="62">
        <v>3006</v>
      </c>
      <c r="B33" s="63"/>
    </row>
    <row r="34" spans="1:8" x14ac:dyDescent="0.25">
      <c r="A34" s="58">
        <v>3016</v>
      </c>
      <c r="B34" s="59"/>
    </row>
    <row r="35" spans="1:8" x14ac:dyDescent="0.25">
      <c r="A35" s="62">
        <v>3020</v>
      </c>
      <c r="B35" s="63"/>
    </row>
    <row r="36" spans="1:8" x14ac:dyDescent="0.25">
      <c r="A36" s="62">
        <v>3024</v>
      </c>
      <c r="B36" s="63"/>
    </row>
    <row r="37" spans="1:8" x14ac:dyDescent="0.25">
      <c r="A37" s="62">
        <v>3034</v>
      </c>
      <c r="B37" s="63"/>
    </row>
    <row r="38" spans="1:8" x14ac:dyDescent="0.25">
      <c r="A38" s="60">
        <v>3047</v>
      </c>
      <c r="B38" s="61"/>
    </row>
    <row r="39" spans="1:8" x14ac:dyDescent="0.25">
      <c r="A39" s="58">
        <v>3052</v>
      </c>
      <c r="B39" s="59"/>
    </row>
    <row r="40" spans="1:8" x14ac:dyDescent="0.25">
      <c r="G40" t="s">
        <v>94</v>
      </c>
      <c r="H40" s="57">
        <f>B17+B18+B21+B22+B23+B24</f>
        <v>461.7</v>
      </c>
    </row>
    <row r="41" spans="1:8" x14ac:dyDescent="0.25">
      <c r="G41" t="s">
        <v>95</v>
      </c>
      <c r="H41" s="57">
        <f>SUM(B11:B16)+B27</f>
        <v>330.50000000000006</v>
      </c>
    </row>
    <row r="42" spans="1:8" x14ac:dyDescent="0.25">
      <c r="G42" t="s">
        <v>96</v>
      </c>
      <c r="H42" s="81">
        <f>B10+B28+B19+B20+B26</f>
        <v>142.9</v>
      </c>
    </row>
    <row r="43" spans="1:8" x14ac:dyDescent="0.25">
      <c r="G43" t="s">
        <v>97</v>
      </c>
      <c r="H43" s="57">
        <f>B8+B9+B25</f>
        <v>573.4</v>
      </c>
    </row>
    <row r="44" spans="1:8" x14ac:dyDescent="0.25">
      <c r="G44" t="s">
        <v>98</v>
      </c>
      <c r="H44" s="57">
        <f>SUM(B5:B7)+B29</f>
        <v>276.3</v>
      </c>
    </row>
    <row r="45" spans="1:8" x14ac:dyDescent="0.25">
      <c r="G45" t="s">
        <v>99</v>
      </c>
      <c r="H45" s="57">
        <f>SUM(B2:B4)</f>
        <v>272</v>
      </c>
    </row>
    <row r="46" spans="1:8" x14ac:dyDescent="0.25">
      <c r="H46" s="57">
        <f>B30</f>
        <v>2056.7999999999997</v>
      </c>
    </row>
    <row r="47" spans="1:8" x14ac:dyDescent="0.25">
      <c r="H47" s="57">
        <f>SUM(H40:H45)-H46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Table 1</vt:lpstr>
      <vt:lpstr>Лист4</vt:lpstr>
      <vt:lpstr>Лист2</vt:lpstr>
      <vt:lpstr>Лист1</vt:lpstr>
      <vt:lpstr>2расчет</vt:lpstr>
      <vt:lpstr>3вор</vt:lpstr>
      <vt:lpstr>3пом</vt:lpstr>
      <vt:lpstr>3расчет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2025-11-27T12:21:04Z</dcterms:modified>
</cp:coreProperties>
</file>