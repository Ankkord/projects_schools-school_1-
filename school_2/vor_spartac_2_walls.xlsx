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 activeTab="3"/>
  </bookViews>
  <sheets>
    <sheet name="ВедомостьОбщая" sheetId="23" r:id="rId1"/>
    <sheet name="ВОР" sheetId="1" r:id="rId2"/>
    <sheet name="Специф." sheetId="2" state="hidden" r:id="rId3"/>
    <sheet name="ВОР 6с" sheetId="4" r:id="rId4"/>
    <sheet name="спец 6с" sheetId="3" state="hidden" r:id="rId5"/>
    <sheet name="ВОР 5с" sheetId="5" r:id="rId6"/>
    <sheet name="спец 5с" sheetId="6" state="hidden" r:id="rId7"/>
    <sheet name="ВОР 4с" sheetId="8" r:id="rId8"/>
    <sheet name="спец 4с" sheetId="9" state="hidden" r:id="rId9"/>
    <sheet name="ВОР ч1э3" sheetId="10" r:id="rId10"/>
    <sheet name="Спец7с3э" sheetId="11" state="hidden" r:id="rId11"/>
    <sheet name="Спец6с3э" sheetId="12" state="hidden" r:id="rId12"/>
    <sheet name="Спец5с3э" sheetId="13" state="hidden" r:id="rId13"/>
    <sheet name="Спец4с3э" sheetId="14" state="hidden" r:id="rId14"/>
    <sheet name="Лист2" sheetId="16" state="hidden" r:id="rId15"/>
    <sheet name="2вор" sheetId="17" r:id="rId16"/>
    <sheet name="2пом" sheetId="20" state="hidden" r:id="rId17"/>
    <sheet name="2расчет" sheetId="21" state="hidden" r:id="rId18"/>
    <sheet name="3вор1.2с" sheetId="19" r:id="rId19"/>
    <sheet name="Table 1" sheetId="15" r:id="rId20"/>
    <sheet name="3пом" sheetId="18" state="hidden" r:id="rId21"/>
    <sheet name="3расчет" sheetId="22" state="hidden" r:id="rId22"/>
  </sheets>
  <calcPr calcId="152511"/>
  <fileRecoveryPr autoRecover="0"/>
</workbook>
</file>

<file path=xl/calcChain.xml><?xml version="1.0" encoding="utf-8"?>
<calcChain xmlns="http://schemas.openxmlformats.org/spreadsheetml/2006/main">
  <c r="E14" i="19" l="1"/>
  <c r="E14" i="17"/>
  <c r="B28" i="19" l="1"/>
  <c r="B28" i="17"/>
  <c r="B10" i="19" l="1"/>
  <c r="B6" i="19"/>
  <c r="B10" i="17"/>
  <c r="B6" i="17"/>
  <c r="B18" i="10"/>
  <c r="B10" i="10"/>
  <c r="B6" i="10"/>
  <c r="B18" i="8"/>
  <c r="B10" i="8"/>
  <c r="B6" i="8"/>
  <c r="B18" i="5"/>
  <c r="B10" i="5"/>
  <c r="B6" i="5"/>
  <c r="B18" i="4"/>
  <c r="B10" i="4"/>
  <c r="B6" i="4"/>
  <c r="C11" i="23" l="1"/>
  <c r="C5" i="23"/>
  <c r="K10" i="23" l="1"/>
  <c r="K4" i="23"/>
  <c r="I4" i="23"/>
  <c r="H4" i="23"/>
  <c r="G4" i="23"/>
  <c r="F4" i="23"/>
  <c r="K9" i="23"/>
  <c r="K3" i="23"/>
  <c r="I3" i="23"/>
  <c r="H3" i="23"/>
  <c r="G3" i="23"/>
  <c r="F3" i="23"/>
  <c r="D3" i="23" s="1"/>
  <c r="E3" i="23" l="1"/>
  <c r="D4" i="23"/>
  <c r="E4" i="23" s="1"/>
  <c r="L16" i="21"/>
  <c r="L15" i="21"/>
  <c r="L14" i="21"/>
  <c r="D5" i="23" l="1"/>
  <c r="E5" i="23"/>
  <c r="E31" i="20"/>
  <c r="E27" i="20"/>
  <c r="E28" i="20"/>
  <c r="E29" i="20"/>
  <c r="E30" i="20"/>
  <c r="E26" i="20"/>
  <c r="E28" i="19"/>
  <c r="E20" i="19"/>
  <c r="E15" i="19"/>
  <c r="E10" i="19"/>
  <c r="E6" i="19"/>
  <c r="E12" i="20" l="1"/>
  <c r="E8" i="20"/>
  <c r="E11" i="20"/>
  <c r="E13" i="20"/>
  <c r="E14" i="20"/>
  <c r="E16" i="20"/>
  <c r="E29" i="19" s="1"/>
  <c r="E30" i="19" s="1"/>
  <c r="E31" i="19" s="1"/>
  <c r="E17" i="20"/>
  <c r="E18" i="20"/>
  <c r="E19" i="20"/>
  <c r="E27" i="18"/>
  <c r="D27" i="18"/>
  <c r="C27" i="18"/>
  <c r="E16" i="18"/>
  <c r="D16" i="18"/>
  <c r="C16" i="18"/>
  <c r="D32" i="20"/>
  <c r="E20" i="17" s="1"/>
  <c r="E24" i="17" s="1"/>
  <c r="E32" i="20"/>
  <c r="C32" i="20"/>
  <c r="E15" i="17" s="1"/>
  <c r="E19" i="17" s="1"/>
  <c r="E21" i="17" l="1"/>
  <c r="E22" i="17"/>
  <c r="E23" i="17"/>
  <c r="E10" i="20"/>
  <c r="E9" i="20"/>
  <c r="E15" i="20"/>
  <c r="E6" i="20"/>
  <c r="E7" i="20"/>
  <c r="E3" i="19"/>
  <c r="D20" i="20"/>
  <c r="E10" i="17" s="1"/>
  <c r="E13" i="17" s="1"/>
  <c r="E5" i="20"/>
  <c r="C20" i="20"/>
  <c r="E6" i="17" s="1"/>
  <c r="E3" i="17" s="1"/>
  <c r="E4" i="17" s="1"/>
  <c r="E16" i="19"/>
  <c r="E16" i="17"/>
  <c r="E17" i="17"/>
  <c r="E18" i="17"/>
  <c r="E12" i="17"/>
  <c r="E24" i="19"/>
  <c r="E22" i="19"/>
  <c r="E21" i="19"/>
  <c r="E23" i="19"/>
  <c r="E18" i="19"/>
  <c r="E17" i="19"/>
  <c r="E19" i="19"/>
  <c r="E11" i="17" l="1"/>
  <c r="E5" i="17"/>
  <c r="E9" i="17"/>
  <c r="E8" i="17"/>
  <c r="E7" i="17"/>
  <c r="E20" i="20"/>
  <c r="E28" i="17" s="1"/>
  <c r="E29" i="17" s="1"/>
  <c r="E30" i="17" s="1"/>
  <c r="E31" i="17" s="1"/>
  <c r="E9" i="19"/>
  <c r="E5" i="19"/>
  <c r="E11" i="19" l="1"/>
  <c r="E13" i="19"/>
  <c r="E4" i="19"/>
  <c r="E12" i="19"/>
  <c r="E7" i="19"/>
  <c r="E8" i="19"/>
  <c r="T26" i="15"/>
  <c r="T62" i="15"/>
  <c r="T42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6" i="15"/>
  <c r="S5" i="15"/>
  <c r="E10" i="10" l="1"/>
  <c r="F10" i="23" s="1"/>
  <c r="D10" i="23" s="1"/>
  <c r="E10" i="23" s="1"/>
  <c r="E6" i="10"/>
  <c r="F9" i="23" s="1"/>
  <c r="D9" i="23" s="1"/>
  <c r="E3" i="10"/>
  <c r="E14" i="10"/>
  <c r="E13" i="14"/>
  <c r="D11" i="23" l="1"/>
  <c r="E9" i="23"/>
  <c r="E11" i="23" s="1"/>
  <c r="E11" i="10"/>
  <c r="E9" i="10"/>
  <c r="E5" i="10"/>
  <c r="E4" i="10"/>
  <c r="E15" i="14"/>
  <c r="E14" i="14"/>
  <c r="D16" i="14"/>
  <c r="C16" i="14"/>
  <c r="E12" i="14"/>
  <c r="E11" i="14"/>
  <c r="E10" i="14"/>
  <c r="E9" i="14"/>
  <c r="E8" i="14"/>
  <c r="E7" i="14"/>
  <c r="E6" i="14"/>
  <c r="E5" i="14"/>
  <c r="D7" i="13"/>
  <c r="C7" i="13"/>
  <c r="E6" i="13"/>
  <c r="E5" i="13"/>
  <c r="E7" i="13" s="1"/>
  <c r="D14" i="12"/>
  <c r="C14" i="12"/>
  <c r="E13" i="12"/>
  <c r="E12" i="12"/>
  <c r="E11" i="12"/>
  <c r="E10" i="12"/>
  <c r="E9" i="12"/>
  <c r="E8" i="12"/>
  <c r="E7" i="12"/>
  <c r="E6" i="12"/>
  <c r="E5" i="12"/>
  <c r="E14" i="11"/>
  <c r="E15" i="11"/>
  <c r="D16" i="11"/>
  <c r="C16" i="11"/>
  <c r="E13" i="11"/>
  <c r="E12" i="11"/>
  <c r="E11" i="11"/>
  <c r="E10" i="11"/>
  <c r="E9" i="11"/>
  <c r="E8" i="11"/>
  <c r="E7" i="11"/>
  <c r="E6" i="11"/>
  <c r="E5" i="11"/>
  <c r="E16" i="11" l="1"/>
  <c r="E13" i="10"/>
  <c r="E12" i="10"/>
  <c r="E7" i="10"/>
  <c r="E18" i="10"/>
  <c r="E8" i="10"/>
  <c r="E16" i="14"/>
  <c r="E14" i="12"/>
  <c r="E14" i="8"/>
  <c r="E11" i="9"/>
  <c r="E8" i="9"/>
  <c r="E12" i="9"/>
  <c r="E13" i="9"/>
  <c r="C14" i="9"/>
  <c r="E5" i="8"/>
  <c r="E4" i="8"/>
  <c r="E20" i="10" l="1"/>
  <c r="E19" i="10"/>
  <c r="E5" i="9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<sst xmlns="http://schemas.openxmlformats.org/spreadsheetml/2006/main" count="1809" uniqueCount="228">
  <si>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</si>
  <si>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</si>
  <si>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</si>
  <si>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</si>
  <si>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</si>
  <si>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</si>
  <si>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</si>
  <si>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</si>
  <si>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</si>
  <si>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</si>
  <si>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</si>
  <si>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</si>
  <si>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</si>
  <si>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</si>
  <si>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</si>
  <si>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</si>
  <si>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</si>
  <si>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</si>
  <si>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</si>
  <si>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</si>
  <si>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</si>
  <si>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</si>
  <si>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</si>
  <si>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</si>
  <si>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</si>
  <si>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</si>
  <si>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</si>
  <si>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</si>
  <si>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</si>
  <si>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</si>
  <si>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</si>
  <si>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</si>
  <si>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</si>
  <si>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</si>
  <si>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</si>
  <si>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</si>
  <si>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</si>
  <si>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</si>
  <si>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</si>
  <si>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</si>
  <si>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</si>
  <si>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</si>
  <si>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</si>
  <si>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</si>
  <si>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</si>
  <si>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</si>
  <si>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</si>
  <si>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</si>
  <si>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</si>
  <si>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</si>
  <si>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</si>
  <si>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</si>
  <si>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</si>
  <si>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</si>
  <si>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</si>
  <si>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</si>
  <si>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</si>
  <si>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</si>
  <si>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</si>
  <si>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</si>
  <si>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</si>
  <si>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</si>
  <si>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</si>
  <si>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</si>
  <si>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</si>
  <si>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</si>
  <si>
    <t>3.050</t>
  </si>
  <si>
    <t>3.051</t>
  </si>
  <si>
    <t>3.054</t>
  </si>
  <si>
    <t>3.058</t>
  </si>
  <si>
    <t>3.061</t>
  </si>
  <si>
    <t>3.062</t>
  </si>
  <si>
    <t>3.053</t>
  </si>
  <si>
    <t>3.059</t>
  </si>
  <si>
    <t>3.049</t>
  </si>
  <si>
    <t>3.060</t>
  </si>
  <si>
    <t>3.005</t>
  </si>
  <si>
    <t>3.046</t>
  </si>
  <si>
    <t>3.043</t>
  </si>
  <si>
    <t>3.039</t>
  </si>
  <si>
    <t>3.041</t>
  </si>
  <si>
    <t>3.044</t>
  </si>
  <si>
    <t>3.045</t>
  </si>
  <si>
    <t>3.038</t>
  </si>
  <si>
    <t>3.040</t>
  </si>
  <si>
    <t>3.042</t>
  </si>
  <si>
    <t>3.037</t>
  </si>
  <si>
    <t>3.036</t>
  </si>
  <si>
    <t>3.027</t>
  </si>
  <si>
    <t>3.028</t>
  </si>
  <si>
    <t>3.030</t>
  </si>
  <si>
    <t>3.066</t>
  </si>
  <si>
    <t>3.031</t>
  </si>
  <si>
    <t>3.057</t>
  </si>
  <si>
    <t>3.055</t>
  </si>
  <si>
    <t>3.064</t>
  </si>
  <si>
    <t>3.033</t>
  </si>
  <si>
    <t>3.032</t>
  </si>
  <si>
    <t>3.035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</si>
  <si>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</si>
  <si>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</si>
  <si>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 секция)</t>
  </si>
  <si>
    <t>Штукатурка стен  и базовая шпаклевка (4 секция)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</si>
  <si>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2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(начало)</t>
    </r>
  </si>
  <si>
    <r>
      <rPr>
        <i/>
        <sz val="15.5"/>
        <rFont val="ISOCPEUR"/>
        <family val="2"/>
      </rPr>
      <t>Номер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я</t>
    </r>
  </si>
  <si>
    <r>
      <rPr>
        <i/>
        <sz val="15.5"/>
        <rFont val="ISOCPEUR"/>
        <family val="2"/>
      </rPr>
      <t>Наименование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помещения</t>
    </r>
  </si>
  <si>
    <r>
      <rPr>
        <i/>
        <sz val="15.5"/>
        <rFont val="ISOCPEUR"/>
        <family val="2"/>
      </rPr>
      <t>ЧЕРНОВАЯ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СТЕН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ИЛИ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ПЕРЕГОРОДОК</t>
    </r>
  </si>
  <si>
    <r>
      <rPr>
        <i/>
        <sz val="15.5"/>
        <rFont val="ISOCPEUR"/>
        <family val="2"/>
      </rPr>
      <t>Железобетон</t>
    </r>
  </si>
  <si>
    <r>
      <rPr>
        <i/>
        <sz val="15.5"/>
        <rFont val="ISOCPEUR"/>
        <family val="2"/>
      </rPr>
      <t>Кирпич</t>
    </r>
  </si>
  <si>
    <r>
      <rPr>
        <i/>
        <sz val="15.5"/>
        <rFont val="ISOCPEUR"/>
        <family val="2"/>
      </rPr>
      <t>Газобетон</t>
    </r>
  </si>
  <si>
    <r>
      <rPr>
        <i/>
        <sz val="15.5"/>
        <rFont val="ISOCPEUR"/>
        <family val="2"/>
      </rPr>
      <t>ГСП</t>
    </r>
  </si>
  <si>
    <r>
      <rPr>
        <i/>
        <sz val="15.5"/>
        <rFont val="ISOCPEUR"/>
        <family val="2"/>
      </rPr>
      <t>ПГП</t>
    </r>
  </si>
  <si>
    <r>
      <rPr>
        <i/>
        <sz val="15.5"/>
        <rFont val="ISOCPEUR"/>
        <family val="2"/>
      </rPr>
      <t>Утеплитель</t>
    </r>
  </si>
  <si>
    <r>
      <rPr>
        <i/>
        <sz val="15.5"/>
        <rFont val="ISOCPEUR"/>
        <family val="2"/>
      </rPr>
      <t>Финишный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слой</t>
    </r>
  </si>
  <si>
    <r>
      <rPr>
        <i/>
        <sz val="15.5"/>
        <rFont val="ISOCPEUR"/>
        <family val="2"/>
      </rPr>
      <t>Вид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</si>
  <si>
    <r>
      <rPr>
        <i/>
        <sz val="15.5"/>
        <rFont val="ISOCPEUR"/>
        <family val="2"/>
      </rPr>
      <t>Площадь,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м²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</si>
  <si>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время,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</si>
  <si>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</si>
  <si>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</si>
  <si>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</si>
  <si>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</si>
  <si>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начальных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коридором)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</si>
  <si>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</si>
  <si>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</si>
  <si>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</si>
  <si>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актового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</si>
  <si>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Технический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центр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</si>
  <si>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клетка</t>
    </r>
  </si>
  <si>
    <r>
      <rPr>
        <i/>
        <sz val="11"/>
        <rFont val="ISOCPEUR"/>
        <family val="2"/>
      </rPr>
      <t>Лифтовый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</si>
  <si>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</si>
  <si>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</si>
  <si>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</si>
  <si>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</si>
  <si>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</si>
  <si>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</si>
  <si>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детей)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</si>
  <si>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</si>
  <si>
    <r>
      <rPr>
        <i/>
        <sz val="11"/>
        <rFont val="ISOCPEUR"/>
        <family val="2"/>
      </rPr>
      <t>Многофункциональный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закрытый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фонд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</si>
  <si>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Раздевальная</t>
    </r>
  </si>
  <si>
    <r>
      <rPr>
        <i/>
        <sz val="11"/>
        <rFont val="ISOCPEUR"/>
        <family val="2"/>
      </rPr>
      <t>Душевая</t>
    </r>
  </si>
  <si>
    <r>
      <rPr>
        <i/>
        <sz val="11"/>
        <rFont val="ISOCPEUR"/>
        <family val="2"/>
      </rPr>
      <t>Туалет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</si>
  <si>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</si>
  <si>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</si>
  <si>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</si>
  <si>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</si>
  <si>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18x30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разделительным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занавесом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электрическом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приводе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</si>
  <si>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</si>
  <si>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5-9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</si>
  <si>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коридором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</si>
  <si>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экология+география+ОБЖ)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</si>
  <si>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</si>
  <si>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АВ)</t>
    </r>
  </si>
  <si>
    <r>
      <rPr>
        <i/>
        <sz val="11"/>
        <rFont val="ISOCPEUR"/>
        <family val="2"/>
      </rPr>
      <t xml:space="preserve">Инженерный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</si>
  <si>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Лаборантская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</si>
  <si>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</si>
  <si>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</si>
  <si>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пространства</t>
    </r>
  </si>
  <si>
    <r>
      <rPr>
        <i/>
        <sz val="11"/>
        <rFont val="ISOCPEUR"/>
        <family val="2"/>
      </rPr>
      <t xml:space="preserve">Академический
</t>
    </r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</si>
  <si>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Лекционная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аудитория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</si>
  <si>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</si>
  <si>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</si>
  <si>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</si>
  <si>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Шахматный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кружок</t>
    </r>
  </si>
  <si>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</si>
  <si>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</si>
  <si>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(10-11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</si>
  <si>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физика+химия+биология)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</si>
  <si>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</si>
  <si>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информатики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</si>
  <si>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 xml:space="preserve">Медицинский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</si>
  <si>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IT-полигон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</si>
  <si>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Мастерская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акварельной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живописи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рисунка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кладовой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</si>
  <si>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</si>
  <si>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(физика)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</si>
  <si>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обработки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</si>
  <si>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установки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технологического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</si>
  <si>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расходных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</si>
  <si>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Кладовая</t>
    </r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</si>
  <si>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</si>
  <si>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</si>
  <si>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</si>
  <si>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</si>
  <si>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</si>
  <si>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</si>
  <si>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</si>
  <si>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</si>
  <si>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Столбец9</t>
  </si>
  <si>
    <t>Столбец10</t>
  </si>
  <si>
    <t>Столбец11</t>
  </si>
  <si>
    <t>Столбец13</t>
  </si>
  <si>
    <t>Столбец14</t>
  </si>
  <si>
    <t>Столбец15</t>
  </si>
  <si>
    <t>Столбец16</t>
  </si>
  <si>
    <t>Столбец17</t>
  </si>
  <si>
    <t>4</t>
  </si>
  <si>
    <t>Грунтовка БЕТОН-КОНТАКТ_/</t>
  </si>
  <si>
    <t>Сетка штукатурная_/пластиковая/5*5</t>
  </si>
  <si>
    <t>Штукатурка цементная</t>
  </si>
  <si>
    <t>м2</t>
  </si>
  <si>
    <t>5</t>
  </si>
  <si>
    <t>4.1</t>
  </si>
  <si>
    <t>4.2</t>
  </si>
  <si>
    <t>4.3</t>
  </si>
  <si>
    <t>4.4</t>
  </si>
  <si>
    <t>5.1</t>
  </si>
  <si>
    <t>5.2</t>
  </si>
  <si>
    <t>5.3</t>
  </si>
  <si>
    <t>5.4</t>
  </si>
  <si>
    <t>Сумма</t>
  </si>
  <si>
    <t>Штукатурка стен цементным, цементно-песчаным раствором с предварительной огрунтовкой / толщ. от 21 до 40 мм / высотой до 4 метров (Штукатурка по ж/б поверхностям)</t>
  </si>
  <si>
    <t>Штукатурка стен цементным, цементно-песчаным раствором с предварительной огрунтовкой / толщ. от 21 до 40 мм / высотой до 4 метров
(Штукатурка  по газобетонному блоку и ПГП)</t>
  </si>
  <si>
    <t>швы</t>
  </si>
  <si>
    <t>штук жб</t>
  </si>
  <si>
    <t>Штукатурка стен (штук. цементная)</t>
  </si>
  <si>
    <t>2эт</t>
  </si>
  <si>
    <t>3эт</t>
  </si>
  <si>
    <t>общая</t>
  </si>
  <si>
    <t>текущь</t>
  </si>
  <si>
    <t>остаток</t>
  </si>
  <si>
    <t>сумма</t>
  </si>
  <si>
    <t>-</t>
  </si>
  <si>
    <t>Что осталось</t>
  </si>
  <si>
    <t>Библиотека и спорт зал</t>
  </si>
  <si>
    <t>Штукатурка стен сухими смесями с установкой маяков с предварительной огрунтовкой / толщ. от 21 до 40 мм (Штукатурка по ж/б поверхностям)</t>
  </si>
  <si>
    <t>Штукатурка стен сухими смесями с установкой маяков с предварительной огрунтовкой / толщ. от 21 до 40 мм (Штукатурка  по газобетонному блоку и ПГП)</t>
  </si>
  <si>
    <t>Штукатурка стен гипсовыми смесями с предварительной огрунтовкой СКБ / толщ. от 21 до 40 мм / высотой от 4,01 до 8 метров (Штукатурка по ж/б поверхностям)</t>
  </si>
  <si>
    <t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t>
  </si>
  <si>
    <t>Подготовка поверхности СКБ / стен / по штукатурке / 2мм (Шпаклевка базовая)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</si>
</sst>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Times New Roman"/>
      <family val="1"/>
      <charset val="204"/>
    </font>
    <font>
      <i/>
      <sz val="15.5"/>
      <name val="ISOCPEUR"/>
      <family val="2"/>
    </font>
    <font>
      <sz val="15.5"/>
      <name val="Times New Roman"/>
      <family val="1"/>
    </font>
    <font>
      <i/>
      <sz val="15.5"/>
      <name val="ISOCPEUR"/>
      <family val="2"/>
      <charset val="204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1"/>
      <name val="ISOCPEUR"/>
      <family val="2"/>
      <charset val="204"/>
    </font>
    <font>
      <sz val="14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15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center" vertical="center"/>
    </xf>
    <xf numFmtId="0" fontId="5" fillId="0" borderId="0" xfId="2" applyFill="1" applyBorder="1" applyAlignment="1">
      <alignment horizontal="left" vertical="top"/>
    </xf>
    <xf numFmtId="0" fontId="5" fillId="0" borderId="0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left" vertical="center" wrapText="1"/>
    </xf>
    <xf numFmtId="0" fontId="5" fillId="0" borderId="32" xfId="2" applyFill="1" applyBorder="1" applyAlignment="1">
      <alignment horizontal="left" vertical="center" wrapText="1"/>
    </xf>
    <xf numFmtId="0" fontId="5" fillId="0" borderId="32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left" vertical="top" wrapText="1"/>
    </xf>
    <xf numFmtId="0" fontId="5" fillId="0" borderId="30" xfId="2" applyFill="1" applyBorder="1" applyAlignment="1">
      <alignment horizontal="left" vertical="top" wrapText="1"/>
    </xf>
    <xf numFmtId="0" fontId="5" fillId="0" borderId="30" xfId="2" applyFill="1" applyBorder="1" applyAlignment="1">
      <alignment horizontal="left" vertical="center" wrapText="1"/>
    </xf>
    <xf numFmtId="0" fontId="5" fillId="0" borderId="28" xfId="2" applyFill="1" applyBorder="1" applyAlignment="1">
      <alignment horizontal="left" vertical="top" wrapText="1" indent="2"/>
    </xf>
    <xf numFmtId="165" fontId="9" fillId="0" borderId="28" xfId="2" applyNumberFormat="1" applyFont="1" applyFill="1" applyBorder="1" applyAlignment="1">
      <alignment horizontal="center" vertical="center" shrinkToFit="1"/>
    </xf>
    <xf numFmtId="165" fontId="9" fillId="0" borderId="30" xfId="2" applyNumberFormat="1" applyFont="1" applyFill="1" applyBorder="1" applyAlignment="1">
      <alignment horizontal="center" vertical="center" shrinkToFit="1"/>
    </xf>
    <xf numFmtId="165" fontId="9" fillId="0" borderId="32" xfId="2" applyNumberFormat="1" applyFont="1" applyFill="1" applyBorder="1" applyAlignment="1">
      <alignment horizontal="center" vertical="center" shrinkToFit="1"/>
    </xf>
    <xf numFmtId="3" fontId="9" fillId="0" borderId="28" xfId="2" applyNumberFormat="1" applyFont="1" applyFill="1" applyBorder="1" applyAlignment="1">
      <alignment horizontal="center" vertical="center" shrinkToFit="1"/>
    </xf>
    <xf numFmtId="0" fontId="5" fillId="0" borderId="28" xfId="2" applyFill="1" applyBorder="1" applyAlignment="1">
      <alignment horizontal="left" vertical="top" wrapText="1" indent="5"/>
    </xf>
    <xf numFmtId="165" fontId="5" fillId="0" borderId="0" xfId="2" applyNumberFormat="1" applyFill="1" applyBorder="1" applyAlignment="1">
      <alignment horizontal="left" vertical="top"/>
    </xf>
    <xf numFmtId="3" fontId="5" fillId="0" borderId="0" xfId="2" applyNumberFormat="1" applyFill="1" applyBorder="1" applyAlignment="1">
      <alignment horizontal="left" vertical="top"/>
    </xf>
    <xf numFmtId="0" fontId="12" fillId="0" borderId="28" xfId="2" applyFont="1" applyFill="1" applyBorder="1" applyAlignment="1">
      <alignment horizontal="left" vertical="center" wrapText="1"/>
    </xf>
    <xf numFmtId="3" fontId="9" fillId="0" borderId="30" xfId="2" applyNumberFormat="1" applyFont="1" applyFill="1" applyBorder="1" applyAlignment="1">
      <alignment horizontal="center" vertical="center" shrinkToFit="1"/>
    </xf>
    <xf numFmtId="0" fontId="12" fillId="0" borderId="30" xfId="2" applyFont="1" applyFill="1" applyBorder="1" applyAlignment="1">
      <alignment horizontal="left" vertical="center" wrapText="1"/>
    </xf>
    <xf numFmtId="3" fontId="9" fillId="0" borderId="32" xfId="2" applyNumberFormat="1" applyFont="1" applyFill="1" applyBorder="1" applyAlignment="1">
      <alignment horizontal="center" vertical="center" shrinkToFit="1"/>
    </xf>
    <xf numFmtId="0" fontId="12" fillId="0" borderId="32" xfId="2" applyFont="1" applyFill="1" applyBorder="1" applyAlignment="1">
      <alignment horizontal="left" vertical="center" wrapText="1"/>
    </xf>
    <xf numFmtId="165" fontId="9" fillId="0" borderId="28" xfId="2" applyNumberFormat="1" applyFont="1" applyFill="1" applyBorder="1" applyAlignment="1">
      <alignment horizontal="right" vertical="center" indent="5" shrinkToFit="1"/>
    </xf>
    <xf numFmtId="165" fontId="9" fillId="0" borderId="28" xfId="2" applyNumberFormat="1" applyFont="1" applyFill="1" applyBorder="1" applyAlignment="1">
      <alignment horizontal="right" vertical="center" indent="4" shrinkToFit="1"/>
    </xf>
    <xf numFmtId="165" fontId="9" fillId="2" borderId="28" xfId="2" applyNumberFormat="1" applyFont="1" applyFill="1" applyBorder="1" applyAlignment="1">
      <alignment horizontal="center" vertical="center" shrinkToFit="1"/>
    </xf>
    <xf numFmtId="165" fontId="9" fillId="2" borderId="30" xfId="2" applyNumberFormat="1" applyFont="1" applyFill="1" applyBorder="1" applyAlignment="1">
      <alignment horizontal="center" vertical="center" shrinkToFi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0" xfId="0" applyFont="1"/>
    <xf numFmtId="0" fontId="2" fillId="0" borderId="8" xfId="0" applyFont="1" applyBorder="1"/>
    <xf numFmtId="165" fontId="2" fillId="0" borderId="8" xfId="0" applyNumberFormat="1" applyFont="1" applyBorder="1"/>
    <xf numFmtId="0" fontId="2" fillId="3" borderId="8" xfId="0" applyFont="1" applyFill="1" applyBorder="1"/>
    <xf numFmtId="0" fontId="2" fillId="0" borderId="11" xfId="0" applyFont="1" applyBorder="1" applyAlignment="1">
      <alignment horizontal="left" vertical="center" wrapText="1" indent="2"/>
    </xf>
    <xf numFmtId="49" fontId="2" fillId="0" borderId="8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49" fontId="2" fillId="3" borderId="8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/>
    </xf>
    <xf numFmtId="2" fontId="2" fillId="3" borderId="8" xfId="0" applyNumberFormat="1" applyFont="1" applyFill="1" applyBorder="1" applyAlignment="1">
      <alignment horizontal="center" vertical="center"/>
    </xf>
    <xf numFmtId="164" fontId="2" fillId="3" borderId="8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 indent="2"/>
    </xf>
    <xf numFmtId="165" fontId="2" fillId="3" borderId="8" xfId="0" applyNumberFormat="1" applyFont="1" applyFill="1" applyBorder="1"/>
    <xf numFmtId="2" fontId="0" fillId="0" borderId="0" xfId="0" applyNumberFormat="1"/>
    <xf numFmtId="164" fontId="2" fillId="0" borderId="8" xfId="0" applyNumberFormat="1" applyFont="1" applyBorder="1"/>
    <xf numFmtId="0" fontId="2" fillId="0" borderId="33" xfId="0" applyFont="1" applyBorder="1"/>
    <xf numFmtId="164" fontId="2" fillId="3" borderId="8" xfId="0" applyNumberFormat="1" applyFont="1" applyFill="1" applyBorder="1"/>
    <xf numFmtId="0" fontId="0" fillId="0" borderId="8" xfId="0" applyBorder="1"/>
    <xf numFmtId="166" fontId="13" fillId="0" borderId="8" xfId="0" applyNumberFormat="1" applyFont="1" applyBorder="1" applyAlignment="1" applyProtection="1">
      <alignment horizontal="center" vertical="center" wrapText="1"/>
    </xf>
    <xf numFmtId="2" fontId="2" fillId="0" borderId="8" xfId="0" applyNumberFormat="1" applyFont="1" applyBorder="1" applyAlignment="1">
      <alignment vertical="center" wrapText="1"/>
    </xf>
    <xf numFmtId="166" fontId="2" fillId="0" borderId="8" xfId="0" applyNumberFormat="1" applyFont="1" applyBorder="1" applyAlignment="1">
      <alignment vertical="center" wrapText="1"/>
    </xf>
    <xf numFmtId="2" fontId="0" fillId="0" borderId="8" xfId="0" applyNumberFormat="1" applyBorder="1"/>
    <xf numFmtId="166" fontId="0" fillId="0" borderId="8" xfId="0" applyNumberFormat="1" applyBorder="1"/>
    <xf numFmtId="166" fontId="13" fillId="4" borderId="8" xfId="0" applyNumberFormat="1" applyFont="1" applyFill="1" applyBorder="1" applyAlignment="1" applyProtection="1">
      <alignment horizontal="center" vertical="center" wrapText="1"/>
    </xf>
    <xf numFmtId="166" fontId="13" fillId="5" borderId="8" xfId="0" applyNumberFormat="1" applyFont="1" applyFill="1" applyBorder="1" applyAlignment="1" applyProtection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8" fillId="0" borderId="28" xfId="2" applyFont="1" applyFill="1" applyBorder="1" applyAlignment="1">
      <alignment horizontal="center" vertical="top" wrapText="1"/>
    </xf>
    <xf numFmtId="0" fontId="8" fillId="0" borderId="29" xfId="2" applyFont="1" applyFill="1" applyBorder="1" applyAlignment="1">
      <alignment horizontal="center" vertical="top" wrapText="1"/>
    </xf>
    <xf numFmtId="0" fontId="5" fillId="0" borderId="28" xfId="2" applyFill="1" applyBorder="1" applyAlignment="1">
      <alignment horizontal="left" vertical="top" wrapText="1"/>
    </xf>
    <xf numFmtId="0" fontId="5" fillId="0" borderId="29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center" vertical="top" wrapText="1"/>
    </xf>
    <xf numFmtId="0" fontId="5" fillId="0" borderId="29" xfId="2" applyFill="1" applyBorder="1" applyAlignment="1">
      <alignment horizontal="center" vertical="top" wrapText="1"/>
    </xf>
    <xf numFmtId="0" fontId="5" fillId="0" borderId="30" xfId="2" applyFill="1" applyBorder="1" applyAlignment="1">
      <alignment horizontal="center" vertical="top" wrapText="1"/>
    </xf>
    <xf numFmtId="0" fontId="5" fillId="0" borderId="31" xfId="2" applyFill="1" applyBorder="1" applyAlignment="1">
      <alignment horizontal="center" vertical="top" wrapText="1"/>
    </xf>
    <xf numFmtId="0" fontId="5" fillId="0" borderId="32" xfId="2" applyFill="1" applyBorder="1" applyAlignment="1">
      <alignment horizontal="center" vertical="top" wrapText="1"/>
    </xf>
    <xf numFmtId="0" fontId="5" fillId="0" borderId="30" xfId="2" applyFill="1" applyBorder="1" applyAlignment="1">
      <alignment horizontal="left" vertical="top" wrapText="1" indent="5"/>
    </xf>
    <xf numFmtId="0" fontId="5" fillId="0" borderId="31" xfId="2" applyFill="1" applyBorder="1" applyAlignment="1">
      <alignment horizontal="left" vertical="top" wrapText="1" indent="5"/>
    </xf>
    <xf numFmtId="0" fontId="5" fillId="0" borderId="32" xfId="2" applyFill="1" applyBorder="1" applyAlignment="1">
      <alignment horizontal="left" vertical="top" wrapText="1" indent="5"/>
    </xf>
    <xf numFmtId="0" fontId="8" fillId="0" borderId="28" xfId="2" applyFont="1" applyFill="1" applyBorder="1" applyAlignment="1">
      <alignment horizontal="left" vertical="top" wrapText="1"/>
    </xf>
    <xf numFmtId="0" fontId="8" fillId="0" borderId="29" xfId="2" applyFont="1" applyFill="1" applyBorder="1" applyAlignment="1">
      <alignment horizontal="left" vertical="top" wrapText="1"/>
    </xf>
  </cellXfs>
  <cellStyles count="3">
    <cellStyle name="Обычный" xfId="0" builtinId="0"/>
    <cellStyle name="Обычный 2" xfId="1"/>
    <cellStyle name="Обычный 3" xfId="2"/>
  </cellStyles>
  <dxfs count="20"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</dxf>
    <dxf>
      <border outline="0"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id="3" name="Таблица3" displayName="Таблица3" ref="A5:P143" totalsRowShown="0" headerRowDxfId="19" dataDxfId="17" headerRowBorderDxfId="18" tableBorderDxfId="16" headerRowCellStyle="Обычный 3" dataCellStyle="Обычный 3">
  <autoFilter ref="A5:P143">
    <filterColumn colId="0">
      <customFilters>
        <customFilter operator="lessThan" val="3000"/>
      </customFilters>
    </filterColumn>
    <filterColumn colId="2">
      <filters>
        <filter val="-"/>
        <filter val="-  грунтовка  &quot;Бетоноконтакт&quot;;_x000a_-  штукатурка_x000a_цементно-песчаным  раствором М100  (армированная стекловолоконной  или пластиковой  сеткой);_x000a_-  грунтовка  глубокого проникновения_x000a_δ  =  20  мм"/>
      </filters>
    </filterColumn>
  </autoFilter>
  <tableColumns count="16">
    <tableColumn id="1" name="Столбец1" dataDxfId="15" dataCellStyle="Обычный 3"/>
    <tableColumn id="2" name="Столбец2" dataDxfId="14" dataCellStyle="Обычный 3"/>
    <tableColumn id="3" name="Столбец3" dataDxfId="13" dataCellStyle="Обычный 3"/>
    <tableColumn id="4" name="Столбец4" dataDxfId="12" dataCellStyle="Обычный 3"/>
    <tableColumn id="5" name="Столбец5" dataDxfId="11" dataCellStyle="Обычный 3"/>
    <tableColumn id="6" name="Столбец6" dataDxfId="10" dataCellStyle="Обычный 3"/>
    <tableColumn id="7" name="Столбец7" dataDxfId="9" dataCellStyle="Обычный 3"/>
    <tableColumn id="8" name="Столбец8" dataDxfId="8" dataCellStyle="Обычный 3"/>
    <tableColumn id="9" name="Столбец9" dataDxfId="7" dataCellStyle="Обычный 3"/>
    <tableColumn id="10" name="Столбец10" dataDxfId="6" dataCellStyle="Обычный 3"/>
    <tableColumn id="11" name="Столбец11" dataDxfId="5" dataCellStyle="Обычный 3"/>
    <tableColumn id="13" name="Столбец13" dataDxfId="4" dataCellStyle="Обычный 3"/>
    <tableColumn id="14" name="Столбец14" dataDxfId="3" dataCellStyle="Обычный 3"/>
    <tableColumn id="15" name="Столбец15" dataDxfId="2" dataCellStyle="Обычный 3"/>
    <tableColumn id="16" name="Столбец16" dataDxfId="1" dataCellStyle="Обычный 3"/>
    <tableColumn id="17" name="Столбец17" dataDxfId="0" dataCellStyle="Обычный 3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T11"/>
  <sheetViews>
    <sheetView zoomScale="85" zoomScaleNormal="85" workbookViewId="0">
      <selection activeCell="B3" sqref="B3"/>
    </sheetView>
  </sheetViews>
  <sheetFormatPr defaultRowHeight="15" x14ac:dyDescent="0.25"/>
  <cols>
    <col min="2" max="2" width="54.85546875" customWidth="1"/>
    <col min="3" max="5" width="22.42578125" customWidth="1"/>
    <col min="13" max="13" width="29" customWidth="1"/>
  </cols>
  <sheetData>
    <row r="1" spans="2:20" x14ac:dyDescent="0.25">
      <c r="B1" s="128"/>
      <c r="C1" s="128"/>
      <c r="D1" s="128"/>
      <c r="E1" s="128"/>
      <c r="F1" s="128" t="s">
        <v>214</v>
      </c>
      <c r="G1" s="128" t="s">
        <v>214</v>
      </c>
      <c r="H1" s="128" t="s">
        <v>214</v>
      </c>
      <c r="I1" s="128" t="s">
        <v>214</v>
      </c>
      <c r="J1" s="128" t="s">
        <v>214</v>
      </c>
      <c r="K1" s="128" t="s">
        <v>214</v>
      </c>
      <c r="L1" s="128" t="s">
        <v>214</v>
      </c>
      <c r="N1" t="s">
        <v>215</v>
      </c>
      <c r="O1" t="s">
        <v>215</v>
      </c>
      <c r="P1" t="s">
        <v>215</v>
      </c>
      <c r="Q1" t="s">
        <v>215</v>
      </c>
      <c r="R1" t="s">
        <v>215</v>
      </c>
      <c r="S1" t="s">
        <v>215</v>
      </c>
      <c r="T1" t="s">
        <v>215</v>
      </c>
    </row>
    <row r="2" spans="2:20" x14ac:dyDescent="0.25">
      <c r="B2" s="128" t="s">
        <v>214</v>
      </c>
      <c r="C2" s="128" t="s">
        <v>216</v>
      </c>
      <c r="D2" s="128" t="s">
        <v>217</v>
      </c>
      <c r="E2" s="128" t="s">
        <v>218</v>
      </c>
      <c r="F2" s="128">
        <v>7</v>
      </c>
      <c r="G2" s="128">
        <v>6</v>
      </c>
      <c r="H2" s="128">
        <v>5</v>
      </c>
      <c r="I2" s="128">
        <v>4</v>
      </c>
      <c r="J2" s="128">
        <v>3</v>
      </c>
      <c r="K2" s="128">
        <v>2</v>
      </c>
      <c r="L2" s="128">
        <v>1</v>
      </c>
      <c r="M2" t="s">
        <v>221</v>
      </c>
      <c r="N2">
        <v>7</v>
      </c>
      <c r="O2">
        <v>6</v>
      </c>
      <c r="P2">
        <v>5</v>
      </c>
      <c r="Q2">
        <v>4</v>
      </c>
      <c r="R2">
        <v>3</v>
      </c>
      <c r="S2">
        <v>2</v>
      </c>
      <c r="T2">
        <v>1</v>
      </c>
    </row>
    <row r="3" spans="2:20" ht="38.25" x14ac:dyDescent="0.25">
      <c r="B3" s="65" t="s">
        <v>223</v>
      </c>
      <c r="C3" s="134">
        <v>3617.6</v>
      </c>
      <c r="D3" s="130">
        <f>SUM(F3:L3)</f>
        <v>1991.3284768087999</v>
      </c>
      <c r="E3" s="131">
        <f>C3-D3</f>
        <v>1626.2715231912</v>
      </c>
      <c r="F3" s="132">
        <f>ВОР!E6</f>
        <v>410.02</v>
      </c>
      <c r="G3" s="132">
        <f>'ВОР 6с'!E6</f>
        <v>333.82</v>
      </c>
      <c r="H3" s="132">
        <f>'ВОР 5с'!E6</f>
        <v>161.16999999999999</v>
      </c>
      <c r="I3" s="132">
        <f>'ВОР 4с'!E6</f>
        <v>361.91847680879999</v>
      </c>
      <c r="J3" s="128"/>
      <c r="K3" s="132">
        <f>'2вор'!E6</f>
        <v>724.40000000000009</v>
      </c>
      <c r="L3" s="128" t="s">
        <v>220</v>
      </c>
      <c r="M3" t="s">
        <v>222</v>
      </c>
    </row>
    <row r="4" spans="2:20" ht="38.25" x14ac:dyDescent="0.25">
      <c r="B4" s="65" t="s">
        <v>224</v>
      </c>
      <c r="C4" s="135">
        <v>4510.8</v>
      </c>
      <c r="D4" s="130">
        <f>SUM(F4:L4)</f>
        <v>3293.4997905873001</v>
      </c>
      <c r="E4" s="131">
        <f>C4-D4</f>
        <v>1217.3002094127</v>
      </c>
      <c r="F4" s="132">
        <f>ВОР!E10</f>
        <v>603.16000000000008</v>
      </c>
      <c r="G4" s="132">
        <f>'ВОР 6с'!E10</f>
        <v>502.91</v>
      </c>
      <c r="H4" s="132">
        <f>'ВОР 5с'!E10</f>
        <v>341.46999999999997</v>
      </c>
      <c r="I4" s="132">
        <f>'ВОР 4с'!E10</f>
        <v>697.45979058729995</v>
      </c>
      <c r="J4" s="128"/>
      <c r="K4" s="132">
        <f>'2вор'!E10</f>
        <v>1148.5</v>
      </c>
      <c r="L4" s="128" t="s">
        <v>220</v>
      </c>
    </row>
    <row r="5" spans="2:20" x14ac:dyDescent="0.25">
      <c r="B5" s="128" t="s">
        <v>219</v>
      </c>
      <c r="C5" s="133">
        <f>SUM(C3:C4)</f>
        <v>8128.4</v>
      </c>
      <c r="D5" s="133">
        <f t="shared" ref="D5:E5" si="0">SUM(D3:D4)</f>
        <v>5284.8282673961003</v>
      </c>
      <c r="E5" s="133">
        <f t="shared" si="0"/>
        <v>2843.5717326039003</v>
      </c>
      <c r="F5" s="128"/>
      <c r="G5" s="128"/>
      <c r="H5" s="128"/>
      <c r="I5" s="128"/>
      <c r="J5" s="128"/>
      <c r="K5" s="128"/>
      <c r="L5" s="128"/>
    </row>
    <row r="8" spans="2:20" x14ac:dyDescent="0.25">
      <c r="B8" s="128" t="s">
        <v>215</v>
      </c>
      <c r="C8" s="128"/>
      <c r="D8" s="128"/>
      <c r="E8" s="128"/>
      <c r="F8" s="128"/>
      <c r="G8" s="128"/>
      <c r="H8" s="128"/>
      <c r="I8" s="128"/>
      <c r="J8" s="128"/>
      <c r="K8" s="128"/>
      <c r="L8" s="128"/>
    </row>
    <row r="9" spans="2:20" ht="38.25" x14ac:dyDescent="0.25">
      <c r="B9" s="65" t="s">
        <v>223</v>
      </c>
      <c r="C9" s="129">
        <v>3125.2</v>
      </c>
      <c r="D9" s="130">
        <f>SUM(F9:L9)</f>
        <v>2042.0395421799999</v>
      </c>
      <c r="E9" s="131">
        <f t="shared" ref="E9:E10" si="1">C9-D9</f>
        <v>1083.1604578199999</v>
      </c>
      <c r="F9" s="132">
        <f>'ВОР ч1э3'!E6</f>
        <v>1389.7395421799999</v>
      </c>
      <c r="G9" s="128" t="s">
        <v>220</v>
      </c>
      <c r="H9" s="128" t="s">
        <v>220</v>
      </c>
      <c r="I9" s="128" t="s">
        <v>220</v>
      </c>
      <c r="J9" s="128"/>
      <c r="K9" s="132">
        <f>'3вор1.2с'!E6</f>
        <v>652.29999999999995</v>
      </c>
      <c r="L9" s="128" t="s">
        <v>220</v>
      </c>
    </row>
    <row r="10" spans="2:20" ht="38.25" x14ac:dyDescent="0.25">
      <c r="B10" s="65" t="s">
        <v>224</v>
      </c>
      <c r="C10" s="129">
        <v>4248.8</v>
      </c>
      <c r="D10" s="130">
        <f>SUM(F10:L10)</f>
        <v>3610.8019152800002</v>
      </c>
      <c r="E10" s="131">
        <f t="shared" si="1"/>
        <v>637.99808471999995</v>
      </c>
      <c r="F10" s="132">
        <f>'ВОР ч1э3'!E10</f>
        <v>2747.8019152800002</v>
      </c>
      <c r="G10" s="128" t="s">
        <v>220</v>
      </c>
      <c r="H10" s="128" t="s">
        <v>220</v>
      </c>
      <c r="I10" s="128" t="s">
        <v>220</v>
      </c>
      <c r="J10" s="128"/>
      <c r="K10" s="132">
        <f>'3вор1.2с'!E10</f>
        <v>863</v>
      </c>
      <c r="L10" s="128" t="s">
        <v>220</v>
      </c>
    </row>
    <row r="11" spans="2:20" x14ac:dyDescent="0.25">
      <c r="B11" s="128"/>
      <c r="C11" s="133">
        <f>SUM(C9:C10)</f>
        <v>7374</v>
      </c>
      <c r="D11" s="133">
        <f t="shared" ref="D11" si="2">SUM(D9:D10)</f>
        <v>5652.8414574600001</v>
      </c>
      <c r="E11" s="133">
        <f t="shared" ref="E11" si="3">SUM(E9:E10)</f>
        <v>1721.1585425399999</v>
      </c>
      <c r="F11" s="128"/>
      <c r="G11" s="128"/>
      <c r="H11" s="128"/>
      <c r="I11" s="128"/>
      <c r="J11" s="128"/>
      <c r="K11" s="128"/>
      <c r="L11" s="12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opLeftCell="A4" zoomScaleNormal="100" workbookViewId="0">
      <selection activeCell="E6" activeCellId="1" sqref="E10 E6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34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49</v>
      </c>
      <c r="B3" s="54" t="s">
        <v>47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16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18</v>
      </c>
      <c r="B5" s="54" t="s">
        <v>48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225</v>
      </c>
      <c r="C6" s="41" t="s">
        <v>5</v>
      </c>
      <c r="D6" s="42">
        <v>1</v>
      </c>
      <c r="E6" s="43">
        <v>410.02</v>
      </c>
    </row>
    <row r="7" spans="1:5" ht="15.75" thickBot="1" x14ac:dyDescent="0.3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42">
        <v>1</v>
      </c>
      <c r="E8" s="12">
        <f t="shared" ref="E8:E9" si="0">$E$6*D8</f>
        <v>410.02</v>
      </c>
    </row>
    <row r="9" spans="1:5" ht="15.75" thickBot="1" x14ac:dyDescent="0.3">
      <c r="A9" s="49" t="s">
        <v>18</v>
      </c>
      <c r="B9" s="18" t="s">
        <v>16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226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16</v>
      </c>
      <c r="C11" s="10" t="s">
        <v>6</v>
      </c>
      <c r="D11" s="11">
        <v>1</v>
      </c>
      <c r="E11" s="12">
        <f>$E$10*D11</f>
        <v>603.16000000000008</v>
      </c>
    </row>
    <row r="12" spans="1:5" ht="15.75" thickBot="1" x14ac:dyDescent="0.3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17</v>
      </c>
      <c r="B13" s="38" t="s">
        <v>13</v>
      </c>
      <c r="C13" s="10" t="s">
        <v>7</v>
      </c>
      <c r="D13" s="42">
        <v>1</v>
      </c>
      <c r="E13" s="12">
        <f t="shared" si="1"/>
        <v>603.16000000000008</v>
      </c>
    </row>
    <row r="14" spans="1:5" ht="15.75" thickBot="1" x14ac:dyDescent="0.3">
      <c r="A14" s="14" t="s">
        <v>38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37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227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18</v>
      </c>
      <c r="B21" s="21" t="s">
        <v>33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136" t="s">
        <v>20</v>
      </c>
      <c r="B1" s="137"/>
      <c r="C1" s="137"/>
      <c r="D1" s="137"/>
      <c r="E1" s="138"/>
    </row>
    <row r="2" spans="1:5" ht="14.25" customHeight="1" x14ac:dyDescent="0.25">
      <c r="A2" s="139" t="s">
        <v>35</v>
      </c>
      <c r="B2" s="140"/>
      <c r="C2" s="140"/>
      <c r="D2" s="140"/>
      <c r="E2" s="141"/>
    </row>
    <row r="3" spans="1:5" ht="25.5" x14ac:dyDescent="0.25">
      <c r="A3" s="25"/>
      <c r="B3" s="30"/>
      <c r="C3" s="27" t="s">
        <v>22</v>
      </c>
      <c r="D3" s="31" t="s">
        <v>23</v>
      </c>
      <c r="E3" s="32" t="s">
        <v>31</v>
      </c>
    </row>
    <row r="4" spans="1:5" x14ac:dyDescent="0.25">
      <c r="A4" s="25" t="s">
        <v>0</v>
      </c>
      <c r="B4" s="28" t="s">
        <v>19</v>
      </c>
      <c r="C4" s="10" t="s">
        <v>21</v>
      </c>
      <c r="D4" s="10" t="s">
        <v>21</v>
      </c>
      <c r="E4" s="32"/>
    </row>
    <row r="5" spans="1:5" x14ac:dyDescent="0.25">
      <c r="A5" s="25">
        <v>1</v>
      </c>
      <c r="B5" s="30" t="s">
        <v>24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25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26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27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28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29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30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36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topLeftCell="A6" zoomScaleNormal="100" workbookViewId="0">
      <selection activeCell="D20" sqref="D2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34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49</v>
      </c>
      <c r="B3" s="54" t="s">
        <v>47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16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18</v>
      </c>
      <c r="B5" s="54" t="s">
        <v>48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41" t="s">
        <v>5</v>
      </c>
      <c r="D6" s="42">
        <v>1</v>
      </c>
      <c r="E6" s="43">
        <f>'спец 6с'!C13</f>
        <v>333.82</v>
      </c>
    </row>
    <row r="7" spans="1:5" ht="15.75" thickBot="1" x14ac:dyDescent="0.3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42">
        <v>1</v>
      </c>
      <c r="E8" s="12">
        <f t="shared" ref="E8" si="0">$E$6*D8</f>
        <v>333.82</v>
      </c>
    </row>
    <row r="9" spans="1:5" ht="15.75" thickBot="1" x14ac:dyDescent="0.3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50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51</v>
      </c>
      <c r="B11" s="38" t="s">
        <v>16</v>
      </c>
      <c r="C11" s="10" t="s">
        <v>6</v>
      </c>
      <c r="D11" s="11">
        <v>1</v>
      </c>
      <c r="E11" s="12">
        <f>$E$10*D11*32.51</f>
        <v>16349.6041</v>
      </c>
    </row>
    <row r="12" spans="1:5" ht="15.75" thickBot="1" x14ac:dyDescent="0.3">
      <c r="A12" s="8" t="s">
        <v>52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53</v>
      </c>
      <c r="B13" s="38" t="s">
        <v>13</v>
      </c>
      <c r="C13" s="10" t="s">
        <v>7</v>
      </c>
      <c r="D13" s="42">
        <v>1</v>
      </c>
      <c r="E13" s="12">
        <f t="shared" si="1"/>
        <v>502.91</v>
      </c>
    </row>
    <row r="14" spans="1:5" ht="15.75" thickBot="1" x14ac:dyDescent="0.3">
      <c r="A14" s="8" t="s">
        <v>54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37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tr">
        <f>ВОР!B18</f>
        <v>Подготовка поверхности СКБ / стен / по штукатурке / 2мм (Шпаклевка базовая)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18</v>
      </c>
      <c r="B21" s="21" t="s">
        <v>33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20</v>
      </c>
      <c r="B1" s="142"/>
      <c r="C1" s="142"/>
      <c r="D1" s="142"/>
      <c r="E1" s="142"/>
    </row>
    <row r="2" spans="1:5" x14ac:dyDescent="0.25">
      <c r="A2" s="140" t="s">
        <v>35</v>
      </c>
      <c r="B2" s="140"/>
      <c r="C2" s="140"/>
      <c r="D2" s="140"/>
      <c r="E2" s="140"/>
    </row>
    <row r="3" spans="1:5" ht="25.5" x14ac:dyDescent="0.25">
      <c r="A3" s="26"/>
      <c r="B3" s="30"/>
      <c r="C3" s="27" t="s">
        <v>22</v>
      </c>
      <c r="D3" s="48" t="s">
        <v>23</v>
      </c>
      <c r="E3" s="26" t="s">
        <v>31</v>
      </c>
    </row>
    <row r="4" spans="1:5" x14ac:dyDescent="0.25">
      <c r="A4" s="26" t="s">
        <v>0</v>
      </c>
      <c r="B4" s="28" t="s">
        <v>19</v>
      </c>
      <c r="C4" s="10" t="s">
        <v>21</v>
      </c>
      <c r="D4" s="10" t="s">
        <v>21</v>
      </c>
      <c r="E4" s="26"/>
    </row>
    <row r="5" spans="1:5" x14ac:dyDescent="0.25">
      <c r="A5" s="26">
        <v>1</v>
      </c>
      <c r="B5" s="30" t="s">
        <v>39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40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41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42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43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44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46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45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36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topLeftCell="A4" workbookViewId="0">
      <selection activeCell="E6" activeCellId="1" sqref="E10 E6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34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49</v>
      </c>
      <c r="B3" s="65" t="s">
        <v>47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18</v>
      </c>
      <c r="B5" s="74" t="s">
        <v>48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'спец 5с'!C8</f>
        <v>161.16999999999999</v>
      </c>
    </row>
    <row r="7" spans="1:5" ht="15.75" thickBot="1" x14ac:dyDescent="0.3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42">
        <v>1</v>
      </c>
      <c r="E8" s="12">
        <f t="shared" ref="E8" si="0">$E$6*D8</f>
        <v>161.16999999999999</v>
      </c>
    </row>
    <row r="9" spans="1:5" ht="15.75" thickBot="1" x14ac:dyDescent="0.3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50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51</v>
      </c>
      <c r="B11" s="38" t="s">
        <v>16</v>
      </c>
      <c r="C11" s="10" t="s">
        <v>6</v>
      </c>
      <c r="D11" s="11">
        <v>1</v>
      </c>
      <c r="E11" s="12">
        <f>$E$10*D11*32.51</f>
        <v>11101.189699999999</v>
      </c>
    </row>
    <row r="12" spans="1:5" ht="15.75" thickBot="1" x14ac:dyDescent="0.3">
      <c r="A12" s="8" t="s">
        <v>52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53</v>
      </c>
      <c r="B13" s="38" t="s">
        <v>13</v>
      </c>
      <c r="C13" s="10" t="s">
        <v>7</v>
      </c>
      <c r="D13" s="42">
        <v>1</v>
      </c>
      <c r="E13" s="12">
        <f t="shared" si="1"/>
        <v>341.46999999999997</v>
      </c>
    </row>
    <row r="14" spans="1:5" ht="15.75" thickBot="1" x14ac:dyDescent="0.3">
      <c r="A14" s="14" t="s">
        <v>54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37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tr">
        <f>ВОР!B18</f>
        <v>Подготовка поверхности СКБ / стен / по штукатурке / 2мм (Шпаклевка базовая)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18</v>
      </c>
      <c r="B21" s="21" t="s">
        <v>33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20</v>
      </c>
      <c r="B1" s="142"/>
      <c r="C1" s="142"/>
      <c r="D1" s="142"/>
      <c r="E1" s="142"/>
    </row>
    <row r="2" spans="1:5" x14ac:dyDescent="0.25">
      <c r="A2" s="140" t="s">
        <v>35</v>
      </c>
      <c r="B2" s="140"/>
      <c r="C2" s="140"/>
      <c r="D2" s="140"/>
      <c r="E2" s="140"/>
    </row>
    <row r="3" spans="1:5" ht="25.5" x14ac:dyDescent="0.25">
      <c r="A3" s="59"/>
      <c r="B3" s="30"/>
      <c r="C3" s="27" t="s">
        <v>22</v>
      </c>
      <c r="D3" s="58" t="s">
        <v>23</v>
      </c>
      <c r="E3" s="59" t="s">
        <v>31</v>
      </c>
    </row>
    <row r="4" spans="1:5" x14ac:dyDescent="0.25">
      <c r="A4" s="59" t="s">
        <v>0</v>
      </c>
      <c r="B4" s="28" t="s">
        <v>19</v>
      </c>
      <c r="C4" s="10" t="s">
        <v>21</v>
      </c>
      <c r="D4" s="10" t="s">
        <v>21</v>
      </c>
      <c r="E4" s="59"/>
    </row>
    <row r="5" spans="1:5" x14ac:dyDescent="0.25">
      <c r="A5" s="59">
        <v>1</v>
      </c>
      <c r="B5" s="30" t="s">
        <v>55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56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57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36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topLeftCell="A4" workbookViewId="0">
      <selection activeCell="E6" activeCellId="1" sqref="E10 E6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34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49</v>
      </c>
      <c r="B3" s="65" t="s">
        <v>47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18</v>
      </c>
      <c r="B5" s="74" t="s">
        <v>48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'спец 4с'!C14</f>
        <v>361.91847680879999</v>
      </c>
    </row>
    <row r="7" spans="1:5" ht="15.75" thickBot="1" x14ac:dyDescent="0.3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42">
        <v>1</v>
      </c>
      <c r="E8" s="12">
        <f t="shared" ref="E8" si="0">$E$6*D8</f>
        <v>361.91847680879999</v>
      </c>
    </row>
    <row r="9" spans="1:5" ht="15.75" thickBot="1" x14ac:dyDescent="0.3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50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51</v>
      </c>
      <c r="B11" s="38" t="s">
        <v>16</v>
      </c>
      <c r="C11" s="10" t="s">
        <v>6</v>
      </c>
      <c r="D11" s="11">
        <v>1</v>
      </c>
      <c r="E11" s="12">
        <f>$E$10*D11*32.51</f>
        <v>22674.417791993121</v>
      </c>
    </row>
    <row r="12" spans="1:5" ht="15.75" thickBot="1" x14ac:dyDescent="0.3">
      <c r="A12" s="8" t="s">
        <v>52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53</v>
      </c>
      <c r="B13" s="38" t="s">
        <v>13</v>
      </c>
      <c r="C13" s="10" t="s">
        <v>7</v>
      </c>
      <c r="D13" s="42">
        <v>1</v>
      </c>
      <c r="E13" s="12">
        <f t="shared" si="1"/>
        <v>697.45979058729995</v>
      </c>
    </row>
    <row r="14" spans="1:5" ht="15.75" thickBot="1" x14ac:dyDescent="0.3">
      <c r="A14" s="14" t="s">
        <v>54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37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tr">
        <f>ВОР!B18</f>
        <v>Подготовка поверхности СКБ / стен / по штукатурке / 2мм (Шпаклевка базовая)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18</v>
      </c>
      <c r="B21" s="21" t="s">
        <v>33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4"/>
  <sheetViews>
    <sheetView zoomScaleNormal="100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20</v>
      </c>
      <c r="B1" s="142"/>
      <c r="C1" s="142"/>
      <c r="D1" s="142"/>
      <c r="E1" s="142"/>
    </row>
    <row r="2" spans="1:5" x14ac:dyDescent="0.25">
      <c r="A2" s="140" t="s">
        <v>35</v>
      </c>
      <c r="B2" s="140"/>
      <c r="C2" s="140"/>
      <c r="D2" s="140"/>
      <c r="E2" s="140"/>
    </row>
    <row r="3" spans="1:5" ht="25.5" x14ac:dyDescent="0.25">
      <c r="A3" s="76"/>
      <c r="B3" s="30"/>
      <c r="C3" s="27" t="s">
        <v>22</v>
      </c>
      <c r="D3" s="75" t="s">
        <v>23</v>
      </c>
      <c r="E3" s="76" t="s">
        <v>31</v>
      </c>
    </row>
    <row r="4" spans="1:5" x14ac:dyDescent="0.25">
      <c r="A4" s="76" t="s">
        <v>0</v>
      </c>
      <c r="B4" s="28" t="s">
        <v>19</v>
      </c>
      <c r="C4" s="10" t="s">
        <v>21</v>
      </c>
      <c r="D4" s="10" t="s">
        <v>21</v>
      </c>
      <c r="E4" s="76"/>
    </row>
    <row r="5" spans="1:5" ht="15.75" customHeight="1" x14ac:dyDescent="0.25">
      <c r="A5" s="76">
        <v>1</v>
      </c>
      <c r="B5" s="30" t="s">
        <v>58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59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60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61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62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63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65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56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64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36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topLeftCell="A2" zoomScale="85" zoomScaleNormal="85" workbookViewId="0">
      <selection activeCell="E6" activeCellId="1" sqref="E10 E6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ht="15.75" thickBot="1" x14ac:dyDescent="0.3">
      <c r="A1" s="66"/>
      <c r="B1" s="67" t="s">
        <v>34</v>
      </c>
      <c r="C1" s="68"/>
      <c r="D1" s="68"/>
      <c r="E1" s="69"/>
    </row>
    <row r="2" spans="1:7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7" ht="38.25" x14ac:dyDescent="0.25">
      <c r="A3" s="8" t="s">
        <v>49</v>
      </c>
      <c r="B3" s="65" t="s">
        <v>47</v>
      </c>
      <c r="C3" s="10" t="s">
        <v>7</v>
      </c>
      <c r="D3" s="11">
        <v>1</v>
      </c>
      <c r="E3" s="12">
        <f>290*3.8</f>
        <v>1102</v>
      </c>
    </row>
    <row r="4" spans="1:7" x14ac:dyDescent="0.25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110.2</v>
      </c>
    </row>
    <row r="5" spans="1:7" ht="15.75" thickBot="1" x14ac:dyDescent="0.3">
      <c r="A5" s="14" t="s">
        <v>18</v>
      </c>
      <c r="B5" s="74" t="s">
        <v>48</v>
      </c>
      <c r="C5" s="15" t="s">
        <v>7</v>
      </c>
      <c r="D5" s="16">
        <v>1.1000000000000001</v>
      </c>
      <c r="E5" s="17">
        <f>D5*E3</f>
        <v>1212.2</v>
      </c>
    </row>
    <row r="6" spans="1:7" ht="38.25" x14ac:dyDescent="0.25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Спец7с3э!C16+Спец6с3э!C14+Спец5с3э!C7+Спец4с3э!C16</f>
        <v>1389.7395421799999</v>
      </c>
      <c r="G6" s="124"/>
    </row>
    <row r="7" spans="1:7" ht="15.75" thickBot="1" x14ac:dyDescent="0.3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347.43488554499999</v>
      </c>
    </row>
    <row r="8" spans="1:7" x14ac:dyDescent="0.25">
      <c r="A8" s="8" t="s">
        <v>15</v>
      </c>
      <c r="B8" s="38" t="s">
        <v>13</v>
      </c>
      <c r="C8" s="10" t="s">
        <v>7</v>
      </c>
      <c r="D8" s="42">
        <v>1</v>
      </c>
      <c r="E8" s="12">
        <f t="shared" ref="E8" si="0">$E$6*D8</f>
        <v>1389.7395421799999</v>
      </c>
    </row>
    <row r="9" spans="1:7" ht="15.75" thickBot="1" x14ac:dyDescent="0.3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39704.8587200826</v>
      </c>
    </row>
    <row r="10" spans="1:7" ht="38.25" x14ac:dyDescent="0.25">
      <c r="A10" s="39" t="s">
        <v>50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Спец7с3э!D16+Спец6с3э!D14+Спец5с3э!D7+Спец4с3э!D16</f>
        <v>2747.8019152800002</v>
      </c>
    </row>
    <row r="11" spans="1:7" x14ac:dyDescent="0.25">
      <c r="A11" s="8" t="s">
        <v>51</v>
      </c>
      <c r="B11" s="38" t="s">
        <v>16</v>
      </c>
      <c r="C11" s="10" t="s">
        <v>6</v>
      </c>
      <c r="D11" s="11">
        <v>1</v>
      </c>
      <c r="E11" s="12">
        <f>$E$10*D11*32.51</f>
        <v>89331.040265752803</v>
      </c>
    </row>
    <row r="12" spans="1:7" ht="15.75" thickBot="1" x14ac:dyDescent="0.3">
      <c r="A12" s="8" t="s">
        <v>52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412.17028729200001</v>
      </c>
    </row>
    <row r="13" spans="1:7" x14ac:dyDescent="0.25">
      <c r="A13" s="8" t="s">
        <v>53</v>
      </c>
      <c r="B13" s="38" t="s">
        <v>13</v>
      </c>
      <c r="C13" s="10" t="s">
        <v>7</v>
      </c>
      <c r="D13" s="42">
        <v>1</v>
      </c>
      <c r="E13" s="12">
        <f t="shared" si="1"/>
        <v>2747.8019152800002</v>
      </c>
    </row>
    <row r="14" spans="1:7" ht="15.75" thickBot="1" x14ac:dyDescent="0.3">
      <c r="A14" s="14" t="s">
        <v>54</v>
      </c>
      <c r="B14" s="51" t="s">
        <v>12</v>
      </c>
      <c r="C14" s="15" t="s">
        <v>7</v>
      </c>
      <c r="D14" s="16">
        <v>1</v>
      </c>
      <c r="E14" s="17">
        <f>235.75*4</f>
        <v>943</v>
      </c>
    </row>
    <row r="15" spans="1:7" ht="15.75" thickBot="1" x14ac:dyDescent="0.3"/>
    <row r="16" spans="1:7" x14ac:dyDescent="0.25">
      <c r="A16" s="1"/>
      <c r="B16" s="37" t="s">
        <v>37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tr">
        <f>ВОР!B18</f>
        <v>Подготовка поверхности СКБ / стен / по штукатурке / 2мм (Шпаклевка базовая)</v>
      </c>
      <c r="C18" s="41" t="s">
        <v>5</v>
      </c>
      <c r="D18" s="42">
        <v>1</v>
      </c>
      <c r="E18" s="43">
        <f>E10+E6</f>
        <v>4137.5414574599999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620.63121861899992</v>
      </c>
    </row>
    <row r="20" spans="1:5" x14ac:dyDescent="0.25">
      <c r="A20" s="8" t="s">
        <v>9</v>
      </c>
      <c r="B20" s="9" t="s">
        <v>32</v>
      </c>
      <c r="C20" s="10" t="s">
        <v>6</v>
      </c>
      <c r="D20" s="11">
        <v>1.8</v>
      </c>
      <c r="E20" s="19">
        <f>$E$18*D20</f>
        <v>7447.5746234280005</v>
      </c>
    </row>
    <row r="21" spans="1:5" ht="15.75" thickBot="1" x14ac:dyDescent="0.3">
      <c r="A21" s="14" t="s">
        <v>18</v>
      </c>
      <c r="B21" s="21" t="s">
        <v>33</v>
      </c>
      <c r="C21" s="15" t="s">
        <v>7</v>
      </c>
      <c r="D21" s="22">
        <v>0.3</v>
      </c>
      <c r="E21" s="17">
        <v>75.13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99</v>
      </c>
      <c r="B1" s="142"/>
      <c r="C1" s="142"/>
      <c r="D1" s="142"/>
      <c r="E1" s="142"/>
    </row>
    <row r="2" spans="1:5" x14ac:dyDescent="0.25">
      <c r="A2" s="140" t="s">
        <v>35</v>
      </c>
      <c r="B2" s="140"/>
      <c r="C2" s="140"/>
      <c r="D2" s="140"/>
      <c r="E2" s="140"/>
    </row>
    <row r="3" spans="1:5" ht="25.5" x14ac:dyDescent="0.25">
      <c r="A3" s="78"/>
      <c r="B3" s="30"/>
      <c r="C3" s="27" t="s">
        <v>22</v>
      </c>
      <c r="D3" s="77" t="s">
        <v>23</v>
      </c>
      <c r="E3" s="78" t="s">
        <v>31</v>
      </c>
    </row>
    <row r="4" spans="1:5" x14ac:dyDescent="0.25">
      <c r="A4" s="78" t="s">
        <v>0</v>
      </c>
      <c r="B4" s="28" t="s">
        <v>19</v>
      </c>
      <c r="C4" s="10" t="s">
        <v>21</v>
      </c>
      <c r="D4" s="10" t="s">
        <v>21</v>
      </c>
      <c r="E4" s="78"/>
    </row>
    <row r="5" spans="1:5" x14ac:dyDescent="0.25">
      <c r="A5" s="78">
        <v>1</v>
      </c>
      <c r="B5" s="30" t="s">
        <v>76</v>
      </c>
      <c r="C5" s="10">
        <v>4.4658036399999999</v>
      </c>
      <c r="D5" s="10">
        <v>69.887666919999987</v>
      </c>
      <c r="E5" s="80">
        <f>C5+D5</f>
        <v>74.353470559999991</v>
      </c>
    </row>
    <row r="6" spans="1:5" x14ac:dyDescent="0.25">
      <c r="A6" s="78">
        <v>2</v>
      </c>
      <c r="B6" s="30" t="s">
        <v>74</v>
      </c>
      <c r="C6" s="10">
        <v>11.899999999999999</v>
      </c>
      <c r="D6" s="10">
        <v>83.583314279999996</v>
      </c>
      <c r="E6" s="80">
        <f t="shared" ref="E6:E7" si="0">C6+D6</f>
        <v>95.483314280000002</v>
      </c>
    </row>
    <row r="7" spans="1:5" x14ac:dyDescent="0.25">
      <c r="A7" s="78">
        <v>3</v>
      </c>
      <c r="B7" s="30" t="s">
        <v>66</v>
      </c>
      <c r="C7" s="10">
        <v>82.408188199999998</v>
      </c>
      <c r="D7" s="10">
        <v>126.88863340000002</v>
      </c>
      <c r="E7" s="80">
        <f t="shared" si="0"/>
        <v>209.29682160000002</v>
      </c>
    </row>
    <row r="8" spans="1:5" x14ac:dyDescent="0.25">
      <c r="A8" s="78">
        <v>4</v>
      </c>
      <c r="B8" s="30" t="s">
        <v>67</v>
      </c>
      <c r="C8" s="10">
        <v>66.421027600000002</v>
      </c>
      <c r="D8" s="10">
        <v>220.50730367</v>
      </c>
      <c r="E8" s="80">
        <f>C8+D8</f>
        <v>286.92833127</v>
      </c>
    </row>
    <row r="9" spans="1:5" x14ac:dyDescent="0.25">
      <c r="A9" s="78">
        <v>5</v>
      </c>
      <c r="B9" s="30" t="s">
        <v>72</v>
      </c>
      <c r="C9" s="10">
        <v>107.2082332</v>
      </c>
      <c r="D9" s="10">
        <v>120.97256036</v>
      </c>
      <c r="E9" s="80">
        <f t="shared" ref="E9:E15" si="1">C9+D9</f>
        <v>228.18079355999998</v>
      </c>
    </row>
    <row r="10" spans="1:5" x14ac:dyDescent="0.25">
      <c r="A10" s="78">
        <v>6</v>
      </c>
      <c r="B10" s="30" t="s">
        <v>68</v>
      </c>
      <c r="C10" s="10">
        <v>58.46</v>
      </c>
      <c r="D10" s="10">
        <v>80.532918559999999</v>
      </c>
      <c r="E10" s="80">
        <f t="shared" si="1"/>
        <v>138.99291855999999</v>
      </c>
    </row>
    <row r="11" spans="1:5" x14ac:dyDescent="0.25">
      <c r="A11" s="78">
        <v>7</v>
      </c>
      <c r="B11" s="30" t="s">
        <v>69</v>
      </c>
      <c r="C11" s="10">
        <v>32.572800000000001</v>
      </c>
      <c r="D11" s="10">
        <v>101.40153359999999</v>
      </c>
      <c r="E11" s="80">
        <f t="shared" si="1"/>
        <v>133.97433359999999</v>
      </c>
    </row>
    <row r="12" spans="1:5" x14ac:dyDescent="0.25">
      <c r="A12" s="78">
        <v>8</v>
      </c>
      <c r="B12" s="30" t="s">
        <v>73</v>
      </c>
      <c r="C12" s="10">
        <v>12.385599999999998</v>
      </c>
      <c r="D12" s="10">
        <v>16.096</v>
      </c>
      <c r="E12" s="80">
        <f t="shared" si="1"/>
        <v>28.4816</v>
      </c>
    </row>
    <row r="13" spans="1:5" x14ac:dyDescent="0.25">
      <c r="A13" s="78">
        <v>9</v>
      </c>
      <c r="B13" s="30" t="s">
        <v>75</v>
      </c>
      <c r="C13" s="10">
        <v>66.115608219999999</v>
      </c>
      <c r="D13" s="10">
        <v>36.970356110000004</v>
      </c>
      <c r="E13" s="80">
        <f t="shared" si="1"/>
        <v>103.08596433</v>
      </c>
    </row>
    <row r="14" spans="1:5" x14ac:dyDescent="0.25">
      <c r="A14" s="78">
        <v>10</v>
      </c>
      <c r="B14" s="30" t="s">
        <v>70</v>
      </c>
      <c r="C14" s="10">
        <v>6.8</v>
      </c>
      <c r="D14" s="10">
        <v>47.174515600000007</v>
      </c>
      <c r="E14" s="80">
        <f t="shared" si="1"/>
        <v>53.974515600000004</v>
      </c>
    </row>
    <row r="15" spans="1:5" x14ac:dyDescent="0.25">
      <c r="A15" s="78">
        <v>11</v>
      </c>
      <c r="B15" s="30" t="s">
        <v>71</v>
      </c>
      <c r="C15" s="10">
        <v>13.792</v>
      </c>
      <c r="D15" s="10">
        <v>36.183082400000004</v>
      </c>
      <c r="E15" s="80">
        <f t="shared" si="1"/>
        <v>49.975082400000005</v>
      </c>
    </row>
    <row r="16" spans="1:5" x14ac:dyDescent="0.25">
      <c r="A16" s="78"/>
      <c r="B16" s="53" t="s">
        <v>36</v>
      </c>
      <c r="C16" s="10">
        <f>SUM(C5:C15)</f>
        <v>462.52926085999997</v>
      </c>
      <c r="D16" s="10">
        <f t="shared" ref="D16:E16" si="2">SUM(D5:D15)</f>
        <v>940.19788490000008</v>
      </c>
      <c r="E16" s="10">
        <f t="shared" si="2"/>
        <v>1402.7271457599998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100</v>
      </c>
      <c r="B1" s="142"/>
      <c r="C1" s="142"/>
      <c r="D1" s="142"/>
      <c r="E1" s="142"/>
    </row>
    <row r="2" spans="1:5" x14ac:dyDescent="0.25">
      <c r="A2" s="140" t="s">
        <v>35</v>
      </c>
      <c r="B2" s="140"/>
      <c r="C2" s="140"/>
      <c r="D2" s="140"/>
      <c r="E2" s="140"/>
    </row>
    <row r="3" spans="1:5" ht="25.5" x14ac:dyDescent="0.25">
      <c r="A3" s="78"/>
      <c r="B3" s="30"/>
      <c r="C3" s="27" t="s">
        <v>22</v>
      </c>
      <c r="D3" s="77" t="s">
        <v>23</v>
      </c>
      <c r="E3" s="78" t="s">
        <v>31</v>
      </c>
    </row>
    <row r="4" spans="1:5" x14ac:dyDescent="0.25">
      <c r="A4" s="78" t="s">
        <v>0</v>
      </c>
      <c r="B4" s="28" t="s">
        <v>19</v>
      </c>
      <c r="C4" s="10" t="s">
        <v>21</v>
      </c>
      <c r="D4" s="10" t="s">
        <v>21</v>
      </c>
      <c r="E4" s="78"/>
    </row>
    <row r="5" spans="1:5" x14ac:dyDescent="0.25">
      <c r="A5" s="78">
        <v>1</v>
      </c>
      <c r="B5" s="30" t="s">
        <v>83</v>
      </c>
      <c r="C5" s="10">
        <v>62.963999999999999</v>
      </c>
      <c r="D5" s="10">
        <v>181.70322495999997</v>
      </c>
      <c r="E5" s="10">
        <f>C5+D5</f>
        <v>244.66722495999997</v>
      </c>
    </row>
    <row r="6" spans="1:5" x14ac:dyDescent="0.25">
      <c r="A6" s="78">
        <v>2</v>
      </c>
      <c r="B6" s="30" t="s">
        <v>79</v>
      </c>
      <c r="C6" s="10">
        <v>4.3300179999999999</v>
      </c>
      <c r="D6" s="10">
        <v>67.694470760000002</v>
      </c>
      <c r="E6" s="10">
        <f t="shared" ref="E6:E7" si="0">C6+D6</f>
        <v>72.024488759999997</v>
      </c>
    </row>
    <row r="7" spans="1:5" x14ac:dyDescent="0.25">
      <c r="A7" s="78">
        <v>3</v>
      </c>
      <c r="B7" s="30" t="s">
        <v>84</v>
      </c>
      <c r="C7" s="10">
        <v>64.902808519999994</v>
      </c>
      <c r="D7" s="10">
        <v>100.62324375999999</v>
      </c>
      <c r="E7" s="10">
        <f t="shared" si="0"/>
        <v>165.52605227999999</v>
      </c>
    </row>
    <row r="8" spans="1:5" x14ac:dyDescent="0.25">
      <c r="A8" s="78">
        <v>4</v>
      </c>
      <c r="B8" s="30" t="s">
        <v>80</v>
      </c>
      <c r="C8" s="10">
        <v>197.50406935999999</v>
      </c>
      <c r="D8" s="10">
        <v>149.17202871999996</v>
      </c>
      <c r="E8" s="10">
        <f>C8+D8</f>
        <v>346.67609807999997</v>
      </c>
    </row>
    <row r="9" spans="1:5" x14ac:dyDescent="0.25">
      <c r="A9" s="78">
        <v>5</v>
      </c>
      <c r="B9" s="30" t="s">
        <v>85</v>
      </c>
      <c r="C9" s="10">
        <v>16.28</v>
      </c>
      <c r="D9" s="10">
        <v>71.948570680000003</v>
      </c>
      <c r="E9" s="10">
        <f t="shared" ref="E9:E13" si="1">C9+D9</f>
        <v>88.228570680000004</v>
      </c>
    </row>
    <row r="10" spans="1:5" x14ac:dyDescent="0.25">
      <c r="A10" s="78">
        <v>6</v>
      </c>
      <c r="B10" s="30" t="s">
        <v>78</v>
      </c>
      <c r="C10" s="10">
        <v>45.676007200000001</v>
      </c>
      <c r="D10" s="10">
        <v>49.025836000000005</v>
      </c>
      <c r="E10" s="10">
        <f t="shared" si="1"/>
        <v>94.701843200000013</v>
      </c>
    </row>
    <row r="11" spans="1:5" x14ac:dyDescent="0.25">
      <c r="A11" s="78">
        <v>7</v>
      </c>
      <c r="B11" s="30" t="s">
        <v>81</v>
      </c>
      <c r="C11" s="10">
        <v>3.2</v>
      </c>
      <c r="D11" s="10">
        <v>29.332000000000001</v>
      </c>
      <c r="E11" s="10">
        <f t="shared" si="1"/>
        <v>32.532000000000004</v>
      </c>
    </row>
    <row r="12" spans="1:5" x14ac:dyDescent="0.25">
      <c r="A12" s="78">
        <v>8</v>
      </c>
      <c r="B12" s="30" t="s">
        <v>82</v>
      </c>
      <c r="C12" s="10">
        <v>0</v>
      </c>
      <c r="D12" s="10">
        <v>35.037599999999998</v>
      </c>
      <c r="E12" s="10">
        <f t="shared" si="1"/>
        <v>35.037599999999998</v>
      </c>
    </row>
    <row r="13" spans="1:5" x14ac:dyDescent="0.25">
      <c r="A13" s="78">
        <v>9</v>
      </c>
      <c r="B13" s="30" t="s">
        <v>77</v>
      </c>
      <c r="C13" s="10">
        <v>25.695999999999998</v>
      </c>
      <c r="D13" s="10">
        <v>18.758199999999999</v>
      </c>
      <c r="E13" s="10">
        <f t="shared" si="1"/>
        <v>44.4542</v>
      </c>
    </row>
    <row r="14" spans="1:5" x14ac:dyDescent="0.25">
      <c r="A14" s="78"/>
      <c r="B14" s="53" t="s">
        <v>36</v>
      </c>
      <c r="C14" s="10">
        <f>SUM(C5:C13)</f>
        <v>420.55290307999996</v>
      </c>
      <c r="D14" s="10">
        <f>SUM(D5:D13)</f>
        <v>703.29517487999999</v>
      </c>
      <c r="E14" s="10">
        <f>SUM(E5:E13)</f>
        <v>1123.8480779599997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101</v>
      </c>
      <c r="B1" s="142"/>
      <c r="C1" s="142"/>
      <c r="D1" s="142"/>
      <c r="E1" s="142"/>
    </row>
    <row r="2" spans="1:5" x14ac:dyDescent="0.25">
      <c r="A2" s="140" t="s">
        <v>35</v>
      </c>
      <c r="B2" s="140"/>
      <c r="C2" s="140"/>
      <c r="D2" s="140"/>
      <c r="E2" s="140"/>
    </row>
    <row r="3" spans="1:5" ht="25.5" x14ac:dyDescent="0.25">
      <c r="A3" s="78"/>
      <c r="B3" s="30"/>
      <c r="C3" s="27" t="s">
        <v>22</v>
      </c>
      <c r="D3" s="77" t="s">
        <v>23</v>
      </c>
      <c r="E3" s="78" t="s">
        <v>31</v>
      </c>
    </row>
    <row r="4" spans="1:5" x14ac:dyDescent="0.25">
      <c r="A4" s="78" t="s">
        <v>0</v>
      </c>
      <c r="B4" s="28" t="s">
        <v>19</v>
      </c>
      <c r="C4" s="10" t="s">
        <v>21</v>
      </c>
      <c r="D4" s="10" t="s">
        <v>21</v>
      </c>
      <c r="E4" s="78"/>
    </row>
    <row r="5" spans="1:5" x14ac:dyDescent="0.25">
      <c r="A5" s="78">
        <v>1</v>
      </c>
      <c r="B5" s="30" t="s">
        <v>87</v>
      </c>
      <c r="C5" s="10">
        <v>19.2</v>
      </c>
      <c r="D5" s="10">
        <v>98.868097649999996</v>
      </c>
      <c r="E5" s="10">
        <f>C5+D5</f>
        <v>118.06809765</v>
      </c>
    </row>
    <row r="6" spans="1:5" x14ac:dyDescent="0.25">
      <c r="A6" s="78">
        <v>2</v>
      </c>
      <c r="B6" s="30" t="s">
        <v>86</v>
      </c>
      <c r="C6" s="10">
        <v>87.732303720000004</v>
      </c>
      <c r="D6" s="10">
        <v>161.63025861</v>
      </c>
      <c r="E6" s="10">
        <f t="shared" ref="E6" si="0">C6+D6</f>
        <v>249.36256233</v>
      </c>
    </row>
    <row r="7" spans="1:5" x14ac:dyDescent="0.25">
      <c r="A7" s="78"/>
      <c r="B7" s="53" t="s">
        <v>36</v>
      </c>
      <c r="C7" s="10">
        <f>SUM(C5:C6)</f>
        <v>106.93230372000001</v>
      </c>
      <c r="D7" s="10">
        <f>SUM(D5:D6)</f>
        <v>260.49835625999998</v>
      </c>
      <c r="E7" s="10">
        <f>SUM(E5:E6)</f>
        <v>367.43065997999997</v>
      </c>
    </row>
  </sheetData>
  <sortState ref="B5:B6">
    <sortCondition ref="B6"/>
  </sortState>
  <mergeCells count="2">
    <mergeCell ref="A1:E1"/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42" t="s">
        <v>20</v>
      </c>
      <c r="B1" s="142"/>
      <c r="C1" s="142"/>
      <c r="D1" s="142"/>
      <c r="E1" s="142"/>
    </row>
    <row r="2" spans="1:5" x14ac:dyDescent="0.25">
      <c r="A2" s="140" t="s">
        <v>102</v>
      </c>
      <c r="B2" s="140"/>
      <c r="C2" s="140"/>
      <c r="D2" s="140"/>
      <c r="E2" s="140"/>
    </row>
    <row r="3" spans="1:5" ht="25.5" x14ac:dyDescent="0.25">
      <c r="A3" s="78"/>
      <c r="B3" s="30"/>
      <c r="C3" s="27" t="s">
        <v>22</v>
      </c>
      <c r="D3" s="77" t="s">
        <v>23</v>
      </c>
      <c r="E3" s="78" t="s">
        <v>31</v>
      </c>
    </row>
    <row r="4" spans="1:5" x14ac:dyDescent="0.25">
      <c r="A4" s="78" t="s">
        <v>0</v>
      </c>
      <c r="B4" s="28" t="s">
        <v>19</v>
      </c>
      <c r="C4" s="10" t="s">
        <v>21</v>
      </c>
      <c r="D4" s="10" t="s">
        <v>21</v>
      </c>
      <c r="E4" s="78"/>
    </row>
    <row r="5" spans="1:5" x14ac:dyDescent="0.25">
      <c r="A5" s="78">
        <v>1</v>
      </c>
      <c r="B5" s="30" t="s">
        <v>88</v>
      </c>
      <c r="C5" s="10">
        <v>31.24</v>
      </c>
      <c r="D5" s="10">
        <v>108.48</v>
      </c>
      <c r="E5" s="10">
        <f>C5+D5</f>
        <v>139.72</v>
      </c>
    </row>
    <row r="6" spans="1:5" x14ac:dyDescent="0.25">
      <c r="A6" s="78">
        <v>2</v>
      </c>
      <c r="B6" s="30" t="s">
        <v>89</v>
      </c>
      <c r="C6" s="10">
        <v>21.409132</v>
      </c>
      <c r="D6" s="10">
        <v>85.789200000000008</v>
      </c>
      <c r="E6" s="10">
        <f t="shared" ref="E6" si="0">C6+D6</f>
        <v>107.19833200000001</v>
      </c>
    </row>
    <row r="7" spans="1:5" x14ac:dyDescent="0.25">
      <c r="A7" s="78">
        <v>3</v>
      </c>
      <c r="B7" s="30" t="s">
        <v>90</v>
      </c>
      <c r="C7" s="10">
        <v>47.185615720000008</v>
      </c>
      <c r="D7" s="10">
        <v>70.117447959999993</v>
      </c>
      <c r="E7" s="10">
        <f>C7+D7</f>
        <v>117.30306368000001</v>
      </c>
    </row>
    <row r="8" spans="1:5" x14ac:dyDescent="0.25">
      <c r="A8" s="78">
        <v>4</v>
      </c>
      <c r="B8" s="30" t="s">
        <v>91</v>
      </c>
      <c r="C8" s="10">
        <v>66.699999999999989</v>
      </c>
      <c r="D8" s="10">
        <v>262.95395388000003</v>
      </c>
      <c r="E8" s="10">
        <f t="shared" ref="E8:E13" si="1">C8+D8</f>
        <v>329.65395388000002</v>
      </c>
    </row>
    <row r="9" spans="1:5" x14ac:dyDescent="0.25">
      <c r="A9" s="78">
        <v>5</v>
      </c>
      <c r="B9" s="30" t="s">
        <v>92</v>
      </c>
      <c r="C9" s="10">
        <v>74.399999999999991</v>
      </c>
      <c r="D9" s="10">
        <v>36.715817960000003</v>
      </c>
      <c r="E9" s="10">
        <f t="shared" si="1"/>
        <v>111.11581795999999</v>
      </c>
    </row>
    <row r="10" spans="1:5" x14ac:dyDescent="0.25">
      <c r="A10" s="78">
        <v>6</v>
      </c>
      <c r="B10" s="30" t="s">
        <v>93</v>
      </c>
      <c r="C10" s="10">
        <v>7.82</v>
      </c>
      <c r="D10" s="10">
        <v>31.377599999999997</v>
      </c>
      <c r="E10" s="10">
        <f t="shared" si="1"/>
        <v>39.197599999999994</v>
      </c>
    </row>
    <row r="11" spans="1:5" x14ac:dyDescent="0.25">
      <c r="A11" s="78">
        <v>7</v>
      </c>
      <c r="B11" s="30" t="s">
        <v>94</v>
      </c>
      <c r="C11" s="10">
        <v>1.2003268</v>
      </c>
      <c r="D11" s="10">
        <v>60.312200000000004</v>
      </c>
      <c r="E11" s="10">
        <f t="shared" si="1"/>
        <v>61.512526800000003</v>
      </c>
    </row>
    <row r="12" spans="1:5" x14ac:dyDescent="0.25">
      <c r="A12" s="78">
        <v>8</v>
      </c>
      <c r="B12" s="30" t="s">
        <v>95</v>
      </c>
      <c r="C12" s="10">
        <v>0</v>
      </c>
      <c r="D12" s="10">
        <v>63.162099999999995</v>
      </c>
      <c r="E12" s="10">
        <f t="shared" si="1"/>
        <v>63.162099999999995</v>
      </c>
    </row>
    <row r="13" spans="1:5" x14ac:dyDescent="0.25">
      <c r="A13" s="79">
        <v>9</v>
      </c>
      <c r="B13" s="30" t="s">
        <v>96</v>
      </c>
      <c r="C13" s="10">
        <v>25.72</v>
      </c>
      <c r="D13" s="10">
        <v>17.779999999999998</v>
      </c>
      <c r="E13" s="10">
        <f t="shared" si="1"/>
        <v>43.5</v>
      </c>
    </row>
    <row r="14" spans="1:5" x14ac:dyDescent="0.25">
      <c r="A14" s="79">
        <v>10</v>
      </c>
      <c r="B14" s="30" t="s">
        <v>98</v>
      </c>
      <c r="C14" s="10">
        <v>48.6</v>
      </c>
      <c r="D14" s="10">
        <v>67.62636148</v>
      </c>
      <c r="E14" s="10">
        <f t="shared" ref="E14:E15" si="2">C14+D14</f>
        <v>116.22636148000001</v>
      </c>
    </row>
    <row r="15" spans="1:5" x14ac:dyDescent="0.25">
      <c r="A15" s="79">
        <v>11</v>
      </c>
      <c r="B15" s="30" t="s">
        <v>97</v>
      </c>
      <c r="C15" s="10">
        <v>75.45</v>
      </c>
      <c r="D15" s="10">
        <v>39.495817960000004</v>
      </c>
      <c r="E15" s="10">
        <f t="shared" si="2"/>
        <v>114.94581796</v>
      </c>
    </row>
    <row r="16" spans="1:5" x14ac:dyDescent="0.25">
      <c r="A16" s="78"/>
      <c r="B16" s="53" t="s">
        <v>36</v>
      </c>
      <c r="C16" s="10">
        <f>SUM(C5:C15)</f>
        <v>399.72507451999996</v>
      </c>
      <c r="D16" s="10">
        <f>SUM(D5:D15)</f>
        <v>843.81049924000001</v>
      </c>
      <c r="E16" s="10">
        <f>SUM(E5:E15)</f>
        <v>1243.5355737599998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1"/>
  <sheetViews>
    <sheetView topLeftCell="A37" workbookViewId="0">
      <selection activeCell="E14" sqref="E14"/>
    </sheetView>
  </sheetViews>
  <sheetFormatPr defaultRowHeight="15" x14ac:dyDescent="0.25"/>
  <cols>
    <col min="1" max="3" width="9.140625" style="81"/>
  </cols>
  <sheetData>
    <row r="1" spans="1:3" x14ac:dyDescent="0.25">
      <c r="A1" s="96">
        <v>2001</v>
      </c>
      <c r="B1" s="95">
        <v>72.7</v>
      </c>
      <c r="C1" s="95">
        <v>52.5</v>
      </c>
    </row>
    <row r="2" spans="1:3" x14ac:dyDescent="0.25">
      <c r="A2" s="96">
        <v>2002</v>
      </c>
      <c r="B2" s="95">
        <v>53.1</v>
      </c>
      <c r="C2" s="95">
        <v>62.400000000000006</v>
      </c>
    </row>
    <row r="3" spans="1:3" x14ac:dyDescent="0.25">
      <c r="A3" s="96">
        <v>2003</v>
      </c>
      <c r="B3" s="95">
        <v>144.80000000000001</v>
      </c>
      <c r="C3" s="95">
        <v>171.6</v>
      </c>
    </row>
    <row r="4" spans="1:3" x14ac:dyDescent="0.25">
      <c r="A4" s="96">
        <v>2004</v>
      </c>
      <c r="B4" s="95">
        <v>44.3</v>
      </c>
      <c r="C4" s="95">
        <v>70.900000000000006</v>
      </c>
    </row>
    <row r="5" spans="1:3" x14ac:dyDescent="0.25">
      <c r="A5" s="96">
        <v>2005</v>
      </c>
      <c r="B5" s="95">
        <v>23.9</v>
      </c>
      <c r="C5" s="95">
        <v>40.5</v>
      </c>
    </row>
    <row r="6" spans="1:3" x14ac:dyDescent="0.25">
      <c r="A6" s="96">
        <v>2006</v>
      </c>
      <c r="B6" s="95">
        <v>20.399999999999999</v>
      </c>
      <c r="C6" s="95">
        <v>45.8</v>
      </c>
    </row>
    <row r="7" spans="1:3" x14ac:dyDescent="0.25">
      <c r="A7" s="96">
        <v>2007</v>
      </c>
      <c r="B7" s="95">
        <v>27.9</v>
      </c>
      <c r="C7" s="95">
        <v>137</v>
      </c>
    </row>
    <row r="8" spans="1:3" x14ac:dyDescent="0.25">
      <c r="A8" s="96">
        <v>2008</v>
      </c>
      <c r="B8" s="95">
        <v>101.7</v>
      </c>
      <c r="C8" s="95">
        <v>0</v>
      </c>
    </row>
    <row r="9" spans="1:3" x14ac:dyDescent="0.25">
      <c r="A9" s="96">
        <v>2009</v>
      </c>
      <c r="B9" s="95">
        <v>35.9</v>
      </c>
      <c r="C9" s="95">
        <v>13.1</v>
      </c>
    </row>
    <row r="10" spans="1:3" x14ac:dyDescent="0.25">
      <c r="A10" s="96">
        <v>2010</v>
      </c>
      <c r="B10" s="95">
        <v>10.8</v>
      </c>
      <c r="C10" s="95">
        <v>80</v>
      </c>
    </row>
    <row r="11" spans="1:3" x14ac:dyDescent="0.25">
      <c r="A11" s="96">
        <v>2011</v>
      </c>
      <c r="B11" s="95">
        <v>0</v>
      </c>
      <c r="C11" s="95">
        <v>33</v>
      </c>
    </row>
    <row r="12" spans="1:3" x14ac:dyDescent="0.25">
      <c r="A12" s="96">
        <v>2012</v>
      </c>
      <c r="B12" s="95">
        <v>25.9</v>
      </c>
      <c r="C12" s="95">
        <v>90.2</v>
      </c>
    </row>
    <row r="13" spans="1:3" x14ac:dyDescent="0.25">
      <c r="A13" s="96">
        <v>2013</v>
      </c>
      <c r="B13" s="95">
        <v>26.5</v>
      </c>
      <c r="C13" s="95">
        <v>89.8</v>
      </c>
    </row>
    <row r="14" spans="1:3" x14ac:dyDescent="0.25">
      <c r="A14" s="96">
        <v>2014</v>
      </c>
      <c r="B14" s="95">
        <v>41.1</v>
      </c>
      <c r="C14" s="95">
        <v>76.5</v>
      </c>
    </row>
    <row r="15" spans="1:3" x14ac:dyDescent="0.25">
      <c r="A15" s="96">
        <v>2015</v>
      </c>
      <c r="B15" s="95">
        <v>34.299999999999997</v>
      </c>
      <c r="C15" s="95">
        <v>84.9</v>
      </c>
    </row>
    <row r="16" spans="1:3" x14ac:dyDescent="0.25">
      <c r="A16" s="96">
        <v>2016</v>
      </c>
      <c r="B16" s="95">
        <v>52.6</v>
      </c>
      <c r="C16" s="95">
        <v>61.5</v>
      </c>
    </row>
    <row r="17" spans="1:3" x14ac:dyDescent="0.25">
      <c r="A17" s="96">
        <v>2017</v>
      </c>
      <c r="B17" s="95">
        <v>174.9</v>
      </c>
      <c r="C17" s="95">
        <v>189.2</v>
      </c>
    </row>
    <row r="18" spans="1:3" x14ac:dyDescent="0.25">
      <c r="A18" s="96">
        <v>2018</v>
      </c>
      <c r="B18" s="95">
        <v>26.1</v>
      </c>
      <c r="C18" s="95">
        <v>52.3</v>
      </c>
    </row>
    <row r="19" spans="1:3" x14ac:dyDescent="0.25">
      <c r="A19" s="96">
        <v>2019</v>
      </c>
      <c r="B19" s="95">
        <v>102.3</v>
      </c>
      <c r="C19" s="95">
        <v>14.6</v>
      </c>
    </row>
    <row r="20" spans="1:3" x14ac:dyDescent="0.25">
      <c r="A20" s="96">
        <v>2020</v>
      </c>
      <c r="B20" s="95">
        <v>16.3</v>
      </c>
      <c r="C20" s="95">
        <v>32.799999999999997</v>
      </c>
    </row>
    <row r="21" spans="1:3" x14ac:dyDescent="0.25">
      <c r="A21" s="96">
        <v>2021</v>
      </c>
      <c r="B21" s="95">
        <v>7.4</v>
      </c>
      <c r="C21" s="95">
        <v>26.3</v>
      </c>
    </row>
    <row r="22" spans="1:3" x14ac:dyDescent="0.25">
      <c r="A22" s="96">
        <v>2022</v>
      </c>
      <c r="B22" s="95">
        <v>197.9</v>
      </c>
      <c r="C22" s="95">
        <v>325.70000000000005</v>
      </c>
    </row>
    <row r="23" spans="1:3" x14ac:dyDescent="0.25">
      <c r="A23" s="96">
        <v>2023</v>
      </c>
      <c r="B23" s="95">
        <v>78.400000000000006</v>
      </c>
      <c r="C23" s="95">
        <v>14.5</v>
      </c>
    </row>
    <row r="24" spans="1:3" x14ac:dyDescent="0.25">
      <c r="A24" s="96">
        <v>2024</v>
      </c>
      <c r="B24" s="95">
        <v>89.8</v>
      </c>
      <c r="C24" s="95">
        <v>0</v>
      </c>
    </row>
    <row r="25" spans="1:3" x14ac:dyDescent="0.25">
      <c r="A25" s="96">
        <v>2025</v>
      </c>
      <c r="B25" s="95">
        <v>35.9</v>
      </c>
      <c r="C25" s="95">
        <v>52.5</v>
      </c>
    </row>
    <row r="26" spans="1:3" x14ac:dyDescent="0.25">
      <c r="A26" s="96">
        <v>2026</v>
      </c>
      <c r="B26" s="95">
        <v>3.8</v>
      </c>
      <c r="C26" s="95">
        <v>56.3</v>
      </c>
    </row>
    <row r="27" spans="1:3" x14ac:dyDescent="0.25">
      <c r="A27" s="96">
        <v>2027</v>
      </c>
      <c r="B27" s="95">
        <v>9.6999999999999993</v>
      </c>
      <c r="C27" s="95">
        <v>37.200000000000003</v>
      </c>
    </row>
    <row r="28" spans="1:3" x14ac:dyDescent="0.25">
      <c r="A28" s="96">
        <v>2028</v>
      </c>
      <c r="B28" s="95">
        <v>5.6</v>
      </c>
      <c r="C28" s="95">
        <v>77.099999999999994</v>
      </c>
    </row>
    <row r="29" spans="1:3" x14ac:dyDescent="0.25">
      <c r="A29" s="96">
        <v>2029</v>
      </c>
      <c r="B29" s="95">
        <v>3.5</v>
      </c>
      <c r="C29" s="95">
        <v>39.1</v>
      </c>
    </row>
    <row r="30" spans="1:3" x14ac:dyDescent="0.25">
      <c r="A30" s="96">
        <v>2030</v>
      </c>
      <c r="B30" s="95">
        <v>12.8</v>
      </c>
      <c r="C30" s="95">
        <v>71.3</v>
      </c>
    </row>
    <row r="31" spans="1:3" x14ac:dyDescent="0.25">
      <c r="A31" s="96">
        <v>2031</v>
      </c>
      <c r="B31" s="95">
        <v>6.3</v>
      </c>
      <c r="C31" s="95">
        <v>68.800000000000011</v>
      </c>
    </row>
    <row r="32" spans="1:3" x14ac:dyDescent="0.25">
      <c r="A32" s="96">
        <v>2032</v>
      </c>
      <c r="B32" s="95">
        <v>5.2</v>
      </c>
      <c r="C32" s="95">
        <v>69.900000000000006</v>
      </c>
    </row>
    <row r="33" spans="1:3" x14ac:dyDescent="0.25">
      <c r="A33" s="96">
        <v>2033</v>
      </c>
      <c r="B33" s="95">
        <v>6.2</v>
      </c>
      <c r="C33" s="95">
        <v>106.7</v>
      </c>
    </row>
    <row r="34" spans="1:3" x14ac:dyDescent="0.25">
      <c r="A34" s="96">
        <v>2034</v>
      </c>
      <c r="B34" s="95">
        <v>0</v>
      </c>
      <c r="C34" s="95">
        <v>43.199999999999996</v>
      </c>
    </row>
    <row r="35" spans="1:3" x14ac:dyDescent="0.25">
      <c r="A35" s="96">
        <v>2035</v>
      </c>
      <c r="B35" s="95">
        <v>3.1</v>
      </c>
      <c r="C35" s="95">
        <v>36.700000000000003</v>
      </c>
    </row>
    <row r="36" spans="1:3" x14ac:dyDescent="0.25">
      <c r="A36" s="96">
        <v>2036</v>
      </c>
      <c r="B36" s="95">
        <v>40.5</v>
      </c>
      <c r="C36" s="95">
        <v>91.800000000000011</v>
      </c>
    </row>
    <row r="37" spans="1:3" x14ac:dyDescent="0.25">
      <c r="A37" s="96">
        <v>2037</v>
      </c>
      <c r="B37" s="95">
        <v>301.60000000000002</v>
      </c>
      <c r="C37" s="95">
        <v>252.9</v>
      </c>
    </row>
    <row r="38" spans="1:3" x14ac:dyDescent="0.25">
      <c r="A38" s="96">
        <v>2038</v>
      </c>
      <c r="B38" s="95">
        <v>11.2</v>
      </c>
      <c r="C38" s="95">
        <v>0</v>
      </c>
    </row>
    <row r="39" spans="1:3" x14ac:dyDescent="0.25">
      <c r="A39" s="96">
        <v>2039</v>
      </c>
      <c r="B39" s="95">
        <v>49.7</v>
      </c>
      <c r="C39" s="95">
        <v>57.5</v>
      </c>
    </row>
    <row r="40" spans="1:3" x14ac:dyDescent="0.25">
      <c r="A40" s="96">
        <v>2040</v>
      </c>
      <c r="B40" s="95">
        <v>73.099999999999994</v>
      </c>
      <c r="C40" s="95">
        <v>37</v>
      </c>
    </row>
    <row r="41" spans="1:3" x14ac:dyDescent="0.25">
      <c r="A41" s="96">
        <v>2041</v>
      </c>
      <c r="B41" s="95">
        <v>75.400000000000006</v>
      </c>
      <c r="C41" s="95">
        <v>36.799999999999997</v>
      </c>
    </row>
    <row r="42" spans="1:3" x14ac:dyDescent="0.25">
      <c r="A42" s="96">
        <v>2042</v>
      </c>
      <c r="B42" s="95">
        <v>28.5</v>
      </c>
      <c r="C42" s="95">
        <v>152.79999999999998</v>
      </c>
    </row>
    <row r="43" spans="1:3" x14ac:dyDescent="0.25">
      <c r="A43" s="96">
        <v>2043</v>
      </c>
      <c r="B43" s="95">
        <v>35.9</v>
      </c>
      <c r="C43" s="95">
        <v>13.1</v>
      </c>
    </row>
    <row r="44" spans="1:3" x14ac:dyDescent="0.25">
      <c r="A44" s="96">
        <v>2044</v>
      </c>
      <c r="B44" s="95">
        <v>109.4</v>
      </c>
      <c r="C44" s="95">
        <v>0</v>
      </c>
    </row>
    <row r="45" spans="1:3" x14ac:dyDescent="0.25">
      <c r="A45" s="96">
        <v>2045</v>
      </c>
      <c r="B45" s="95">
        <v>124.2</v>
      </c>
      <c r="C45" s="95">
        <v>154.19999999999999</v>
      </c>
    </row>
    <row r="46" spans="1:3" x14ac:dyDescent="0.25">
      <c r="A46" s="96">
        <v>2046</v>
      </c>
      <c r="B46" s="95">
        <v>154.19999999999999</v>
      </c>
      <c r="C46" s="95">
        <v>212.6</v>
      </c>
    </row>
    <row r="47" spans="1:3" x14ac:dyDescent="0.25">
      <c r="A47" s="96">
        <v>2047</v>
      </c>
      <c r="B47" s="95">
        <v>15.2</v>
      </c>
      <c r="C47" s="95">
        <v>74</v>
      </c>
    </row>
    <row r="48" spans="1:3" x14ac:dyDescent="0.25">
      <c r="A48" s="96">
        <v>2048</v>
      </c>
      <c r="B48" s="95">
        <v>75.099999999999994</v>
      </c>
      <c r="C48" s="95">
        <v>155.60000000000002</v>
      </c>
    </row>
    <row r="49" spans="1:3" x14ac:dyDescent="0.25">
      <c r="A49" s="96">
        <v>2049</v>
      </c>
      <c r="B49" s="95">
        <v>161.9</v>
      </c>
      <c r="C49" s="95">
        <v>107.5</v>
      </c>
    </row>
    <row r="50" spans="1:3" x14ac:dyDescent="0.25">
      <c r="A50" s="96">
        <v>2050</v>
      </c>
      <c r="B50" s="95">
        <v>46</v>
      </c>
      <c r="C50" s="95">
        <v>43.8</v>
      </c>
    </row>
    <row r="51" spans="1:3" x14ac:dyDescent="0.25">
      <c r="A51" s="96">
        <v>2051</v>
      </c>
      <c r="B51" s="95">
        <v>15.8</v>
      </c>
      <c r="C51" s="95">
        <v>69.7</v>
      </c>
    </row>
    <row r="52" spans="1:3" x14ac:dyDescent="0.25">
      <c r="A52" s="96">
        <v>2052</v>
      </c>
      <c r="B52" s="95">
        <v>3</v>
      </c>
      <c r="C52" s="95">
        <v>28.900000000000002</v>
      </c>
    </row>
    <row r="53" spans="1:3" x14ac:dyDescent="0.25">
      <c r="A53" s="96">
        <v>2053</v>
      </c>
      <c r="B53" s="95">
        <v>1</v>
      </c>
      <c r="C53" s="95">
        <v>33.299999999999997</v>
      </c>
    </row>
    <row r="54" spans="1:3" x14ac:dyDescent="0.25">
      <c r="A54" s="96">
        <v>2054</v>
      </c>
      <c r="B54" s="95">
        <v>39.200000000000003</v>
      </c>
      <c r="C54" s="95">
        <v>40.299999999999997</v>
      </c>
    </row>
    <row r="55" spans="1:3" x14ac:dyDescent="0.25">
      <c r="A55" s="96">
        <v>2055</v>
      </c>
      <c r="B55" s="95">
        <v>35.9</v>
      </c>
      <c r="C55" s="95">
        <v>13.1</v>
      </c>
    </row>
    <row r="56" spans="1:3" x14ac:dyDescent="0.25">
      <c r="A56" s="96">
        <v>2056</v>
      </c>
      <c r="B56" s="95">
        <v>108.4</v>
      </c>
      <c r="C56" s="95">
        <v>0</v>
      </c>
    </row>
    <row r="57" spans="1:3" x14ac:dyDescent="0.25">
      <c r="A57" s="96">
        <v>2057</v>
      </c>
      <c r="B57" s="95">
        <v>12.1</v>
      </c>
      <c r="C57" s="95">
        <v>52.9</v>
      </c>
    </row>
    <row r="58" spans="1:3" x14ac:dyDescent="0.25">
      <c r="A58" s="96">
        <v>2058</v>
      </c>
      <c r="B58" s="95">
        <v>147.5</v>
      </c>
      <c r="C58" s="95">
        <v>109.6</v>
      </c>
    </row>
    <row r="59" spans="1:3" x14ac:dyDescent="0.25">
      <c r="A59" s="96">
        <v>2059</v>
      </c>
      <c r="B59" s="95">
        <v>8</v>
      </c>
      <c r="C59" s="95">
        <v>23.5</v>
      </c>
    </row>
    <row r="60" spans="1:3" x14ac:dyDescent="0.25">
      <c r="A60" s="96">
        <v>2060</v>
      </c>
      <c r="B60" s="95">
        <v>23.1</v>
      </c>
      <c r="C60" s="95">
        <v>70.599999999999994</v>
      </c>
    </row>
    <row r="61" spans="1:3" x14ac:dyDescent="0.25">
      <c r="A61" s="96">
        <v>2061</v>
      </c>
      <c r="B61" s="95">
        <v>64.400000000000006</v>
      </c>
      <c r="C61" s="95">
        <v>156.69999999999999</v>
      </c>
    </row>
    <row r="62" spans="1:3" x14ac:dyDescent="0.25">
      <c r="A62" s="96">
        <v>2062</v>
      </c>
      <c r="B62" s="95">
        <v>114.8</v>
      </c>
      <c r="C62" s="95">
        <v>165.5</v>
      </c>
    </row>
    <row r="63" spans="1:3" x14ac:dyDescent="0.25">
      <c r="A63" s="96">
        <v>2063</v>
      </c>
      <c r="B63" s="95">
        <v>85.7</v>
      </c>
      <c r="C63" s="95">
        <v>0</v>
      </c>
    </row>
    <row r="64" spans="1:3" x14ac:dyDescent="0.25">
      <c r="A64" s="96">
        <v>2064</v>
      </c>
      <c r="B64" s="95">
        <v>60.5</v>
      </c>
      <c r="C64" s="95">
        <v>55.900000000000006</v>
      </c>
    </row>
    <row r="65" spans="1:3" x14ac:dyDescent="0.25">
      <c r="A65" s="96">
        <v>2065</v>
      </c>
      <c r="B65" s="95">
        <v>1.7</v>
      </c>
      <c r="C65" s="95">
        <v>29.5</v>
      </c>
    </row>
    <row r="66" spans="1:3" x14ac:dyDescent="0.25">
      <c r="A66" s="96">
        <v>2066</v>
      </c>
      <c r="B66" s="95">
        <v>71</v>
      </c>
      <c r="C66" s="95">
        <v>94.600000000000009</v>
      </c>
    </row>
    <row r="67" spans="1:3" x14ac:dyDescent="0.25">
      <c r="A67" s="96">
        <v>2067</v>
      </c>
      <c r="B67" s="95">
        <v>58.2</v>
      </c>
      <c r="C67" s="95">
        <v>181.1</v>
      </c>
    </row>
    <row r="68" spans="1:3" x14ac:dyDescent="0.25">
      <c r="A68" s="96">
        <v>2068</v>
      </c>
      <c r="B68" s="95">
        <v>40.200000000000003</v>
      </c>
      <c r="C68" s="95">
        <v>160.69999999999999</v>
      </c>
    </row>
    <row r="69" spans="1:3" x14ac:dyDescent="0.25">
      <c r="A69" s="96">
        <v>2069</v>
      </c>
      <c r="B69" s="95">
        <v>8.3000000000000007</v>
      </c>
      <c r="C69" s="95">
        <v>6.3</v>
      </c>
    </row>
    <row r="70" spans="1:3" x14ac:dyDescent="0.25">
      <c r="A70" s="96">
        <v>2070</v>
      </c>
      <c r="B70" s="95">
        <v>32.9</v>
      </c>
      <c r="C70" s="95">
        <v>23.4</v>
      </c>
    </row>
    <row r="71" spans="1:3" x14ac:dyDescent="0.25">
      <c r="A71" s="96">
        <v>2071</v>
      </c>
      <c r="B71" s="95">
        <v>57.7</v>
      </c>
      <c r="C71" s="95">
        <v>189.7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31"/>
  <sheetViews>
    <sheetView topLeftCell="A9" zoomScaleNormal="100" workbookViewId="0">
      <selection activeCell="E14" sqref="E14"/>
    </sheetView>
  </sheetViews>
  <sheetFormatPr defaultRowHeight="12.75" x14ac:dyDescent="0.2"/>
  <cols>
    <col min="1" max="1" width="7.5703125" style="108" customWidth="1"/>
    <col min="2" max="2" width="54.85546875" style="108" customWidth="1"/>
    <col min="3" max="3" width="9.140625" style="108" customWidth="1"/>
    <col min="4" max="4" width="14.5703125" style="108" customWidth="1"/>
    <col min="5" max="5" width="8.85546875" style="108" customWidth="1"/>
    <col min="6" max="16384" width="9.140625" style="108"/>
  </cols>
  <sheetData>
    <row r="1" spans="1:5" ht="13.5" thickBot="1" x14ac:dyDescent="0.25">
      <c r="A1" s="66"/>
      <c r="B1" s="67" t="s">
        <v>34</v>
      </c>
      <c r="C1" s="68"/>
      <c r="D1" s="68"/>
      <c r="E1" s="69"/>
    </row>
    <row r="2" spans="1:5" x14ac:dyDescent="0.2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">
      <c r="A3" s="8" t="s">
        <v>49</v>
      </c>
      <c r="B3" s="65" t="s">
        <v>47</v>
      </c>
      <c r="C3" s="10" t="s">
        <v>7</v>
      </c>
      <c r="D3" s="11">
        <v>1</v>
      </c>
      <c r="E3" s="12">
        <f>(E6+E10+E15+E20)*0.45</f>
        <v>969.07500000000005</v>
      </c>
    </row>
    <row r="4" spans="1:5" x14ac:dyDescent="0.2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96.907500000000013</v>
      </c>
    </row>
    <row r="5" spans="1:5" ht="13.5" thickBot="1" x14ac:dyDescent="0.25">
      <c r="A5" s="14" t="s">
        <v>18</v>
      </c>
      <c r="B5" s="74" t="s">
        <v>48</v>
      </c>
      <c r="C5" s="15" t="s">
        <v>7</v>
      </c>
      <c r="D5" s="16">
        <v>1.1000000000000001</v>
      </c>
      <c r="E5" s="17">
        <f>D5*E3</f>
        <v>1065.9825000000001</v>
      </c>
    </row>
    <row r="6" spans="1:5" ht="38.25" x14ac:dyDescent="0.2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'2пом'!C20</f>
        <v>724.40000000000009</v>
      </c>
    </row>
    <row r="7" spans="1:5" ht="13.5" thickBot="1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181.10000000000002</v>
      </c>
    </row>
    <row r="8" spans="1:5" x14ac:dyDescent="0.2">
      <c r="A8" s="8" t="s">
        <v>15</v>
      </c>
      <c r="B8" s="38" t="s">
        <v>13</v>
      </c>
      <c r="C8" s="10" t="s">
        <v>7</v>
      </c>
      <c r="D8" s="42">
        <v>1</v>
      </c>
      <c r="E8" s="12">
        <f t="shared" ref="E8" si="0">$E$6*D8</f>
        <v>724.40000000000009</v>
      </c>
    </row>
    <row r="9" spans="1:5" ht="13.5" thickBot="1" x14ac:dyDescent="0.25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20696.108000000004</v>
      </c>
    </row>
    <row r="10" spans="1:5" ht="38.25" x14ac:dyDescent="0.2">
      <c r="A10" s="39" t="s">
        <v>50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'2пом'!D20</f>
        <v>1148.5</v>
      </c>
    </row>
    <row r="11" spans="1:5" x14ac:dyDescent="0.2">
      <c r="A11" s="8" t="s">
        <v>51</v>
      </c>
      <c r="B11" s="38" t="s">
        <v>16</v>
      </c>
      <c r="C11" s="10" t="s">
        <v>6</v>
      </c>
      <c r="D11" s="11">
        <v>1</v>
      </c>
      <c r="E11" s="12">
        <f>$E$10*D11*32.51</f>
        <v>37337.735000000001</v>
      </c>
    </row>
    <row r="12" spans="1:5" ht="13.5" thickBot="1" x14ac:dyDescent="0.25">
      <c r="A12" s="8" t="s">
        <v>52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172.27500000000001</v>
      </c>
    </row>
    <row r="13" spans="1:5" x14ac:dyDescent="0.2">
      <c r="A13" s="8" t="s">
        <v>53</v>
      </c>
      <c r="B13" s="38" t="s">
        <v>13</v>
      </c>
      <c r="C13" s="10" t="s">
        <v>7</v>
      </c>
      <c r="D13" s="42">
        <v>1</v>
      </c>
      <c r="E13" s="12">
        <f t="shared" si="1"/>
        <v>1148.5</v>
      </c>
    </row>
    <row r="14" spans="1:5" x14ac:dyDescent="0.2">
      <c r="A14" s="49" t="s">
        <v>54</v>
      </c>
      <c r="B14" s="112" t="s">
        <v>12</v>
      </c>
      <c r="C14" s="50" t="s">
        <v>7</v>
      </c>
      <c r="D14" s="13">
        <v>1</v>
      </c>
      <c r="E14" s="19">
        <f>75.75*4</f>
        <v>303</v>
      </c>
    </row>
    <row r="15" spans="1:5" ht="38.25" x14ac:dyDescent="0.2">
      <c r="A15" s="118" t="s">
        <v>194</v>
      </c>
      <c r="B15" s="119" t="s">
        <v>209</v>
      </c>
      <c r="C15" s="120" t="s">
        <v>198</v>
      </c>
      <c r="D15" s="121">
        <v>1</v>
      </c>
      <c r="E15" s="120">
        <f>'2пом'!C32</f>
        <v>59</v>
      </c>
    </row>
    <row r="16" spans="1:5" x14ac:dyDescent="0.2">
      <c r="A16" s="118" t="s">
        <v>200</v>
      </c>
      <c r="B16" s="122" t="s">
        <v>195</v>
      </c>
      <c r="C16" s="120" t="s">
        <v>6</v>
      </c>
      <c r="D16" s="121">
        <v>0.25</v>
      </c>
      <c r="E16" s="120">
        <f>D16*$E$15</f>
        <v>14.75</v>
      </c>
    </row>
    <row r="17" spans="1:5" x14ac:dyDescent="0.2">
      <c r="A17" s="118" t="s">
        <v>201</v>
      </c>
      <c r="B17" s="122" t="s">
        <v>13</v>
      </c>
      <c r="C17" s="120" t="s">
        <v>7</v>
      </c>
      <c r="D17" s="121">
        <v>1</v>
      </c>
      <c r="E17" s="120">
        <f t="shared" ref="E17:E18" si="2">D17*$E$15</f>
        <v>59</v>
      </c>
    </row>
    <row r="18" spans="1:5" x14ac:dyDescent="0.2">
      <c r="A18" s="118" t="s">
        <v>202</v>
      </c>
      <c r="B18" s="122" t="s">
        <v>196</v>
      </c>
      <c r="C18" s="120" t="s">
        <v>198</v>
      </c>
      <c r="D18" s="121">
        <v>1.1000000000000001</v>
      </c>
      <c r="E18" s="120">
        <f t="shared" si="2"/>
        <v>64.900000000000006</v>
      </c>
    </row>
    <row r="19" spans="1:5" x14ac:dyDescent="0.2">
      <c r="A19" s="118" t="s">
        <v>203</v>
      </c>
      <c r="B19" s="122" t="s">
        <v>197</v>
      </c>
      <c r="C19" s="120" t="s">
        <v>6</v>
      </c>
      <c r="D19" s="121">
        <v>1.3</v>
      </c>
      <c r="E19" s="120">
        <f>D19*$E$15*40</f>
        <v>3068</v>
      </c>
    </row>
    <row r="20" spans="1:5" ht="51" x14ac:dyDescent="0.2">
      <c r="A20" s="118" t="s">
        <v>199</v>
      </c>
      <c r="B20" s="119" t="s">
        <v>210</v>
      </c>
      <c r="C20" s="120" t="s">
        <v>198</v>
      </c>
      <c r="D20" s="121">
        <v>1</v>
      </c>
      <c r="E20" s="120">
        <f>'2пом'!D32</f>
        <v>221.60000000000002</v>
      </c>
    </row>
    <row r="21" spans="1:5" x14ac:dyDescent="0.2">
      <c r="A21" s="118" t="s">
        <v>204</v>
      </c>
      <c r="B21" s="122" t="s">
        <v>10</v>
      </c>
      <c r="C21" s="120" t="s">
        <v>6</v>
      </c>
      <c r="D21" s="121">
        <v>0.15</v>
      </c>
      <c r="E21" s="120">
        <f>$E$20*D21</f>
        <v>33.24</v>
      </c>
    </row>
    <row r="22" spans="1:5" x14ac:dyDescent="0.2">
      <c r="A22" s="118" t="s">
        <v>205</v>
      </c>
      <c r="B22" s="122" t="s">
        <v>13</v>
      </c>
      <c r="C22" s="120" t="s">
        <v>7</v>
      </c>
      <c r="D22" s="121">
        <v>1</v>
      </c>
      <c r="E22" s="120">
        <f t="shared" ref="E22:E23" si="3">$E$20*D22</f>
        <v>221.60000000000002</v>
      </c>
    </row>
    <row r="23" spans="1:5" x14ac:dyDescent="0.2">
      <c r="A23" s="118" t="s">
        <v>206</v>
      </c>
      <c r="B23" s="122" t="s">
        <v>196</v>
      </c>
      <c r="C23" s="120" t="s">
        <v>198</v>
      </c>
      <c r="D23" s="121">
        <v>1.1000000000000001</v>
      </c>
      <c r="E23" s="120">
        <f t="shared" si="3"/>
        <v>243.76000000000005</v>
      </c>
    </row>
    <row r="24" spans="1:5" x14ac:dyDescent="0.2">
      <c r="A24" s="118" t="s">
        <v>207</v>
      </c>
      <c r="B24" s="122" t="s">
        <v>197</v>
      </c>
      <c r="C24" s="120" t="s">
        <v>6</v>
      </c>
      <c r="D24" s="121">
        <v>1.3</v>
      </c>
      <c r="E24" s="120">
        <f>$E$20*D24*40</f>
        <v>11523.2</v>
      </c>
    </row>
    <row r="26" spans="1:5" x14ac:dyDescent="0.2">
      <c r="A26" s="114"/>
      <c r="B26" s="115" t="s">
        <v>37</v>
      </c>
      <c r="C26" s="116"/>
      <c r="D26" s="116"/>
      <c r="E26" s="116"/>
    </row>
    <row r="27" spans="1:5" x14ac:dyDescent="0.2">
      <c r="A27" s="114" t="s">
        <v>0</v>
      </c>
      <c r="B27" s="117" t="s">
        <v>1</v>
      </c>
      <c r="C27" s="116" t="s">
        <v>2</v>
      </c>
      <c r="D27" s="116" t="s">
        <v>3</v>
      </c>
      <c r="E27" s="116" t="s">
        <v>4</v>
      </c>
    </row>
    <row r="28" spans="1:5" ht="25.5" x14ac:dyDescent="0.2">
      <c r="A28" s="113">
        <v>1</v>
      </c>
      <c r="B28" s="65" t="str">
        <f>ВОР!B18</f>
        <v>Подготовка поверхности СКБ / стен / по штукатурке / 2мм (Шпаклевка базовая)</v>
      </c>
      <c r="C28" s="10" t="s">
        <v>5</v>
      </c>
      <c r="D28" s="11">
        <v>1</v>
      </c>
      <c r="E28" s="10">
        <f>'2пом'!E20</f>
        <v>1872.9</v>
      </c>
    </row>
    <row r="29" spans="1:5" x14ac:dyDescent="0.2">
      <c r="A29" s="113">
        <v>1.1000000000000001</v>
      </c>
      <c r="B29" s="38" t="s">
        <v>10</v>
      </c>
      <c r="C29" s="10" t="s">
        <v>6</v>
      </c>
      <c r="D29" s="11">
        <v>0.15</v>
      </c>
      <c r="E29" s="10">
        <f>D29*E28</f>
        <v>280.935</v>
      </c>
    </row>
    <row r="30" spans="1:5" x14ac:dyDescent="0.2">
      <c r="A30" s="113" t="s">
        <v>9</v>
      </c>
      <c r="B30" s="9" t="s">
        <v>32</v>
      </c>
      <c r="C30" s="10" t="s">
        <v>6</v>
      </c>
      <c r="D30" s="11">
        <v>1.8</v>
      </c>
      <c r="E30" s="10">
        <f t="shared" ref="E30:E31" si="4">D30*E29</f>
        <v>505.68299999999999</v>
      </c>
    </row>
    <row r="31" spans="1:5" x14ac:dyDescent="0.2">
      <c r="A31" s="113" t="s">
        <v>18</v>
      </c>
      <c r="B31" s="38" t="s">
        <v>33</v>
      </c>
      <c r="C31" s="10" t="s">
        <v>7</v>
      </c>
      <c r="D31" s="11">
        <v>0.3</v>
      </c>
      <c r="E31" s="10">
        <f t="shared" si="4"/>
        <v>151.70489999999998</v>
      </c>
    </row>
  </sheetData>
  <pageMargins left="0.7" right="0.7" top="0.75" bottom="0.75" header="0.3" footer="0.3"/>
  <pageSetup paperSize="9" scale="92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32"/>
  <sheetViews>
    <sheetView zoomScale="60" zoomScaleNormal="60" workbookViewId="0">
      <selection sqref="A1:E12"/>
    </sheetView>
  </sheetViews>
  <sheetFormatPr defaultRowHeight="12.75" x14ac:dyDescent="0.2"/>
  <cols>
    <col min="1" max="1" width="8.85546875" style="108" customWidth="1"/>
    <col min="2" max="2" width="11.85546875" style="108" customWidth="1"/>
    <col min="3" max="3" width="12.5703125" style="108" customWidth="1"/>
    <col min="4" max="4" width="18.5703125" style="108" customWidth="1"/>
    <col min="5" max="5" width="10.5703125" style="108" customWidth="1"/>
    <col min="6" max="16384" width="9.140625" style="108"/>
  </cols>
  <sheetData>
    <row r="1" spans="1:5" x14ac:dyDescent="0.2">
      <c r="A1" s="142" t="s">
        <v>20</v>
      </c>
      <c r="B1" s="142"/>
      <c r="C1" s="142"/>
      <c r="D1" s="142"/>
      <c r="E1" s="142"/>
    </row>
    <row r="2" spans="1:5" x14ac:dyDescent="0.2">
      <c r="A2" s="140" t="s">
        <v>35</v>
      </c>
      <c r="B2" s="140"/>
      <c r="C2" s="140"/>
      <c r="D2" s="140"/>
      <c r="E2" s="140"/>
    </row>
    <row r="3" spans="1:5" ht="25.5" x14ac:dyDescent="0.2">
      <c r="A3" s="107"/>
      <c r="B3" s="30"/>
      <c r="C3" s="27" t="s">
        <v>22</v>
      </c>
      <c r="D3" s="106" t="s">
        <v>23</v>
      </c>
      <c r="E3" s="107" t="s">
        <v>31</v>
      </c>
    </row>
    <row r="4" spans="1:5" x14ac:dyDescent="0.2">
      <c r="A4" s="107" t="s">
        <v>0</v>
      </c>
      <c r="B4" s="28" t="s">
        <v>19</v>
      </c>
      <c r="C4" s="10" t="s">
        <v>21</v>
      </c>
      <c r="D4" s="10" t="s">
        <v>21</v>
      </c>
      <c r="E4" s="107"/>
    </row>
    <row r="5" spans="1:5" x14ac:dyDescent="0.2">
      <c r="A5" s="109">
        <v>1</v>
      </c>
      <c r="B5" s="109">
        <v>2.0009999999999999</v>
      </c>
      <c r="C5" s="109">
        <v>67.900000000000006</v>
      </c>
      <c r="D5" s="110">
        <v>48.5</v>
      </c>
      <c r="E5" s="110">
        <f>C5+D5</f>
        <v>116.4</v>
      </c>
    </row>
    <row r="6" spans="1:5" x14ac:dyDescent="0.2">
      <c r="A6" s="109">
        <v>2</v>
      </c>
      <c r="B6" s="109">
        <v>2.0019999999999998</v>
      </c>
      <c r="C6" s="109">
        <v>47.5</v>
      </c>
      <c r="D6" s="110">
        <v>60.400000000000006</v>
      </c>
      <c r="E6" s="110">
        <f t="shared" ref="E6:E19" si="0">C6+D6</f>
        <v>107.9</v>
      </c>
    </row>
    <row r="7" spans="1:5" x14ac:dyDescent="0.2">
      <c r="A7" s="109">
        <v>3</v>
      </c>
      <c r="B7" s="109">
        <v>2.0030000000000001</v>
      </c>
      <c r="C7" s="109">
        <v>140.30000000000001</v>
      </c>
      <c r="D7" s="110">
        <v>170.6</v>
      </c>
      <c r="E7" s="110">
        <f t="shared" si="0"/>
        <v>310.89999999999998</v>
      </c>
    </row>
    <row r="8" spans="1:5" x14ac:dyDescent="0.2">
      <c r="A8" s="109">
        <v>4</v>
      </c>
      <c r="B8" s="109">
        <v>2.004</v>
      </c>
      <c r="C8" s="109">
        <v>38.599999999999994</v>
      </c>
      <c r="D8" s="110">
        <v>64.900000000000006</v>
      </c>
      <c r="E8" s="110">
        <f t="shared" si="0"/>
        <v>103.5</v>
      </c>
    </row>
    <row r="9" spans="1:5" x14ac:dyDescent="0.2">
      <c r="A9" s="126">
        <v>5</v>
      </c>
      <c r="B9" s="109">
        <v>2.0049999999999999</v>
      </c>
      <c r="C9" s="109">
        <v>19.5</v>
      </c>
      <c r="D9" s="110">
        <v>35.5</v>
      </c>
      <c r="E9" s="110">
        <f t="shared" si="0"/>
        <v>55</v>
      </c>
    </row>
    <row r="10" spans="1:5" x14ac:dyDescent="0.2">
      <c r="A10" s="126">
        <v>6</v>
      </c>
      <c r="B10" s="125">
        <v>2.0070000000000001</v>
      </c>
      <c r="C10" s="109">
        <v>22.299999999999997</v>
      </c>
      <c r="D10" s="110">
        <v>134</v>
      </c>
      <c r="E10" s="110">
        <f t="shared" si="0"/>
        <v>156.30000000000001</v>
      </c>
    </row>
    <row r="11" spans="1:5" x14ac:dyDescent="0.2">
      <c r="A11" s="126">
        <v>7</v>
      </c>
      <c r="B11" s="109">
        <v>2.0089999999999999</v>
      </c>
      <c r="C11" s="109">
        <v>30</v>
      </c>
      <c r="D11" s="110">
        <v>10.1</v>
      </c>
      <c r="E11" s="110">
        <f t="shared" si="0"/>
        <v>40.1</v>
      </c>
    </row>
    <row r="12" spans="1:5" x14ac:dyDescent="0.2">
      <c r="A12" s="126">
        <v>8</v>
      </c>
      <c r="B12" s="109">
        <v>2.0110000000000001</v>
      </c>
      <c r="C12" s="109">
        <v>0</v>
      </c>
      <c r="D12" s="110">
        <v>28</v>
      </c>
      <c r="E12" s="110">
        <f t="shared" si="0"/>
        <v>28</v>
      </c>
    </row>
    <row r="13" spans="1:5" x14ac:dyDescent="0.2">
      <c r="A13" s="126">
        <v>9</v>
      </c>
      <c r="B13" s="109">
        <v>2.012</v>
      </c>
      <c r="C13" s="109">
        <v>21.299999999999997</v>
      </c>
      <c r="D13" s="110">
        <v>84.2</v>
      </c>
      <c r="E13" s="110">
        <f t="shared" si="0"/>
        <v>105.5</v>
      </c>
    </row>
    <row r="14" spans="1:5" x14ac:dyDescent="0.2">
      <c r="A14" s="126">
        <v>10</v>
      </c>
      <c r="B14" s="109">
        <v>2.0129999999999999</v>
      </c>
      <c r="C14" s="109">
        <v>22.8</v>
      </c>
      <c r="D14" s="110">
        <v>85.8</v>
      </c>
      <c r="E14" s="110">
        <f t="shared" si="0"/>
        <v>108.6</v>
      </c>
    </row>
    <row r="15" spans="1:5" x14ac:dyDescent="0.2">
      <c r="A15" s="109">
        <v>11</v>
      </c>
      <c r="B15" s="109">
        <v>2.0139999999999998</v>
      </c>
      <c r="C15" s="109">
        <v>35.700000000000003</v>
      </c>
      <c r="D15" s="110">
        <v>75.5</v>
      </c>
      <c r="E15" s="110">
        <f t="shared" si="0"/>
        <v>111.2</v>
      </c>
    </row>
    <row r="16" spans="1:5" x14ac:dyDescent="0.2">
      <c r="A16" s="109">
        <v>12</v>
      </c>
      <c r="B16" s="109">
        <v>2.0150000000000001</v>
      </c>
      <c r="C16" s="109">
        <v>30.699999999999996</v>
      </c>
      <c r="D16" s="110">
        <v>83.9</v>
      </c>
      <c r="E16" s="110">
        <f t="shared" si="0"/>
        <v>114.6</v>
      </c>
    </row>
    <row r="17" spans="1:5" x14ac:dyDescent="0.2">
      <c r="A17" s="109">
        <v>13</v>
      </c>
      <c r="B17" s="109">
        <v>2.016</v>
      </c>
      <c r="C17" s="109">
        <v>47.2</v>
      </c>
      <c r="D17" s="110">
        <v>59.5</v>
      </c>
      <c r="E17" s="110">
        <f t="shared" si="0"/>
        <v>106.7</v>
      </c>
    </row>
    <row r="18" spans="1:5" ht="12.75" customHeight="1" x14ac:dyDescent="0.2">
      <c r="A18" s="109">
        <v>14</v>
      </c>
      <c r="B18" s="109">
        <v>2.0169999999999999</v>
      </c>
      <c r="C18" s="109">
        <v>171.3</v>
      </c>
      <c r="D18" s="110">
        <v>188.2</v>
      </c>
      <c r="E18" s="110">
        <f t="shared" si="0"/>
        <v>359.5</v>
      </c>
    </row>
    <row r="19" spans="1:5" ht="12.75" customHeight="1" x14ac:dyDescent="0.2">
      <c r="A19" s="109">
        <v>15</v>
      </c>
      <c r="B19" s="125">
        <v>2.0699999999999998</v>
      </c>
      <c r="C19" s="109">
        <v>29.299999999999997</v>
      </c>
      <c r="D19" s="110">
        <v>19.399999999999999</v>
      </c>
      <c r="E19" s="110">
        <f t="shared" si="0"/>
        <v>48.699999999999996</v>
      </c>
    </row>
    <row r="20" spans="1:5" x14ac:dyDescent="0.2">
      <c r="A20" s="109"/>
      <c r="B20" s="109" t="s">
        <v>208</v>
      </c>
      <c r="C20" s="109">
        <f>SUM(C5:C19)</f>
        <v>724.40000000000009</v>
      </c>
      <c r="D20" s="109">
        <f t="shared" ref="D20:E20" si="1">SUM(D5:D19)</f>
        <v>1148.5</v>
      </c>
      <c r="E20" s="109">
        <f t="shared" si="1"/>
        <v>1872.9</v>
      </c>
    </row>
    <row r="22" spans="1:5" x14ac:dyDescent="0.2">
      <c r="A22" s="142" t="s">
        <v>20</v>
      </c>
      <c r="B22" s="142"/>
      <c r="C22" s="142"/>
      <c r="D22" s="142"/>
      <c r="E22" s="142"/>
    </row>
    <row r="23" spans="1:5" x14ac:dyDescent="0.2">
      <c r="A23" s="140" t="s">
        <v>213</v>
      </c>
      <c r="B23" s="140"/>
      <c r="C23" s="140"/>
      <c r="D23" s="140"/>
      <c r="E23" s="140"/>
    </row>
    <row r="24" spans="1:5" ht="24.75" customHeight="1" x14ac:dyDescent="0.2">
      <c r="A24" s="107"/>
      <c r="B24" s="30"/>
      <c r="C24" s="27" t="s">
        <v>22</v>
      </c>
      <c r="D24" s="106" t="s">
        <v>23</v>
      </c>
      <c r="E24" s="107" t="s">
        <v>31</v>
      </c>
    </row>
    <row r="25" spans="1:5" x14ac:dyDescent="0.2">
      <c r="A25" s="107" t="s">
        <v>0</v>
      </c>
      <c r="B25" s="28" t="s">
        <v>19</v>
      </c>
      <c r="C25" s="10" t="s">
        <v>21</v>
      </c>
      <c r="D25" s="10" t="s">
        <v>21</v>
      </c>
      <c r="E25" s="107"/>
    </row>
    <row r="26" spans="1:5" x14ac:dyDescent="0.2">
      <c r="A26" s="111">
        <v>1</v>
      </c>
      <c r="B26" s="127">
        <v>2.0099999999999998</v>
      </c>
      <c r="C26" s="123">
        <v>10.199999999999999</v>
      </c>
      <c r="D26" s="123">
        <v>79.5</v>
      </c>
      <c r="E26" s="123">
        <f>C26+D26</f>
        <v>89.7</v>
      </c>
    </row>
    <row r="27" spans="1:5" x14ac:dyDescent="0.2">
      <c r="A27" s="111">
        <v>2</v>
      </c>
      <c r="B27" s="111">
        <v>2.0110000000000001</v>
      </c>
      <c r="C27" s="123">
        <v>0</v>
      </c>
      <c r="D27" s="123">
        <v>32.4</v>
      </c>
      <c r="E27" s="123">
        <f t="shared" ref="E27:E30" si="2">C27+D27</f>
        <v>32.4</v>
      </c>
    </row>
    <row r="28" spans="1:5" x14ac:dyDescent="0.2">
      <c r="A28" s="111">
        <v>3</v>
      </c>
      <c r="B28" s="111">
        <v>2.0179999999999998</v>
      </c>
      <c r="C28" s="123">
        <v>25.8</v>
      </c>
      <c r="D28" s="123">
        <v>51.9</v>
      </c>
      <c r="E28" s="123">
        <f t="shared" si="2"/>
        <v>77.7</v>
      </c>
    </row>
    <row r="29" spans="1:5" x14ac:dyDescent="0.2">
      <c r="A29" s="111">
        <v>4</v>
      </c>
      <c r="B29" s="127">
        <v>2.02</v>
      </c>
      <c r="C29" s="123">
        <v>16.100000000000001</v>
      </c>
      <c r="D29" s="123">
        <v>32.4</v>
      </c>
      <c r="E29" s="123">
        <f t="shared" si="2"/>
        <v>48.5</v>
      </c>
    </row>
    <row r="30" spans="1:5" x14ac:dyDescent="0.2">
      <c r="A30" s="111">
        <v>5</v>
      </c>
      <c r="B30" s="111">
        <v>2.0209999999999999</v>
      </c>
      <c r="C30" s="123">
        <v>6.9</v>
      </c>
      <c r="D30" s="123">
        <v>25.4</v>
      </c>
      <c r="E30" s="123">
        <f t="shared" si="2"/>
        <v>32.299999999999997</v>
      </c>
    </row>
    <row r="31" spans="1:5" x14ac:dyDescent="0.2">
      <c r="A31" s="111">
        <v>6</v>
      </c>
      <c r="B31" s="111">
        <v>2.0590000000000002</v>
      </c>
      <c r="C31" s="123">
        <v>7.9</v>
      </c>
      <c r="D31" s="123">
        <v>23.1</v>
      </c>
      <c r="E31" s="123">
        <f>C31+D31</f>
        <v>31</v>
      </c>
    </row>
    <row r="32" spans="1:5" x14ac:dyDescent="0.2">
      <c r="A32" s="111"/>
      <c r="B32" s="111" t="s">
        <v>208</v>
      </c>
      <c r="C32" s="123">
        <f>SUM(C25:C30)</f>
        <v>59</v>
      </c>
      <c r="D32" s="123">
        <f t="shared" ref="D32:E32" si="3">SUM(D25:D30)</f>
        <v>221.60000000000002</v>
      </c>
      <c r="E32" s="123">
        <f t="shared" si="3"/>
        <v>280.60000000000002</v>
      </c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4:L16"/>
  <sheetViews>
    <sheetView workbookViewId="0">
      <selection activeCell="N24" sqref="N24"/>
    </sheetView>
  </sheetViews>
  <sheetFormatPr defaultRowHeight="15" x14ac:dyDescent="0.25"/>
  <sheetData>
    <row r="14" spans="11:12" x14ac:dyDescent="0.25">
      <c r="K14" t="s">
        <v>211</v>
      </c>
      <c r="L14" s="124">
        <f>'2вор'!E3+'3вор1.2с'!E3</f>
        <v>1766.3400000000001</v>
      </c>
    </row>
    <row r="15" spans="11:12" x14ac:dyDescent="0.25">
      <c r="K15" t="s">
        <v>212</v>
      </c>
      <c r="L15" s="124">
        <f>'2вор'!E6+'3вор1.2с'!E6</f>
        <v>1376.7</v>
      </c>
    </row>
    <row r="16" spans="11:12" x14ac:dyDescent="0.25">
      <c r="L16" s="124">
        <f>'2вор'!E10+'3вор1.2с'!E10</f>
        <v>2011.5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31"/>
  <sheetViews>
    <sheetView topLeftCell="A2" zoomScale="85" zoomScaleNormal="85" workbookViewId="0">
      <selection activeCell="E14" sqref="E14"/>
    </sheetView>
  </sheetViews>
  <sheetFormatPr defaultRowHeight="12.75" x14ac:dyDescent="0.2"/>
  <cols>
    <col min="1" max="1" width="7.5703125" style="108" customWidth="1"/>
    <col min="2" max="2" width="54.85546875" style="108" customWidth="1"/>
    <col min="3" max="3" width="9.140625" style="108" customWidth="1"/>
    <col min="4" max="4" width="14.5703125" style="108" customWidth="1"/>
    <col min="5" max="5" width="8.85546875" style="108" customWidth="1"/>
    <col min="6" max="16384" width="9.140625" style="108"/>
  </cols>
  <sheetData>
    <row r="1" spans="1:5" ht="13.5" thickBot="1" x14ac:dyDescent="0.25">
      <c r="A1" s="66"/>
      <c r="B1" s="67" t="s">
        <v>34</v>
      </c>
      <c r="C1" s="68"/>
      <c r="D1" s="68"/>
      <c r="E1" s="69"/>
    </row>
    <row r="2" spans="1:5" x14ac:dyDescent="0.2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">
      <c r="A3" s="8" t="s">
        <v>49</v>
      </c>
      <c r="B3" s="65" t="s">
        <v>47</v>
      </c>
      <c r="C3" s="10" t="s">
        <v>7</v>
      </c>
      <c r="D3" s="11">
        <v>1</v>
      </c>
      <c r="E3" s="12">
        <f>(E6+E10+E15+E20)*0.45</f>
        <v>797.26499999999999</v>
      </c>
    </row>
    <row r="4" spans="1:5" x14ac:dyDescent="0.2">
      <c r="A4" s="8" t="s">
        <v>9</v>
      </c>
      <c r="B4" s="65" t="s">
        <v>16</v>
      </c>
      <c r="C4" s="10" t="s">
        <v>6</v>
      </c>
      <c r="D4" s="11">
        <v>0.1</v>
      </c>
      <c r="E4" s="12">
        <f>D4*E3</f>
        <v>79.726500000000001</v>
      </c>
    </row>
    <row r="5" spans="1:5" ht="13.5" thickBot="1" x14ac:dyDescent="0.25">
      <c r="A5" s="14" t="s">
        <v>18</v>
      </c>
      <c r="B5" s="74" t="s">
        <v>48</v>
      </c>
      <c r="C5" s="15" t="s">
        <v>7</v>
      </c>
      <c r="D5" s="16">
        <v>1.1000000000000001</v>
      </c>
      <c r="E5" s="17">
        <f>D5*E3</f>
        <v>876.99150000000009</v>
      </c>
    </row>
    <row r="6" spans="1:5" ht="38.25" x14ac:dyDescent="0.2">
      <c r="A6" s="60" t="s">
        <v>11</v>
      </c>
      <c r="B6" s="61" t="str">
        <f>ВОР!B6</f>
        <v>Штукатурка стен гипсовыми смесями с предварительной огрунтовкой СКБ / толщ. от 21 до 40 мм / высотой от 4,01 до 8 метров (Штукатурка по ж/б поверхностям)</v>
      </c>
      <c r="C6" s="62" t="s">
        <v>5</v>
      </c>
      <c r="D6" s="63">
        <v>1</v>
      </c>
      <c r="E6" s="64">
        <f>'3пом'!C16</f>
        <v>652.29999999999995</v>
      </c>
    </row>
    <row r="7" spans="1:5" ht="13.5" thickBot="1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163.07499999999999</v>
      </c>
    </row>
    <row r="8" spans="1:5" x14ac:dyDescent="0.2">
      <c r="A8" s="8" t="s">
        <v>15</v>
      </c>
      <c r="B8" s="38" t="s">
        <v>13</v>
      </c>
      <c r="C8" s="10" t="s">
        <v>7</v>
      </c>
      <c r="D8" s="42">
        <v>1</v>
      </c>
      <c r="E8" s="12">
        <f t="shared" ref="E8" si="0">$E$6*D8</f>
        <v>652.29999999999995</v>
      </c>
    </row>
    <row r="9" spans="1:5" ht="13.5" thickBot="1" x14ac:dyDescent="0.25">
      <c r="A9" s="8" t="s">
        <v>17</v>
      </c>
      <c r="B9" s="18" t="s">
        <v>16</v>
      </c>
      <c r="C9" s="50" t="s">
        <v>6</v>
      </c>
      <c r="D9" s="13">
        <v>1</v>
      </c>
      <c r="E9" s="19">
        <f>$E$6*D9*28.57</f>
        <v>18636.210999999999</v>
      </c>
    </row>
    <row r="10" spans="1:5" ht="38.25" x14ac:dyDescent="0.2">
      <c r="A10" s="39" t="s">
        <v>50</v>
      </c>
      <c r="B10" s="40" t="str">
        <f>ВОР!B10</f>
        <v>Штукатурка стен гипсовыми смесями с предварительной огрунтовкой СКБ / толщ. от 21 до 40 мм / высотой от 4,01 до 8 метров (Штукатурка  по газобетонному блоку и ПГП)</v>
      </c>
      <c r="C10" s="41" t="s">
        <v>5</v>
      </c>
      <c r="D10" s="42">
        <v>1</v>
      </c>
      <c r="E10" s="43">
        <f>'3пом'!D16</f>
        <v>863</v>
      </c>
    </row>
    <row r="11" spans="1:5" x14ac:dyDescent="0.2">
      <c r="A11" s="8" t="s">
        <v>51</v>
      </c>
      <c r="B11" s="38" t="s">
        <v>16</v>
      </c>
      <c r="C11" s="10" t="s">
        <v>6</v>
      </c>
      <c r="D11" s="11">
        <v>1</v>
      </c>
      <c r="E11" s="12">
        <f>$E$10*D11*32.51</f>
        <v>28056.129999999997</v>
      </c>
    </row>
    <row r="12" spans="1:5" ht="13.5" thickBot="1" x14ac:dyDescent="0.25">
      <c r="A12" s="8" t="s">
        <v>52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129.44999999999999</v>
      </c>
    </row>
    <row r="13" spans="1:5" x14ac:dyDescent="0.2">
      <c r="A13" s="8" t="s">
        <v>53</v>
      </c>
      <c r="B13" s="38" t="s">
        <v>13</v>
      </c>
      <c r="C13" s="10" t="s">
        <v>7</v>
      </c>
      <c r="D13" s="42">
        <v>1</v>
      </c>
      <c r="E13" s="12">
        <f t="shared" si="1"/>
        <v>863</v>
      </c>
    </row>
    <row r="14" spans="1:5" x14ac:dyDescent="0.2">
      <c r="A14" s="49" t="s">
        <v>54</v>
      </c>
      <c r="B14" s="112" t="s">
        <v>12</v>
      </c>
      <c r="C14" s="50" t="s">
        <v>7</v>
      </c>
      <c r="D14" s="13">
        <v>1</v>
      </c>
      <c r="E14" s="19">
        <f>35.75*4</f>
        <v>143</v>
      </c>
    </row>
    <row r="15" spans="1:5" ht="38.25" x14ac:dyDescent="0.2">
      <c r="A15" s="118" t="s">
        <v>194</v>
      </c>
      <c r="B15" s="119" t="s">
        <v>209</v>
      </c>
      <c r="C15" s="120" t="s">
        <v>198</v>
      </c>
      <c r="D15" s="121">
        <v>1</v>
      </c>
      <c r="E15" s="120">
        <f>'3пом'!C27</f>
        <v>62.5</v>
      </c>
    </row>
    <row r="16" spans="1:5" x14ac:dyDescent="0.2">
      <c r="A16" s="118" t="s">
        <v>200</v>
      </c>
      <c r="B16" s="122" t="s">
        <v>195</v>
      </c>
      <c r="C16" s="120" t="s">
        <v>6</v>
      </c>
      <c r="D16" s="121">
        <v>0.25</v>
      </c>
      <c r="E16" s="120">
        <f>D16*$E$15</f>
        <v>15.625</v>
      </c>
    </row>
    <row r="17" spans="1:5" x14ac:dyDescent="0.2">
      <c r="A17" s="118" t="s">
        <v>201</v>
      </c>
      <c r="B17" s="122" t="s">
        <v>13</v>
      </c>
      <c r="C17" s="120" t="s">
        <v>7</v>
      </c>
      <c r="D17" s="121">
        <v>1</v>
      </c>
      <c r="E17" s="120">
        <f t="shared" ref="E17:E18" si="2">D17*$E$15</f>
        <v>62.5</v>
      </c>
    </row>
    <row r="18" spans="1:5" x14ac:dyDescent="0.2">
      <c r="A18" s="118" t="s">
        <v>202</v>
      </c>
      <c r="B18" s="122" t="s">
        <v>196</v>
      </c>
      <c r="C18" s="120" t="s">
        <v>198</v>
      </c>
      <c r="D18" s="121">
        <v>1.1000000000000001</v>
      </c>
      <c r="E18" s="120">
        <f t="shared" si="2"/>
        <v>68.75</v>
      </c>
    </row>
    <row r="19" spans="1:5" x14ac:dyDescent="0.2">
      <c r="A19" s="118" t="s">
        <v>203</v>
      </c>
      <c r="B19" s="122" t="s">
        <v>197</v>
      </c>
      <c r="C19" s="120" t="s">
        <v>6</v>
      </c>
      <c r="D19" s="121">
        <v>1.3</v>
      </c>
      <c r="E19" s="120">
        <f>D19*$E$15*40</f>
        <v>3250</v>
      </c>
    </row>
    <row r="20" spans="1:5" ht="51" x14ac:dyDescent="0.2">
      <c r="A20" s="118" t="s">
        <v>199</v>
      </c>
      <c r="B20" s="119" t="s">
        <v>210</v>
      </c>
      <c r="C20" s="120" t="s">
        <v>198</v>
      </c>
      <c r="D20" s="121">
        <v>1</v>
      </c>
      <c r="E20" s="120">
        <f>'3пом'!D27</f>
        <v>193.9</v>
      </c>
    </row>
    <row r="21" spans="1:5" x14ac:dyDescent="0.2">
      <c r="A21" s="118" t="s">
        <v>204</v>
      </c>
      <c r="B21" s="122" t="s">
        <v>10</v>
      </c>
      <c r="C21" s="120" t="s">
        <v>6</v>
      </c>
      <c r="D21" s="121">
        <v>0.15</v>
      </c>
      <c r="E21" s="120">
        <f>$E$20*D21</f>
        <v>29.085000000000001</v>
      </c>
    </row>
    <row r="22" spans="1:5" x14ac:dyDescent="0.2">
      <c r="A22" s="118" t="s">
        <v>205</v>
      </c>
      <c r="B22" s="122" t="s">
        <v>13</v>
      </c>
      <c r="C22" s="120" t="s">
        <v>7</v>
      </c>
      <c r="D22" s="121">
        <v>1</v>
      </c>
      <c r="E22" s="120">
        <f t="shared" ref="E22:E23" si="3">$E$20*D22</f>
        <v>193.9</v>
      </c>
    </row>
    <row r="23" spans="1:5" x14ac:dyDescent="0.2">
      <c r="A23" s="118" t="s">
        <v>206</v>
      </c>
      <c r="B23" s="122" t="s">
        <v>196</v>
      </c>
      <c r="C23" s="120" t="s">
        <v>198</v>
      </c>
      <c r="D23" s="121">
        <v>1.1000000000000001</v>
      </c>
      <c r="E23" s="120">
        <f t="shared" si="3"/>
        <v>213.29000000000002</v>
      </c>
    </row>
    <row r="24" spans="1:5" x14ac:dyDescent="0.2">
      <c r="A24" s="118" t="s">
        <v>207</v>
      </c>
      <c r="B24" s="122" t="s">
        <v>197</v>
      </c>
      <c r="C24" s="120" t="s">
        <v>6</v>
      </c>
      <c r="D24" s="121">
        <v>1.3</v>
      </c>
      <c r="E24" s="120">
        <f>$E$20*D24*40</f>
        <v>10082.800000000001</v>
      </c>
    </row>
    <row r="26" spans="1:5" x14ac:dyDescent="0.2">
      <c r="A26" s="114"/>
      <c r="B26" s="115" t="s">
        <v>37</v>
      </c>
      <c r="C26" s="116"/>
      <c r="D26" s="116"/>
      <c r="E26" s="116"/>
    </row>
    <row r="27" spans="1:5" x14ac:dyDescent="0.2">
      <c r="A27" s="114" t="s">
        <v>0</v>
      </c>
      <c r="B27" s="117" t="s">
        <v>1</v>
      </c>
      <c r="C27" s="116" t="s">
        <v>2</v>
      </c>
      <c r="D27" s="116" t="s">
        <v>3</v>
      </c>
      <c r="E27" s="116" t="s">
        <v>4</v>
      </c>
    </row>
    <row r="28" spans="1:5" ht="25.5" x14ac:dyDescent="0.2">
      <c r="A28" s="113">
        <v>1</v>
      </c>
      <c r="B28" s="65" t="str">
        <f>ВОР!B18</f>
        <v>Подготовка поверхности СКБ / стен / по штукатурке / 2мм (Шпаклевка базовая)</v>
      </c>
      <c r="C28" s="10" t="s">
        <v>5</v>
      </c>
      <c r="D28" s="11">
        <v>1</v>
      </c>
      <c r="E28" s="10">
        <f>'3пом'!E16</f>
        <v>1515.3</v>
      </c>
    </row>
    <row r="29" spans="1:5" x14ac:dyDescent="0.2">
      <c r="A29" s="113">
        <v>1.1000000000000001</v>
      </c>
      <c r="B29" s="38" t="s">
        <v>10</v>
      </c>
      <c r="C29" s="10" t="s">
        <v>6</v>
      </c>
      <c r="D29" s="11">
        <v>0.15</v>
      </c>
      <c r="E29" s="10">
        <f>D29*E28</f>
        <v>227.29499999999999</v>
      </c>
    </row>
    <row r="30" spans="1:5" x14ac:dyDescent="0.2">
      <c r="A30" s="113" t="s">
        <v>9</v>
      </c>
      <c r="B30" s="9" t="s">
        <v>32</v>
      </c>
      <c r="C30" s="10" t="s">
        <v>6</v>
      </c>
      <c r="D30" s="11">
        <v>1.8</v>
      </c>
      <c r="E30" s="10">
        <f t="shared" ref="E30:E31" si="4">D30*E29</f>
        <v>409.13099999999997</v>
      </c>
    </row>
    <row r="31" spans="1:5" x14ac:dyDescent="0.2">
      <c r="A31" s="113" t="s">
        <v>18</v>
      </c>
      <c r="B31" s="38" t="s">
        <v>33</v>
      </c>
      <c r="C31" s="10" t="s">
        <v>7</v>
      </c>
      <c r="D31" s="11">
        <v>0.3</v>
      </c>
      <c r="E31" s="10">
        <f t="shared" si="4"/>
        <v>122.73929999999999</v>
      </c>
    </row>
  </sheetData>
  <pageMargins left="0.7" right="0.7" top="0.75" bottom="0.75" header="0.3" footer="0.3"/>
  <pageSetup paperSize="9" scale="71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3"/>
  <sheetViews>
    <sheetView zoomScale="40" zoomScaleNormal="40" workbookViewId="0">
      <selection activeCell="A15" sqref="A15:P74"/>
    </sheetView>
  </sheetViews>
  <sheetFormatPr defaultRowHeight="12.75" x14ac:dyDescent="0.25"/>
  <cols>
    <col min="1" max="1" width="11.5703125" style="81" customWidth="1"/>
    <col min="2" max="2" width="31.140625" style="81" hidden="1" customWidth="1"/>
    <col min="3" max="3" width="43.5703125" style="81" customWidth="1"/>
    <col min="4" max="4" width="12" style="81" customWidth="1"/>
    <col min="5" max="5" width="13.85546875" style="81" hidden="1" customWidth="1"/>
    <col min="6" max="6" width="15.85546875" style="81" hidden="1" customWidth="1"/>
    <col min="7" max="7" width="43" style="81" hidden="1" customWidth="1"/>
    <col min="8" max="8" width="12.140625" style="81" customWidth="1"/>
    <col min="9" max="9" width="22" style="81" hidden="1" customWidth="1"/>
    <col min="10" max="10" width="16.28515625" style="81" customWidth="1"/>
    <col min="11" max="11" width="43.85546875" style="81" hidden="1" customWidth="1"/>
    <col min="12" max="12" width="15.85546875" style="81" customWidth="1"/>
    <col min="13" max="13" width="22.5703125" style="81" hidden="1" customWidth="1"/>
    <col min="14" max="14" width="22.28515625" style="81" hidden="1" customWidth="1"/>
    <col min="15" max="15" width="19.28515625" style="81" customWidth="1"/>
    <col min="16" max="16" width="15.42578125" style="81" customWidth="1"/>
    <col min="17" max="16384" width="9.140625" style="81"/>
  </cols>
  <sheetData>
    <row r="1" spans="1:19" ht="23.25" customHeight="1" x14ac:dyDescent="0.25">
      <c r="A1" s="147" t="s">
        <v>103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</row>
    <row r="2" spans="1:19" ht="25.5" customHeight="1" x14ac:dyDescent="0.25">
      <c r="A2" s="149" t="s">
        <v>104</v>
      </c>
      <c r="B2" s="152" t="s">
        <v>105</v>
      </c>
      <c r="C2" s="147" t="s">
        <v>106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</row>
    <row r="3" spans="1:19" s="82" customFormat="1" ht="21" x14ac:dyDescent="0.25">
      <c r="A3" s="150"/>
      <c r="B3" s="153"/>
      <c r="C3" s="155" t="s">
        <v>107</v>
      </c>
      <c r="D3" s="156"/>
      <c r="E3" s="143" t="s">
        <v>108</v>
      </c>
      <c r="F3" s="144"/>
      <c r="G3" s="143" t="s">
        <v>109</v>
      </c>
      <c r="H3" s="144"/>
      <c r="I3" s="143" t="s">
        <v>110</v>
      </c>
      <c r="J3" s="144"/>
      <c r="K3" s="143" t="s">
        <v>111</v>
      </c>
      <c r="L3" s="144"/>
      <c r="M3" s="143" t="s">
        <v>112</v>
      </c>
      <c r="N3" s="144"/>
      <c r="O3" s="145" t="s">
        <v>113</v>
      </c>
      <c r="P3" s="146"/>
    </row>
    <row r="4" spans="1:19" ht="63" x14ac:dyDescent="0.25">
      <c r="A4" s="151"/>
      <c r="B4" s="154"/>
      <c r="C4" s="94" t="s">
        <v>114</v>
      </c>
      <c r="D4" s="89" t="s">
        <v>115</v>
      </c>
      <c r="E4" s="94" t="s">
        <v>114</v>
      </c>
      <c r="F4" s="89" t="s">
        <v>115</v>
      </c>
      <c r="G4" s="94" t="s">
        <v>114</v>
      </c>
      <c r="H4" s="89" t="s">
        <v>115</v>
      </c>
      <c r="I4" s="94" t="s">
        <v>114</v>
      </c>
      <c r="J4" s="89" t="s">
        <v>115</v>
      </c>
      <c r="K4" s="94" t="s">
        <v>114</v>
      </c>
      <c r="L4" s="89" t="s">
        <v>115</v>
      </c>
      <c r="M4" s="94" t="s">
        <v>114</v>
      </c>
      <c r="N4" s="89" t="s">
        <v>115</v>
      </c>
      <c r="O4" s="94" t="s">
        <v>114</v>
      </c>
      <c r="P4" s="89" t="s">
        <v>115</v>
      </c>
    </row>
    <row r="5" spans="1:19" ht="15" x14ac:dyDescent="0.25">
      <c r="A5" s="100" t="s">
        <v>178</v>
      </c>
      <c r="B5" s="85" t="s">
        <v>179</v>
      </c>
      <c r="C5" s="85" t="s">
        <v>180</v>
      </c>
      <c r="D5" s="92" t="s">
        <v>181</v>
      </c>
      <c r="E5" s="101" t="s">
        <v>182</v>
      </c>
      <c r="F5" s="92" t="s">
        <v>183</v>
      </c>
      <c r="G5" s="85" t="s">
        <v>184</v>
      </c>
      <c r="H5" s="92" t="s">
        <v>185</v>
      </c>
      <c r="I5" s="101" t="s">
        <v>186</v>
      </c>
      <c r="J5" s="92" t="s">
        <v>187</v>
      </c>
      <c r="K5" s="85" t="s">
        <v>188</v>
      </c>
      <c r="L5" s="92" t="s">
        <v>189</v>
      </c>
      <c r="M5" s="101" t="s">
        <v>190</v>
      </c>
      <c r="N5" s="92" t="s">
        <v>191</v>
      </c>
      <c r="O5" s="84" t="s">
        <v>192</v>
      </c>
      <c r="P5" s="92" t="s">
        <v>193</v>
      </c>
      <c r="Q5" s="96">
        <f t="shared" ref="Q5:Q13" si="0">A6</f>
        <v>2001</v>
      </c>
      <c r="R5" s="95">
        <f t="shared" ref="R5:R13" si="1">D6</f>
        <v>72.7</v>
      </c>
      <c r="S5" s="95">
        <f t="shared" ref="S5:S13" si="2">SUM(F6:L6)</f>
        <v>52.5</v>
      </c>
    </row>
    <row r="6" spans="1:19" ht="90" hidden="1" x14ac:dyDescent="0.25">
      <c r="A6" s="93">
        <v>2001</v>
      </c>
      <c r="B6" s="86" t="s">
        <v>116</v>
      </c>
      <c r="C6" s="86" t="s">
        <v>117</v>
      </c>
      <c r="D6" s="90">
        <v>72.7</v>
      </c>
      <c r="E6" s="97" t="s">
        <v>118</v>
      </c>
      <c r="F6" s="90">
        <v>0</v>
      </c>
      <c r="G6" s="86" t="s">
        <v>119</v>
      </c>
      <c r="H6" s="90">
        <v>33</v>
      </c>
      <c r="I6" s="97" t="s">
        <v>118</v>
      </c>
      <c r="J6" s="90">
        <v>0</v>
      </c>
      <c r="K6" s="86" t="s">
        <v>119</v>
      </c>
      <c r="L6" s="90">
        <v>19.5</v>
      </c>
      <c r="M6" s="97" t="s">
        <v>118</v>
      </c>
      <c r="N6" s="90">
        <v>0</v>
      </c>
      <c r="O6" s="83" t="s">
        <v>120</v>
      </c>
      <c r="P6" s="90">
        <v>125.2</v>
      </c>
      <c r="Q6" s="96">
        <f t="shared" si="0"/>
        <v>2002</v>
      </c>
      <c r="R6" s="95">
        <f t="shared" si="1"/>
        <v>53.1</v>
      </c>
      <c r="S6" s="95">
        <f t="shared" si="2"/>
        <v>62.400000000000006</v>
      </c>
    </row>
    <row r="7" spans="1:19" ht="90" hidden="1" x14ac:dyDescent="0.25">
      <c r="A7" s="93">
        <v>2002</v>
      </c>
      <c r="B7" s="86" t="s">
        <v>116</v>
      </c>
      <c r="C7" s="86" t="s">
        <v>117</v>
      </c>
      <c r="D7" s="90">
        <v>53.1</v>
      </c>
      <c r="E7" s="97" t="s">
        <v>118</v>
      </c>
      <c r="F7" s="90">
        <v>0</v>
      </c>
      <c r="G7" s="86" t="s">
        <v>119</v>
      </c>
      <c r="H7" s="90">
        <v>43.1</v>
      </c>
      <c r="I7" s="97" t="s">
        <v>118</v>
      </c>
      <c r="J7" s="90">
        <v>0</v>
      </c>
      <c r="K7" s="86" t="s">
        <v>119</v>
      </c>
      <c r="L7" s="90">
        <v>19.3</v>
      </c>
      <c r="M7" s="97" t="s">
        <v>118</v>
      </c>
      <c r="N7" s="90">
        <v>0</v>
      </c>
      <c r="O7" s="83" t="s">
        <v>120</v>
      </c>
      <c r="P7" s="90">
        <v>115.4</v>
      </c>
      <c r="Q7" s="96">
        <f t="shared" si="0"/>
        <v>2003</v>
      </c>
      <c r="R7" s="95">
        <f t="shared" si="1"/>
        <v>144.80000000000001</v>
      </c>
      <c r="S7" s="95">
        <f t="shared" si="2"/>
        <v>171.6</v>
      </c>
    </row>
    <row r="8" spans="1:19" ht="90" hidden="1" x14ac:dyDescent="0.25">
      <c r="A8" s="93">
        <v>2003</v>
      </c>
      <c r="B8" s="83" t="s">
        <v>121</v>
      </c>
      <c r="C8" s="86" t="s">
        <v>117</v>
      </c>
      <c r="D8" s="90">
        <v>144.80000000000001</v>
      </c>
      <c r="E8" s="97" t="s">
        <v>118</v>
      </c>
      <c r="F8" s="90">
        <v>0</v>
      </c>
      <c r="G8" s="86" t="s">
        <v>119</v>
      </c>
      <c r="H8" s="90">
        <v>149.1</v>
      </c>
      <c r="I8" s="97" t="s">
        <v>118</v>
      </c>
      <c r="J8" s="90">
        <v>0</v>
      </c>
      <c r="K8" s="86" t="s">
        <v>119</v>
      </c>
      <c r="L8" s="90">
        <v>22.5</v>
      </c>
      <c r="M8" s="97" t="s">
        <v>118</v>
      </c>
      <c r="N8" s="90">
        <v>0</v>
      </c>
      <c r="O8" s="83" t="s">
        <v>120</v>
      </c>
      <c r="P8" s="90">
        <v>316.5</v>
      </c>
      <c r="Q8" s="96">
        <f t="shared" si="0"/>
        <v>2004</v>
      </c>
      <c r="R8" s="95">
        <f t="shared" si="1"/>
        <v>44.3</v>
      </c>
      <c r="S8" s="95">
        <f t="shared" si="2"/>
        <v>70.900000000000006</v>
      </c>
    </row>
    <row r="9" spans="1:19" ht="120" hidden="1" x14ac:dyDescent="0.25">
      <c r="A9" s="93">
        <v>2004</v>
      </c>
      <c r="B9" s="83" t="s">
        <v>122</v>
      </c>
      <c r="C9" s="86" t="s">
        <v>117</v>
      </c>
      <c r="D9" s="90">
        <v>44.3</v>
      </c>
      <c r="E9" s="97" t="s">
        <v>118</v>
      </c>
      <c r="F9" s="90">
        <v>0</v>
      </c>
      <c r="G9" s="86" t="s">
        <v>119</v>
      </c>
      <c r="H9" s="90">
        <v>24.4</v>
      </c>
      <c r="I9" s="86" t="s">
        <v>123</v>
      </c>
      <c r="J9" s="90">
        <v>9.5</v>
      </c>
      <c r="K9" s="86" t="s">
        <v>119</v>
      </c>
      <c r="L9" s="90">
        <v>37</v>
      </c>
      <c r="M9" s="97" t="s">
        <v>118</v>
      </c>
      <c r="N9" s="90">
        <v>0</v>
      </c>
      <c r="O9" s="83" t="s">
        <v>120</v>
      </c>
      <c r="P9" s="90">
        <v>115.2</v>
      </c>
      <c r="Q9" s="96">
        <f t="shared" si="0"/>
        <v>2005</v>
      </c>
      <c r="R9" s="95">
        <f t="shared" si="1"/>
        <v>23.9</v>
      </c>
      <c r="S9" s="95">
        <f t="shared" si="2"/>
        <v>40.5</v>
      </c>
    </row>
    <row r="10" spans="1:19" ht="90" hidden="1" x14ac:dyDescent="0.25">
      <c r="A10" s="93">
        <v>2005</v>
      </c>
      <c r="B10" s="83" t="s">
        <v>124</v>
      </c>
      <c r="C10" s="86" t="s">
        <v>117</v>
      </c>
      <c r="D10" s="90">
        <v>23.9</v>
      </c>
      <c r="E10" s="97" t="s">
        <v>118</v>
      </c>
      <c r="F10" s="90">
        <v>0</v>
      </c>
      <c r="G10" s="86" t="s">
        <v>119</v>
      </c>
      <c r="H10" s="90">
        <v>36</v>
      </c>
      <c r="I10" s="97" t="s">
        <v>118</v>
      </c>
      <c r="J10" s="90">
        <v>0</v>
      </c>
      <c r="K10" s="86" t="s">
        <v>119</v>
      </c>
      <c r="L10" s="90">
        <v>4.5</v>
      </c>
      <c r="M10" s="97" t="s">
        <v>118</v>
      </c>
      <c r="N10" s="90">
        <v>0</v>
      </c>
      <c r="O10" s="83" t="s">
        <v>120</v>
      </c>
      <c r="P10" s="90">
        <v>64.400000000000006</v>
      </c>
      <c r="Q10" s="96">
        <f t="shared" si="0"/>
        <v>2006</v>
      </c>
      <c r="R10" s="95">
        <f t="shared" si="1"/>
        <v>20.399999999999999</v>
      </c>
      <c r="S10" s="95">
        <f t="shared" si="2"/>
        <v>45.8</v>
      </c>
    </row>
    <row r="11" spans="1:19" ht="90" hidden="1" x14ac:dyDescent="0.25">
      <c r="A11" s="93">
        <v>2006</v>
      </c>
      <c r="B11" s="83" t="s">
        <v>125</v>
      </c>
      <c r="C11" s="86" t="s">
        <v>117</v>
      </c>
      <c r="D11" s="90">
        <v>20.399999999999999</v>
      </c>
      <c r="E11" s="97" t="s">
        <v>118</v>
      </c>
      <c r="F11" s="90">
        <v>0</v>
      </c>
      <c r="G11" s="86" t="s">
        <v>119</v>
      </c>
      <c r="H11" s="90">
        <v>45.8</v>
      </c>
      <c r="I11" s="97" t="s">
        <v>118</v>
      </c>
      <c r="J11" s="90">
        <v>0</v>
      </c>
      <c r="K11" s="97" t="s">
        <v>118</v>
      </c>
      <c r="L11" s="90">
        <v>0</v>
      </c>
      <c r="M11" s="97" t="s">
        <v>118</v>
      </c>
      <c r="N11" s="90">
        <v>0</v>
      </c>
      <c r="O11" s="83" t="s">
        <v>120</v>
      </c>
      <c r="P11" s="90">
        <v>66.2</v>
      </c>
      <c r="Q11" s="96">
        <f t="shared" si="0"/>
        <v>2007</v>
      </c>
      <c r="R11" s="95">
        <f t="shared" si="1"/>
        <v>27.9</v>
      </c>
      <c r="S11" s="95">
        <f t="shared" si="2"/>
        <v>137</v>
      </c>
    </row>
    <row r="12" spans="1:19" ht="90" hidden="1" x14ac:dyDescent="0.25">
      <c r="A12" s="93">
        <v>2007</v>
      </c>
      <c r="B12" s="83" t="s">
        <v>126</v>
      </c>
      <c r="C12" s="86" t="s">
        <v>117</v>
      </c>
      <c r="D12" s="90">
        <v>27.9</v>
      </c>
      <c r="E12" s="97" t="s">
        <v>118</v>
      </c>
      <c r="F12" s="90">
        <v>0</v>
      </c>
      <c r="G12" s="86" t="s">
        <v>119</v>
      </c>
      <c r="H12" s="90">
        <v>110.2</v>
      </c>
      <c r="I12" s="97" t="s">
        <v>118</v>
      </c>
      <c r="J12" s="90">
        <v>0</v>
      </c>
      <c r="K12" s="86" t="s">
        <v>119</v>
      </c>
      <c r="L12" s="90">
        <v>26.8</v>
      </c>
      <c r="M12" s="97" t="s">
        <v>118</v>
      </c>
      <c r="N12" s="90">
        <v>0</v>
      </c>
      <c r="O12" s="83" t="s">
        <v>120</v>
      </c>
      <c r="P12" s="90">
        <v>164.9</v>
      </c>
      <c r="Q12" s="96">
        <f t="shared" si="0"/>
        <v>2008</v>
      </c>
      <c r="R12" s="95">
        <f t="shared" si="1"/>
        <v>101.7</v>
      </c>
      <c r="S12" s="95">
        <f t="shared" si="2"/>
        <v>0</v>
      </c>
    </row>
    <row r="13" spans="1:19" ht="90" hidden="1" x14ac:dyDescent="0.25">
      <c r="A13" s="93">
        <v>2008</v>
      </c>
      <c r="B13" s="83" t="s">
        <v>127</v>
      </c>
      <c r="C13" s="86" t="s">
        <v>117</v>
      </c>
      <c r="D13" s="90">
        <v>101.7</v>
      </c>
      <c r="E13" s="97" t="s">
        <v>118</v>
      </c>
      <c r="F13" s="90">
        <v>0</v>
      </c>
      <c r="G13" s="97" t="s">
        <v>118</v>
      </c>
      <c r="H13" s="90">
        <v>0</v>
      </c>
      <c r="I13" s="97" t="s">
        <v>118</v>
      </c>
      <c r="J13" s="90">
        <v>0</v>
      </c>
      <c r="K13" s="97" t="s">
        <v>118</v>
      </c>
      <c r="L13" s="90">
        <v>0</v>
      </c>
      <c r="M13" s="97" t="s">
        <v>118</v>
      </c>
      <c r="N13" s="90">
        <v>0</v>
      </c>
      <c r="O13" s="83" t="s">
        <v>120</v>
      </c>
      <c r="P13" s="90">
        <v>101.7</v>
      </c>
      <c r="Q13" s="96">
        <f t="shared" si="0"/>
        <v>2009</v>
      </c>
      <c r="R13" s="95">
        <f t="shared" si="1"/>
        <v>35.9</v>
      </c>
      <c r="S13" s="95">
        <f t="shared" si="2"/>
        <v>13.1</v>
      </c>
    </row>
    <row r="14" spans="1:19" ht="90" hidden="1" x14ac:dyDescent="0.25">
      <c r="A14" s="98">
        <v>2009</v>
      </c>
      <c r="B14" s="88" t="s">
        <v>128</v>
      </c>
      <c r="C14" s="87" t="s">
        <v>117</v>
      </c>
      <c r="D14" s="91">
        <v>35.9</v>
      </c>
      <c r="E14" s="99" t="s">
        <v>118</v>
      </c>
      <c r="F14" s="91">
        <v>0</v>
      </c>
      <c r="G14" s="99" t="s">
        <v>118</v>
      </c>
      <c r="H14" s="91">
        <v>0</v>
      </c>
      <c r="I14" s="99" t="s">
        <v>118</v>
      </c>
      <c r="J14" s="91">
        <v>0</v>
      </c>
      <c r="K14" s="87" t="s">
        <v>119</v>
      </c>
      <c r="L14" s="91">
        <v>13.1</v>
      </c>
      <c r="M14" s="99" t="s">
        <v>118</v>
      </c>
      <c r="N14" s="91">
        <v>0</v>
      </c>
      <c r="O14" s="88" t="s">
        <v>120</v>
      </c>
      <c r="P14" s="91">
        <v>49</v>
      </c>
      <c r="Q14" s="96" t="e">
        <f>#REF!</f>
        <v>#REF!</v>
      </c>
      <c r="R14" s="95" t="e">
        <f>#REF!</f>
        <v>#REF!</v>
      </c>
      <c r="S14" s="95" t="e">
        <f>SUM(#REF!)</f>
        <v>#REF!</v>
      </c>
    </row>
    <row r="15" spans="1:19" ht="105" x14ac:dyDescent="0.25">
      <c r="A15" s="98">
        <v>2010</v>
      </c>
      <c r="B15" s="88" t="s">
        <v>129</v>
      </c>
      <c r="C15" s="87" t="s">
        <v>130</v>
      </c>
      <c r="D15" s="105">
        <v>10.8</v>
      </c>
      <c r="E15" s="99" t="s">
        <v>118</v>
      </c>
      <c r="F15" s="91">
        <v>0</v>
      </c>
      <c r="G15" s="87" t="s">
        <v>131</v>
      </c>
      <c r="H15" s="91">
        <v>36.9</v>
      </c>
      <c r="I15" s="99" t="s">
        <v>118</v>
      </c>
      <c r="J15" s="91">
        <v>0</v>
      </c>
      <c r="K15" s="87" t="s">
        <v>131</v>
      </c>
      <c r="L15" s="91">
        <v>43.1</v>
      </c>
      <c r="M15" s="99" t="s">
        <v>118</v>
      </c>
      <c r="N15" s="91">
        <v>0</v>
      </c>
      <c r="O15" s="88" t="s">
        <v>120</v>
      </c>
      <c r="P15" s="91">
        <v>100.8</v>
      </c>
      <c r="Q15" s="96" t="e">
        <f>#REF!</f>
        <v>#REF!</v>
      </c>
      <c r="R15" s="95" t="e">
        <f>#REF!</f>
        <v>#REF!</v>
      </c>
      <c r="S15" s="95" t="e">
        <f>SUM(#REF!)</f>
        <v>#REF!</v>
      </c>
    </row>
    <row r="16" spans="1:19" ht="105" x14ac:dyDescent="0.25">
      <c r="A16" s="93">
        <v>2011</v>
      </c>
      <c r="B16" s="83" t="s">
        <v>132</v>
      </c>
      <c r="C16" s="97" t="s">
        <v>118</v>
      </c>
      <c r="D16" s="90">
        <v>0</v>
      </c>
      <c r="E16" s="97" t="s">
        <v>118</v>
      </c>
      <c r="F16" s="90">
        <v>0</v>
      </c>
      <c r="G16" s="86" t="s">
        <v>131</v>
      </c>
      <c r="H16" s="102">
        <v>3</v>
      </c>
      <c r="I16" s="97" t="s">
        <v>118</v>
      </c>
      <c r="J16" s="90">
        <v>0</v>
      </c>
      <c r="K16" s="86" t="s">
        <v>131</v>
      </c>
      <c r="L16" s="90">
        <v>30</v>
      </c>
      <c r="M16" s="97" t="s">
        <v>118</v>
      </c>
      <c r="N16" s="90">
        <v>0</v>
      </c>
      <c r="O16" s="83" t="s">
        <v>120</v>
      </c>
      <c r="P16" s="90">
        <v>33</v>
      </c>
      <c r="Q16" s="96">
        <f t="shared" ref="Q16:Q23" si="3">A17</f>
        <v>2012</v>
      </c>
      <c r="R16" s="95">
        <f t="shared" ref="R16:R23" si="4">D17</f>
        <v>25.9</v>
      </c>
      <c r="S16" s="95">
        <f t="shared" ref="S16:S23" si="5">SUM(F17:L17)</f>
        <v>90.2</v>
      </c>
    </row>
    <row r="17" spans="1:20" ht="90" hidden="1" x14ac:dyDescent="0.25">
      <c r="A17" s="93">
        <v>2012</v>
      </c>
      <c r="B17" s="83" t="s">
        <v>133</v>
      </c>
      <c r="C17" s="86" t="s">
        <v>117</v>
      </c>
      <c r="D17" s="90">
        <v>25.9</v>
      </c>
      <c r="E17" s="97" t="s">
        <v>118</v>
      </c>
      <c r="F17" s="90">
        <v>0</v>
      </c>
      <c r="G17" s="86" t="s">
        <v>119</v>
      </c>
      <c r="H17" s="103">
        <v>61.5</v>
      </c>
      <c r="I17" s="97" t="s">
        <v>118</v>
      </c>
      <c r="J17" s="90">
        <v>0</v>
      </c>
      <c r="K17" s="86" t="s">
        <v>119</v>
      </c>
      <c r="L17" s="90">
        <v>28.7</v>
      </c>
      <c r="M17" s="97" t="s">
        <v>118</v>
      </c>
      <c r="N17" s="90">
        <v>0</v>
      </c>
      <c r="O17" s="83" t="s">
        <v>120</v>
      </c>
      <c r="P17" s="90">
        <v>116.2</v>
      </c>
      <c r="Q17" s="96">
        <f t="shared" si="3"/>
        <v>2013</v>
      </c>
      <c r="R17" s="95">
        <f t="shared" si="4"/>
        <v>26.5</v>
      </c>
      <c r="S17" s="95">
        <f t="shared" si="5"/>
        <v>89.8</v>
      </c>
    </row>
    <row r="18" spans="1:20" ht="90" hidden="1" x14ac:dyDescent="0.25">
      <c r="A18" s="93">
        <v>2013</v>
      </c>
      <c r="B18" s="83" t="s">
        <v>133</v>
      </c>
      <c r="C18" s="86" t="s">
        <v>117</v>
      </c>
      <c r="D18" s="90">
        <v>26.5</v>
      </c>
      <c r="E18" s="97" t="s">
        <v>118</v>
      </c>
      <c r="F18" s="90">
        <v>0</v>
      </c>
      <c r="G18" s="86" t="s">
        <v>119</v>
      </c>
      <c r="H18" s="103">
        <v>63</v>
      </c>
      <c r="I18" s="97" t="s">
        <v>118</v>
      </c>
      <c r="J18" s="90">
        <v>0</v>
      </c>
      <c r="K18" s="86" t="s">
        <v>119</v>
      </c>
      <c r="L18" s="90">
        <v>26.8</v>
      </c>
      <c r="M18" s="97" t="s">
        <v>118</v>
      </c>
      <c r="N18" s="90">
        <v>0</v>
      </c>
      <c r="O18" s="83" t="s">
        <v>120</v>
      </c>
      <c r="P18" s="90">
        <v>116.2</v>
      </c>
      <c r="Q18" s="96">
        <f t="shared" si="3"/>
        <v>2014</v>
      </c>
      <c r="R18" s="95">
        <f t="shared" si="4"/>
        <v>41.1</v>
      </c>
      <c r="S18" s="95">
        <f t="shared" si="5"/>
        <v>76.5</v>
      </c>
    </row>
    <row r="19" spans="1:20" ht="90" hidden="1" x14ac:dyDescent="0.25">
      <c r="A19" s="93">
        <v>2014</v>
      </c>
      <c r="B19" s="83" t="s">
        <v>133</v>
      </c>
      <c r="C19" s="86" t="s">
        <v>117</v>
      </c>
      <c r="D19" s="90">
        <v>41.1</v>
      </c>
      <c r="E19" s="97" t="s">
        <v>118</v>
      </c>
      <c r="F19" s="90">
        <v>0</v>
      </c>
      <c r="G19" s="86" t="s">
        <v>119</v>
      </c>
      <c r="H19" s="103">
        <v>61.3</v>
      </c>
      <c r="I19" s="97" t="s">
        <v>118</v>
      </c>
      <c r="J19" s="90">
        <v>0</v>
      </c>
      <c r="K19" s="86" t="s">
        <v>119</v>
      </c>
      <c r="L19" s="90">
        <v>15.2</v>
      </c>
      <c r="M19" s="97" t="s">
        <v>118</v>
      </c>
      <c r="N19" s="90">
        <v>0</v>
      </c>
      <c r="O19" s="83" t="s">
        <v>120</v>
      </c>
      <c r="P19" s="90">
        <v>117.6</v>
      </c>
      <c r="Q19" s="96">
        <f t="shared" si="3"/>
        <v>2015</v>
      </c>
      <c r="R19" s="95">
        <f t="shared" si="4"/>
        <v>34.299999999999997</v>
      </c>
      <c r="S19" s="95">
        <f t="shared" si="5"/>
        <v>84.9</v>
      </c>
    </row>
    <row r="20" spans="1:20" ht="90" hidden="1" x14ac:dyDescent="0.25">
      <c r="A20" s="93">
        <v>2015</v>
      </c>
      <c r="B20" s="83" t="s">
        <v>133</v>
      </c>
      <c r="C20" s="86" t="s">
        <v>117</v>
      </c>
      <c r="D20" s="90">
        <v>34.299999999999997</v>
      </c>
      <c r="E20" s="97" t="s">
        <v>118</v>
      </c>
      <c r="F20" s="90">
        <v>0</v>
      </c>
      <c r="G20" s="86" t="s">
        <v>119</v>
      </c>
      <c r="H20" s="103">
        <v>59.8</v>
      </c>
      <c r="I20" s="97" t="s">
        <v>118</v>
      </c>
      <c r="J20" s="90">
        <v>0</v>
      </c>
      <c r="K20" s="86" t="s">
        <v>119</v>
      </c>
      <c r="L20" s="90">
        <v>25.1</v>
      </c>
      <c r="M20" s="97" t="s">
        <v>118</v>
      </c>
      <c r="N20" s="90">
        <v>0</v>
      </c>
      <c r="O20" s="83" t="s">
        <v>120</v>
      </c>
      <c r="P20" s="90">
        <v>119.3</v>
      </c>
      <c r="Q20" s="96">
        <f t="shared" si="3"/>
        <v>2016</v>
      </c>
      <c r="R20" s="95">
        <f t="shared" si="4"/>
        <v>52.6</v>
      </c>
      <c r="S20" s="95">
        <f t="shared" si="5"/>
        <v>61.5</v>
      </c>
    </row>
    <row r="21" spans="1:20" ht="90" hidden="1" x14ac:dyDescent="0.25">
      <c r="A21" s="93">
        <v>2016</v>
      </c>
      <c r="B21" s="83" t="s">
        <v>133</v>
      </c>
      <c r="C21" s="86" t="s">
        <v>117</v>
      </c>
      <c r="D21" s="90">
        <v>52.6</v>
      </c>
      <c r="E21" s="97" t="s">
        <v>118</v>
      </c>
      <c r="F21" s="90">
        <v>0</v>
      </c>
      <c r="G21" s="86" t="s">
        <v>119</v>
      </c>
      <c r="H21" s="103">
        <v>49.3</v>
      </c>
      <c r="I21" s="97" t="s">
        <v>118</v>
      </c>
      <c r="J21" s="90">
        <v>0</v>
      </c>
      <c r="K21" s="86" t="s">
        <v>119</v>
      </c>
      <c r="L21" s="90">
        <v>12.2</v>
      </c>
      <c r="M21" s="97" t="s">
        <v>118</v>
      </c>
      <c r="N21" s="90">
        <v>0</v>
      </c>
      <c r="O21" s="83" t="s">
        <v>120</v>
      </c>
      <c r="P21" s="90">
        <v>114.1</v>
      </c>
      <c r="Q21" s="96">
        <f t="shared" si="3"/>
        <v>2017</v>
      </c>
      <c r="R21" s="95">
        <f t="shared" si="4"/>
        <v>174.9</v>
      </c>
      <c r="S21" s="95">
        <f t="shared" si="5"/>
        <v>189.2</v>
      </c>
    </row>
    <row r="22" spans="1:20" ht="120" hidden="1" x14ac:dyDescent="0.25">
      <c r="A22" s="93">
        <v>2017</v>
      </c>
      <c r="B22" s="83" t="s">
        <v>121</v>
      </c>
      <c r="C22" s="86" t="s">
        <v>117</v>
      </c>
      <c r="D22" s="90">
        <v>174.9</v>
      </c>
      <c r="E22" s="97" t="s">
        <v>118</v>
      </c>
      <c r="F22" s="90">
        <v>0</v>
      </c>
      <c r="G22" s="86" t="s">
        <v>119</v>
      </c>
      <c r="H22" s="103">
        <v>145.6</v>
      </c>
      <c r="I22" s="86" t="s">
        <v>123</v>
      </c>
      <c r="J22" s="90">
        <v>10.6</v>
      </c>
      <c r="K22" s="86" t="s">
        <v>119</v>
      </c>
      <c r="L22" s="90">
        <v>33</v>
      </c>
      <c r="M22" s="97" t="s">
        <v>118</v>
      </c>
      <c r="N22" s="90">
        <v>0</v>
      </c>
      <c r="O22" s="83" t="s">
        <v>120</v>
      </c>
      <c r="P22" s="90">
        <v>364</v>
      </c>
      <c r="Q22" s="96">
        <f t="shared" si="3"/>
        <v>2018</v>
      </c>
      <c r="R22" s="95">
        <f t="shared" si="4"/>
        <v>26.1</v>
      </c>
      <c r="S22" s="95">
        <f t="shared" si="5"/>
        <v>52.3</v>
      </c>
    </row>
    <row r="23" spans="1:20" ht="105" x14ac:dyDescent="0.25">
      <c r="A23" s="93">
        <v>2018</v>
      </c>
      <c r="B23" s="83" t="s">
        <v>134</v>
      </c>
      <c r="C23" s="86" t="s">
        <v>130</v>
      </c>
      <c r="D23" s="104">
        <v>26.1</v>
      </c>
      <c r="E23" s="97" t="s">
        <v>118</v>
      </c>
      <c r="F23" s="90">
        <v>0</v>
      </c>
      <c r="G23" s="86" t="s">
        <v>131</v>
      </c>
      <c r="H23" s="103">
        <v>10.4</v>
      </c>
      <c r="I23" s="97" t="s">
        <v>118</v>
      </c>
      <c r="J23" s="90">
        <v>0</v>
      </c>
      <c r="K23" s="86" t="s">
        <v>131</v>
      </c>
      <c r="L23" s="90">
        <v>41.9</v>
      </c>
      <c r="M23" s="97" t="s">
        <v>118</v>
      </c>
      <c r="N23" s="90">
        <v>0</v>
      </c>
      <c r="O23" s="83" t="s">
        <v>120</v>
      </c>
      <c r="P23" s="90">
        <v>78.400000000000006</v>
      </c>
      <c r="Q23" s="96">
        <f t="shared" si="3"/>
        <v>2019</v>
      </c>
      <c r="R23" s="95">
        <f t="shared" si="4"/>
        <v>102.3</v>
      </c>
      <c r="S23" s="95">
        <f t="shared" si="5"/>
        <v>14.6</v>
      </c>
    </row>
    <row r="24" spans="1:20" ht="90" hidden="1" x14ac:dyDescent="0.25">
      <c r="A24" s="98">
        <v>2019</v>
      </c>
      <c r="B24" s="88" t="s">
        <v>127</v>
      </c>
      <c r="C24" s="87" t="s">
        <v>117</v>
      </c>
      <c r="D24" s="91">
        <v>102.3</v>
      </c>
      <c r="E24" s="99" t="s">
        <v>118</v>
      </c>
      <c r="F24" s="91">
        <v>0</v>
      </c>
      <c r="G24" s="87" t="s">
        <v>119</v>
      </c>
      <c r="H24" s="91">
        <v>14.6</v>
      </c>
      <c r="I24" s="99" t="s">
        <v>118</v>
      </c>
      <c r="J24" s="91">
        <v>0</v>
      </c>
      <c r="K24" s="99" t="s">
        <v>118</v>
      </c>
      <c r="L24" s="91">
        <v>0</v>
      </c>
      <c r="M24" s="99" t="s">
        <v>118</v>
      </c>
      <c r="N24" s="91">
        <v>0</v>
      </c>
      <c r="O24" s="88" t="s">
        <v>120</v>
      </c>
      <c r="P24" s="91">
        <v>116.8</v>
      </c>
      <c r="Q24" s="96" t="e">
        <f>#REF!</f>
        <v>#REF!</v>
      </c>
      <c r="R24" s="95" t="e">
        <f>#REF!</f>
        <v>#REF!</v>
      </c>
      <c r="S24" s="95" t="e">
        <f>SUM(#REF!)</f>
        <v>#REF!</v>
      </c>
    </row>
    <row r="25" spans="1:20" ht="105" x14ac:dyDescent="0.25">
      <c r="A25" s="93">
        <v>2020</v>
      </c>
      <c r="B25" s="83" t="s">
        <v>135</v>
      </c>
      <c r="C25" s="86" t="s">
        <v>130</v>
      </c>
      <c r="D25" s="104">
        <v>16.3</v>
      </c>
      <c r="E25" s="97" t="s">
        <v>118</v>
      </c>
      <c r="F25" s="90">
        <v>0</v>
      </c>
      <c r="G25" s="86" t="s">
        <v>131</v>
      </c>
      <c r="H25" s="103">
        <v>12.9</v>
      </c>
      <c r="I25" s="97" t="s">
        <v>118</v>
      </c>
      <c r="J25" s="90">
        <v>0</v>
      </c>
      <c r="K25" s="86" t="s">
        <v>131</v>
      </c>
      <c r="L25" s="90">
        <v>19.899999999999999</v>
      </c>
      <c r="M25" s="97" t="s">
        <v>118</v>
      </c>
      <c r="N25" s="90">
        <v>0</v>
      </c>
      <c r="O25" s="83" t="s">
        <v>120</v>
      </c>
      <c r="P25" s="90">
        <v>49.1</v>
      </c>
      <c r="Q25" s="96">
        <f t="shared" ref="Q25:Q32" si="6">A26</f>
        <v>2021</v>
      </c>
      <c r="R25" s="95">
        <f t="shared" ref="R25:R32" si="7">D26</f>
        <v>7.4</v>
      </c>
      <c r="S25" s="95">
        <f t="shared" ref="S25:S32" si="8">SUM(F26:L26)</f>
        <v>26.3</v>
      </c>
    </row>
    <row r="26" spans="1:20" ht="105" x14ac:dyDescent="0.25">
      <c r="A26" s="93">
        <v>2021</v>
      </c>
      <c r="B26" s="83" t="s">
        <v>136</v>
      </c>
      <c r="C26" s="86" t="s">
        <v>130</v>
      </c>
      <c r="D26" s="104">
        <v>7.4</v>
      </c>
      <c r="E26" s="97" t="s">
        <v>118</v>
      </c>
      <c r="F26" s="90">
        <v>0</v>
      </c>
      <c r="G26" s="97" t="s">
        <v>118</v>
      </c>
      <c r="H26" s="102">
        <v>0</v>
      </c>
      <c r="I26" s="97" t="s">
        <v>118</v>
      </c>
      <c r="J26" s="90">
        <v>0</v>
      </c>
      <c r="K26" s="86" t="s">
        <v>131</v>
      </c>
      <c r="L26" s="90">
        <v>26.3</v>
      </c>
      <c r="M26" s="97" t="s">
        <v>118</v>
      </c>
      <c r="N26" s="90">
        <v>0</v>
      </c>
      <c r="O26" s="83" t="s">
        <v>120</v>
      </c>
      <c r="P26" s="90">
        <v>33.799999999999997</v>
      </c>
      <c r="Q26" s="96">
        <f t="shared" si="6"/>
        <v>2022</v>
      </c>
      <c r="R26" s="95">
        <f t="shared" si="7"/>
        <v>197.9</v>
      </c>
      <c r="S26" s="95">
        <f t="shared" si="8"/>
        <v>325.70000000000005</v>
      </c>
      <c r="T26" s="95">
        <f>D27</f>
        <v>197.9</v>
      </c>
    </row>
    <row r="27" spans="1:20" ht="120" hidden="1" x14ac:dyDescent="0.25">
      <c r="A27" s="93">
        <v>2022</v>
      </c>
      <c r="B27" s="86" t="s">
        <v>137</v>
      </c>
      <c r="C27" s="86" t="s">
        <v>117</v>
      </c>
      <c r="D27" s="90">
        <v>197.9</v>
      </c>
      <c r="E27" s="97" t="s">
        <v>118</v>
      </c>
      <c r="F27" s="90">
        <v>0</v>
      </c>
      <c r="G27" s="86" t="s">
        <v>119</v>
      </c>
      <c r="H27" s="103">
        <v>153.30000000000001</v>
      </c>
      <c r="I27" s="86" t="s">
        <v>123</v>
      </c>
      <c r="J27" s="90">
        <v>35.299999999999997</v>
      </c>
      <c r="K27" s="86" t="s">
        <v>119</v>
      </c>
      <c r="L27" s="90">
        <v>137.1</v>
      </c>
      <c r="M27" s="97" t="s">
        <v>118</v>
      </c>
      <c r="N27" s="90">
        <v>0</v>
      </c>
      <c r="O27" s="83" t="s">
        <v>120</v>
      </c>
      <c r="P27" s="90">
        <v>523.6</v>
      </c>
      <c r="Q27" s="96">
        <f t="shared" si="6"/>
        <v>2023</v>
      </c>
      <c r="R27" s="95">
        <f t="shared" si="7"/>
        <v>78.400000000000006</v>
      </c>
      <c r="S27" s="95">
        <f t="shared" si="8"/>
        <v>14.5</v>
      </c>
    </row>
    <row r="28" spans="1:20" ht="90" hidden="1" x14ac:dyDescent="0.25">
      <c r="A28" s="93">
        <v>2023</v>
      </c>
      <c r="B28" s="83" t="s">
        <v>127</v>
      </c>
      <c r="C28" s="86" t="s">
        <v>117</v>
      </c>
      <c r="D28" s="90">
        <v>78.400000000000006</v>
      </c>
      <c r="E28" s="97" t="s">
        <v>118</v>
      </c>
      <c r="F28" s="90">
        <v>0</v>
      </c>
      <c r="G28" s="86" t="s">
        <v>119</v>
      </c>
      <c r="H28" s="103">
        <v>14.5</v>
      </c>
      <c r="I28" s="97" t="s">
        <v>118</v>
      </c>
      <c r="J28" s="90">
        <v>0</v>
      </c>
      <c r="K28" s="97" t="s">
        <v>118</v>
      </c>
      <c r="L28" s="90">
        <v>0</v>
      </c>
      <c r="M28" s="97" t="s">
        <v>118</v>
      </c>
      <c r="N28" s="90">
        <v>0</v>
      </c>
      <c r="O28" s="83" t="s">
        <v>120</v>
      </c>
      <c r="P28" s="90">
        <v>92.8</v>
      </c>
      <c r="Q28" s="96">
        <f t="shared" si="6"/>
        <v>2024</v>
      </c>
      <c r="R28" s="95">
        <f t="shared" si="7"/>
        <v>89.8</v>
      </c>
      <c r="S28" s="95">
        <f t="shared" si="8"/>
        <v>0</v>
      </c>
    </row>
    <row r="29" spans="1:20" ht="90" hidden="1" x14ac:dyDescent="0.25">
      <c r="A29" s="93">
        <v>2024</v>
      </c>
      <c r="B29" s="83" t="s">
        <v>127</v>
      </c>
      <c r="C29" s="86" t="s">
        <v>117</v>
      </c>
      <c r="D29" s="90">
        <v>89.8</v>
      </c>
      <c r="E29" s="97" t="s">
        <v>118</v>
      </c>
      <c r="F29" s="90">
        <v>0</v>
      </c>
      <c r="G29" s="97" t="s">
        <v>118</v>
      </c>
      <c r="H29" s="102">
        <v>0</v>
      </c>
      <c r="I29" s="97" t="s">
        <v>118</v>
      </c>
      <c r="J29" s="90">
        <v>0</v>
      </c>
      <c r="K29" s="97" t="s">
        <v>118</v>
      </c>
      <c r="L29" s="90">
        <v>0</v>
      </c>
      <c r="M29" s="97" t="s">
        <v>118</v>
      </c>
      <c r="N29" s="90">
        <v>0</v>
      </c>
      <c r="O29" s="83" t="s">
        <v>120</v>
      </c>
      <c r="P29" s="90">
        <v>89.8</v>
      </c>
      <c r="Q29" s="96">
        <f t="shared" si="6"/>
        <v>2025</v>
      </c>
      <c r="R29" s="95">
        <f t="shared" si="7"/>
        <v>35.9</v>
      </c>
      <c r="S29" s="95">
        <f t="shared" si="8"/>
        <v>52.5</v>
      </c>
    </row>
    <row r="30" spans="1:20" ht="90" hidden="1" x14ac:dyDescent="0.25">
      <c r="A30" s="93">
        <v>2025</v>
      </c>
      <c r="B30" s="97" t="s">
        <v>138</v>
      </c>
      <c r="C30" s="86" t="s">
        <v>117</v>
      </c>
      <c r="D30" s="90">
        <v>35.9</v>
      </c>
      <c r="E30" s="97" t="s">
        <v>118</v>
      </c>
      <c r="F30" s="90">
        <v>0</v>
      </c>
      <c r="G30" s="86" t="s">
        <v>119</v>
      </c>
      <c r="H30" s="103">
        <v>23.9</v>
      </c>
      <c r="I30" s="97" t="s">
        <v>118</v>
      </c>
      <c r="J30" s="90">
        <v>0</v>
      </c>
      <c r="K30" s="86" t="s">
        <v>119</v>
      </c>
      <c r="L30" s="90">
        <v>28.6</v>
      </c>
      <c r="M30" s="97" t="s">
        <v>118</v>
      </c>
      <c r="N30" s="90">
        <v>0</v>
      </c>
      <c r="O30" s="83" t="s">
        <v>120</v>
      </c>
      <c r="P30" s="90">
        <v>88.4</v>
      </c>
      <c r="Q30" s="96">
        <f t="shared" si="6"/>
        <v>2026</v>
      </c>
      <c r="R30" s="95">
        <f t="shared" si="7"/>
        <v>3.8</v>
      </c>
      <c r="S30" s="95">
        <f t="shared" si="8"/>
        <v>56.3</v>
      </c>
    </row>
    <row r="31" spans="1:20" ht="105" x14ac:dyDescent="0.25">
      <c r="A31" s="93">
        <v>2026</v>
      </c>
      <c r="B31" s="97" t="s">
        <v>139</v>
      </c>
      <c r="C31" s="86" t="s">
        <v>130</v>
      </c>
      <c r="D31" s="104">
        <v>3.8</v>
      </c>
      <c r="E31" s="97" t="s">
        <v>118</v>
      </c>
      <c r="F31" s="90">
        <v>0</v>
      </c>
      <c r="G31" s="86" t="s">
        <v>131</v>
      </c>
      <c r="H31" s="103">
        <v>17.899999999999999</v>
      </c>
      <c r="I31" s="97" t="s">
        <v>118</v>
      </c>
      <c r="J31" s="90">
        <v>0</v>
      </c>
      <c r="K31" s="86" t="s">
        <v>131</v>
      </c>
      <c r="L31" s="90">
        <v>38.4</v>
      </c>
      <c r="M31" s="97" t="s">
        <v>118</v>
      </c>
      <c r="N31" s="90">
        <v>0</v>
      </c>
      <c r="O31" s="83" t="s">
        <v>120</v>
      </c>
      <c r="P31" s="90">
        <v>60</v>
      </c>
      <c r="Q31" s="96">
        <f t="shared" si="6"/>
        <v>2027</v>
      </c>
      <c r="R31" s="95">
        <f t="shared" si="7"/>
        <v>9.6999999999999993</v>
      </c>
      <c r="S31" s="95">
        <f t="shared" si="8"/>
        <v>37.200000000000003</v>
      </c>
    </row>
    <row r="32" spans="1:20" ht="105" x14ac:dyDescent="0.25">
      <c r="A32" s="93">
        <v>2027</v>
      </c>
      <c r="B32" s="97" t="s">
        <v>140</v>
      </c>
      <c r="C32" s="86" t="s">
        <v>130</v>
      </c>
      <c r="D32" s="104">
        <v>9.6999999999999993</v>
      </c>
      <c r="E32" s="97" t="s">
        <v>118</v>
      </c>
      <c r="F32" s="90">
        <v>0</v>
      </c>
      <c r="G32" s="97" t="s">
        <v>118</v>
      </c>
      <c r="H32" s="102">
        <v>0</v>
      </c>
      <c r="I32" s="97" t="s">
        <v>118</v>
      </c>
      <c r="J32" s="90">
        <v>0</v>
      </c>
      <c r="K32" s="86" t="s">
        <v>131</v>
      </c>
      <c r="L32" s="90">
        <v>37.200000000000003</v>
      </c>
      <c r="M32" s="97" t="s">
        <v>118</v>
      </c>
      <c r="N32" s="90">
        <v>0</v>
      </c>
      <c r="O32" s="83" t="s">
        <v>120</v>
      </c>
      <c r="P32" s="90">
        <v>47.2</v>
      </c>
      <c r="Q32" s="96">
        <f t="shared" si="6"/>
        <v>2028</v>
      </c>
      <c r="R32" s="95">
        <f t="shared" si="7"/>
        <v>5.6</v>
      </c>
      <c r="S32" s="95">
        <f t="shared" si="8"/>
        <v>77.099999999999994</v>
      </c>
    </row>
    <row r="33" spans="1:20" ht="105" x14ac:dyDescent="0.25">
      <c r="A33" s="98">
        <v>2028</v>
      </c>
      <c r="B33" s="99" t="s">
        <v>139</v>
      </c>
      <c r="C33" s="87" t="s">
        <v>130</v>
      </c>
      <c r="D33" s="105">
        <v>5.6</v>
      </c>
      <c r="E33" s="99" t="s">
        <v>118</v>
      </c>
      <c r="F33" s="91">
        <v>0</v>
      </c>
      <c r="G33" s="87" t="s">
        <v>131</v>
      </c>
      <c r="H33" s="91">
        <v>24.6</v>
      </c>
      <c r="I33" s="99" t="s">
        <v>118</v>
      </c>
      <c r="J33" s="91">
        <v>0</v>
      </c>
      <c r="K33" s="87" t="s">
        <v>131</v>
      </c>
      <c r="L33" s="91">
        <v>52.5</v>
      </c>
      <c r="M33" s="99" t="s">
        <v>118</v>
      </c>
      <c r="N33" s="91">
        <v>0</v>
      </c>
      <c r="O33" s="88" t="s">
        <v>120</v>
      </c>
      <c r="P33" s="91">
        <v>82.7</v>
      </c>
      <c r="Q33" s="96" t="e">
        <f>#REF!</f>
        <v>#REF!</v>
      </c>
      <c r="R33" s="95" t="e">
        <f>#REF!</f>
        <v>#REF!</v>
      </c>
      <c r="S33" s="95" t="e">
        <f>SUM(#REF!)</f>
        <v>#REF!</v>
      </c>
    </row>
    <row r="34" spans="1:20" ht="105" x14ac:dyDescent="0.25">
      <c r="A34" s="93">
        <v>2029</v>
      </c>
      <c r="B34" s="97" t="s">
        <v>140</v>
      </c>
      <c r="C34" s="86" t="s">
        <v>130</v>
      </c>
      <c r="D34" s="104">
        <v>3.5</v>
      </c>
      <c r="E34" s="97" t="s">
        <v>118</v>
      </c>
      <c r="F34" s="90">
        <v>0</v>
      </c>
      <c r="G34" s="86" t="s">
        <v>131</v>
      </c>
      <c r="H34" s="90">
        <v>6.7</v>
      </c>
      <c r="I34" s="97" t="s">
        <v>118</v>
      </c>
      <c r="J34" s="90">
        <v>0</v>
      </c>
      <c r="K34" s="86" t="s">
        <v>131</v>
      </c>
      <c r="L34" s="90">
        <v>32.4</v>
      </c>
      <c r="M34" s="97" t="s">
        <v>118</v>
      </c>
      <c r="N34" s="90">
        <v>0</v>
      </c>
      <c r="O34" s="83" t="s">
        <v>120</v>
      </c>
      <c r="P34" s="90">
        <v>42.6</v>
      </c>
      <c r="Q34" s="96">
        <f t="shared" ref="Q34:Q41" si="9">A35</f>
        <v>2030</v>
      </c>
      <c r="R34" s="95">
        <f t="shared" ref="R34:R41" si="10">D35</f>
        <v>12.8</v>
      </c>
      <c r="S34" s="95">
        <f t="shared" ref="S34:S41" si="11">SUM(F35:L35)</f>
        <v>71.3</v>
      </c>
    </row>
    <row r="35" spans="1:20" ht="90" hidden="1" x14ac:dyDescent="0.25">
      <c r="A35" s="93">
        <v>2030</v>
      </c>
      <c r="B35" s="97" t="s">
        <v>138</v>
      </c>
      <c r="C35" s="86" t="s">
        <v>117</v>
      </c>
      <c r="D35" s="90">
        <v>12.8</v>
      </c>
      <c r="E35" s="97" t="s">
        <v>118</v>
      </c>
      <c r="F35" s="90">
        <v>0</v>
      </c>
      <c r="G35" s="86" t="s">
        <v>119</v>
      </c>
      <c r="H35" s="90">
        <v>46.4</v>
      </c>
      <c r="I35" s="97" t="s">
        <v>118</v>
      </c>
      <c r="J35" s="90">
        <v>0</v>
      </c>
      <c r="K35" s="86" t="s">
        <v>119</v>
      </c>
      <c r="L35" s="90">
        <v>24.9</v>
      </c>
      <c r="M35" s="97" t="s">
        <v>118</v>
      </c>
      <c r="N35" s="90">
        <v>0</v>
      </c>
      <c r="O35" s="83" t="s">
        <v>120</v>
      </c>
      <c r="P35" s="90">
        <v>84.1</v>
      </c>
      <c r="Q35" s="96">
        <f t="shared" si="9"/>
        <v>2031</v>
      </c>
      <c r="R35" s="95">
        <f t="shared" si="10"/>
        <v>6.3</v>
      </c>
      <c r="S35" s="95">
        <f t="shared" si="11"/>
        <v>68.800000000000011</v>
      </c>
    </row>
    <row r="36" spans="1:20" ht="105" x14ac:dyDescent="0.25">
      <c r="A36" s="93">
        <v>2031</v>
      </c>
      <c r="B36" s="83" t="s">
        <v>141</v>
      </c>
      <c r="C36" s="86" t="s">
        <v>130</v>
      </c>
      <c r="D36" s="104">
        <v>6.3</v>
      </c>
      <c r="E36" s="97" t="s">
        <v>118</v>
      </c>
      <c r="F36" s="90">
        <v>0</v>
      </c>
      <c r="G36" s="86" t="s">
        <v>131</v>
      </c>
      <c r="H36" s="90">
        <v>22.6</v>
      </c>
      <c r="I36" s="97" t="s">
        <v>118</v>
      </c>
      <c r="J36" s="90">
        <v>0</v>
      </c>
      <c r="K36" s="86" t="s">
        <v>131</v>
      </c>
      <c r="L36" s="90">
        <v>46.2</v>
      </c>
      <c r="M36" s="97" t="s">
        <v>118</v>
      </c>
      <c r="N36" s="90">
        <v>0</v>
      </c>
      <c r="O36" s="83" t="s">
        <v>120</v>
      </c>
      <c r="P36" s="90">
        <v>75.2</v>
      </c>
      <c r="Q36" s="96">
        <f t="shared" si="9"/>
        <v>2032</v>
      </c>
      <c r="R36" s="95">
        <f t="shared" si="10"/>
        <v>5.2</v>
      </c>
      <c r="S36" s="95">
        <f t="shared" si="11"/>
        <v>69.900000000000006</v>
      </c>
    </row>
    <row r="37" spans="1:20" ht="105" x14ac:dyDescent="0.25">
      <c r="A37" s="93">
        <v>2032</v>
      </c>
      <c r="B37" s="83" t="s">
        <v>142</v>
      </c>
      <c r="C37" s="86" t="s">
        <v>130</v>
      </c>
      <c r="D37" s="90">
        <v>5.2</v>
      </c>
      <c r="E37" s="97" t="s">
        <v>118</v>
      </c>
      <c r="F37" s="90">
        <v>0</v>
      </c>
      <c r="G37" s="86" t="s">
        <v>131</v>
      </c>
      <c r="H37" s="90">
        <v>19.100000000000001</v>
      </c>
      <c r="I37" s="97" t="s">
        <v>118</v>
      </c>
      <c r="J37" s="90">
        <v>0</v>
      </c>
      <c r="K37" s="86" t="s">
        <v>131</v>
      </c>
      <c r="L37" s="90">
        <v>50.8</v>
      </c>
      <c r="M37" s="97" t="s">
        <v>118</v>
      </c>
      <c r="N37" s="90">
        <v>0</v>
      </c>
      <c r="O37" s="83" t="s">
        <v>120</v>
      </c>
      <c r="P37" s="90">
        <v>75.099999999999994</v>
      </c>
      <c r="Q37" s="96">
        <f t="shared" si="9"/>
        <v>2033</v>
      </c>
      <c r="R37" s="95">
        <f t="shared" si="10"/>
        <v>6.2</v>
      </c>
      <c r="S37" s="95">
        <f t="shared" si="11"/>
        <v>106.7</v>
      </c>
    </row>
    <row r="38" spans="1:20" ht="90" hidden="1" x14ac:dyDescent="0.25">
      <c r="A38" s="93">
        <v>2033</v>
      </c>
      <c r="B38" s="83" t="s">
        <v>143</v>
      </c>
      <c r="C38" s="86" t="s">
        <v>117</v>
      </c>
      <c r="D38" s="90">
        <v>6.2</v>
      </c>
      <c r="E38" s="97" t="s">
        <v>118</v>
      </c>
      <c r="F38" s="90">
        <v>0</v>
      </c>
      <c r="G38" s="86" t="s">
        <v>119</v>
      </c>
      <c r="H38" s="90">
        <v>73.5</v>
      </c>
      <c r="I38" s="97" t="s">
        <v>118</v>
      </c>
      <c r="J38" s="90">
        <v>0</v>
      </c>
      <c r="K38" s="86" t="s">
        <v>119</v>
      </c>
      <c r="L38" s="90">
        <v>33.200000000000003</v>
      </c>
      <c r="M38" s="97" t="s">
        <v>118</v>
      </c>
      <c r="N38" s="90">
        <v>0</v>
      </c>
      <c r="O38" s="83" t="s">
        <v>120</v>
      </c>
      <c r="P38" s="90">
        <v>112.9</v>
      </c>
      <c r="Q38" s="96">
        <f t="shared" si="9"/>
        <v>2034</v>
      </c>
      <c r="R38" s="95">
        <f t="shared" si="10"/>
        <v>0</v>
      </c>
      <c r="S38" s="95">
        <f t="shared" si="11"/>
        <v>43.199999999999996</v>
      </c>
    </row>
    <row r="39" spans="1:20" ht="105" x14ac:dyDescent="0.25">
      <c r="A39" s="93">
        <v>2034</v>
      </c>
      <c r="B39" s="83" t="s">
        <v>136</v>
      </c>
      <c r="C39" s="97" t="s">
        <v>118</v>
      </c>
      <c r="D39" s="90">
        <v>0</v>
      </c>
      <c r="E39" s="97" t="s">
        <v>118</v>
      </c>
      <c r="F39" s="90">
        <v>0</v>
      </c>
      <c r="G39" s="86" t="s">
        <v>131</v>
      </c>
      <c r="H39" s="90">
        <v>5.9</v>
      </c>
      <c r="I39" s="97" t="s">
        <v>118</v>
      </c>
      <c r="J39" s="90">
        <v>0</v>
      </c>
      <c r="K39" s="86" t="s">
        <v>131</v>
      </c>
      <c r="L39" s="90">
        <v>37.299999999999997</v>
      </c>
      <c r="M39" s="97" t="s">
        <v>118</v>
      </c>
      <c r="N39" s="90">
        <v>0</v>
      </c>
      <c r="O39" s="83" t="s">
        <v>120</v>
      </c>
      <c r="P39" s="90">
        <v>43.2</v>
      </c>
      <c r="Q39" s="96">
        <f t="shared" si="9"/>
        <v>2035</v>
      </c>
      <c r="R39" s="95">
        <f t="shared" si="10"/>
        <v>3.1</v>
      </c>
      <c r="S39" s="95">
        <f t="shared" si="11"/>
        <v>36.700000000000003</v>
      </c>
    </row>
    <row r="40" spans="1:20" ht="105" x14ac:dyDescent="0.25">
      <c r="A40" s="93">
        <v>2035</v>
      </c>
      <c r="B40" s="83" t="s">
        <v>132</v>
      </c>
      <c r="C40" s="86" t="s">
        <v>130</v>
      </c>
      <c r="D40" s="90">
        <v>3.1</v>
      </c>
      <c r="E40" s="97" t="s">
        <v>118</v>
      </c>
      <c r="F40" s="90">
        <v>0</v>
      </c>
      <c r="G40" s="86" t="s">
        <v>131</v>
      </c>
      <c r="H40" s="90">
        <v>16.8</v>
      </c>
      <c r="I40" s="97" t="s">
        <v>118</v>
      </c>
      <c r="J40" s="90">
        <v>0</v>
      </c>
      <c r="K40" s="86" t="s">
        <v>131</v>
      </c>
      <c r="L40" s="90">
        <v>19.899999999999999</v>
      </c>
      <c r="M40" s="97" t="s">
        <v>118</v>
      </c>
      <c r="N40" s="90">
        <v>0</v>
      </c>
      <c r="O40" s="83" t="s">
        <v>120</v>
      </c>
      <c r="P40" s="90">
        <v>39.700000000000003</v>
      </c>
      <c r="Q40" s="96">
        <f t="shared" si="9"/>
        <v>2036</v>
      </c>
      <c r="R40" s="95">
        <f t="shared" si="10"/>
        <v>40.5</v>
      </c>
      <c r="S40" s="95">
        <f t="shared" si="11"/>
        <v>91.800000000000011</v>
      </c>
    </row>
    <row r="41" spans="1:20" ht="90" hidden="1" x14ac:dyDescent="0.25">
      <c r="A41" s="93">
        <v>2036</v>
      </c>
      <c r="B41" s="86" t="s">
        <v>144</v>
      </c>
      <c r="C41" s="86" t="s">
        <v>117</v>
      </c>
      <c r="D41" s="90">
        <v>40.5</v>
      </c>
      <c r="E41" s="97" t="s">
        <v>118</v>
      </c>
      <c r="F41" s="90">
        <v>0</v>
      </c>
      <c r="G41" s="86" t="s">
        <v>119</v>
      </c>
      <c r="H41" s="90">
        <v>72.7</v>
      </c>
      <c r="I41" s="97" t="s">
        <v>118</v>
      </c>
      <c r="J41" s="90">
        <v>0</v>
      </c>
      <c r="K41" s="86" t="s">
        <v>119</v>
      </c>
      <c r="L41" s="90">
        <v>19.100000000000001</v>
      </c>
      <c r="M41" s="97" t="s">
        <v>118</v>
      </c>
      <c r="N41" s="90">
        <v>0</v>
      </c>
      <c r="O41" s="83" t="s">
        <v>120</v>
      </c>
      <c r="P41" s="90">
        <v>132.30000000000001</v>
      </c>
      <c r="Q41" s="96">
        <f t="shared" si="9"/>
        <v>2037</v>
      </c>
      <c r="R41" s="95">
        <f t="shared" si="10"/>
        <v>301.60000000000002</v>
      </c>
      <c r="S41" s="95">
        <f t="shared" si="11"/>
        <v>252.9</v>
      </c>
    </row>
    <row r="42" spans="1:20" ht="90" hidden="1" x14ac:dyDescent="0.25">
      <c r="A42" s="98">
        <v>2037</v>
      </c>
      <c r="B42" s="87" t="s">
        <v>145</v>
      </c>
      <c r="C42" s="87" t="s">
        <v>117</v>
      </c>
      <c r="D42" s="91">
        <v>301.60000000000002</v>
      </c>
      <c r="E42" s="99" t="s">
        <v>118</v>
      </c>
      <c r="F42" s="91">
        <v>0</v>
      </c>
      <c r="G42" s="87" t="s">
        <v>119</v>
      </c>
      <c r="H42" s="91">
        <v>252.9</v>
      </c>
      <c r="I42" s="99" t="s">
        <v>118</v>
      </c>
      <c r="J42" s="91">
        <v>0</v>
      </c>
      <c r="K42" s="99" t="s">
        <v>118</v>
      </c>
      <c r="L42" s="91">
        <v>0</v>
      </c>
      <c r="M42" s="99" t="s">
        <v>118</v>
      </c>
      <c r="N42" s="91">
        <v>0.7</v>
      </c>
      <c r="O42" s="88" t="s">
        <v>120</v>
      </c>
      <c r="P42" s="91">
        <v>555.29999999999995</v>
      </c>
      <c r="Q42" s="96" t="e">
        <f>#REF!</f>
        <v>#REF!</v>
      </c>
      <c r="R42" s="95" t="e">
        <f>#REF!</f>
        <v>#REF!</v>
      </c>
      <c r="S42" s="95" t="e">
        <f>SUM(#REF!)</f>
        <v>#REF!</v>
      </c>
      <c r="T42" s="95">
        <f>D42</f>
        <v>301.60000000000002</v>
      </c>
    </row>
    <row r="43" spans="1:20" ht="90" hidden="1" x14ac:dyDescent="0.25">
      <c r="A43" s="93">
        <v>2038</v>
      </c>
      <c r="B43" s="83" t="s">
        <v>146</v>
      </c>
      <c r="C43" s="86" t="s">
        <v>117</v>
      </c>
      <c r="D43" s="90">
        <v>11.2</v>
      </c>
      <c r="E43" s="97" t="s">
        <v>118</v>
      </c>
      <c r="F43" s="90">
        <v>0</v>
      </c>
      <c r="G43" s="97" t="s">
        <v>118</v>
      </c>
      <c r="H43" s="90">
        <v>0</v>
      </c>
      <c r="I43" s="97" t="s">
        <v>118</v>
      </c>
      <c r="J43" s="90">
        <v>0</v>
      </c>
      <c r="K43" s="97" t="s">
        <v>118</v>
      </c>
      <c r="L43" s="90">
        <v>0</v>
      </c>
      <c r="M43" s="97" t="s">
        <v>118</v>
      </c>
      <c r="N43" s="90">
        <v>0</v>
      </c>
      <c r="O43" s="83" t="s">
        <v>120</v>
      </c>
      <c r="P43" s="90">
        <v>115.9</v>
      </c>
      <c r="Q43" s="96">
        <f t="shared" ref="Q43:Q50" si="12">A44</f>
        <v>2039</v>
      </c>
      <c r="R43" s="95">
        <f t="shared" ref="R43:R50" si="13">D44</f>
        <v>49.7</v>
      </c>
      <c r="S43" s="95">
        <f t="shared" ref="S43:S50" si="14">SUM(F44:L44)</f>
        <v>57.5</v>
      </c>
    </row>
    <row r="44" spans="1:20" ht="90" hidden="1" x14ac:dyDescent="0.25">
      <c r="A44" s="93">
        <v>2039</v>
      </c>
      <c r="B44" s="83" t="s">
        <v>147</v>
      </c>
      <c r="C44" s="86" t="s">
        <v>117</v>
      </c>
      <c r="D44" s="90">
        <v>49.7</v>
      </c>
      <c r="E44" s="97" t="s">
        <v>118</v>
      </c>
      <c r="F44" s="90">
        <v>0</v>
      </c>
      <c r="G44" s="86" t="s">
        <v>119</v>
      </c>
      <c r="H44" s="90">
        <v>37.9</v>
      </c>
      <c r="I44" s="97" t="s">
        <v>118</v>
      </c>
      <c r="J44" s="90">
        <v>0</v>
      </c>
      <c r="K44" s="86" t="s">
        <v>119</v>
      </c>
      <c r="L44" s="90">
        <v>19.600000000000001</v>
      </c>
      <c r="M44" s="97" t="s">
        <v>118</v>
      </c>
      <c r="N44" s="90">
        <v>0</v>
      </c>
      <c r="O44" s="83" t="s">
        <v>120</v>
      </c>
      <c r="P44" s="90">
        <v>107.2</v>
      </c>
      <c r="Q44" s="96">
        <f t="shared" si="12"/>
        <v>2040</v>
      </c>
      <c r="R44" s="95">
        <f t="shared" si="13"/>
        <v>73.099999999999994</v>
      </c>
      <c r="S44" s="95">
        <f t="shared" si="14"/>
        <v>37</v>
      </c>
    </row>
    <row r="45" spans="1:20" ht="90" hidden="1" x14ac:dyDescent="0.25">
      <c r="A45" s="93">
        <v>2040</v>
      </c>
      <c r="B45" s="83" t="s">
        <v>147</v>
      </c>
      <c r="C45" s="86" t="s">
        <v>117</v>
      </c>
      <c r="D45" s="90">
        <v>73.099999999999994</v>
      </c>
      <c r="E45" s="97" t="s">
        <v>118</v>
      </c>
      <c r="F45" s="90">
        <v>0</v>
      </c>
      <c r="G45" s="86" t="s">
        <v>119</v>
      </c>
      <c r="H45" s="90">
        <v>20.5</v>
      </c>
      <c r="I45" s="97" t="s">
        <v>118</v>
      </c>
      <c r="J45" s="90">
        <v>0</v>
      </c>
      <c r="K45" s="86" t="s">
        <v>119</v>
      </c>
      <c r="L45" s="90">
        <v>16.5</v>
      </c>
      <c r="M45" s="97" t="s">
        <v>118</v>
      </c>
      <c r="N45" s="90">
        <v>0</v>
      </c>
      <c r="O45" s="83" t="s">
        <v>120</v>
      </c>
      <c r="P45" s="90">
        <v>110.2</v>
      </c>
      <c r="Q45" s="96">
        <f t="shared" si="12"/>
        <v>2041</v>
      </c>
      <c r="R45" s="95">
        <f t="shared" si="13"/>
        <v>75.400000000000006</v>
      </c>
      <c r="S45" s="95">
        <f t="shared" si="14"/>
        <v>36.799999999999997</v>
      </c>
    </row>
    <row r="46" spans="1:20" ht="90" hidden="1" x14ac:dyDescent="0.25">
      <c r="A46" s="93">
        <v>2041</v>
      </c>
      <c r="B46" s="83" t="s">
        <v>147</v>
      </c>
      <c r="C46" s="86" t="s">
        <v>117</v>
      </c>
      <c r="D46" s="90">
        <v>75.400000000000006</v>
      </c>
      <c r="E46" s="97" t="s">
        <v>118</v>
      </c>
      <c r="F46" s="90">
        <v>0</v>
      </c>
      <c r="G46" s="86" t="s">
        <v>119</v>
      </c>
      <c r="H46" s="90">
        <v>11</v>
      </c>
      <c r="I46" s="97" t="s">
        <v>118</v>
      </c>
      <c r="J46" s="90">
        <v>0</v>
      </c>
      <c r="K46" s="86" t="s">
        <v>119</v>
      </c>
      <c r="L46" s="90">
        <v>25.8</v>
      </c>
      <c r="M46" s="97" t="s">
        <v>118</v>
      </c>
      <c r="N46" s="90">
        <v>0</v>
      </c>
      <c r="O46" s="83" t="s">
        <v>120</v>
      </c>
      <c r="P46" s="90">
        <v>112.3</v>
      </c>
      <c r="Q46" s="96">
        <f t="shared" si="12"/>
        <v>2042</v>
      </c>
      <c r="R46" s="95">
        <f t="shared" si="13"/>
        <v>28.5</v>
      </c>
      <c r="S46" s="95">
        <f t="shared" si="14"/>
        <v>152.79999999999998</v>
      </c>
    </row>
    <row r="47" spans="1:20" ht="120" hidden="1" x14ac:dyDescent="0.25">
      <c r="A47" s="93">
        <v>2042</v>
      </c>
      <c r="B47" s="83" t="s">
        <v>148</v>
      </c>
      <c r="C47" s="86" t="s">
        <v>117</v>
      </c>
      <c r="D47" s="90">
        <v>28.5</v>
      </c>
      <c r="E47" s="97" t="s">
        <v>118</v>
      </c>
      <c r="F47" s="90">
        <v>0</v>
      </c>
      <c r="G47" s="86" t="s">
        <v>119</v>
      </c>
      <c r="H47" s="90">
        <v>113.7</v>
      </c>
      <c r="I47" s="86" t="s">
        <v>123</v>
      </c>
      <c r="J47" s="90">
        <v>21.5</v>
      </c>
      <c r="K47" s="86" t="s">
        <v>119</v>
      </c>
      <c r="L47" s="90">
        <v>17.600000000000001</v>
      </c>
      <c r="M47" s="97" t="s">
        <v>118</v>
      </c>
      <c r="N47" s="90">
        <v>0</v>
      </c>
      <c r="O47" s="83" t="s">
        <v>120</v>
      </c>
      <c r="P47" s="90">
        <v>181.3</v>
      </c>
      <c r="Q47" s="96">
        <f t="shared" si="12"/>
        <v>2043</v>
      </c>
      <c r="R47" s="95">
        <f t="shared" si="13"/>
        <v>35.9</v>
      </c>
      <c r="S47" s="95">
        <f t="shared" si="14"/>
        <v>13.1</v>
      </c>
    </row>
    <row r="48" spans="1:20" ht="90" hidden="1" x14ac:dyDescent="0.25">
      <c r="A48" s="93">
        <v>2043</v>
      </c>
      <c r="B48" s="83" t="s">
        <v>128</v>
      </c>
      <c r="C48" s="86" t="s">
        <v>117</v>
      </c>
      <c r="D48" s="90">
        <v>35.9</v>
      </c>
      <c r="E48" s="97" t="s">
        <v>118</v>
      </c>
      <c r="F48" s="90">
        <v>0</v>
      </c>
      <c r="G48" s="97" t="s">
        <v>118</v>
      </c>
      <c r="H48" s="90">
        <v>0</v>
      </c>
      <c r="I48" s="97" t="s">
        <v>118</v>
      </c>
      <c r="J48" s="90">
        <v>0</v>
      </c>
      <c r="K48" s="86" t="s">
        <v>119</v>
      </c>
      <c r="L48" s="90">
        <v>13.1</v>
      </c>
      <c r="M48" s="97" t="s">
        <v>118</v>
      </c>
      <c r="N48" s="90">
        <v>0</v>
      </c>
      <c r="O48" s="83" t="s">
        <v>120</v>
      </c>
      <c r="P48" s="90">
        <v>49</v>
      </c>
      <c r="Q48" s="96">
        <f t="shared" si="12"/>
        <v>2044</v>
      </c>
      <c r="R48" s="95">
        <f t="shared" si="13"/>
        <v>109.4</v>
      </c>
      <c r="S48" s="95">
        <f t="shared" si="14"/>
        <v>0</v>
      </c>
    </row>
    <row r="49" spans="1:20" ht="90" hidden="1" x14ac:dyDescent="0.25">
      <c r="A49" s="93">
        <v>2044</v>
      </c>
      <c r="B49" s="83" t="s">
        <v>127</v>
      </c>
      <c r="C49" s="86" t="s">
        <v>117</v>
      </c>
      <c r="D49" s="90">
        <v>109.4</v>
      </c>
      <c r="E49" s="97" t="s">
        <v>118</v>
      </c>
      <c r="F49" s="90">
        <v>0</v>
      </c>
      <c r="G49" s="97" t="s">
        <v>118</v>
      </c>
      <c r="H49" s="90">
        <v>0</v>
      </c>
      <c r="I49" s="97" t="s">
        <v>118</v>
      </c>
      <c r="J49" s="90">
        <v>0</v>
      </c>
      <c r="K49" s="97" t="s">
        <v>118</v>
      </c>
      <c r="L49" s="90">
        <v>0</v>
      </c>
      <c r="M49" s="97" t="s">
        <v>118</v>
      </c>
      <c r="N49" s="90">
        <v>0</v>
      </c>
      <c r="O49" s="83" t="s">
        <v>120</v>
      </c>
      <c r="P49" s="90">
        <v>109.4</v>
      </c>
      <c r="Q49" s="96">
        <f t="shared" si="12"/>
        <v>2045</v>
      </c>
      <c r="R49" s="95">
        <f t="shared" si="13"/>
        <v>124.2</v>
      </c>
      <c r="S49" s="95">
        <f t="shared" si="14"/>
        <v>154.19999999999999</v>
      </c>
    </row>
    <row r="50" spans="1:20" ht="90" hidden="1" x14ac:dyDescent="0.25">
      <c r="A50" s="93">
        <v>2045</v>
      </c>
      <c r="B50" s="86" t="s">
        <v>149</v>
      </c>
      <c r="C50" s="86" t="s">
        <v>117</v>
      </c>
      <c r="D50" s="90">
        <v>124.2</v>
      </c>
      <c r="E50" s="97" t="s">
        <v>118</v>
      </c>
      <c r="F50" s="90">
        <v>0</v>
      </c>
      <c r="G50" s="86" t="s">
        <v>119</v>
      </c>
      <c r="H50" s="90">
        <v>58.2</v>
      </c>
      <c r="I50" s="97" t="s">
        <v>118</v>
      </c>
      <c r="J50" s="90">
        <v>0</v>
      </c>
      <c r="K50" s="86" t="s">
        <v>119</v>
      </c>
      <c r="L50" s="90">
        <v>96</v>
      </c>
      <c r="M50" s="97" t="s">
        <v>118</v>
      </c>
      <c r="N50" s="90">
        <v>0</v>
      </c>
      <c r="O50" s="83" t="s">
        <v>120</v>
      </c>
      <c r="P50" s="90">
        <v>278.60000000000002</v>
      </c>
      <c r="Q50" s="96">
        <f t="shared" si="12"/>
        <v>2046</v>
      </c>
      <c r="R50" s="95">
        <f t="shared" si="13"/>
        <v>154.19999999999999</v>
      </c>
      <c r="S50" s="95">
        <f t="shared" si="14"/>
        <v>212.6</v>
      </c>
    </row>
    <row r="51" spans="1:20" ht="90" hidden="1" x14ac:dyDescent="0.25">
      <c r="A51" s="98">
        <v>2046</v>
      </c>
      <c r="B51" s="99" t="s">
        <v>150</v>
      </c>
      <c r="C51" s="87" t="s">
        <v>117</v>
      </c>
      <c r="D51" s="91">
        <v>154.19999999999999</v>
      </c>
      <c r="E51" s="99" t="s">
        <v>118</v>
      </c>
      <c r="F51" s="91">
        <v>0</v>
      </c>
      <c r="G51" s="87" t="s">
        <v>119</v>
      </c>
      <c r="H51" s="91">
        <v>191.5</v>
      </c>
      <c r="I51" s="99" t="s">
        <v>118</v>
      </c>
      <c r="J51" s="91">
        <v>0</v>
      </c>
      <c r="K51" s="87" t="s">
        <v>119</v>
      </c>
      <c r="L51" s="91">
        <v>21.1</v>
      </c>
      <c r="M51" s="99" t="s">
        <v>118</v>
      </c>
      <c r="N51" s="91">
        <v>0</v>
      </c>
      <c r="O51" s="88" t="s">
        <v>120</v>
      </c>
      <c r="P51" s="91">
        <v>367</v>
      </c>
      <c r="Q51" s="96" t="e">
        <f>#REF!</f>
        <v>#REF!</v>
      </c>
      <c r="R51" s="95" t="e">
        <f>#REF!</f>
        <v>#REF!</v>
      </c>
      <c r="S51" s="95" t="e">
        <f>SUM(#REF!)</f>
        <v>#REF!</v>
      </c>
    </row>
    <row r="52" spans="1:20" ht="90" hidden="1" x14ac:dyDescent="0.25">
      <c r="A52" s="98">
        <v>2047</v>
      </c>
      <c r="B52" s="88" t="s">
        <v>151</v>
      </c>
      <c r="C52" s="87" t="s">
        <v>117</v>
      </c>
      <c r="D52" s="91">
        <v>15.2</v>
      </c>
      <c r="E52" s="99" t="s">
        <v>118</v>
      </c>
      <c r="F52" s="91">
        <v>0</v>
      </c>
      <c r="G52" s="87" t="s">
        <v>119</v>
      </c>
      <c r="H52" s="91">
        <v>55.7</v>
      </c>
      <c r="I52" s="99" t="s">
        <v>118</v>
      </c>
      <c r="J52" s="91">
        <v>0</v>
      </c>
      <c r="K52" s="87" t="s">
        <v>119</v>
      </c>
      <c r="L52" s="91">
        <v>18.3</v>
      </c>
      <c r="M52" s="99" t="s">
        <v>118</v>
      </c>
      <c r="N52" s="91">
        <v>0</v>
      </c>
      <c r="O52" s="88" t="s">
        <v>120</v>
      </c>
      <c r="P52" s="91">
        <v>89.2</v>
      </c>
      <c r="Q52" s="96" t="e">
        <f>#REF!</f>
        <v>#REF!</v>
      </c>
      <c r="R52" s="95" t="e">
        <f>#REF!</f>
        <v>#REF!</v>
      </c>
      <c r="S52" s="95" t="e">
        <f>SUM(#REF!)</f>
        <v>#REF!</v>
      </c>
    </row>
    <row r="53" spans="1:20" ht="90" hidden="1" x14ac:dyDescent="0.25">
      <c r="A53" s="93">
        <v>2048</v>
      </c>
      <c r="B53" s="86" t="s">
        <v>152</v>
      </c>
      <c r="C53" s="86" t="s">
        <v>117</v>
      </c>
      <c r="D53" s="90">
        <v>75.099999999999994</v>
      </c>
      <c r="E53" s="97" t="s">
        <v>118</v>
      </c>
      <c r="F53" s="90">
        <v>0</v>
      </c>
      <c r="G53" s="86" t="s">
        <v>119</v>
      </c>
      <c r="H53" s="90">
        <v>62.7</v>
      </c>
      <c r="I53" s="97" t="s">
        <v>118</v>
      </c>
      <c r="J53" s="90">
        <v>0</v>
      </c>
      <c r="K53" s="86" t="s">
        <v>119</v>
      </c>
      <c r="L53" s="90">
        <v>92.9</v>
      </c>
      <c r="M53" s="97" t="s">
        <v>118</v>
      </c>
      <c r="N53" s="90">
        <v>0</v>
      </c>
      <c r="O53" s="83" t="s">
        <v>120</v>
      </c>
      <c r="P53" s="90">
        <v>230.9</v>
      </c>
      <c r="Q53" s="96">
        <f t="shared" ref="Q53:Q60" si="15">A54</f>
        <v>2049</v>
      </c>
      <c r="R53" s="95">
        <f t="shared" ref="R53:R60" si="16">D54</f>
        <v>161.9</v>
      </c>
      <c r="S53" s="95">
        <f t="shared" ref="S53:S60" si="17">SUM(F54:L54)</f>
        <v>107.5</v>
      </c>
    </row>
    <row r="54" spans="1:20" ht="90" hidden="1" x14ac:dyDescent="0.25">
      <c r="A54" s="93">
        <v>2049</v>
      </c>
      <c r="B54" s="97" t="s">
        <v>150</v>
      </c>
      <c r="C54" s="86" t="s">
        <v>117</v>
      </c>
      <c r="D54" s="90">
        <v>161.9</v>
      </c>
      <c r="E54" s="97" t="s">
        <v>118</v>
      </c>
      <c r="F54" s="90">
        <v>0</v>
      </c>
      <c r="G54" s="86" t="s">
        <v>119</v>
      </c>
      <c r="H54" s="90">
        <v>90.7</v>
      </c>
      <c r="I54" s="97" t="s">
        <v>118</v>
      </c>
      <c r="J54" s="90">
        <v>0</v>
      </c>
      <c r="K54" s="86" t="s">
        <v>119</v>
      </c>
      <c r="L54" s="90">
        <v>16.8</v>
      </c>
      <c r="M54" s="97" t="s">
        <v>118</v>
      </c>
      <c r="N54" s="90">
        <v>0</v>
      </c>
      <c r="O54" s="83" t="s">
        <v>120</v>
      </c>
      <c r="P54" s="90">
        <v>269.60000000000002</v>
      </c>
      <c r="Q54" s="96">
        <f t="shared" si="15"/>
        <v>2050</v>
      </c>
      <c r="R54" s="95">
        <f t="shared" si="16"/>
        <v>46</v>
      </c>
      <c r="S54" s="95">
        <f t="shared" si="17"/>
        <v>43.8</v>
      </c>
    </row>
    <row r="55" spans="1:20" ht="90" hidden="1" x14ac:dyDescent="0.25">
      <c r="A55" s="93">
        <v>2050</v>
      </c>
      <c r="B55" s="97" t="s">
        <v>153</v>
      </c>
      <c r="C55" s="86" t="s">
        <v>117</v>
      </c>
      <c r="D55" s="90">
        <v>46</v>
      </c>
      <c r="E55" s="97" t="s">
        <v>118</v>
      </c>
      <c r="F55" s="90">
        <v>0</v>
      </c>
      <c r="G55" s="86" t="s">
        <v>119</v>
      </c>
      <c r="H55" s="90">
        <v>7.8</v>
      </c>
      <c r="I55" s="97" t="s">
        <v>118</v>
      </c>
      <c r="J55" s="90">
        <v>0</v>
      </c>
      <c r="K55" s="86" t="s">
        <v>119</v>
      </c>
      <c r="L55" s="90">
        <v>36</v>
      </c>
      <c r="M55" s="97" t="s">
        <v>118</v>
      </c>
      <c r="N55" s="90">
        <v>0</v>
      </c>
      <c r="O55" s="83" t="s">
        <v>120</v>
      </c>
      <c r="P55" s="90">
        <v>89.8</v>
      </c>
      <c r="Q55" s="96">
        <f t="shared" si="15"/>
        <v>2051</v>
      </c>
      <c r="R55" s="95">
        <f t="shared" si="16"/>
        <v>15.8</v>
      </c>
      <c r="S55" s="95">
        <f t="shared" si="17"/>
        <v>69.7</v>
      </c>
    </row>
    <row r="56" spans="1:20" ht="105" x14ac:dyDescent="0.25">
      <c r="A56" s="93">
        <v>2051</v>
      </c>
      <c r="B56" s="83" t="s">
        <v>154</v>
      </c>
      <c r="C56" s="86" t="s">
        <v>130</v>
      </c>
      <c r="D56" s="90">
        <v>15.8</v>
      </c>
      <c r="E56" s="97" t="s">
        <v>118</v>
      </c>
      <c r="F56" s="90">
        <v>0</v>
      </c>
      <c r="G56" s="86" t="s">
        <v>131</v>
      </c>
      <c r="H56" s="90">
        <v>10.5</v>
      </c>
      <c r="I56" s="97" t="s">
        <v>118</v>
      </c>
      <c r="J56" s="90">
        <v>0</v>
      </c>
      <c r="K56" s="86" t="s">
        <v>131</v>
      </c>
      <c r="L56" s="90">
        <v>59.2</v>
      </c>
      <c r="M56" s="97" t="s">
        <v>118</v>
      </c>
      <c r="N56" s="90">
        <v>0</v>
      </c>
      <c r="O56" s="83" t="s">
        <v>120</v>
      </c>
      <c r="P56" s="90">
        <v>86</v>
      </c>
      <c r="Q56" s="96">
        <f t="shared" si="15"/>
        <v>2052</v>
      </c>
      <c r="R56" s="95">
        <f t="shared" si="16"/>
        <v>3</v>
      </c>
      <c r="S56" s="95">
        <f t="shared" si="17"/>
        <v>28.900000000000002</v>
      </c>
    </row>
    <row r="57" spans="1:20" ht="105" x14ac:dyDescent="0.25">
      <c r="A57" s="93">
        <v>2052</v>
      </c>
      <c r="B57" s="83" t="s">
        <v>132</v>
      </c>
      <c r="C57" s="86" t="s">
        <v>130</v>
      </c>
      <c r="D57" s="90">
        <v>3</v>
      </c>
      <c r="E57" s="97" t="s">
        <v>118</v>
      </c>
      <c r="F57" s="90">
        <v>0</v>
      </c>
      <c r="G57" s="86" t="s">
        <v>131</v>
      </c>
      <c r="H57" s="90">
        <v>2.6</v>
      </c>
      <c r="I57" s="97" t="s">
        <v>118</v>
      </c>
      <c r="J57" s="90">
        <v>0</v>
      </c>
      <c r="K57" s="86" t="s">
        <v>131</v>
      </c>
      <c r="L57" s="90">
        <v>26.3</v>
      </c>
      <c r="M57" s="97" t="s">
        <v>118</v>
      </c>
      <c r="N57" s="90">
        <v>0</v>
      </c>
      <c r="O57" s="83" t="s">
        <v>120</v>
      </c>
      <c r="P57" s="90">
        <v>31.8</v>
      </c>
      <c r="Q57" s="96">
        <f t="shared" si="15"/>
        <v>2053</v>
      </c>
      <c r="R57" s="95">
        <f t="shared" si="16"/>
        <v>1</v>
      </c>
      <c r="S57" s="95">
        <f t="shared" si="17"/>
        <v>33.299999999999997</v>
      </c>
    </row>
    <row r="58" spans="1:20" ht="105" x14ac:dyDescent="0.25">
      <c r="A58" s="93">
        <v>2053</v>
      </c>
      <c r="B58" s="83" t="s">
        <v>135</v>
      </c>
      <c r="C58" s="86" t="s">
        <v>130</v>
      </c>
      <c r="D58" s="90">
        <v>1</v>
      </c>
      <c r="E58" s="97" t="s">
        <v>118</v>
      </c>
      <c r="F58" s="90">
        <v>0</v>
      </c>
      <c r="G58" s="86" t="s">
        <v>131</v>
      </c>
      <c r="H58" s="90">
        <v>5.9</v>
      </c>
      <c r="I58" s="97" t="s">
        <v>118</v>
      </c>
      <c r="J58" s="90">
        <v>0</v>
      </c>
      <c r="K58" s="86" t="s">
        <v>131</v>
      </c>
      <c r="L58" s="90">
        <v>27.4</v>
      </c>
      <c r="M58" s="97" t="s">
        <v>118</v>
      </c>
      <c r="N58" s="90">
        <v>0</v>
      </c>
      <c r="O58" s="83" t="s">
        <v>120</v>
      </c>
      <c r="P58" s="90">
        <v>34.299999999999997</v>
      </c>
      <c r="Q58" s="96">
        <f t="shared" si="15"/>
        <v>2054</v>
      </c>
      <c r="R58" s="95">
        <f t="shared" si="16"/>
        <v>39.200000000000003</v>
      </c>
      <c r="S58" s="95">
        <f t="shared" si="17"/>
        <v>40.299999999999997</v>
      </c>
    </row>
    <row r="59" spans="1:20" ht="105" x14ac:dyDescent="0.25">
      <c r="A59" s="93">
        <v>2054</v>
      </c>
      <c r="B59" s="83" t="s">
        <v>155</v>
      </c>
      <c r="C59" s="86" t="s">
        <v>130</v>
      </c>
      <c r="D59" s="90">
        <v>39.200000000000003</v>
      </c>
      <c r="E59" s="97" t="s">
        <v>118</v>
      </c>
      <c r="F59" s="90">
        <v>0</v>
      </c>
      <c r="G59" s="86" t="s">
        <v>131</v>
      </c>
      <c r="H59" s="90">
        <v>11.7</v>
      </c>
      <c r="I59" s="97" t="s">
        <v>118</v>
      </c>
      <c r="J59" s="90">
        <v>0</v>
      </c>
      <c r="K59" s="86" t="s">
        <v>131</v>
      </c>
      <c r="L59" s="90">
        <v>28.6</v>
      </c>
      <c r="M59" s="97" t="s">
        <v>118</v>
      </c>
      <c r="N59" s="90">
        <v>0</v>
      </c>
      <c r="O59" s="83" t="s">
        <v>120</v>
      </c>
      <c r="P59" s="90">
        <v>86.6</v>
      </c>
      <c r="Q59" s="96">
        <f t="shared" si="15"/>
        <v>2055</v>
      </c>
      <c r="R59" s="95">
        <f t="shared" si="16"/>
        <v>35.9</v>
      </c>
      <c r="S59" s="95">
        <f t="shared" si="17"/>
        <v>13.1</v>
      </c>
    </row>
    <row r="60" spans="1:20" ht="90" hidden="1" x14ac:dyDescent="0.25">
      <c r="A60" s="93">
        <v>2055</v>
      </c>
      <c r="B60" s="83" t="s">
        <v>128</v>
      </c>
      <c r="C60" s="86" t="s">
        <v>117</v>
      </c>
      <c r="D60" s="90">
        <v>35.9</v>
      </c>
      <c r="E60" s="97" t="s">
        <v>118</v>
      </c>
      <c r="F60" s="90">
        <v>0</v>
      </c>
      <c r="G60" s="97" t="s">
        <v>118</v>
      </c>
      <c r="H60" s="90">
        <v>0</v>
      </c>
      <c r="I60" s="97" t="s">
        <v>118</v>
      </c>
      <c r="J60" s="90">
        <v>0</v>
      </c>
      <c r="K60" s="86" t="s">
        <v>119</v>
      </c>
      <c r="L60" s="90">
        <v>13.1</v>
      </c>
      <c r="M60" s="97" t="s">
        <v>118</v>
      </c>
      <c r="N60" s="90">
        <v>0</v>
      </c>
      <c r="O60" s="83" t="s">
        <v>120</v>
      </c>
      <c r="P60" s="90">
        <v>49</v>
      </c>
      <c r="Q60" s="96">
        <f t="shared" si="15"/>
        <v>2056</v>
      </c>
      <c r="R60" s="95">
        <f t="shared" si="16"/>
        <v>108.4</v>
      </c>
      <c r="S60" s="95">
        <f t="shared" si="17"/>
        <v>0</v>
      </c>
    </row>
    <row r="61" spans="1:20" ht="90" hidden="1" x14ac:dyDescent="0.25">
      <c r="A61" s="98">
        <v>2056</v>
      </c>
      <c r="B61" s="88" t="s">
        <v>127</v>
      </c>
      <c r="C61" s="87" t="s">
        <v>117</v>
      </c>
      <c r="D61" s="91">
        <v>108.4</v>
      </c>
      <c r="E61" s="99" t="s">
        <v>118</v>
      </c>
      <c r="F61" s="91">
        <v>0</v>
      </c>
      <c r="G61" s="99" t="s">
        <v>118</v>
      </c>
      <c r="H61" s="91">
        <v>0</v>
      </c>
      <c r="I61" s="99" t="s">
        <v>118</v>
      </c>
      <c r="J61" s="91">
        <v>0</v>
      </c>
      <c r="K61" s="99" t="s">
        <v>118</v>
      </c>
      <c r="L61" s="91">
        <v>0</v>
      </c>
      <c r="M61" s="99" t="s">
        <v>118</v>
      </c>
      <c r="N61" s="91">
        <v>0</v>
      </c>
      <c r="O61" s="88" t="s">
        <v>120</v>
      </c>
      <c r="P61" s="91">
        <v>108.4</v>
      </c>
      <c r="Q61" s="96" t="e">
        <f>#REF!</f>
        <v>#REF!</v>
      </c>
      <c r="R61" s="95" t="e">
        <f>#REF!</f>
        <v>#REF!</v>
      </c>
      <c r="S61" s="95" t="e">
        <f>SUM(#REF!)</f>
        <v>#REF!</v>
      </c>
    </row>
    <row r="62" spans="1:20" ht="90" hidden="1" x14ac:dyDescent="0.25">
      <c r="A62" s="93">
        <v>2057</v>
      </c>
      <c r="B62" s="83" t="s">
        <v>126</v>
      </c>
      <c r="C62" s="86" t="s">
        <v>117</v>
      </c>
      <c r="D62" s="90">
        <v>12.1</v>
      </c>
      <c r="E62" s="97" t="s">
        <v>118</v>
      </c>
      <c r="F62" s="90">
        <v>0</v>
      </c>
      <c r="G62" s="86" t="s">
        <v>119</v>
      </c>
      <c r="H62" s="90">
        <v>35.9</v>
      </c>
      <c r="I62" s="97" t="s">
        <v>118</v>
      </c>
      <c r="J62" s="90">
        <v>0</v>
      </c>
      <c r="K62" s="86" t="s">
        <v>119</v>
      </c>
      <c r="L62" s="90">
        <v>17</v>
      </c>
      <c r="M62" s="97" t="s">
        <v>118</v>
      </c>
      <c r="N62" s="90">
        <v>0</v>
      </c>
      <c r="O62" s="83" t="s">
        <v>120</v>
      </c>
      <c r="P62" s="90">
        <v>65</v>
      </c>
      <c r="Q62" s="96">
        <f t="shared" ref="Q62:Q69" si="18">A63</f>
        <v>2058</v>
      </c>
      <c r="R62" s="95">
        <f t="shared" ref="R62:R69" si="19">D63</f>
        <v>147.5</v>
      </c>
      <c r="S62" s="95">
        <f t="shared" ref="S62:S69" si="20">SUM(F63:L63)</f>
        <v>109.6</v>
      </c>
      <c r="T62" s="95">
        <f>D63</f>
        <v>147.5</v>
      </c>
    </row>
    <row r="63" spans="1:20" ht="90" hidden="1" x14ac:dyDescent="0.25">
      <c r="A63" s="93">
        <v>2058</v>
      </c>
      <c r="B63" s="83" t="s">
        <v>156</v>
      </c>
      <c r="C63" s="86" t="s">
        <v>117</v>
      </c>
      <c r="D63" s="90">
        <v>147.5</v>
      </c>
      <c r="E63" s="97" t="s">
        <v>118</v>
      </c>
      <c r="F63" s="90">
        <v>0</v>
      </c>
      <c r="G63" s="86" t="s">
        <v>119</v>
      </c>
      <c r="H63" s="90">
        <v>97.1</v>
      </c>
      <c r="I63" s="97" t="s">
        <v>118</v>
      </c>
      <c r="J63" s="90">
        <v>0</v>
      </c>
      <c r="K63" s="86" t="s">
        <v>119</v>
      </c>
      <c r="L63" s="90">
        <v>12.5</v>
      </c>
      <c r="M63" s="97" t="s">
        <v>118</v>
      </c>
      <c r="N63" s="90">
        <v>0</v>
      </c>
      <c r="O63" s="83" t="s">
        <v>120</v>
      </c>
      <c r="P63" s="90">
        <v>257</v>
      </c>
      <c r="Q63" s="96">
        <f t="shared" si="18"/>
        <v>2059</v>
      </c>
      <c r="R63" s="95">
        <f t="shared" si="19"/>
        <v>8</v>
      </c>
      <c r="S63" s="95">
        <f t="shared" si="20"/>
        <v>23.5</v>
      </c>
    </row>
    <row r="64" spans="1:20" ht="105" x14ac:dyDescent="0.25">
      <c r="A64" s="93">
        <v>2059</v>
      </c>
      <c r="B64" s="83" t="s">
        <v>132</v>
      </c>
      <c r="C64" s="86" t="s">
        <v>130</v>
      </c>
      <c r="D64" s="90">
        <v>8</v>
      </c>
      <c r="E64" s="97" t="s">
        <v>118</v>
      </c>
      <c r="F64" s="90">
        <v>0</v>
      </c>
      <c r="G64" s="97" t="s">
        <v>118</v>
      </c>
      <c r="H64" s="90">
        <v>0</v>
      </c>
      <c r="I64" s="97" t="s">
        <v>118</v>
      </c>
      <c r="J64" s="90">
        <v>0</v>
      </c>
      <c r="K64" s="86" t="s">
        <v>131</v>
      </c>
      <c r="L64" s="90">
        <v>23.5</v>
      </c>
      <c r="M64" s="97" t="s">
        <v>118</v>
      </c>
      <c r="N64" s="90">
        <v>0</v>
      </c>
      <c r="O64" s="83" t="s">
        <v>120</v>
      </c>
      <c r="P64" s="90">
        <v>31.5</v>
      </c>
      <c r="Q64" s="96">
        <f t="shared" si="18"/>
        <v>2060</v>
      </c>
      <c r="R64" s="95">
        <f t="shared" si="19"/>
        <v>23.1</v>
      </c>
      <c r="S64" s="95">
        <f t="shared" si="20"/>
        <v>70.599999999999994</v>
      </c>
    </row>
    <row r="65" spans="1:19" ht="90" hidden="1" x14ac:dyDescent="0.25">
      <c r="A65" s="93">
        <v>2060</v>
      </c>
      <c r="B65" s="97" t="s">
        <v>153</v>
      </c>
      <c r="C65" s="86" t="s">
        <v>117</v>
      </c>
      <c r="D65" s="90">
        <v>23.1</v>
      </c>
      <c r="E65" s="97" t="s">
        <v>118</v>
      </c>
      <c r="F65" s="90">
        <v>0</v>
      </c>
      <c r="G65" s="86" t="s">
        <v>119</v>
      </c>
      <c r="H65" s="90">
        <v>12.6</v>
      </c>
      <c r="I65" s="97" t="s">
        <v>118</v>
      </c>
      <c r="J65" s="90">
        <v>0</v>
      </c>
      <c r="K65" s="86" t="s">
        <v>119</v>
      </c>
      <c r="L65" s="90">
        <v>58</v>
      </c>
      <c r="M65" s="97" t="s">
        <v>118</v>
      </c>
      <c r="N65" s="90">
        <v>0</v>
      </c>
      <c r="O65" s="83" t="s">
        <v>120</v>
      </c>
      <c r="P65" s="90">
        <v>93.7</v>
      </c>
      <c r="Q65" s="96">
        <f t="shared" si="18"/>
        <v>2061</v>
      </c>
      <c r="R65" s="95">
        <f t="shared" si="19"/>
        <v>64.400000000000006</v>
      </c>
      <c r="S65" s="95">
        <f t="shared" si="20"/>
        <v>156.69999999999999</v>
      </c>
    </row>
    <row r="66" spans="1:19" ht="90" hidden="1" x14ac:dyDescent="0.25">
      <c r="A66" s="93">
        <v>2061</v>
      </c>
      <c r="B66" s="86" t="s">
        <v>157</v>
      </c>
      <c r="C66" s="86" t="s">
        <v>117</v>
      </c>
      <c r="D66" s="90">
        <v>64.400000000000006</v>
      </c>
      <c r="E66" s="97" t="s">
        <v>118</v>
      </c>
      <c r="F66" s="90">
        <v>0</v>
      </c>
      <c r="G66" s="86" t="s">
        <v>119</v>
      </c>
      <c r="H66" s="90">
        <v>66.8</v>
      </c>
      <c r="I66" s="97" t="s">
        <v>118</v>
      </c>
      <c r="J66" s="90">
        <v>0</v>
      </c>
      <c r="K66" s="86" t="s">
        <v>119</v>
      </c>
      <c r="L66" s="90">
        <v>89.9</v>
      </c>
      <c r="M66" s="97" t="s">
        <v>118</v>
      </c>
      <c r="N66" s="90">
        <v>0</v>
      </c>
      <c r="O66" s="83" t="s">
        <v>120</v>
      </c>
      <c r="P66" s="90">
        <v>221.1</v>
      </c>
      <c r="Q66" s="96">
        <f t="shared" si="18"/>
        <v>2062</v>
      </c>
      <c r="R66" s="95">
        <f t="shared" si="19"/>
        <v>114.8</v>
      </c>
      <c r="S66" s="95">
        <f t="shared" si="20"/>
        <v>165.5</v>
      </c>
    </row>
    <row r="67" spans="1:19" ht="90" hidden="1" x14ac:dyDescent="0.25">
      <c r="A67" s="93">
        <v>2062</v>
      </c>
      <c r="B67" s="83" t="s">
        <v>148</v>
      </c>
      <c r="C67" s="86" t="s">
        <v>117</v>
      </c>
      <c r="D67" s="90">
        <v>114.8</v>
      </c>
      <c r="E67" s="97" t="s">
        <v>118</v>
      </c>
      <c r="F67" s="90">
        <v>0</v>
      </c>
      <c r="G67" s="86" t="s">
        <v>119</v>
      </c>
      <c r="H67" s="90">
        <v>99.3</v>
      </c>
      <c r="I67" s="97" t="s">
        <v>118</v>
      </c>
      <c r="J67" s="90">
        <v>0</v>
      </c>
      <c r="K67" s="86" t="s">
        <v>119</v>
      </c>
      <c r="L67" s="90">
        <v>66.2</v>
      </c>
      <c r="M67" s="97" t="s">
        <v>118</v>
      </c>
      <c r="N67" s="90">
        <v>0</v>
      </c>
      <c r="O67" s="83" t="s">
        <v>120</v>
      </c>
      <c r="P67" s="90">
        <v>280.3</v>
      </c>
      <c r="Q67" s="96">
        <f t="shared" si="18"/>
        <v>2063</v>
      </c>
      <c r="R67" s="95">
        <f t="shared" si="19"/>
        <v>85.7</v>
      </c>
      <c r="S67" s="95">
        <f t="shared" si="20"/>
        <v>0</v>
      </c>
    </row>
    <row r="68" spans="1:19" ht="90" hidden="1" x14ac:dyDescent="0.25">
      <c r="A68" s="93">
        <v>2063</v>
      </c>
      <c r="B68" s="83" t="s">
        <v>127</v>
      </c>
      <c r="C68" s="86" t="s">
        <v>117</v>
      </c>
      <c r="D68" s="90">
        <v>85.7</v>
      </c>
      <c r="E68" s="97" t="s">
        <v>118</v>
      </c>
      <c r="F68" s="90">
        <v>0</v>
      </c>
      <c r="G68" s="97" t="s">
        <v>118</v>
      </c>
      <c r="H68" s="90">
        <v>0</v>
      </c>
      <c r="I68" s="97" t="s">
        <v>118</v>
      </c>
      <c r="J68" s="90">
        <v>0</v>
      </c>
      <c r="K68" s="97" t="s">
        <v>118</v>
      </c>
      <c r="L68" s="90">
        <v>0</v>
      </c>
      <c r="M68" s="97" t="s">
        <v>118</v>
      </c>
      <c r="N68" s="90">
        <v>0</v>
      </c>
      <c r="O68" s="83" t="s">
        <v>120</v>
      </c>
      <c r="P68" s="90">
        <v>85.7</v>
      </c>
      <c r="Q68" s="96">
        <f t="shared" si="18"/>
        <v>2064</v>
      </c>
      <c r="R68" s="95">
        <f t="shared" si="19"/>
        <v>60.5</v>
      </c>
      <c r="S68" s="95">
        <f t="shared" si="20"/>
        <v>55.900000000000006</v>
      </c>
    </row>
    <row r="69" spans="1:19" ht="90" hidden="1" x14ac:dyDescent="0.25">
      <c r="A69" s="93">
        <v>2064</v>
      </c>
      <c r="B69" s="83" t="s">
        <v>147</v>
      </c>
      <c r="C69" s="86" t="s">
        <v>117</v>
      </c>
      <c r="D69" s="90">
        <v>60.5</v>
      </c>
      <c r="E69" s="97" t="s">
        <v>118</v>
      </c>
      <c r="F69" s="90">
        <v>0</v>
      </c>
      <c r="G69" s="86" t="s">
        <v>119</v>
      </c>
      <c r="H69" s="90">
        <v>30.8</v>
      </c>
      <c r="I69" s="97" t="s">
        <v>118</v>
      </c>
      <c r="J69" s="90">
        <v>0</v>
      </c>
      <c r="K69" s="86" t="s">
        <v>119</v>
      </c>
      <c r="L69" s="90">
        <v>25.1</v>
      </c>
      <c r="M69" s="97" t="s">
        <v>118</v>
      </c>
      <c r="N69" s="90">
        <v>0</v>
      </c>
      <c r="O69" s="83" t="s">
        <v>120</v>
      </c>
      <c r="P69" s="90">
        <v>116.4</v>
      </c>
      <c r="Q69" s="96">
        <f t="shared" si="18"/>
        <v>2065</v>
      </c>
      <c r="R69" s="95">
        <f t="shared" si="19"/>
        <v>1.7</v>
      </c>
      <c r="S69" s="95">
        <f t="shared" si="20"/>
        <v>29.5</v>
      </c>
    </row>
    <row r="70" spans="1:19" ht="105" x14ac:dyDescent="0.25">
      <c r="A70" s="98">
        <v>2065</v>
      </c>
      <c r="B70" s="88" t="s">
        <v>132</v>
      </c>
      <c r="C70" s="87" t="s">
        <v>130</v>
      </c>
      <c r="D70" s="91">
        <v>1.7</v>
      </c>
      <c r="E70" s="99" t="s">
        <v>118</v>
      </c>
      <c r="F70" s="91">
        <v>0</v>
      </c>
      <c r="G70" s="87" t="s">
        <v>131</v>
      </c>
      <c r="H70" s="91">
        <v>6.1</v>
      </c>
      <c r="I70" s="99" t="s">
        <v>118</v>
      </c>
      <c r="J70" s="91">
        <v>0</v>
      </c>
      <c r="K70" s="87" t="s">
        <v>131</v>
      </c>
      <c r="L70" s="91">
        <v>23.4</v>
      </c>
      <c r="M70" s="99" t="s">
        <v>118</v>
      </c>
      <c r="N70" s="91">
        <v>0</v>
      </c>
      <c r="O70" s="88" t="s">
        <v>120</v>
      </c>
      <c r="P70" s="91">
        <v>31.2</v>
      </c>
      <c r="Q70" s="96" t="e">
        <f>#REF!</f>
        <v>#REF!</v>
      </c>
      <c r="R70" s="95" t="e">
        <f>#REF!</f>
        <v>#REF!</v>
      </c>
      <c r="S70" s="95" t="e">
        <f>SUM(#REF!)</f>
        <v>#REF!</v>
      </c>
    </row>
    <row r="71" spans="1:19" ht="120" hidden="1" x14ac:dyDescent="0.25">
      <c r="A71" s="93">
        <v>2066</v>
      </c>
      <c r="B71" s="83" t="s">
        <v>158</v>
      </c>
      <c r="C71" s="86" t="s">
        <v>117</v>
      </c>
      <c r="D71" s="90">
        <v>71</v>
      </c>
      <c r="E71" s="97" t="s">
        <v>118</v>
      </c>
      <c r="F71" s="90">
        <v>0</v>
      </c>
      <c r="G71" s="86" t="s">
        <v>119</v>
      </c>
      <c r="H71" s="103">
        <v>42.2</v>
      </c>
      <c r="I71" s="86" t="s">
        <v>123</v>
      </c>
      <c r="J71" s="90">
        <v>28.6</v>
      </c>
      <c r="K71" s="86" t="s">
        <v>119</v>
      </c>
      <c r="L71" s="90">
        <v>23.8</v>
      </c>
      <c r="M71" s="97" t="s">
        <v>118</v>
      </c>
      <c r="N71" s="90">
        <v>0</v>
      </c>
      <c r="O71" s="83" t="s">
        <v>120</v>
      </c>
      <c r="P71" s="90">
        <v>165.5</v>
      </c>
      <c r="Q71" s="96">
        <f>A72</f>
        <v>2067</v>
      </c>
      <c r="R71" s="95">
        <f>D72</f>
        <v>58.2</v>
      </c>
      <c r="S71" s="95">
        <f>SUM(F72:L72)</f>
        <v>181.1</v>
      </c>
    </row>
    <row r="72" spans="1:19" ht="90" hidden="1" x14ac:dyDescent="0.25">
      <c r="A72" s="93">
        <v>2067</v>
      </c>
      <c r="B72" s="97" t="s">
        <v>150</v>
      </c>
      <c r="C72" s="86" t="s">
        <v>117</v>
      </c>
      <c r="D72" s="90">
        <v>58.2</v>
      </c>
      <c r="E72" s="97" t="s">
        <v>118</v>
      </c>
      <c r="F72" s="90">
        <v>0</v>
      </c>
      <c r="G72" s="86" t="s">
        <v>119</v>
      </c>
      <c r="H72" s="103">
        <v>155</v>
      </c>
      <c r="I72" s="97" t="s">
        <v>118</v>
      </c>
      <c r="J72" s="90">
        <v>0</v>
      </c>
      <c r="K72" s="86" t="s">
        <v>119</v>
      </c>
      <c r="L72" s="90">
        <v>26.1</v>
      </c>
      <c r="M72" s="97" t="s">
        <v>118</v>
      </c>
      <c r="N72" s="90">
        <v>0</v>
      </c>
      <c r="O72" s="83" t="s">
        <v>120</v>
      </c>
      <c r="P72" s="90">
        <v>239.3</v>
      </c>
      <c r="Q72" s="96">
        <f>A73</f>
        <v>2068</v>
      </c>
      <c r="R72" s="95">
        <f>D73</f>
        <v>40.200000000000003</v>
      </c>
      <c r="S72" s="95">
        <f>SUM(F73:L73)</f>
        <v>160.69999999999999</v>
      </c>
    </row>
    <row r="73" spans="1:19" ht="90" hidden="1" x14ac:dyDescent="0.25">
      <c r="A73" s="93">
        <v>2068</v>
      </c>
      <c r="B73" s="97" t="s">
        <v>159</v>
      </c>
      <c r="C73" s="86" t="s">
        <v>117</v>
      </c>
      <c r="D73" s="90">
        <v>40.200000000000003</v>
      </c>
      <c r="E73" s="97" t="s">
        <v>118</v>
      </c>
      <c r="F73" s="90">
        <v>0</v>
      </c>
      <c r="G73" s="86" t="s">
        <v>119</v>
      </c>
      <c r="H73" s="103">
        <v>43.9</v>
      </c>
      <c r="I73" s="97" t="s">
        <v>118</v>
      </c>
      <c r="J73" s="90">
        <v>0</v>
      </c>
      <c r="K73" s="86" t="s">
        <v>119</v>
      </c>
      <c r="L73" s="90">
        <v>116.8</v>
      </c>
      <c r="M73" s="97" t="s">
        <v>118</v>
      </c>
      <c r="N73" s="90">
        <v>0</v>
      </c>
      <c r="O73" s="83" t="s">
        <v>120</v>
      </c>
      <c r="P73" s="90">
        <v>200.9</v>
      </c>
      <c r="Q73" s="96">
        <f>A74</f>
        <v>2069</v>
      </c>
      <c r="R73" s="95">
        <f>D74</f>
        <v>8.3000000000000007</v>
      </c>
      <c r="S73" s="95">
        <f>SUM(F74:L74)</f>
        <v>6.3</v>
      </c>
    </row>
    <row r="74" spans="1:19" ht="105" x14ac:dyDescent="0.25">
      <c r="A74" s="93">
        <v>2069</v>
      </c>
      <c r="B74" s="83" t="s">
        <v>160</v>
      </c>
      <c r="C74" s="86" t="s">
        <v>130</v>
      </c>
      <c r="D74" s="90">
        <v>8.3000000000000007</v>
      </c>
      <c r="E74" s="97" t="s">
        <v>118</v>
      </c>
      <c r="F74" s="90">
        <v>0</v>
      </c>
      <c r="G74" s="97" t="s">
        <v>118</v>
      </c>
      <c r="H74" s="102">
        <v>0</v>
      </c>
      <c r="I74" s="97" t="s">
        <v>118</v>
      </c>
      <c r="J74" s="90">
        <v>0</v>
      </c>
      <c r="K74" s="86" t="s">
        <v>131</v>
      </c>
      <c r="L74" s="90">
        <v>6.3</v>
      </c>
      <c r="M74" s="97" t="s">
        <v>118</v>
      </c>
      <c r="N74" s="90">
        <v>0</v>
      </c>
      <c r="O74" s="83" t="s">
        <v>120</v>
      </c>
      <c r="P74" s="90">
        <v>21.1</v>
      </c>
      <c r="Q74" s="96">
        <f>A75</f>
        <v>2070</v>
      </c>
      <c r="R74" s="95">
        <f>D75</f>
        <v>32.9</v>
      </c>
      <c r="S74" s="95">
        <f>SUM(F75:L75)</f>
        <v>23.4</v>
      </c>
    </row>
    <row r="75" spans="1:19" ht="90" hidden="1" x14ac:dyDescent="0.25">
      <c r="A75" s="93">
        <v>2070</v>
      </c>
      <c r="B75" s="83" t="s">
        <v>161</v>
      </c>
      <c r="C75" s="86" t="s">
        <v>117</v>
      </c>
      <c r="D75" s="90">
        <v>32.9</v>
      </c>
      <c r="E75" s="97" t="s">
        <v>118</v>
      </c>
      <c r="F75" s="90">
        <v>0</v>
      </c>
      <c r="G75" s="86" t="s">
        <v>119</v>
      </c>
      <c r="H75" s="103">
        <v>14.6</v>
      </c>
      <c r="I75" s="97" t="s">
        <v>118</v>
      </c>
      <c r="J75" s="90">
        <v>0</v>
      </c>
      <c r="K75" s="86" t="s">
        <v>119</v>
      </c>
      <c r="L75" s="90">
        <v>8.8000000000000007</v>
      </c>
      <c r="M75" s="97" t="s">
        <v>118</v>
      </c>
      <c r="N75" s="90">
        <v>0</v>
      </c>
      <c r="O75" s="83" t="s">
        <v>120</v>
      </c>
      <c r="P75" s="90">
        <v>56.2</v>
      </c>
      <c r="Q75" s="96">
        <f>A76</f>
        <v>2071</v>
      </c>
      <c r="R75" s="95">
        <f>D76</f>
        <v>57.7</v>
      </c>
      <c r="S75" s="95">
        <f>SUM(F76:L76)</f>
        <v>189.7</v>
      </c>
    </row>
    <row r="76" spans="1:19" ht="90" hidden="1" x14ac:dyDescent="0.25">
      <c r="A76" s="93">
        <v>2071</v>
      </c>
      <c r="B76" s="97" t="s">
        <v>150</v>
      </c>
      <c r="C76" s="86" t="s">
        <v>117</v>
      </c>
      <c r="D76" s="90">
        <v>57.7</v>
      </c>
      <c r="E76" s="97" t="s">
        <v>118</v>
      </c>
      <c r="F76" s="90">
        <v>0</v>
      </c>
      <c r="G76" s="86" t="s">
        <v>119</v>
      </c>
      <c r="H76" s="103">
        <v>132</v>
      </c>
      <c r="I76" s="97" t="s">
        <v>118</v>
      </c>
      <c r="J76" s="90">
        <v>0</v>
      </c>
      <c r="K76" s="86" t="s">
        <v>119</v>
      </c>
      <c r="L76" s="90">
        <v>57.7</v>
      </c>
      <c r="M76" s="97" t="s">
        <v>118</v>
      </c>
      <c r="N76" s="90">
        <v>0</v>
      </c>
      <c r="O76" s="83" t="s">
        <v>120</v>
      </c>
      <c r="P76" s="90">
        <v>247.4</v>
      </c>
    </row>
    <row r="77" spans="1:19" ht="90" hidden="1" x14ac:dyDescent="0.25">
      <c r="A77" s="93">
        <v>3001</v>
      </c>
      <c r="B77" s="83" t="s">
        <v>133</v>
      </c>
      <c r="C77" s="86" t="s">
        <v>117</v>
      </c>
      <c r="D77" s="90">
        <v>69.900000000000006</v>
      </c>
      <c r="E77" s="97" t="s">
        <v>118</v>
      </c>
      <c r="F77" s="90">
        <v>0</v>
      </c>
      <c r="G77" s="86" t="s">
        <v>119</v>
      </c>
      <c r="H77" s="90">
        <v>36.799999999999997</v>
      </c>
      <c r="I77" s="97" t="s">
        <v>118</v>
      </c>
      <c r="J77" s="90">
        <v>0</v>
      </c>
      <c r="K77" s="86" t="s">
        <v>119</v>
      </c>
      <c r="L77" s="90">
        <v>22.2</v>
      </c>
      <c r="M77" s="97" t="s">
        <v>118</v>
      </c>
      <c r="N77" s="90">
        <v>0</v>
      </c>
      <c r="O77" s="83" t="s">
        <v>120</v>
      </c>
      <c r="P77" s="90">
        <v>129</v>
      </c>
    </row>
    <row r="78" spans="1:19" ht="90" hidden="1" x14ac:dyDescent="0.25">
      <c r="A78" s="93">
        <v>3002</v>
      </c>
      <c r="B78" s="83" t="s">
        <v>133</v>
      </c>
      <c r="C78" s="86" t="s">
        <v>117</v>
      </c>
      <c r="D78" s="90">
        <v>51.4</v>
      </c>
      <c r="E78" s="97" t="s">
        <v>118</v>
      </c>
      <c r="F78" s="90">
        <v>0</v>
      </c>
      <c r="G78" s="86" t="s">
        <v>119</v>
      </c>
      <c r="H78" s="90">
        <v>40.799999999999997</v>
      </c>
      <c r="I78" s="97" t="s">
        <v>118</v>
      </c>
      <c r="J78" s="90">
        <v>0</v>
      </c>
      <c r="K78" s="86" t="s">
        <v>119</v>
      </c>
      <c r="L78" s="90">
        <v>20.8</v>
      </c>
      <c r="M78" s="97" t="s">
        <v>118</v>
      </c>
      <c r="N78" s="90">
        <v>0</v>
      </c>
      <c r="O78" s="83" t="s">
        <v>120</v>
      </c>
      <c r="P78" s="90">
        <v>112.9</v>
      </c>
    </row>
    <row r="79" spans="1:19" ht="90" hidden="1" x14ac:dyDescent="0.25">
      <c r="A79" s="93">
        <v>3003</v>
      </c>
      <c r="B79" s="83" t="s">
        <v>162</v>
      </c>
      <c r="C79" s="86" t="s">
        <v>117</v>
      </c>
      <c r="D79" s="90">
        <v>65.5</v>
      </c>
      <c r="E79" s="97" t="s">
        <v>118</v>
      </c>
      <c r="F79" s="90">
        <v>0</v>
      </c>
      <c r="G79" s="86" t="s">
        <v>119</v>
      </c>
      <c r="H79" s="90">
        <v>16.2</v>
      </c>
      <c r="I79" s="97" t="s">
        <v>118</v>
      </c>
      <c r="J79" s="90">
        <v>0</v>
      </c>
      <c r="K79" s="86" t="s">
        <v>119</v>
      </c>
      <c r="L79" s="90">
        <v>56.4</v>
      </c>
      <c r="M79" s="97" t="s">
        <v>118</v>
      </c>
      <c r="N79" s="90">
        <v>0</v>
      </c>
      <c r="O79" s="83" t="s">
        <v>120</v>
      </c>
      <c r="P79" s="90">
        <v>138.1</v>
      </c>
    </row>
    <row r="80" spans="1:19" ht="90" hidden="1" x14ac:dyDescent="0.25">
      <c r="A80" s="93">
        <v>3004</v>
      </c>
      <c r="B80" s="83" t="s">
        <v>121</v>
      </c>
      <c r="C80" s="86" t="s">
        <v>117</v>
      </c>
      <c r="D80" s="90">
        <v>190</v>
      </c>
      <c r="E80" s="97" t="s">
        <v>118</v>
      </c>
      <c r="F80" s="90">
        <v>0</v>
      </c>
      <c r="G80" s="86" t="s">
        <v>119</v>
      </c>
      <c r="H80" s="90">
        <v>151.19999999999999</v>
      </c>
      <c r="I80" s="97" t="s">
        <v>118</v>
      </c>
      <c r="J80" s="90">
        <v>0</v>
      </c>
      <c r="K80" s="86" t="s">
        <v>119</v>
      </c>
      <c r="L80" s="90">
        <v>19.5</v>
      </c>
      <c r="M80" s="97" t="s">
        <v>118</v>
      </c>
      <c r="N80" s="90">
        <v>0</v>
      </c>
      <c r="O80" s="83" t="s">
        <v>120</v>
      </c>
      <c r="P80" s="90">
        <v>363.2</v>
      </c>
    </row>
    <row r="81" spans="1:16" ht="90" hidden="1" x14ac:dyDescent="0.25">
      <c r="A81" s="93">
        <v>3005</v>
      </c>
      <c r="B81" s="97" t="s">
        <v>153</v>
      </c>
      <c r="C81" s="86" t="s">
        <v>117</v>
      </c>
      <c r="D81" s="90">
        <v>7</v>
      </c>
      <c r="E81" s="97" t="s">
        <v>118</v>
      </c>
      <c r="F81" s="90">
        <v>0</v>
      </c>
      <c r="G81" s="86" t="s">
        <v>119</v>
      </c>
      <c r="H81" s="90">
        <v>26.2</v>
      </c>
      <c r="I81" s="97" t="s">
        <v>118</v>
      </c>
      <c r="J81" s="90">
        <v>0</v>
      </c>
      <c r="K81" s="86" t="s">
        <v>119</v>
      </c>
      <c r="L81" s="90">
        <v>40</v>
      </c>
      <c r="M81" s="97" t="s">
        <v>118</v>
      </c>
      <c r="N81" s="90">
        <v>0</v>
      </c>
      <c r="O81" s="83" t="s">
        <v>120</v>
      </c>
      <c r="P81" s="90">
        <v>73.099999999999994</v>
      </c>
    </row>
    <row r="82" spans="1:16" ht="90" hidden="1" x14ac:dyDescent="0.25">
      <c r="A82" s="93">
        <v>3006</v>
      </c>
      <c r="B82" s="83" t="s">
        <v>127</v>
      </c>
      <c r="C82" s="86" t="s">
        <v>117</v>
      </c>
      <c r="D82" s="90">
        <v>102.7</v>
      </c>
      <c r="E82" s="97" t="s">
        <v>118</v>
      </c>
      <c r="F82" s="90">
        <v>0</v>
      </c>
      <c r="G82" s="97" t="s">
        <v>118</v>
      </c>
      <c r="H82" s="90">
        <v>0</v>
      </c>
      <c r="I82" s="97" t="s">
        <v>118</v>
      </c>
      <c r="J82" s="90">
        <v>0</v>
      </c>
      <c r="K82" s="97" t="s">
        <v>118</v>
      </c>
      <c r="L82" s="90">
        <v>0</v>
      </c>
      <c r="M82" s="97" t="s">
        <v>118</v>
      </c>
      <c r="N82" s="90">
        <v>0</v>
      </c>
      <c r="O82" s="83" t="s">
        <v>120</v>
      </c>
      <c r="P82" s="90">
        <v>102.7</v>
      </c>
    </row>
    <row r="83" spans="1:16" ht="90" hidden="1" x14ac:dyDescent="0.25">
      <c r="A83" s="93">
        <v>3007</v>
      </c>
      <c r="B83" s="83" t="s">
        <v>128</v>
      </c>
      <c r="C83" s="86" t="s">
        <v>117</v>
      </c>
      <c r="D83" s="90">
        <v>25.7</v>
      </c>
      <c r="E83" s="97" t="s">
        <v>118</v>
      </c>
      <c r="F83" s="90">
        <v>0</v>
      </c>
      <c r="G83" s="97" t="s">
        <v>118</v>
      </c>
      <c r="H83" s="90">
        <v>0</v>
      </c>
      <c r="I83" s="97" t="s">
        <v>118</v>
      </c>
      <c r="J83" s="90">
        <v>0</v>
      </c>
      <c r="K83" s="86" t="s">
        <v>119</v>
      </c>
      <c r="L83" s="90">
        <v>17.2</v>
      </c>
      <c r="M83" s="97" t="s">
        <v>118</v>
      </c>
      <c r="N83" s="90">
        <v>0</v>
      </c>
      <c r="O83" s="83" t="s">
        <v>120</v>
      </c>
      <c r="P83" s="90">
        <v>42.9</v>
      </c>
    </row>
    <row r="84" spans="1:16" ht="105" hidden="1" x14ac:dyDescent="0.25">
      <c r="A84" s="93">
        <v>3008</v>
      </c>
      <c r="B84" s="83" t="s">
        <v>132</v>
      </c>
      <c r="C84" s="97" t="s">
        <v>118</v>
      </c>
      <c r="D84" s="90">
        <v>0</v>
      </c>
      <c r="E84" s="97" t="s">
        <v>118</v>
      </c>
      <c r="F84" s="90">
        <v>0</v>
      </c>
      <c r="G84" s="86" t="s">
        <v>131</v>
      </c>
      <c r="H84" s="90">
        <v>3.1</v>
      </c>
      <c r="I84" s="97" t="s">
        <v>118</v>
      </c>
      <c r="J84" s="90">
        <v>0</v>
      </c>
      <c r="K84" s="86" t="s">
        <v>131</v>
      </c>
      <c r="L84" s="90">
        <v>29.7</v>
      </c>
      <c r="M84" s="97" t="s">
        <v>118</v>
      </c>
      <c r="N84" s="90">
        <v>0</v>
      </c>
      <c r="O84" s="83" t="s">
        <v>120</v>
      </c>
      <c r="P84" s="90">
        <v>32.700000000000003</v>
      </c>
    </row>
    <row r="85" spans="1:16" ht="105" hidden="1" x14ac:dyDescent="0.25">
      <c r="A85" s="98">
        <v>3009</v>
      </c>
      <c r="B85" s="88" t="s">
        <v>129</v>
      </c>
      <c r="C85" s="87" t="s">
        <v>130</v>
      </c>
      <c r="D85" s="91">
        <v>10.9</v>
      </c>
      <c r="E85" s="99" t="s">
        <v>118</v>
      </c>
      <c r="F85" s="91">
        <v>0</v>
      </c>
      <c r="G85" s="87" t="s">
        <v>131</v>
      </c>
      <c r="H85" s="91">
        <v>36.9</v>
      </c>
      <c r="I85" s="99" t="s">
        <v>118</v>
      </c>
      <c r="J85" s="91">
        <v>0</v>
      </c>
      <c r="K85" s="87" t="s">
        <v>131</v>
      </c>
      <c r="L85" s="91">
        <v>43</v>
      </c>
      <c r="M85" s="99" t="s">
        <v>118</v>
      </c>
      <c r="N85" s="91">
        <v>0</v>
      </c>
      <c r="O85" s="88" t="s">
        <v>120</v>
      </c>
      <c r="P85" s="91">
        <v>100.8</v>
      </c>
    </row>
    <row r="86" spans="1:16" ht="90" hidden="1" x14ac:dyDescent="0.25">
      <c r="A86" s="98">
        <v>3010</v>
      </c>
      <c r="B86" s="88" t="s">
        <v>163</v>
      </c>
      <c r="C86" s="87" t="s">
        <v>117</v>
      </c>
      <c r="D86" s="91">
        <v>44.8</v>
      </c>
      <c r="E86" s="99" t="s">
        <v>118</v>
      </c>
      <c r="F86" s="91">
        <v>0</v>
      </c>
      <c r="G86" s="87" t="s">
        <v>119</v>
      </c>
      <c r="H86" s="91">
        <v>75.7</v>
      </c>
      <c r="I86" s="99" t="s">
        <v>118</v>
      </c>
      <c r="J86" s="91">
        <v>0</v>
      </c>
      <c r="K86" s="87" t="s">
        <v>119</v>
      </c>
      <c r="L86" s="91">
        <v>43.3</v>
      </c>
      <c r="M86" s="99" t="s">
        <v>118</v>
      </c>
      <c r="N86" s="91">
        <v>0</v>
      </c>
      <c r="O86" s="88" t="s">
        <v>120</v>
      </c>
      <c r="P86" s="91">
        <v>163.9</v>
      </c>
    </row>
    <row r="87" spans="1:16" ht="90" hidden="1" x14ac:dyDescent="0.25">
      <c r="A87" s="93">
        <v>3011</v>
      </c>
      <c r="B87" s="86" t="s">
        <v>144</v>
      </c>
      <c r="C87" s="86" t="s">
        <v>117</v>
      </c>
      <c r="D87" s="90">
        <v>43.6</v>
      </c>
      <c r="E87" s="97" t="s">
        <v>118</v>
      </c>
      <c r="F87" s="90">
        <v>0</v>
      </c>
      <c r="G87" s="86" t="s">
        <v>119</v>
      </c>
      <c r="H87" s="103">
        <v>70.599999999999994</v>
      </c>
      <c r="I87" s="97" t="s">
        <v>118</v>
      </c>
      <c r="J87" s="90">
        <v>0</v>
      </c>
      <c r="K87" s="86" t="s">
        <v>119</v>
      </c>
      <c r="L87" s="90">
        <v>30.9</v>
      </c>
      <c r="M87" s="97" t="s">
        <v>118</v>
      </c>
      <c r="N87" s="90">
        <v>0</v>
      </c>
      <c r="O87" s="83" t="s">
        <v>120</v>
      </c>
      <c r="P87" s="90">
        <v>145.1</v>
      </c>
    </row>
    <row r="88" spans="1:16" ht="120" hidden="1" x14ac:dyDescent="0.25">
      <c r="A88" s="93">
        <v>3012</v>
      </c>
      <c r="B88" s="83" t="s">
        <v>121</v>
      </c>
      <c r="C88" s="86" t="s">
        <v>117</v>
      </c>
      <c r="D88" s="90">
        <v>154.69999999999999</v>
      </c>
      <c r="E88" s="97" t="s">
        <v>118</v>
      </c>
      <c r="F88" s="90">
        <v>0</v>
      </c>
      <c r="G88" s="86" t="s">
        <v>119</v>
      </c>
      <c r="H88" s="103">
        <v>153.5</v>
      </c>
      <c r="I88" s="86" t="s">
        <v>123</v>
      </c>
      <c r="J88" s="90">
        <v>10.6</v>
      </c>
      <c r="K88" s="86" t="s">
        <v>119</v>
      </c>
      <c r="L88" s="90">
        <v>38.9</v>
      </c>
      <c r="M88" s="97" t="s">
        <v>118</v>
      </c>
      <c r="N88" s="90">
        <v>0</v>
      </c>
      <c r="O88" s="83" t="s">
        <v>120</v>
      </c>
      <c r="P88" s="90">
        <v>357.7</v>
      </c>
    </row>
    <row r="89" spans="1:16" ht="90" hidden="1" x14ac:dyDescent="0.25">
      <c r="A89" s="93">
        <v>3013</v>
      </c>
      <c r="B89" s="83" t="s">
        <v>133</v>
      </c>
      <c r="C89" s="86" t="s">
        <v>117</v>
      </c>
      <c r="D89" s="90">
        <v>34.4</v>
      </c>
      <c r="E89" s="97" t="s">
        <v>118</v>
      </c>
      <c r="F89" s="90">
        <v>0</v>
      </c>
      <c r="G89" s="86" t="s">
        <v>119</v>
      </c>
      <c r="H89" s="103">
        <v>57.2</v>
      </c>
      <c r="I89" s="97" t="s">
        <v>118</v>
      </c>
      <c r="J89" s="90">
        <v>0</v>
      </c>
      <c r="K89" s="86" t="s">
        <v>119</v>
      </c>
      <c r="L89" s="90">
        <v>28</v>
      </c>
      <c r="M89" s="97" t="s">
        <v>118</v>
      </c>
      <c r="N89" s="90">
        <v>0</v>
      </c>
      <c r="O89" s="83" t="s">
        <v>120</v>
      </c>
      <c r="P89" s="90">
        <v>119.6</v>
      </c>
    </row>
    <row r="90" spans="1:16" ht="90" hidden="1" x14ac:dyDescent="0.25">
      <c r="A90" s="93">
        <v>3014</v>
      </c>
      <c r="B90" s="83" t="s">
        <v>133</v>
      </c>
      <c r="C90" s="86" t="s">
        <v>117</v>
      </c>
      <c r="D90" s="90">
        <v>52.9</v>
      </c>
      <c r="E90" s="97" t="s">
        <v>118</v>
      </c>
      <c r="F90" s="90">
        <v>0</v>
      </c>
      <c r="G90" s="86" t="s">
        <v>119</v>
      </c>
      <c r="H90" s="103">
        <v>47.6</v>
      </c>
      <c r="I90" s="97" t="s">
        <v>118</v>
      </c>
      <c r="J90" s="90">
        <v>0</v>
      </c>
      <c r="K90" s="86" t="s">
        <v>119</v>
      </c>
      <c r="L90" s="90">
        <v>14</v>
      </c>
      <c r="M90" s="97" t="s">
        <v>118</v>
      </c>
      <c r="N90" s="90">
        <v>0</v>
      </c>
      <c r="O90" s="83" t="s">
        <v>120</v>
      </c>
      <c r="P90" s="90">
        <v>114.5</v>
      </c>
    </row>
    <row r="91" spans="1:16" ht="105" hidden="1" x14ac:dyDescent="0.25">
      <c r="A91" s="93">
        <v>3015</v>
      </c>
      <c r="B91" s="83" t="s">
        <v>134</v>
      </c>
      <c r="C91" s="86" t="s">
        <v>130</v>
      </c>
      <c r="D91" s="90">
        <v>26.2</v>
      </c>
      <c r="E91" s="97" t="s">
        <v>118</v>
      </c>
      <c r="F91" s="90">
        <v>0</v>
      </c>
      <c r="G91" s="86" t="s">
        <v>131</v>
      </c>
      <c r="H91" s="103">
        <v>10.4</v>
      </c>
      <c r="I91" s="97" t="s">
        <v>118</v>
      </c>
      <c r="J91" s="90">
        <v>0</v>
      </c>
      <c r="K91" s="86" t="s">
        <v>131</v>
      </c>
      <c r="L91" s="90">
        <v>41.8</v>
      </c>
      <c r="M91" s="97" t="s">
        <v>118</v>
      </c>
      <c r="N91" s="90">
        <v>0</v>
      </c>
      <c r="O91" s="83" t="s">
        <v>120</v>
      </c>
      <c r="P91" s="90">
        <v>78.400000000000006</v>
      </c>
    </row>
    <row r="92" spans="1:16" ht="90" hidden="1" x14ac:dyDescent="0.25">
      <c r="A92" s="93">
        <v>3016</v>
      </c>
      <c r="B92" s="83" t="s">
        <v>127</v>
      </c>
      <c r="C92" s="86" t="s">
        <v>117</v>
      </c>
      <c r="D92" s="90">
        <v>102.3</v>
      </c>
      <c r="E92" s="97" t="s">
        <v>118</v>
      </c>
      <c r="F92" s="90">
        <v>0</v>
      </c>
      <c r="G92" s="86" t="s">
        <v>119</v>
      </c>
      <c r="H92" s="103">
        <v>14.6</v>
      </c>
      <c r="I92" s="97" t="s">
        <v>118</v>
      </c>
      <c r="J92" s="90">
        <v>0</v>
      </c>
      <c r="K92" s="97" t="s">
        <v>118</v>
      </c>
      <c r="L92" s="90">
        <v>0</v>
      </c>
      <c r="M92" s="97" t="s">
        <v>118</v>
      </c>
      <c r="N92" s="90">
        <v>0</v>
      </c>
      <c r="O92" s="83" t="s">
        <v>120</v>
      </c>
      <c r="P92" s="90">
        <v>116.8</v>
      </c>
    </row>
    <row r="93" spans="1:16" ht="105" hidden="1" x14ac:dyDescent="0.25">
      <c r="A93" s="93">
        <v>3017</v>
      </c>
      <c r="B93" s="83" t="s">
        <v>135</v>
      </c>
      <c r="C93" s="86" t="s">
        <v>130</v>
      </c>
      <c r="D93" s="90">
        <v>21</v>
      </c>
      <c r="E93" s="97" t="s">
        <v>118</v>
      </c>
      <c r="F93" s="90">
        <v>0</v>
      </c>
      <c r="G93" s="86" t="s">
        <v>131</v>
      </c>
      <c r="H93" s="102">
        <v>8.3000000000000007</v>
      </c>
      <c r="I93" s="97" t="s">
        <v>118</v>
      </c>
      <c r="J93" s="90">
        <v>0</v>
      </c>
      <c r="K93" s="86" t="s">
        <v>131</v>
      </c>
      <c r="L93" s="90">
        <v>20.3</v>
      </c>
      <c r="M93" s="97" t="s">
        <v>118</v>
      </c>
      <c r="N93" s="90">
        <v>0</v>
      </c>
      <c r="O93" s="83" t="s">
        <v>120</v>
      </c>
      <c r="P93" s="90">
        <v>49.7</v>
      </c>
    </row>
    <row r="94" spans="1:16" ht="105" hidden="1" x14ac:dyDescent="0.25">
      <c r="A94" s="93">
        <v>3018</v>
      </c>
      <c r="B94" s="83" t="s">
        <v>136</v>
      </c>
      <c r="C94" s="86" t="s">
        <v>130</v>
      </c>
      <c r="D94" s="90">
        <v>7.4</v>
      </c>
      <c r="E94" s="97" t="s">
        <v>118</v>
      </c>
      <c r="F94" s="90">
        <v>0</v>
      </c>
      <c r="G94" s="97" t="s">
        <v>118</v>
      </c>
      <c r="H94" s="102">
        <v>0</v>
      </c>
      <c r="I94" s="97" t="s">
        <v>118</v>
      </c>
      <c r="J94" s="90">
        <v>0</v>
      </c>
      <c r="K94" s="86" t="s">
        <v>131</v>
      </c>
      <c r="L94" s="90">
        <v>26.3</v>
      </c>
      <c r="M94" s="97" t="s">
        <v>118</v>
      </c>
      <c r="N94" s="90">
        <v>0</v>
      </c>
      <c r="O94" s="83" t="s">
        <v>120</v>
      </c>
      <c r="P94" s="90">
        <v>33.799999999999997</v>
      </c>
    </row>
    <row r="95" spans="1:16" ht="120" hidden="1" x14ac:dyDescent="0.25">
      <c r="A95" s="98">
        <v>3019</v>
      </c>
      <c r="B95" s="87" t="s">
        <v>137</v>
      </c>
      <c r="C95" s="87" t="s">
        <v>117</v>
      </c>
      <c r="D95" s="91">
        <v>40.299999999999997</v>
      </c>
      <c r="E95" s="99" t="s">
        <v>118</v>
      </c>
      <c r="F95" s="91">
        <v>0</v>
      </c>
      <c r="G95" s="87" t="s">
        <v>119</v>
      </c>
      <c r="H95" s="91">
        <v>38.5</v>
      </c>
      <c r="I95" s="87" t="s">
        <v>123</v>
      </c>
      <c r="J95" s="91">
        <v>48.4</v>
      </c>
      <c r="K95" s="87" t="s">
        <v>119</v>
      </c>
      <c r="L95" s="91">
        <v>174</v>
      </c>
      <c r="M95" s="99" t="s">
        <v>118</v>
      </c>
      <c r="N95" s="91">
        <v>0</v>
      </c>
      <c r="O95" s="88" t="s">
        <v>120</v>
      </c>
      <c r="P95" s="91">
        <v>301.2</v>
      </c>
    </row>
    <row r="96" spans="1:16" ht="90" hidden="1" x14ac:dyDescent="0.25">
      <c r="A96" s="93">
        <v>3020</v>
      </c>
      <c r="B96" s="83" t="s">
        <v>127</v>
      </c>
      <c r="C96" s="86" t="s">
        <v>117</v>
      </c>
      <c r="D96" s="90">
        <v>75.7</v>
      </c>
      <c r="E96" s="97" t="s">
        <v>118</v>
      </c>
      <c r="F96" s="90">
        <v>0</v>
      </c>
      <c r="G96" s="86" t="s">
        <v>119</v>
      </c>
      <c r="H96" s="103">
        <v>15.3</v>
      </c>
      <c r="I96" s="97" t="s">
        <v>118</v>
      </c>
      <c r="J96" s="90">
        <v>0</v>
      </c>
      <c r="K96" s="97" t="s">
        <v>118</v>
      </c>
      <c r="L96" s="90">
        <v>0</v>
      </c>
      <c r="M96" s="97" t="s">
        <v>118</v>
      </c>
      <c r="N96" s="90">
        <v>0</v>
      </c>
      <c r="O96" s="83" t="s">
        <v>120</v>
      </c>
      <c r="P96" s="90">
        <v>90.9</v>
      </c>
    </row>
    <row r="97" spans="1:16" ht="90" hidden="1" x14ac:dyDescent="0.25">
      <c r="A97" s="93">
        <v>3021</v>
      </c>
      <c r="B97" s="97" t="s">
        <v>153</v>
      </c>
      <c r="C97" s="86" t="s">
        <v>117</v>
      </c>
      <c r="D97" s="90">
        <v>16.100000000000001</v>
      </c>
      <c r="E97" s="97" t="s">
        <v>118</v>
      </c>
      <c r="F97" s="90">
        <v>0</v>
      </c>
      <c r="G97" s="86" t="s">
        <v>119</v>
      </c>
      <c r="H97" s="103">
        <v>36.200000000000003</v>
      </c>
      <c r="I97" s="97" t="s">
        <v>118</v>
      </c>
      <c r="J97" s="90">
        <v>0</v>
      </c>
      <c r="K97" s="86" t="s">
        <v>119</v>
      </c>
      <c r="L97" s="90">
        <v>27</v>
      </c>
      <c r="M97" s="97" t="s">
        <v>118</v>
      </c>
      <c r="N97" s="90">
        <v>0</v>
      </c>
      <c r="O97" s="83" t="s">
        <v>120</v>
      </c>
      <c r="P97" s="90">
        <v>79.3</v>
      </c>
    </row>
    <row r="98" spans="1:16" ht="90" hidden="1" x14ac:dyDescent="0.25">
      <c r="A98" s="93">
        <v>3022</v>
      </c>
      <c r="B98" s="83" t="s">
        <v>164</v>
      </c>
      <c r="C98" s="86" t="s">
        <v>117</v>
      </c>
      <c r="D98" s="90">
        <v>54.8</v>
      </c>
      <c r="E98" s="97" t="s">
        <v>118</v>
      </c>
      <c r="F98" s="90">
        <v>0</v>
      </c>
      <c r="G98" s="86" t="s">
        <v>119</v>
      </c>
      <c r="H98" s="103">
        <v>49.5</v>
      </c>
      <c r="I98" s="97" t="s">
        <v>118</v>
      </c>
      <c r="J98" s="90">
        <v>0</v>
      </c>
      <c r="K98" s="86" t="s">
        <v>119</v>
      </c>
      <c r="L98" s="90">
        <v>32.799999999999997</v>
      </c>
      <c r="M98" s="97" t="s">
        <v>118</v>
      </c>
      <c r="N98" s="90">
        <v>0</v>
      </c>
      <c r="O98" s="83" t="s">
        <v>120</v>
      </c>
      <c r="P98" s="90">
        <v>137.1</v>
      </c>
    </row>
    <row r="99" spans="1:16" ht="90" hidden="1" x14ac:dyDescent="0.25">
      <c r="A99" s="93">
        <v>3023</v>
      </c>
      <c r="B99" s="83" t="s">
        <v>148</v>
      </c>
      <c r="C99" s="86" t="s">
        <v>117</v>
      </c>
      <c r="D99" s="90">
        <v>83.2</v>
      </c>
      <c r="E99" s="97" t="s">
        <v>118</v>
      </c>
      <c r="F99" s="90">
        <v>0</v>
      </c>
      <c r="G99" s="86" t="s">
        <v>119</v>
      </c>
      <c r="H99" s="103">
        <v>193.6</v>
      </c>
      <c r="I99" s="97" t="s">
        <v>118</v>
      </c>
      <c r="J99" s="90">
        <v>0</v>
      </c>
      <c r="K99" s="86" t="s">
        <v>119</v>
      </c>
      <c r="L99" s="90">
        <v>80</v>
      </c>
      <c r="M99" s="97" t="s">
        <v>118</v>
      </c>
      <c r="N99" s="90">
        <v>0</v>
      </c>
      <c r="O99" s="83" t="s">
        <v>120</v>
      </c>
      <c r="P99" s="90">
        <v>356.9</v>
      </c>
    </row>
    <row r="100" spans="1:16" ht="90" hidden="1" x14ac:dyDescent="0.25">
      <c r="A100" s="93">
        <v>3024</v>
      </c>
      <c r="B100" s="83" t="s">
        <v>127</v>
      </c>
      <c r="C100" s="86" t="s">
        <v>117</v>
      </c>
      <c r="D100" s="90">
        <v>88.9</v>
      </c>
      <c r="E100" s="97" t="s">
        <v>118</v>
      </c>
      <c r="F100" s="90">
        <v>0</v>
      </c>
      <c r="G100" s="97" t="s">
        <v>118</v>
      </c>
      <c r="H100" s="102">
        <v>0</v>
      </c>
      <c r="I100" s="97" t="s">
        <v>118</v>
      </c>
      <c r="J100" s="90">
        <v>0</v>
      </c>
      <c r="K100" s="97" t="s">
        <v>118</v>
      </c>
      <c r="L100" s="90">
        <v>0</v>
      </c>
      <c r="M100" s="97" t="s">
        <v>118</v>
      </c>
      <c r="N100" s="90">
        <v>0</v>
      </c>
      <c r="O100" s="83" t="s">
        <v>120</v>
      </c>
      <c r="P100" s="90">
        <v>88.9</v>
      </c>
    </row>
    <row r="101" spans="1:16" ht="105" hidden="1" x14ac:dyDescent="0.25">
      <c r="A101" s="93">
        <v>3025</v>
      </c>
      <c r="B101" s="83" t="s">
        <v>136</v>
      </c>
      <c r="C101" s="97" t="s">
        <v>118</v>
      </c>
      <c r="D101" s="90">
        <v>0</v>
      </c>
      <c r="E101" s="97" t="s">
        <v>118</v>
      </c>
      <c r="F101" s="90">
        <v>0</v>
      </c>
      <c r="G101" s="86" t="s">
        <v>131</v>
      </c>
      <c r="H101" s="102">
        <v>5.9</v>
      </c>
      <c r="I101" s="97" t="s">
        <v>118</v>
      </c>
      <c r="J101" s="90">
        <v>0</v>
      </c>
      <c r="K101" s="86" t="s">
        <v>131</v>
      </c>
      <c r="L101" s="90">
        <v>37.200000000000003</v>
      </c>
      <c r="M101" s="97" t="s">
        <v>118</v>
      </c>
      <c r="N101" s="90">
        <v>0</v>
      </c>
      <c r="O101" s="83" t="s">
        <v>120</v>
      </c>
      <c r="P101" s="90">
        <v>43.1</v>
      </c>
    </row>
    <row r="102" spans="1:16" ht="105" hidden="1" x14ac:dyDescent="0.25">
      <c r="A102" s="93">
        <v>3026</v>
      </c>
      <c r="B102" s="83" t="s">
        <v>132</v>
      </c>
      <c r="C102" s="86" t="s">
        <v>130</v>
      </c>
      <c r="D102" s="90">
        <v>3.1</v>
      </c>
      <c r="E102" s="97" t="s">
        <v>118</v>
      </c>
      <c r="F102" s="90">
        <v>0</v>
      </c>
      <c r="G102" s="86" t="s">
        <v>131</v>
      </c>
      <c r="H102" s="103">
        <v>17.600000000000001</v>
      </c>
      <c r="I102" s="97" t="s">
        <v>118</v>
      </c>
      <c r="J102" s="90">
        <v>0</v>
      </c>
      <c r="K102" s="86" t="s">
        <v>131</v>
      </c>
      <c r="L102" s="90">
        <v>21.4</v>
      </c>
      <c r="M102" s="97" t="s">
        <v>118</v>
      </c>
      <c r="N102" s="90">
        <v>0</v>
      </c>
      <c r="O102" s="83" t="s">
        <v>120</v>
      </c>
      <c r="P102" s="90">
        <v>42.1</v>
      </c>
    </row>
    <row r="103" spans="1:16" ht="90" hidden="1" x14ac:dyDescent="0.25">
      <c r="A103" s="93">
        <v>3027</v>
      </c>
      <c r="B103" s="86" t="s">
        <v>144</v>
      </c>
      <c r="C103" s="86" t="s">
        <v>117</v>
      </c>
      <c r="D103" s="90">
        <v>45.8</v>
      </c>
      <c r="E103" s="97" t="s">
        <v>118</v>
      </c>
      <c r="F103" s="90">
        <v>0</v>
      </c>
      <c r="G103" s="86" t="s">
        <v>119</v>
      </c>
      <c r="H103" s="103">
        <v>75</v>
      </c>
      <c r="I103" s="97" t="s">
        <v>118</v>
      </c>
      <c r="J103" s="90">
        <v>0</v>
      </c>
      <c r="K103" s="86" t="s">
        <v>119</v>
      </c>
      <c r="L103" s="90">
        <v>23.1</v>
      </c>
      <c r="M103" s="97" t="s">
        <v>118</v>
      </c>
      <c r="N103" s="90">
        <v>0</v>
      </c>
      <c r="O103" s="83" t="s">
        <v>120</v>
      </c>
      <c r="P103" s="90">
        <v>144</v>
      </c>
    </row>
    <row r="104" spans="1:16" ht="90" hidden="1" x14ac:dyDescent="0.25">
      <c r="A104" s="98">
        <v>3028</v>
      </c>
      <c r="B104" s="88" t="s">
        <v>165</v>
      </c>
      <c r="C104" s="87" t="s">
        <v>117</v>
      </c>
      <c r="D104" s="91">
        <v>32.200000000000003</v>
      </c>
      <c r="E104" s="99" t="s">
        <v>118</v>
      </c>
      <c r="F104" s="91">
        <v>0</v>
      </c>
      <c r="G104" s="87" t="s">
        <v>119</v>
      </c>
      <c r="H104" s="91">
        <v>72.400000000000006</v>
      </c>
      <c r="I104" s="99" t="s">
        <v>118</v>
      </c>
      <c r="J104" s="91">
        <v>0</v>
      </c>
      <c r="K104" s="87" t="s">
        <v>119</v>
      </c>
      <c r="L104" s="91">
        <v>5.5</v>
      </c>
      <c r="M104" s="99" t="s">
        <v>118</v>
      </c>
      <c r="N104" s="91">
        <v>0</v>
      </c>
      <c r="O104" s="88" t="s">
        <v>120</v>
      </c>
      <c r="P104" s="91">
        <v>110.1</v>
      </c>
    </row>
    <row r="105" spans="1:16" ht="105" hidden="1" x14ac:dyDescent="0.25">
      <c r="A105" s="93">
        <v>3029</v>
      </c>
      <c r="B105" s="83" t="s">
        <v>132</v>
      </c>
      <c r="C105" s="86" t="s">
        <v>130</v>
      </c>
      <c r="D105" s="90">
        <v>6.1</v>
      </c>
      <c r="E105" s="97" t="s">
        <v>118</v>
      </c>
      <c r="F105" s="90">
        <v>0</v>
      </c>
      <c r="G105" s="97" t="s">
        <v>118</v>
      </c>
      <c r="H105" s="90">
        <v>0</v>
      </c>
      <c r="I105" s="97" t="s">
        <v>118</v>
      </c>
      <c r="J105" s="90">
        <v>0</v>
      </c>
      <c r="K105" s="86" t="s">
        <v>131</v>
      </c>
      <c r="L105" s="90">
        <v>25.4</v>
      </c>
      <c r="M105" s="97" t="s">
        <v>118</v>
      </c>
      <c r="N105" s="90">
        <v>0</v>
      </c>
      <c r="O105" s="83" t="s">
        <v>120</v>
      </c>
      <c r="P105" s="90">
        <v>31.5</v>
      </c>
    </row>
    <row r="106" spans="1:16" ht="90" hidden="1" x14ac:dyDescent="0.25">
      <c r="A106" s="93">
        <v>3030</v>
      </c>
      <c r="B106" s="83" t="s">
        <v>165</v>
      </c>
      <c r="C106" s="86" t="s">
        <v>117</v>
      </c>
      <c r="D106" s="90">
        <v>51.7</v>
      </c>
      <c r="E106" s="97" t="s">
        <v>118</v>
      </c>
      <c r="F106" s="90">
        <v>0</v>
      </c>
      <c r="G106" s="86" t="s">
        <v>119</v>
      </c>
      <c r="H106" s="90">
        <v>40.799999999999997</v>
      </c>
      <c r="I106" s="97" t="s">
        <v>118</v>
      </c>
      <c r="J106" s="90">
        <v>0</v>
      </c>
      <c r="K106" s="86" t="s">
        <v>119</v>
      </c>
      <c r="L106" s="90">
        <v>24.7</v>
      </c>
      <c r="M106" s="97" t="s">
        <v>118</v>
      </c>
      <c r="N106" s="90">
        <v>0</v>
      </c>
      <c r="O106" s="83" t="s">
        <v>120</v>
      </c>
      <c r="P106" s="90">
        <v>117.2</v>
      </c>
    </row>
    <row r="107" spans="1:16" ht="90" hidden="1" x14ac:dyDescent="0.25">
      <c r="A107" s="93">
        <v>3031</v>
      </c>
      <c r="B107" s="83" t="s">
        <v>165</v>
      </c>
      <c r="C107" s="86" t="s">
        <v>117</v>
      </c>
      <c r="D107" s="90">
        <v>74.099999999999994</v>
      </c>
      <c r="E107" s="97" t="s">
        <v>118</v>
      </c>
      <c r="F107" s="90">
        <v>0</v>
      </c>
      <c r="G107" s="86" t="s">
        <v>119</v>
      </c>
      <c r="H107" s="90">
        <v>16.399999999999999</v>
      </c>
      <c r="I107" s="97" t="s">
        <v>118</v>
      </c>
      <c r="J107" s="90">
        <v>0</v>
      </c>
      <c r="K107" s="86" t="s">
        <v>119</v>
      </c>
      <c r="L107" s="90">
        <v>19.7</v>
      </c>
      <c r="M107" s="97" t="s">
        <v>118</v>
      </c>
      <c r="N107" s="90">
        <v>0</v>
      </c>
      <c r="O107" s="83" t="s">
        <v>120</v>
      </c>
      <c r="P107" s="90">
        <v>110.1</v>
      </c>
    </row>
    <row r="108" spans="1:16" ht="90" hidden="1" x14ac:dyDescent="0.25">
      <c r="A108" s="93">
        <v>3032</v>
      </c>
      <c r="B108" s="83" t="s">
        <v>165</v>
      </c>
      <c r="C108" s="86" t="s">
        <v>117</v>
      </c>
      <c r="D108" s="90">
        <v>76.3</v>
      </c>
      <c r="E108" s="97" t="s">
        <v>118</v>
      </c>
      <c r="F108" s="90">
        <v>0</v>
      </c>
      <c r="G108" s="86" t="s">
        <v>119</v>
      </c>
      <c r="H108" s="90">
        <v>12.7</v>
      </c>
      <c r="I108" s="97" t="s">
        <v>118</v>
      </c>
      <c r="J108" s="90">
        <v>0</v>
      </c>
      <c r="K108" s="86" t="s">
        <v>119</v>
      </c>
      <c r="L108" s="90">
        <v>25.8</v>
      </c>
      <c r="M108" s="97" t="s">
        <v>118</v>
      </c>
      <c r="N108" s="90">
        <v>0</v>
      </c>
      <c r="O108" s="83" t="s">
        <v>120</v>
      </c>
      <c r="P108" s="90">
        <v>114.8</v>
      </c>
    </row>
    <row r="109" spans="1:16" ht="90" hidden="1" x14ac:dyDescent="0.25">
      <c r="A109" s="93">
        <v>3033</v>
      </c>
      <c r="B109" s="83" t="s">
        <v>128</v>
      </c>
      <c r="C109" s="86" t="s">
        <v>117</v>
      </c>
      <c r="D109" s="90">
        <v>25.7</v>
      </c>
      <c r="E109" s="97" t="s">
        <v>118</v>
      </c>
      <c r="F109" s="90">
        <v>0</v>
      </c>
      <c r="G109" s="97" t="s">
        <v>118</v>
      </c>
      <c r="H109" s="90">
        <v>0</v>
      </c>
      <c r="I109" s="97" t="s">
        <v>118</v>
      </c>
      <c r="J109" s="90">
        <v>0</v>
      </c>
      <c r="K109" s="86" t="s">
        <v>119</v>
      </c>
      <c r="L109" s="90">
        <v>17.2</v>
      </c>
      <c r="M109" s="97" t="s">
        <v>118</v>
      </c>
      <c r="N109" s="90">
        <v>0</v>
      </c>
      <c r="O109" s="83" t="s">
        <v>120</v>
      </c>
      <c r="P109" s="90">
        <v>42.9</v>
      </c>
    </row>
    <row r="110" spans="1:16" ht="90" hidden="1" x14ac:dyDescent="0.25">
      <c r="A110" s="93">
        <v>3034</v>
      </c>
      <c r="B110" s="83" t="s">
        <v>127</v>
      </c>
      <c r="C110" s="86" t="s">
        <v>117</v>
      </c>
      <c r="D110" s="90">
        <v>112.4</v>
      </c>
      <c r="E110" s="97" t="s">
        <v>118</v>
      </c>
      <c r="F110" s="90">
        <v>0</v>
      </c>
      <c r="G110" s="97" t="s">
        <v>118</v>
      </c>
      <c r="H110" s="90">
        <v>0</v>
      </c>
      <c r="I110" s="97" t="s">
        <v>118</v>
      </c>
      <c r="J110" s="90">
        <v>0</v>
      </c>
      <c r="K110" s="97" t="s">
        <v>118</v>
      </c>
      <c r="L110" s="90">
        <v>0</v>
      </c>
      <c r="M110" s="97" t="s">
        <v>118</v>
      </c>
      <c r="N110" s="90">
        <v>0</v>
      </c>
      <c r="O110" s="83" t="s">
        <v>120</v>
      </c>
      <c r="P110" s="90">
        <v>112.4</v>
      </c>
    </row>
    <row r="111" spans="1:16" ht="90" hidden="1" x14ac:dyDescent="0.25">
      <c r="A111" s="93">
        <v>3035</v>
      </c>
      <c r="B111" s="83" t="s">
        <v>165</v>
      </c>
      <c r="C111" s="86" t="s">
        <v>117</v>
      </c>
      <c r="D111" s="90">
        <v>52.2</v>
      </c>
      <c r="E111" s="97" t="s">
        <v>118</v>
      </c>
      <c r="F111" s="90">
        <v>0</v>
      </c>
      <c r="G111" s="86" t="s">
        <v>119</v>
      </c>
      <c r="H111" s="90">
        <v>37</v>
      </c>
      <c r="I111" s="97" t="s">
        <v>118</v>
      </c>
      <c r="J111" s="90">
        <v>0</v>
      </c>
      <c r="K111" s="86" t="s">
        <v>119</v>
      </c>
      <c r="L111" s="90">
        <v>25.9</v>
      </c>
      <c r="M111" s="97" t="s">
        <v>118</v>
      </c>
      <c r="N111" s="90">
        <v>0</v>
      </c>
      <c r="O111" s="83" t="s">
        <v>120</v>
      </c>
      <c r="P111" s="90">
        <v>115.1</v>
      </c>
    </row>
    <row r="112" spans="1:16" ht="90" hidden="1" x14ac:dyDescent="0.25">
      <c r="A112" s="93">
        <v>3036</v>
      </c>
      <c r="B112" s="83" t="s">
        <v>147</v>
      </c>
      <c r="C112" s="86" t="s">
        <v>117</v>
      </c>
      <c r="D112" s="90">
        <v>27.3</v>
      </c>
      <c r="E112" s="97" t="s">
        <v>118</v>
      </c>
      <c r="F112" s="90">
        <v>0</v>
      </c>
      <c r="G112" s="86" t="s">
        <v>119</v>
      </c>
      <c r="H112" s="90">
        <v>63.7</v>
      </c>
      <c r="I112" s="97" t="s">
        <v>118</v>
      </c>
      <c r="J112" s="90">
        <v>0</v>
      </c>
      <c r="K112" s="86" t="s">
        <v>119</v>
      </c>
      <c r="L112" s="90">
        <v>26.9</v>
      </c>
      <c r="M112" s="97" t="s">
        <v>118</v>
      </c>
      <c r="N112" s="90">
        <v>0</v>
      </c>
      <c r="O112" s="83" t="s">
        <v>120</v>
      </c>
      <c r="P112" s="90">
        <v>117.9</v>
      </c>
    </row>
    <row r="113" spans="1:16" ht="90" hidden="1" x14ac:dyDescent="0.25">
      <c r="A113" s="98">
        <v>3037</v>
      </c>
      <c r="B113" s="99" t="s">
        <v>150</v>
      </c>
      <c r="C113" s="87" t="s">
        <v>117</v>
      </c>
      <c r="D113" s="91">
        <v>91.1</v>
      </c>
      <c r="E113" s="99" t="s">
        <v>118</v>
      </c>
      <c r="F113" s="91">
        <v>0</v>
      </c>
      <c r="G113" s="87" t="s">
        <v>119</v>
      </c>
      <c r="H113" s="91">
        <v>143.4</v>
      </c>
      <c r="I113" s="99" t="s">
        <v>118</v>
      </c>
      <c r="J113" s="91">
        <v>0</v>
      </c>
      <c r="K113" s="87" t="s">
        <v>119</v>
      </c>
      <c r="L113" s="91">
        <v>9.6999999999999993</v>
      </c>
      <c r="M113" s="99" t="s">
        <v>118</v>
      </c>
      <c r="N113" s="91">
        <v>0</v>
      </c>
      <c r="O113" s="88" t="s">
        <v>120</v>
      </c>
      <c r="P113" s="91">
        <v>244.2</v>
      </c>
    </row>
    <row r="114" spans="1:16" ht="90" hidden="1" x14ac:dyDescent="0.25">
      <c r="A114" s="98">
        <v>3038</v>
      </c>
      <c r="B114" s="88" t="s">
        <v>166</v>
      </c>
      <c r="C114" s="87" t="s">
        <v>117</v>
      </c>
      <c r="D114" s="91">
        <v>91.2</v>
      </c>
      <c r="E114" s="99" t="s">
        <v>118</v>
      </c>
      <c r="F114" s="91">
        <v>0</v>
      </c>
      <c r="G114" s="87" t="s">
        <v>119</v>
      </c>
      <c r="H114" s="91">
        <v>58.5</v>
      </c>
      <c r="I114" s="99" t="s">
        <v>118</v>
      </c>
      <c r="J114" s="91">
        <v>0</v>
      </c>
      <c r="K114" s="87" t="s">
        <v>119</v>
      </c>
      <c r="L114" s="91">
        <v>109.6</v>
      </c>
      <c r="M114" s="99" t="s">
        <v>118</v>
      </c>
      <c r="N114" s="91">
        <v>0</v>
      </c>
      <c r="O114" s="88" t="s">
        <v>120</v>
      </c>
      <c r="P114" s="91">
        <v>259.60000000000002</v>
      </c>
    </row>
    <row r="115" spans="1:16" ht="90" hidden="1" x14ac:dyDescent="0.25">
      <c r="A115" s="93">
        <v>3039</v>
      </c>
      <c r="B115" s="83" t="s">
        <v>167</v>
      </c>
      <c r="C115" s="86" t="s">
        <v>117</v>
      </c>
      <c r="D115" s="90">
        <v>7.1</v>
      </c>
      <c r="E115" s="97" t="s">
        <v>118</v>
      </c>
      <c r="F115" s="90">
        <v>0</v>
      </c>
      <c r="G115" s="86" t="s">
        <v>119</v>
      </c>
      <c r="H115" s="103">
        <v>34.1</v>
      </c>
      <c r="I115" s="97" t="s">
        <v>118</v>
      </c>
      <c r="J115" s="90">
        <v>0</v>
      </c>
      <c r="K115" s="86" t="s">
        <v>119</v>
      </c>
      <c r="L115" s="90">
        <v>29.5</v>
      </c>
      <c r="M115" s="97" t="s">
        <v>118</v>
      </c>
      <c r="N115" s="90">
        <v>0</v>
      </c>
      <c r="O115" s="83" t="s">
        <v>120</v>
      </c>
      <c r="P115" s="90">
        <v>70.7</v>
      </c>
    </row>
    <row r="116" spans="1:16" ht="90" hidden="1" x14ac:dyDescent="0.25">
      <c r="A116" s="93">
        <v>3040</v>
      </c>
      <c r="B116" s="86" t="s">
        <v>168</v>
      </c>
      <c r="C116" s="86" t="s">
        <v>117</v>
      </c>
      <c r="D116" s="90">
        <v>77.5</v>
      </c>
      <c r="E116" s="97" t="s">
        <v>118</v>
      </c>
      <c r="F116" s="90">
        <v>0</v>
      </c>
      <c r="G116" s="86" t="s">
        <v>119</v>
      </c>
      <c r="H116" s="103">
        <v>55.2</v>
      </c>
      <c r="I116" s="97" t="s">
        <v>118</v>
      </c>
      <c r="J116" s="90">
        <v>0</v>
      </c>
      <c r="K116" s="86" t="s">
        <v>119</v>
      </c>
      <c r="L116" s="90">
        <v>43</v>
      </c>
      <c r="M116" s="97" t="s">
        <v>118</v>
      </c>
      <c r="N116" s="90">
        <v>0</v>
      </c>
      <c r="O116" s="83" t="s">
        <v>120</v>
      </c>
      <c r="P116" s="90">
        <v>175.7</v>
      </c>
    </row>
    <row r="117" spans="1:16" ht="90" hidden="1" x14ac:dyDescent="0.25">
      <c r="A117" s="93">
        <v>3041</v>
      </c>
      <c r="B117" s="97" t="s">
        <v>150</v>
      </c>
      <c r="C117" s="86" t="s">
        <v>117</v>
      </c>
      <c r="D117" s="90">
        <v>205.7</v>
      </c>
      <c r="E117" s="97" t="s">
        <v>118</v>
      </c>
      <c r="F117" s="90">
        <v>0</v>
      </c>
      <c r="G117" s="86" t="s">
        <v>119</v>
      </c>
      <c r="H117" s="103">
        <v>129.6</v>
      </c>
      <c r="I117" s="97" t="s">
        <v>118</v>
      </c>
      <c r="J117" s="90">
        <v>0</v>
      </c>
      <c r="K117" s="86" t="s">
        <v>119</v>
      </c>
      <c r="L117" s="90">
        <v>16.7</v>
      </c>
      <c r="M117" s="97" t="s">
        <v>118</v>
      </c>
      <c r="N117" s="90">
        <v>0</v>
      </c>
      <c r="O117" s="83" t="s">
        <v>120</v>
      </c>
      <c r="P117" s="90">
        <v>352.3</v>
      </c>
    </row>
    <row r="118" spans="1:16" ht="105" hidden="1" x14ac:dyDescent="0.25">
      <c r="A118" s="93">
        <v>3042</v>
      </c>
      <c r="B118" s="83" t="s">
        <v>154</v>
      </c>
      <c r="C118" s="86" t="s">
        <v>130</v>
      </c>
      <c r="D118" s="90">
        <v>15.9</v>
      </c>
      <c r="E118" s="97" t="s">
        <v>118</v>
      </c>
      <c r="F118" s="90">
        <v>0</v>
      </c>
      <c r="G118" s="86" t="s">
        <v>131</v>
      </c>
      <c r="H118" s="103">
        <v>10.5</v>
      </c>
      <c r="I118" s="97" t="s">
        <v>118</v>
      </c>
      <c r="J118" s="90">
        <v>0</v>
      </c>
      <c r="K118" s="86" t="s">
        <v>131</v>
      </c>
      <c r="L118" s="90">
        <v>59.3</v>
      </c>
      <c r="M118" s="97" t="s">
        <v>118</v>
      </c>
      <c r="N118" s="90">
        <v>0</v>
      </c>
      <c r="O118" s="83" t="s">
        <v>120</v>
      </c>
      <c r="P118" s="90">
        <v>86.2</v>
      </c>
    </row>
    <row r="119" spans="1:16" ht="105" hidden="1" x14ac:dyDescent="0.25">
      <c r="A119" s="93">
        <v>3043</v>
      </c>
      <c r="B119" s="83" t="s">
        <v>155</v>
      </c>
      <c r="C119" s="86" t="s">
        <v>130</v>
      </c>
      <c r="D119" s="90">
        <v>39.200000000000003</v>
      </c>
      <c r="E119" s="97" t="s">
        <v>118</v>
      </c>
      <c r="F119" s="90">
        <v>0</v>
      </c>
      <c r="G119" s="86" t="s">
        <v>131</v>
      </c>
      <c r="H119" s="103">
        <v>11.7</v>
      </c>
      <c r="I119" s="97" t="s">
        <v>118</v>
      </c>
      <c r="J119" s="90">
        <v>0</v>
      </c>
      <c r="K119" s="86" t="s">
        <v>131</v>
      </c>
      <c r="L119" s="90">
        <v>28.6</v>
      </c>
      <c r="M119" s="97" t="s">
        <v>118</v>
      </c>
      <c r="N119" s="90">
        <v>0</v>
      </c>
      <c r="O119" s="83" t="s">
        <v>120</v>
      </c>
      <c r="P119" s="90">
        <v>86.7</v>
      </c>
    </row>
    <row r="120" spans="1:16" ht="105" hidden="1" x14ac:dyDescent="0.25">
      <c r="A120" s="93">
        <v>3044</v>
      </c>
      <c r="B120" s="83" t="s">
        <v>132</v>
      </c>
      <c r="C120" s="86" t="s">
        <v>130</v>
      </c>
      <c r="D120" s="90">
        <v>3.1</v>
      </c>
      <c r="E120" s="97" t="s">
        <v>118</v>
      </c>
      <c r="F120" s="90">
        <v>0</v>
      </c>
      <c r="G120" s="86" t="s">
        <v>131</v>
      </c>
      <c r="H120" s="102">
        <v>2.6</v>
      </c>
      <c r="I120" s="97" t="s">
        <v>118</v>
      </c>
      <c r="J120" s="90">
        <v>0</v>
      </c>
      <c r="K120" s="86" t="s">
        <v>131</v>
      </c>
      <c r="L120" s="90">
        <v>26</v>
      </c>
      <c r="M120" s="97" t="s">
        <v>118</v>
      </c>
      <c r="N120" s="90">
        <v>0</v>
      </c>
      <c r="O120" s="83" t="s">
        <v>120</v>
      </c>
      <c r="P120" s="90">
        <v>31.6</v>
      </c>
    </row>
    <row r="121" spans="1:16" ht="105" hidden="1" x14ac:dyDescent="0.25">
      <c r="A121" s="93">
        <v>3045</v>
      </c>
      <c r="B121" s="83" t="s">
        <v>135</v>
      </c>
      <c r="C121" s="86" t="s">
        <v>130</v>
      </c>
      <c r="D121" s="90">
        <v>1</v>
      </c>
      <c r="E121" s="97" t="s">
        <v>118</v>
      </c>
      <c r="F121" s="90">
        <v>0</v>
      </c>
      <c r="G121" s="86" t="s">
        <v>131</v>
      </c>
      <c r="H121" s="102">
        <v>5.9</v>
      </c>
      <c r="I121" s="97" t="s">
        <v>118</v>
      </c>
      <c r="J121" s="90">
        <v>0</v>
      </c>
      <c r="K121" s="86" t="s">
        <v>131</v>
      </c>
      <c r="L121" s="90">
        <v>27.4</v>
      </c>
      <c r="M121" s="97" t="s">
        <v>118</v>
      </c>
      <c r="N121" s="90">
        <v>0</v>
      </c>
      <c r="O121" s="83" t="s">
        <v>120</v>
      </c>
      <c r="P121" s="90">
        <v>34.299999999999997</v>
      </c>
    </row>
    <row r="122" spans="1:16" ht="90" hidden="1" x14ac:dyDescent="0.25">
      <c r="A122" s="93">
        <v>3046</v>
      </c>
      <c r="B122" s="83" t="s">
        <v>128</v>
      </c>
      <c r="C122" s="86" t="s">
        <v>117</v>
      </c>
      <c r="D122" s="90">
        <v>25.7</v>
      </c>
      <c r="E122" s="97" t="s">
        <v>118</v>
      </c>
      <c r="F122" s="90">
        <v>0</v>
      </c>
      <c r="G122" s="97" t="s">
        <v>118</v>
      </c>
      <c r="H122" s="102">
        <v>0</v>
      </c>
      <c r="I122" s="97" t="s">
        <v>118</v>
      </c>
      <c r="J122" s="90">
        <v>0</v>
      </c>
      <c r="K122" s="86" t="s">
        <v>119</v>
      </c>
      <c r="L122" s="90">
        <v>17.2</v>
      </c>
      <c r="M122" s="97" t="s">
        <v>118</v>
      </c>
      <c r="N122" s="90">
        <v>0</v>
      </c>
      <c r="O122" s="83" t="s">
        <v>120</v>
      </c>
      <c r="P122" s="90">
        <v>42.9</v>
      </c>
    </row>
    <row r="123" spans="1:16" ht="90" hidden="1" x14ac:dyDescent="0.25">
      <c r="A123" s="98">
        <v>3047</v>
      </c>
      <c r="B123" s="88" t="s">
        <v>127</v>
      </c>
      <c r="C123" s="87" t="s">
        <v>117</v>
      </c>
      <c r="D123" s="91">
        <v>109.4</v>
      </c>
      <c r="E123" s="99" t="s">
        <v>118</v>
      </c>
      <c r="F123" s="91">
        <v>0</v>
      </c>
      <c r="G123" s="99" t="s">
        <v>118</v>
      </c>
      <c r="H123" s="91">
        <v>0</v>
      </c>
      <c r="I123" s="99" t="s">
        <v>118</v>
      </c>
      <c r="J123" s="91">
        <v>0</v>
      </c>
      <c r="K123" s="99" t="s">
        <v>118</v>
      </c>
      <c r="L123" s="91">
        <v>0</v>
      </c>
      <c r="M123" s="99" t="s">
        <v>118</v>
      </c>
      <c r="N123" s="91">
        <v>0</v>
      </c>
      <c r="O123" s="88" t="s">
        <v>120</v>
      </c>
      <c r="P123" s="91">
        <v>109.4</v>
      </c>
    </row>
    <row r="124" spans="1:16" ht="90" hidden="1" x14ac:dyDescent="0.25">
      <c r="A124" s="93">
        <v>3048</v>
      </c>
      <c r="B124" s="83" t="s">
        <v>122</v>
      </c>
      <c r="C124" s="86" t="s">
        <v>117</v>
      </c>
      <c r="D124" s="90">
        <v>38.1</v>
      </c>
      <c r="E124" s="97" t="s">
        <v>118</v>
      </c>
      <c r="F124" s="90">
        <v>0</v>
      </c>
      <c r="G124" s="86" t="s">
        <v>119</v>
      </c>
      <c r="H124" s="90">
        <v>42.3</v>
      </c>
      <c r="I124" s="97" t="s">
        <v>118</v>
      </c>
      <c r="J124" s="90">
        <v>0</v>
      </c>
      <c r="K124" s="86" t="s">
        <v>119</v>
      </c>
      <c r="L124" s="90">
        <v>92.1</v>
      </c>
      <c r="M124" s="97" t="s">
        <v>118</v>
      </c>
      <c r="N124" s="90">
        <v>0</v>
      </c>
      <c r="O124" s="83" t="s">
        <v>120</v>
      </c>
      <c r="P124" s="90">
        <v>172.5</v>
      </c>
    </row>
    <row r="125" spans="1:16" ht="90" hidden="1" x14ac:dyDescent="0.25">
      <c r="A125" s="93">
        <v>3049</v>
      </c>
      <c r="B125" s="97" t="s">
        <v>153</v>
      </c>
      <c r="C125" s="86" t="s">
        <v>117</v>
      </c>
      <c r="D125" s="90">
        <v>18.7</v>
      </c>
      <c r="E125" s="97" t="s">
        <v>118</v>
      </c>
      <c r="F125" s="90">
        <v>0</v>
      </c>
      <c r="G125" s="86" t="s">
        <v>119</v>
      </c>
      <c r="H125" s="90">
        <v>19.399999999999999</v>
      </c>
      <c r="I125" s="97" t="s">
        <v>118</v>
      </c>
      <c r="J125" s="90">
        <v>0</v>
      </c>
      <c r="K125" s="86" t="s">
        <v>119</v>
      </c>
      <c r="L125" s="90">
        <v>60.8</v>
      </c>
      <c r="M125" s="97" t="s">
        <v>118</v>
      </c>
      <c r="N125" s="90">
        <v>0</v>
      </c>
      <c r="O125" s="83" t="s">
        <v>120</v>
      </c>
      <c r="P125" s="90">
        <v>98.9</v>
      </c>
    </row>
    <row r="126" spans="1:16" ht="90" hidden="1" x14ac:dyDescent="0.25">
      <c r="A126" s="93">
        <v>3050</v>
      </c>
      <c r="B126" s="86" t="s">
        <v>169</v>
      </c>
      <c r="C126" s="86" t="s">
        <v>117</v>
      </c>
      <c r="D126" s="90">
        <v>103.8</v>
      </c>
      <c r="E126" s="97" t="s">
        <v>118</v>
      </c>
      <c r="F126" s="90">
        <v>0</v>
      </c>
      <c r="G126" s="86" t="s">
        <v>119</v>
      </c>
      <c r="H126" s="90">
        <v>42.8</v>
      </c>
      <c r="I126" s="97" t="s">
        <v>118</v>
      </c>
      <c r="J126" s="90">
        <v>0</v>
      </c>
      <c r="K126" s="86" t="s">
        <v>119</v>
      </c>
      <c r="L126" s="90">
        <v>77.099999999999994</v>
      </c>
      <c r="M126" s="97" t="s">
        <v>118</v>
      </c>
      <c r="N126" s="90">
        <v>0</v>
      </c>
      <c r="O126" s="83" t="s">
        <v>120</v>
      </c>
      <c r="P126" s="90">
        <v>223.7</v>
      </c>
    </row>
    <row r="127" spans="1:16" ht="90" hidden="1" x14ac:dyDescent="0.25">
      <c r="A127" s="93">
        <v>3051</v>
      </c>
      <c r="B127" s="83" t="s">
        <v>148</v>
      </c>
      <c r="C127" s="86" t="s">
        <v>117</v>
      </c>
      <c r="D127" s="90">
        <v>107.4</v>
      </c>
      <c r="E127" s="97" t="s">
        <v>118</v>
      </c>
      <c r="F127" s="90">
        <v>0</v>
      </c>
      <c r="G127" s="86" t="s">
        <v>119</v>
      </c>
      <c r="H127" s="90">
        <v>119.6</v>
      </c>
      <c r="I127" s="97" t="s">
        <v>118</v>
      </c>
      <c r="J127" s="90">
        <v>0</v>
      </c>
      <c r="K127" s="86" t="s">
        <v>119</v>
      </c>
      <c r="L127" s="90">
        <v>83.7</v>
      </c>
      <c r="M127" s="97" t="s">
        <v>118</v>
      </c>
      <c r="N127" s="90">
        <v>0</v>
      </c>
      <c r="O127" s="83" t="s">
        <v>120</v>
      </c>
      <c r="P127" s="90">
        <v>310.60000000000002</v>
      </c>
    </row>
    <row r="128" spans="1:16" ht="90" hidden="1" x14ac:dyDescent="0.25">
      <c r="A128" s="93">
        <v>3052</v>
      </c>
      <c r="B128" s="83" t="s">
        <v>127</v>
      </c>
      <c r="C128" s="86" t="s">
        <v>117</v>
      </c>
      <c r="D128" s="90">
        <v>89.1</v>
      </c>
      <c r="E128" s="97" t="s">
        <v>118</v>
      </c>
      <c r="F128" s="90">
        <v>0</v>
      </c>
      <c r="G128" s="97" t="s">
        <v>118</v>
      </c>
      <c r="H128" s="90">
        <v>0</v>
      </c>
      <c r="I128" s="97" t="s">
        <v>118</v>
      </c>
      <c r="J128" s="90">
        <v>0</v>
      </c>
      <c r="K128" s="97" t="s">
        <v>118</v>
      </c>
      <c r="L128" s="90">
        <v>0</v>
      </c>
      <c r="M128" s="97" t="s">
        <v>118</v>
      </c>
      <c r="N128" s="90">
        <v>0</v>
      </c>
      <c r="O128" s="83" t="s">
        <v>120</v>
      </c>
      <c r="P128" s="90">
        <v>89.1</v>
      </c>
    </row>
    <row r="129" spans="1:16" ht="120" hidden="1" x14ac:dyDescent="0.25">
      <c r="A129" s="93">
        <v>3053</v>
      </c>
      <c r="B129" s="83" t="s">
        <v>170</v>
      </c>
      <c r="C129" s="86" t="s">
        <v>117</v>
      </c>
      <c r="D129" s="90">
        <v>98.1</v>
      </c>
      <c r="E129" s="97" t="s">
        <v>118</v>
      </c>
      <c r="F129" s="90">
        <v>0</v>
      </c>
      <c r="G129" s="86" t="s">
        <v>119</v>
      </c>
      <c r="H129" s="90">
        <v>74.900000000000006</v>
      </c>
      <c r="I129" s="86" t="s">
        <v>123</v>
      </c>
      <c r="J129" s="90">
        <v>4</v>
      </c>
      <c r="K129" s="86" t="s">
        <v>119</v>
      </c>
      <c r="L129" s="90">
        <v>50.1</v>
      </c>
      <c r="M129" s="97" t="s">
        <v>118</v>
      </c>
      <c r="N129" s="90">
        <v>0</v>
      </c>
      <c r="O129" s="83" t="s">
        <v>120</v>
      </c>
      <c r="P129" s="90">
        <v>227.1</v>
      </c>
    </row>
    <row r="130" spans="1:16" ht="120" hidden="1" x14ac:dyDescent="0.25">
      <c r="A130" s="93">
        <v>3054</v>
      </c>
      <c r="B130" s="83" t="s">
        <v>171</v>
      </c>
      <c r="C130" s="86" t="s">
        <v>117</v>
      </c>
      <c r="D130" s="90">
        <v>59.4</v>
      </c>
      <c r="E130" s="97" t="s">
        <v>118</v>
      </c>
      <c r="F130" s="90">
        <v>0</v>
      </c>
      <c r="G130" s="86" t="s">
        <v>119</v>
      </c>
      <c r="H130" s="90">
        <v>42.2</v>
      </c>
      <c r="I130" s="86" t="s">
        <v>123</v>
      </c>
      <c r="J130" s="90">
        <v>27.3</v>
      </c>
      <c r="K130" s="86" t="s">
        <v>119</v>
      </c>
      <c r="L130" s="90">
        <v>36.799999999999997</v>
      </c>
      <c r="M130" s="97" t="s">
        <v>118</v>
      </c>
      <c r="N130" s="90">
        <v>0</v>
      </c>
      <c r="O130" s="83" t="s">
        <v>120</v>
      </c>
      <c r="P130" s="90">
        <v>165.6</v>
      </c>
    </row>
    <row r="131" spans="1:16" ht="105" hidden="1" x14ac:dyDescent="0.25">
      <c r="A131" s="93">
        <v>3055</v>
      </c>
      <c r="B131" s="83" t="s">
        <v>172</v>
      </c>
      <c r="C131" s="86" t="s">
        <v>130</v>
      </c>
      <c r="D131" s="90">
        <v>2.9</v>
      </c>
      <c r="E131" s="97" t="s">
        <v>118</v>
      </c>
      <c r="F131" s="90">
        <v>0</v>
      </c>
      <c r="G131" s="86" t="s">
        <v>131</v>
      </c>
      <c r="H131" s="90">
        <v>27</v>
      </c>
      <c r="I131" s="97" t="s">
        <v>118</v>
      </c>
      <c r="J131" s="90">
        <v>0</v>
      </c>
      <c r="K131" s="86" t="s">
        <v>131</v>
      </c>
      <c r="L131" s="90">
        <v>28.5</v>
      </c>
      <c r="M131" s="97" t="s">
        <v>118</v>
      </c>
      <c r="N131" s="90">
        <v>0</v>
      </c>
      <c r="O131" s="83" t="s">
        <v>120</v>
      </c>
      <c r="P131" s="90">
        <v>58.4</v>
      </c>
    </row>
    <row r="132" spans="1:16" ht="105" hidden="1" x14ac:dyDescent="0.25">
      <c r="A132" s="98">
        <v>3057</v>
      </c>
      <c r="B132" s="88" t="s">
        <v>160</v>
      </c>
      <c r="C132" s="87" t="s">
        <v>130</v>
      </c>
      <c r="D132" s="91">
        <v>7.5</v>
      </c>
      <c r="E132" s="99" t="s">
        <v>118</v>
      </c>
      <c r="F132" s="91">
        <v>0</v>
      </c>
      <c r="G132" s="87" t="s">
        <v>131</v>
      </c>
      <c r="H132" s="91">
        <v>17.600000000000001</v>
      </c>
      <c r="I132" s="99" t="s">
        <v>118</v>
      </c>
      <c r="J132" s="91">
        <v>0</v>
      </c>
      <c r="K132" s="87" t="s">
        <v>131</v>
      </c>
      <c r="L132" s="91">
        <v>10.8</v>
      </c>
      <c r="M132" s="99" t="s">
        <v>118</v>
      </c>
      <c r="N132" s="91">
        <v>0</v>
      </c>
      <c r="O132" s="88" t="s">
        <v>120</v>
      </c>
      <c r="P132" s="91">
        <v>37.799999999999997</v>
      </c>
    </row>
    <row r="133" spans="1:16" ht="90" hidden="1" x14ac:dyDescent="0.25">
      <c r="A133" s="98">
        <v>3058</v>
      </c>
      <c r="B133" s="88" t="s">
        <v>173</v>
      </c>
      <c r="C133" s="87" t="s">
        <v>117</v>
      </c>
      <c r="D133" s="91">
        <v>38.5</v>
      </c>
      <c r="E133" s="99" t="s">
        <v>118</v>
      </c>
      <c r="F133" s="91">
        <v>0</v>
      </c>
      <c r="G133" s="87" t="s">
        <v>119</v>
      </c>
      <c r="H133" s="91">
        <v>19.899999999999999</v>
      </c>
      <c r="I133" s="99" t="s">
        <v>118</v>
      </c>
      <c r="J133" s="91">
        <v>0</v>
      </c>
      <c r="K133" s="87" t="s">
        <v>119</v>
      </c>
      <c r="L133" s="91">
        <v>77.7</v>
      </c>
      <c r="M133" s="99" t="s">
        <v>118</v>
      </c>
      <c r="N133" s="91">
        <v>0</v>
      </c>
      <c r="O133" s="88" t="s">
        <v>120</v>
      </c>
      <c r="P133" s="91">
        <v>136.19999999999999</v>
      </c>
    </row>
    <row r="134" spans="1:16" ht="90" hidden="1" x14ac:dyDescent="0.25">
      <c r="A134" s="93">
        <v>3058</v>
      </c>
      <c r="B134" s="83" t="s">
        <v>173</v>
      </c>
      <c r="C134" s="86" t="s">
        <v>117</v>
      </c>
      <c r="D134" s="90">
        <v>38.5</v>
      </c>
      <c r="E134" s="97" t="s">
        <v>118</v>
      </c>
      <c r="F134" s="90">
        <v>0</v>
      </c>
      <c r="G134" s="86" t="s">
        <v>119</v>
      </c>
      <c r="H134" s="90">
        <v>19.899999999999999</v>
      </c>
      <c r="I134" s="97" t="s">
        <v>118</v>
      </c>
      <c r="J134" s="90">
        <v>0</v>
      </c>
      <c r="K134" s="86" t="s">
        <v>119</v>
      </c>
      <c r="L134" s="90">
        <v>77.7</v>
      </c>
      <c r="M134" s="97" t="s">
        <v>118</v>
      </c>
      <c r="N134" s="90">
        <v>0</v>
      </c>
      <c r="O134" s="83" t="s">
        <v>120</v>
      </c>
      <c r="P134" s="90">
        <v>136.19999999999999</v>
      </c>
    </row>
    <row r="135" spans="1:16" ht="120" hidden="1" x14ac:dyDescent="0.25">
      <c r="A135" s="93">
        <v>3059</v>
      </c>
      <c r="B135" s="83" t="s">
        <v>174</v>
      </c>
      <c r="C135" s="86" t="s">
        <v>117</v>
      </c>
      <c r="D135" s="90">
        <v>13.5</v>
      </c>
      <c r="E135" s="97" t="s">
        <v>118</v>
      </c>
      <c r="F135" s="90">
        <v>0</v>
      </c>
      <c r="G135" s="86" t="s">
        <v>119</v>
      </c>
      <c r="H135" s="90">
        <v>13.8</v>
      </c>
      <c r="I135" s="86" t="s">
        <v>123</v>
      </c>
      <c r="J135" s="90">
        <v>18.8</v>
      </c>
      <c r="K135" s="86" t="s">
        <v>119</v>
      </c>
      <c r="L135" s="90">
        <v>6.8</v>
      </c>
      <c r="M135" s="97" t="s">
        <v>118</v>
      </c>
      <c r="N135" s="90">
        <v>0</v>
      </c>
      <c r="O135" s="83" t="s">
        <v>120</v>
      </c>
      <c r="P135" s="90">
        <v>52.9</v>
      </c>
    </row>
    <row r="136" spans="1:16" ht="90" hidden="1" x14ac:dyDescent="0.25">
      <c r="A136" s="93">
        <v>3060</v>
      </c>
      <c r="B136" s="83" t="s">
        <v>175</v>
      </c>
      <c r="C136" s="86" t="s">
        <v>117</v>
      </c>
      <c r="D136" s="90">
        <v>21.1</v>
      </c>
      <c r="E136" s="97" t="s">
        <v>118</v>
      </c>
      <c r="F136" s="90">
        <v>0</v>
      </c>
      <c r="G136" s="86" t="s">
        <v>119</v>
      </c>
      <c r="H136" s="90">
        <v>3.7</v>
      </c>
      <c r="I136" s="97" t="s">
        <v>118</v>
      </c>
      <c r="J136" s="90">
        <v>0</v>
      </c>
      <c r="K136" s="86" t="s">
        <v>119</v>
      </c>
      <c r="L136" s="90">
        <v>19.100000000000001</v>
      </c>
      <c r="M136" s="97" t="s">
        <v>118</v>
      </c>
      <c r="N136" s="90">
        <v>0</v>
      </c>
      <c r="O136" s="83" t="s">
        <v>120</v>
      </c>
      <c r="P136" s="90">
        <v>43.8</v>
      </c>
    </row>
    <row r="137" spans="1:16" ht="90" hidden="1" x14ac:dyDescent="0.25">
      <c r="A137" s="93">
        <v>3061</v>
      </c>
      <c r="B137" s="83" t="s">
        <v>176</v>
      </c>
      <c r="C137" s="86" t="s">
        <v>117</v>
      </c>
      <c r="D137" s="90">
        <v>4.8</v>
      </c>
      <c r="E137" s="97" t="s">
        <v>118</v>
      </c>
      <c r="F137" s="90">
        <v>0</v>
      </c>
      <c r="G137" s="86" t="s">
        <v>119</v>
      </c>
      <c r="H137" s="90">
        <v>25</v>
      </c>
      <c r="I137" s="97" t="s">
        <v>118</v>
      </c>
      <c r="J137" s="90">
        <v>0</v>
      </c>
      <c r="K137" s="86" t="s">
        <v>119</v>
      </c>
      <c r="L137" s="90">
        <v>19.399999999999999</v>
      </c>
      <c r="M137" s="97" t="s">
        <v>118</v>
      </c>
      <c r="N137" s="90">
        <v>0</v>
      </c>
      <c r="O137" s="83" t="s">
        <v>120</v>
      </c>
      <c r="P137" s="90">
        <v>49.2</v>
      </c>
    </row>
    <row r="138" spans="1:16" ht="90" hidden="1" x14ac:dyDescent="0.25">
      <c r="A138" s="93">
        <v>3062</v>
      </c>
      <c r="B138" s="97" t="s">
        <v>177</v>
      </c>
      <c r="C138" s="86" t="s">
        <v>117</v>
      </c>
      <c r="D138" s="90">
        <v>10.8</v>
      </c>
      <c r="E138" s="97" t="s">
        <v>118</v>
      </c>
      <c r="F138" s="90">
        <v>0</v>
      </c>
      <c r="G138" s="86" t="s">
        <v>119</v>
      </c>
      <c r="H138" s="90">
        <v>35.5</v>
      </c>
      <c r="I138" s="97" t="s">
        <v>118</v>
      </c>
      <c r="J138" s="90">
        <v>0</v>
      </c>
      <c r="K138" s="97" t="s">
        <v>118</v>
      </c>
      <c r="L138" s="90">
        <v>0</v>
      </c>
      <c r="M138" s="97" t="s">
        <v>118</v>
      </c>
      <c r="N138" s="90">
        <v>0</v>
      </c>
      <c r="O138" s="83" t="s">
        <v>120</v>
      </c>
      <c r="P138" s="90">
        <v>46.2</v>
      </c>
    </row>
    <row r="139" spans="1:16" ht="90" hidden="1" x14ac:dyDescent="0.25">
      <c r="A139" s="93">
        <v>3063</v>
      </c>
      <c r="B139" s="97" t="s">
        <v>159</v>
      </c>
      <c r="C139" s="86" t="s">
        <v>117</v>
      </c>
      <c r="D139" s="90">
        <v>54.2</v>
      </c>
      <c r="E139" s="97" t="s">
        <v>118</v>
      </c>
      <c r="F139" s="90">
        <v>0</v>
      </c>
      <c r="G139" s="86" t="s">
        <v>119</v>
      </c>
      <c r="H139" s="90">
        <v>63.7</v>
      </c>
      <c r="I139" s="97" t="s">
        <v>118</v>
      </c>
      <c r="J139" s="90">
        <v>0</v>
      </c>
      <c r="K139" s="86" t="s">
        <v>119</v>
      </c>
      <c r="L139" s="90">
        <v>55.6</v>
      </c>
      <c r="M139" s="97" t="s">
        <v>118</v>
      </c>
      <c r="N139" s="90">
        <v>0</v>
      </c>
      <c r="O139" s="83" t="s">
        <v>120</v>
      </c>
      <c r="P139" s="90">
        <v>173.5</v>
      </c>
    </row>
    <row r="140" spans="1:16" ht="105" hidden="1" x14ac:dyDescent="0.25">
      <c r="A140" s="93">
        <v>3064</v>
      </c>
      <c r="B140" s="83" t="s">
        <v>154</v>
      </c>
      <c r="C140" s="86" t="s">
        <v>130</v>
      </c>
      <c r="D140" s="90">
        <v>1.6</v>
      </c>
      <c r="E140" s="97" t="s">
        <v>118</v>
      </c>
      <c r="F140" s="90">
        <v>0</v>
      </c>
      <c r="G140" s="86" t="s">
        <v>131</v>
      </c>
      <c r="H140" s="90">
        <v>29.2</v>
      </c>
      <c r="I140" s="97" t="s">
        <v>118</v>
      </c>
      <c r="J140" s="90">
        <v>0</v>
      </c>
      <c r="K140" s="86" t="s">
        <v>131</v>
      </c>
      <c r="L140" s="90">
        <v>29.6</v>
      </c>
      <c r="M140" s="97" t="s">
        <v>118</v>
      </c>
      <c r="N140" s="90">
        <v>0</v>
      </c>
      <c r="O140" s="83" t="s">
        <v>120</v>
      </c>
      <c r="P140" s="90">
        <v>60.4</v>
      </c>
    </row>
    <row r="141" spans="1:16" ht="105" hidden="1" x14ac:dyDescent="0.25">
      <c r="A141" s="93">
        <v>3065</v>
      </c>
      <c r="B141" s="83" t="s">
        <v>160</v>
      </c>
      <c r="C141" s="86" t="s">
        <v>130</v>
      </c>
      <c r="D141" s="90">
        <v>8.3000000000000007</v>
      </c>
      <c r="E141" s="97" t="s">
        <v>118</v>
      </c>
      <c r="F141" s="90">
        <v>0</v>
      </c>
      <c r="G141" s="97" t="s">
        <v>118</v>
      </c>
      <c r="H141" s="90">
        <v>0</v>
      </c>
      <c r="I141" s="97" t="s">
        <v>118</v>
      </c>
      <c r="J141" s="90">
        <v>0</v>
      </c>
      <c r="K141" s="86" t="s">
        <v>131</v>
      </c>
      <c r="L141" s="90">
        <v>6.3</v>
      </c>
      <c r="M141" s="97" t="s">
        <v>118</v>
      </c>
      <c r="N141" s="90">
        <v>0</v>
      </c>
      <c r="O141" s="83" t="s">
        <v>120</v>
      </c>
      <c r="P141" s="90">
        <v>21.1</v>
      </c>
    </row>
    <row r="142" spans="1:16" ht="120" hidden="1" x14ac:dyDescent="0.25">
      <c r="A142" s="98">
        <v>3066</v>
      </c>
      <c r="B142" s="88" t="s">
        <v>148</v>
      </c>
      <c r="C142" s="87" t="s">
        <v>117</v>
      </c>
      <c r="D142" s="91">
        <v>25.5</v>
      </c>
      <c r="E142" s="99" t="s">
        <v>118</v>
      </c>
      <c r="F142" s="91">
        <v>0</v>
      </c>
      <c r="G142" s="87" t="s">
        <v>119</v>
      </c>
      <c r="H142" s="91">
        <v>121.4</v>
      </c>
      <c r="I142" s="87" t="s">
        <v>123</v>
      </c>
      <c r="J142" s="91">
        <v>21.5</v>
      </c>
      <c r="K142" s="87" t="s">
        <v>119</v>
      </c>
      <c r="L142" s="91">
        <v>13.7</v>
      </c>
      <c r="M142" s="99" t="s">
        <v>118</v>
      </c>
      <c r="N142" s="91">
        <v>0</v>
      </c>
      <c r="O142" s="88" t="s">
        <v>120</v>
      </c>
      <c r="P142" s="91">
        <v>182.1</v>
      </c>
    </row>
    <row r="143" spans="1:16" ht="90" hidden="1" x14ac:dyDescent="0.25">
      <c r="A143" s="98">
        <v>3067</v>
      </c>
      <c r="B143" s="88" t="s">
        <v>161</v>
      </c>
      <c r="C143" s="87" t="s">
        <v>117</v>
      </c>
      <c r="D143" s="91">
        <v>32.9</v>
      </c>
      <c r="E143" s="99" t="s">
        <v>118</v>
      </c>
      <c r="F143" s="91">
        <v>0</v>
      </c>
      <c r="G143" s="87" t="s">
        <v>119</v>
      </c>
      <c r="H143" s="91">
        <v>14.6</v>
      </c>
      <c r="I143" s="99" t="s">
        <v>118</v>
      </c>
      <c r="J143" s="91">
        <v>0</v>
      </c>
      <c r="K143" s="87" t="s">
        <v>119</v>
      </c>
      <c r="L143" s="91">
        <v>8.8000000000000007</v>
      </c>
      <c r="M143" s="99" t="s">
        <v>118</v>
      </c>
      <c r="N143" s="91">
        <v>0</v>
      </c>
      <c r="O143" s="88" t="s">
        <v>120</v>
      </c>
      <c r="P143" s="91">
        <v>56.2</v>
      </c>
    </row>
  </sheetData>
  <mergeCells count="11">
    <mergeCell ref="M3:N3"/>
    <mergeCell ref="O3:P3"/>
    <mergeCell ref="A1:P1"/>
    <mergeCell ref="A2:A4"/>
    <mergeCell ref="B2:B4"/>
    <mergeCell ref="C2:P2"/>
    <mergeCell ref="C3:D3"/>
    <mergeCell ref="E3:F3"/>
    <mergeCell ref="G3:H3"/>
    <mergeCell ref="I3:J3"/>
    <mergeCell ref="K3:L3"/>
  </mergeCell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7"/>
  <sheetViews>
    <sheetView zoomScale="70" zoomScaleNormal="70" workbookViewId="0">
      <selection sqref="A1:E12"/>
    </sheetView>
  </sheetViews>
  <sheetFormatPr defaultRowHeight="12.75" x14ac:dyDescent="0.2"/>
  <cols>
    <col min="1" max="1" width="8.85546875" style="108" customWidth="1"/>
    <col min="2" max="2" width="11.85546875" style="108" customWidth="1"/>
    <col min="3" max="3" width="12.5703125" style="108" customWidth="1"/>
    <col min="4" max="4" width="15" style="108" customWidth="1"/>
    <col min="5" max="5" width="10.5703125" style="108" customWidth="1"/>
    <col min="6" max="16384" width="9.140625" style="108"/>
  </cols>
  <sheetData>
    <row r="1" spans="1:5" x14ac:dyDescent="0.2">
      <c r="A1" s="142" t="s">
        <v>20</v>
      </c>
      <c r="B1" s="142"/>
      <c r="C1" s="142"/>
      <c r="D1" s="142"/>
      <c r="E1" s="142"/>
    </row>
    <row r="2" spans="1:5" x14ac:dyDescent="0.2">
      <c r="A2" s="140" t="s">
        <v>35</v>
      </c>
      <c r="B2" s="140"/>
      <c r="C2" s="140"/>
      <c r="D2" s="140"/>
      <c r="E2" s="140"/>
    </row>
    <row r="3" spans="1:5" ht="38.25" x14ac:dyDescent="0.2">
      <c r="A3" s="107"/>
      <c r="B3" s="30"/>
      <c r="C3" s="27" t="s">
        <v>22</v>
      </c>
      <c r="D3" s="106" t="s">
        <v>23</v>
      </c>
      <c r="E3" s="107" t="s">
        <v>31</v>
      </c>
    </row>
    <row r="4" spans="1:5" x14ac:dyDescent="0.2">
      <c r="A4" s="107" t="s">
        <v>0</v>
      </c>
      <c r="B4" s="28" t="s">
        <v>19</v>
      </c>
      <c r="C4" s="10" t="s">
        <v>21</v>
      </c>
      <c r="D4" s="10" t="s">
        <v>21</v>
      </c>
      <c r="E4" s="107"/>
    </row>
    <row r="5" spans="1:5" x14ac:dyDescent="0.2">
      <c r="A5" s="109">
        <v>1</v>
      </c>
      <c r="B5" s="109">
        <v>3.0009999999999999</v>
      </c>
      <c r="C5" s="109">
        <v>67.599999999999994</v>
      </c>
      <c r="D5" s="109">
        <v>55.5</v>
      </c>
      <c r="E5" s="109">
        <v>123.1</v>
      </c>
    </row>
    <row r="6" spans="1:5" x14ac:dyDescent="0.2">
      <c r="A6" s="109">
        <v>2</v>
      </c>
      <c r="B6" s="109">
        <v>3.0019999999999998</v>
      </c>
      <c r="C6" s="109">
        <v>50.1</v>
      </c>
      <c r="D6" s="109">
        <v>58.2</v>
      </c>
      <c r="E6" s="109">
        <v>108.30000000000001</v>
      </c>
    </row>
    <row r="7" spans="1:5" x14ac:dyDescent="0.2">
      <c r="A7" s="109">
        <v>3</v>
      </c>
      <c r="B7" s="109">
        <v>3.0030000000000001</v>
      </c>
      <c r="C7" s="109">
        <v>62.4</v>
      </c>
      <c r="D7" s="109">
        <v>71.900000000000006</v>
      </c>
      <c r="E7" s="109">
        <v>134.30000000000001</v>
      </c>
    </row>
    <row r="8" spans="1:5" x14ac:dyDescent="0.2">
      <c r="A8" s="109">
        <v>4</v>
      </c>
      <c r="B8" s="109">
        <v>3.004</v>
      </c>
      <c r="C8" s="109">
        <v>185.1</v>
      </c>
      <c r="D8" s="109">
        <v>162.9</v>
      </c>
      <c r="E8" s="109">
        <v>348</v>
      </c>
    </row>
    <row r="9" spans="1:5" x14ac:dyDescent="0.2">
      <c r="A9" s="109">
        <v>5</v>
      </c>
      <c r="B9" s="109">
        <v>3.0070000000000001</v>
      </c>
      <c r="C9" s="110">
        <v>20.8</v>
      </c>
      <c r="D9" s="110">
        <v>11.299999999999999</v>
      </c>
      <c r="E9" s="109">
        <v>32.1</v>
      </c>
    </row>
    <row r="10" spans="1:5" x14ac:dyDescent="0.2">
      <c r="A10" s="109">
        <v>6</v>
      </c>
      <c r="B10" s="125">
        <v>3.01</v>
      </c>
      <c r="C10" s="110">
        <v>38.9</v>
      </c>
      <c r="D10" s="110">
        <v>115.1</v>
      </c>
      <c r="E10" s="109">
        <v>154</v>
      </c>
    </row>
    <row r="11" spans="1:5" x14ac:dyDescent="0.2">
      <c r="A11" s="109">
        <v>7</v>
      </c>
      <c r="B11" s="109">
        <v>3.0110000000000001</v>
      </c>
      <c r="C11" s="110">
        <v>37.700000000000003</v>
      </c>
      <c r="D11" s="110">
        <v>97.6</v>
      </c>
      <c r="E11" s="109">
        <v>135.30000000000001</v>
      </c>
    </row>
    <row r="12" spans="1:5" x14ac:dyDescent="0.2">
      <c r="A12" s="109">
        <v>8</v>
      </c>
      <c r="B12" s="109">
        <v>3.012</v>
      </c>
      <c r="C12" s="110">
        <v>149.79999999999998</v>
      </c>
      <c r="D12" s="110">
        <v>189.5</v>
      </c>
      <c r="E12" s="109">
        <v>339.29999999999995</v>
      </c>
    </row>
    <row r="13" spans="1:5" x14ac:dyDescent="0.2">
      <c r="A13" s="109">
        <v>9</v>
      </c>
      <c r="B13" s="109">
        <v>3.0129999999999999</v>
      </c>
      <c r="C13" s="110">
        <v>30.5</v>
      </c>
      <c r="D13" s="110">
        <v>79.300000000000011</v>
      </c>
      <c r="E13" s="109">
        <v>109.80000000000001</v>
      </c>
    </row>
    <row r="14" spans="1:5" x14ac:dyDescent="0.2">
      <c r="A14" s="109">
        <v>10</v>
      </c>
      <c r="B14" s="109">
        <v>3.0139999999999998</v>
      </c>
      <c r="C14" s="110">
        <v>50</v>
      </c>
      <c r="D14" s="110">
        <v>57.7</v>
      </c>
      <c r="E14" s="109">
        <v>107.7</v>
      </c>
    </row>
    <row r="15" spans="1:5" x14ac:dyDescent="0.2">
      <c r="A15" s="109">
        <v>11</v>
      </c>
      <c r="B15" s="109">
        <v>3.0670000000000002</v>
      </c>
      <c r="C15" s="110">
        <v>27</v>
      </c>
      <c r="D15" s="110">
        <v>19.5</v>
      </c>
      <c r="E15" s="109">
        <v>46.5</v>
      </c>
    </row>
    <row r="16" spans="1:5" x14ac:dyDescent="0.2">
      <c r="A16" s="109"/>
      <c r="B16" s="109" t="s">
        <v>208</v>
      </c>
      <c r="C16" s="109">
        <f>SUM(C6:C15)</f>
        <v>652.29999999999995</v>
      </c>
      <c r="D16" s="109">
        <f t="shared" ref="D16:E16" si="0">SUM(D6:D15)</f>
        <v>863</v>
      </c>
      <c r="E16" s="109">
        <f t="shared" si="0"/>
        <v>1515.3</v>
      </c>
    </row>
    <row r="18" spans="1:5" ht="12.75" customHeight="1" x14ac:dyDescent="0.2">
      <c r="A18" s="142" t="s">
        <v>20</v>
      </c>
      <c r="B18" s="142"/>
      <c r="C18" s="142"/>
      <c r="D18" s="142"/>
      <c r="E18" s="142"/>
    </row>
    <row r="19" spans="1:5" ht="12.75" customHeight="1" x14ac:dyDescent="0.2">
      <c r="A19" s="140" t="s">
        <v>213</v>
      </c>
      <c r="B19" s="140"/>
      <c r="C19" s="140"/>
      <c r="D19" s="140"/>
      <c r="E19" s="140"/>
    </row>
    <row r="20" spans="1:5" ht="38.25" x14ac:dyDescent="0.2">
      <c r="A20" s="107"/>
      <c r="B20" s="30"/>
      <c r="C20" s="27" t="s">
        <v>22</v>
      </c>
      <c r="D20" s="106" t="s">
        <v>23</v>
      </c>
      <c r="E20" s="107" t="s">
        <v>31</v>
      </c>
    </row>
    <row r="21" spans="1:5" x14ac:dyDescent="0.2">
      <c r="A21" s="107" t="s">
        <v>0</v>
      </c>
      <c r="B21" s="28" t="s">
        <v>19</v>
      </c>
      <c r="C21" s="10" t="s">
        <v>21</v>
      </c>
      <c r="D21" s="10" t="s">
        <v>21</v>
      </c>
      <c r="E21" s="107"/>
    </row>
    <row r="22" spans="1:5" x14ac:dyDescent="0.2">
      <c r="A22" s="111">
        <v>2</v>
      </c>
      <c r="B22" s="111">
        <v>3.0089999999999999</v>
      </c>
      <c r="C22" s="123">
        <v>10.1</v>
      </c>
      <c r="D22" s="123">
        <v>77</v>
      </c>
      <c r="E22" s="111">
        <v>87.1</v>
      </c>
    </row>
    <row r="23" spans="1:5" x14ac:dyDescent="0.2">
      <c r="A23" s="111">
        <v>3</v>
      </c>
      <c r="B23" s="111">
        <v>3.0150000000000001</v>
      </c>
      <c r="C23" s="123">
        <v>21.3</v>
      </c>
      <c r="D23" s="123">
        <v>48.3</v>
      </c>
      <c r="E23" s="111">
        <v>69.599999999999994</v>
      </c>
    </row>
    <row r="24" spans="1:5" x14ac:dyDescent="0.2">
      <c r="A24" s="111">
        <v>4</v>
      </c>
      <c r="B24" s="111">
        <v>3.0169999999999999</v>
      </c>
      <c r="C24" s="123">
        <v>18.100000000000001</v>
      </c>
      <c r="D24" s="123">
        <v>24.700000000000003</v>
      </c>
      <c r="E24" s="111">
        <v>42.800000000000004</v>
      </c>
    </row>
    <row r="25" spans="1:5" x14ac:dyDescent="0.2">
      <c r="A25" s="111">
        <v>5</v>
      </c>
      <c r="B25" s="111">
        <v>3.0179999999999998</v>
      </c>
      <c r="C25" s="123">
        <v>7.1</v>
      </c>
      <c r="D25" s="123">
        <v>22.400000000000002</v>
      </c>
      <c r="E25" s="111">
        <v>29.5</v>
      </c>
    </row>
    <row r="26" spans="1:5" x14ac:dyDescent="0.2">
      <c r="A26" s="111">
        <v>6</v>
      </c>
      <c r="B26" s="111">
        <v>3.0289999999999999</v>
      </c>
      <c r="C26" s="123">
        <v>5.9</v>
      </c>
      <c r="D26" s="123">
        <v>21.5</v>
      </c>
      <c r="E26" s="111">
        <v>27.4</v>
      </c>
    </row>
    <row r="27" spans="1:5" x14ac:dyDescent="0.2">
      <c r="A27" s="111"/>
      <c r="B27" s="111" t="s">
        <v>208</v>
      </c>
      <c r="C27" s="123">
        <f>SUM(C21:C26)</f>
        <v>62.5</v>
      </c>
      <c r="D27" s="123">
        <f t="shared" ref="D27:E27" si="1">SUM(D21:D26)</f>
        <v>193.9</v>
      </c>
      <c r="E27" s="123">
        <f t="shared" si="1"/>
        <v>256.39999999999998</v>
      </c>
    </row>
  </sheetData>
  <mergeCells count="4">
    <mergeCell ref="A1:E1"/>
    <mergeCell ref="A2:E2"/>
    <mergeCell ref="A18:E18"/>
    <mergeCell ref="A19:E19"/>
  </mergeCells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27" sqref="I2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ВедомостьОбщая</vt:lpstr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  <vt:lpstr>ВОР ч1э3</vt:lpstr>
      <vt:lpstr>Спец7с3э</vt:lpstr>
      <vt:lpstr>Спец6с3э</vt:lpstr>
      <vt:lpstr>Спец5с3э</vt:lpstr>
      <vt:lpstr>Спец4с3э</vt:lpstr>
      <vt:lpstr>Лист2</vt:lpstr>
      <vt:lpstr>2вор</vt:lpstr>
      <vt:lpstr>2пом</vt:lpstr>
      <vt:lpstr>2расчет</vt:lpstr>
      <vt:lpstr>3вор1.2с</vt:lpstr>
      <vt:lpstr>Table 1</vt:lpstr>
      <vt:lpstr>3пом</vt:lpstr>
      <vt:lpstr>3расчет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2025-12-07T18:37:13Z</dcterms:modified>
</cp:coreProperties>
</file>