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МирзаяновИИ\Documents\projects\school_2\"/>
    </mc:Choice>
  </mc:AlternateContent>
  <bookViews>
    <workbookView xWindow="480" yWindow="30" windowWidth="19155" windowHeight="8520" tabRatio="822" firstSheet="5" activeTab="12"/>
  </bookViews>
  <sheets>
    <sheet name="ВОР" sheetId="1" r:id="rId1"/>
    <sheet name="Специф." sheetId="2" r:id="rId2"/>
    <sheet name="ВОР 6с" sheetId="4" r:id="rId3"/>
    <sheet name="спец 6с" sheetId="3" r:id="rId4"/>
    <sheet name="ВОР 5с" sheetId="5" r:id="rId5"/>
    <sheet name="спец 5с" sheetId="6" r:id="rId6"/>
    <sheet name="ВОР 4с" sheetId="8" r:id="rId7"/>
    <sheet name="спец 4с" sheetId="9" r:id="rId8"/>
    <sheet name="ВОР 3э1ч" sheetId="10" r:id="rId9"/>
    <sheet name="Спец7с3э" sheetId="11" r:id="rId10"/>
    <sheet name="Спец6с3э" sheetId="12" r:id="rId11"/>
    <sheet name="Спец5с3э" sheetId="13" r:id="rId12"/>
    <sheet name="Спец4с3э" sheetId="14" r:id="rId13"/>
  </sheets>
  <calcPr calcId="152511"/>
</workbook>
</file>

<file path=xl/calcChain.xml><?xml version="1.0" encoding="utf-8"?>
<calcChain xmlns="http://schemas.openxmlformats.org/spreadsheetml/2006/main">
  <c r="E10" i="10" l="1"/>
  <c r="E6" i="10"/>
  <c r="E3" i="10"/>
  <c r="E14" i="10"/>
  <c r="E13" i="14"/>
  <c r="E11" i="10" l="1"/>
  <c r="E9" i="10"/>
  <c r="E5" i="10"/>
  <c r="E4" i="10"/>
  <c r="E15" i="14"/>
  <c r="E14" i="14"/>
  <c r="D16" i="14"/>
  <c r="C16" i="14"/>
  <c r="E12" i="14"/>
  <c r="E11" i="14"/>
  <c r="E10" i="14"/>
  <c r="E9" i="14"/>
  <c r="E8" i="14"/>
  <c r="E7" i="14"/>
  <c r="E6" i="14"/>
  <c r="E5" i="14"/>
  <c r="D7" i="13"/>
  <c r="C7" i="13"/>
  <c r="E6" i="13"/>
  <c r="E5" i="13"/>
  <c r="E7" i="13" s="1"/>
  <c r="D14" i="12"/>
  <c r="C14" i="12"/>
  <c r="E13" i="12"/>
  <c r="E12" i="12"/>
  <c r="E11" i="12"/>
  <c r="E10" i="12"/>
  <c r="E9" i="12"/>
  <c r="E8" i="12"/>
  <c r="E7" i="12"/>
  <c r="E6" i="12"/>
  <c r="E5" i="12"/>
  <c r="E14" i="11"/>
  <c r="E15" i="11"/>
  <c r="D16" i="11"/>
  <c r="C16" i="11"/>
  <c r="E13" i="11"/>
  <c r="E12" i="11"/>
  <c r="E11" i="11"/>
  <c r="E10" i="11"/>
  <c r="E9" i="11"/>
  <c r="E8" i="11"/>
  <c r="E7" i="11"/>
  <c r="E6" i="11"/>
  <c r="E5" i="11"/>
  <c r="E16" i="11" l="1"/>
  <c r="E13" i="10"/>
  <c r="E12" i="10"/>
  <c r="E7" i="10"/>
  <c r="E18" i="10"/>
  <c r="E8" i="10"/>
  <c r="E16" i="14"/>
  <c r="E14" i="12"/>
  <c r="E14" i="8"/>
  <c r="E11" i="9"/>
  <c r="E8" i="9"/>
  <c r="E12" i="9"/>
  <c r="E13" i="9"/>
  <c r="C14" i="9"/>
  <c r="E5" i="8"/>
  <c r="E4" i="8"/>
  <c r="E20" i="10" l="1"/>
  <c r="E19" i="10"/>
  <c r="E5" i="9"/>
  <c r="E6" i="8"/>
  <c r="E8" i="8" s="1"/>
  <c r="D14" i="9"/>
  <c r="E10" i="8" s="1"/>
  <c r="E13" i="8" s="1"/>
  <c r="E10" i="9"/>
  <c r="E7" i="9"/>
  <c r="E9" i="9"/>
  <c r="E6" i="9"/>
  <c r="E5" i="1"/>
  <c r="E4" i="1"/>
  <c r="E12" i="8" l="1"/>
  <c r="E9" i="8"/>
  <c r="E14" i="9"/>
  <c r="E11" i="8"/>
  <c r="E7" i="8"/>
  <c r="E18" i="8"/>
  <c r="E20" i="8" s="1"/>
  <c r="E10" i="5"/>
  <c r="E11" i="5" s="1"/>
  <c r="E6" i="5"/>
  <c r="E8" i="5" s="1"/>
  <c r="E5" i="5"/>
  <c r="E4" i="5"/>
  <c r="D8" i="6"/>
  <c r="C8" i="6"/>
  <c r="E7" i="6"/>
  <c r="E6" i="6"/>
  <c r="E5" i="6"/>
  <c r="E19" i="8" l="1"/>
  <c r="E9" i="5"/>
  <c r="E12" i="5"/>
  <c r="E13" i="5"/>
  <c r="E18" i="5"/>
  <c r="E7" i="5"/>
  <c r="E8" i="6"/>
  <c r="E11" i="4"/>
  <c r="E9" i="4"/>
  <c r="E20" i="5" l="1"/>
  <c r="E19" i="5"/>
  <c r="E5" i="4"/>
  <c r="E4" i="4"/>
  <c r="C13" i="3" l="1"/>
  <c r="E6" i="4" s="1"/>
  <c r="E8" i="4" s="1"/>
  <c r="E11" i="3"/>
  <c r="E9" i="3"/>
  <c r="E8" i="3"/>
  <c r="E7" i="4" l="1"/>
  <c r="E12" i="3"/>
  <c r="E7" i="3"/>
  <c r="D13" i="3"/>
  <c r="E10" i="4" s="1"/>
  <c r="E6" i="3"/>
  <c r="E10" i="3"/>
  <c r="E5" i="3"/>
  <c r="E18" i="1"/>
  <c r="E18" i="4" l="1"/>
  <c r="E13" i="4"/>
  <c r="E12" i="4"/>
  <c r="E13" i="3"/>
  <c r="E19" i="1"/>
  <c r="E20" i="1"/>
  <c r="E12" i="1"/>
  <c r="E8" i="1"/>
  <c r="E9" i="1"/>
  <c r="E7" i="1"/>
  <c r="C12" i="2"/>
  <c r="D12" i="2"/>
  <c r="E6" i="2"/>
  <c r="E7" i="2"/>
  <c r="E8" i="2"/>
  <c r="E9" i="2"/>
  <c r="E10" i="2"/>
  <c r="E11" i="2"/>
  <c r="E5" i="2"/>
  <c r="E19" i="4" l="1"/>
  <c r="E20" i="4"/>
  <c r="E11" i="1"/>
  <c r="E13" i="1"/>
  <c r="E12" i="2"/>
</calcChain>
</file>

<file path=xl/sharedStrings.xml><?xml version="1.0" encoding="utf-8"?>
<sst xmlns="http://schemas.openxmlformats.org/spreadsheetml/2006/main" count="428" uniqueCount="102">
  <si>
    <t>№ п.п.</t>
  </si>
  <si>
    <t>Наименование</t>
  </si>
  <si>
    <t>Ед. изм.</t>
  </si>
  <si>
    <t>Коэф. расхода</t>
  </si>
  <si>
    <t>Объем</t>
  </si>
  <si>
    <t>м²</t>
  </si>
  <si>
    <t>кг</t>
  </si>
  <si>
    <t>пог. м</t>
  </si>
  <si>
    <t>Грунтовка БЕТОН-КОНТАКТ</t>
  </si>
  <si>
    <t>1.2</t>
  </si>
  <si>
    <t>Грунтовка универсальный ЛАСТИМИН_ / LP-51 А</t>
  </si>
  <si>
    <t>2</t>
  </si>
  <si>
    <t>Профиль углозащитный оцинкованный 31х31 мм 0,5 мм</t>
  </si>
  <si>
    <t>Профиль маячковый_/ПМ6</t>
  </si>
  <si>
    <t>2.1</t>
  </si>
  <si>
    <t>2.2</t>
  </si>
  <si>
    <t>Штукатурка стен сухими смесями с установкой маяков с предварительной огрунтовкой / толщ. от 26,5 до 31 мм (Штукатурка  по газобетонному блоку и ПГП)</t>
  </si>
  <si>
    <t>Штукатурка гипсовая</t>
  </si>
  <si>
    <t>2.3</t>
  </si>
  <si>
    <t>1.3</t>
  </si>
  <si>
    <t>Помещения:</t>
  </si>
  <si>
    <t>Спецификация выполненных работ</t>
  </si>
  <si>
    <t>Объем, м²</t>
  </si>
  <si>
    <t>по ж/б поверхностям</t>
  </si>
  <si>
    <t xml:space="preserve"> по газобетонному блоку и ПГП</t>
  </si>
  <si>
    <t>2.057</t>
  </si>
  <si>
    <t>2.058</t>
  </si>
  <si>
    <t>2.060</t>
  </si>
  <si>
    <t>2.061</t>
  </si>
  <si>
    <t>2.062</t>
  </si>
  <si>
    <t>2.064</t>
  </si>
  <si>
    <t>2.066</t>
  </si>
  <si>
    <t>Итог</t>
  </si>
  <si>
    <t>Шпатлевка гипсовая_ / белая</t>
  </si>
  <si>
    <t>Выравнивание стен с предварительной огрунтовкой / по оштукатуренной поверхности / толщ. 2 мм (Шпаклевка базовая)</t>
  </si>
  <si>
    <t>Уголок малярный</t>
  </si>
  <si>
    <t>Ведомость работ и используемых материалов (Штукатурка)</t>
  </si>
  <si>
    <t>Штукатурка стен  и базовая шпаклевка</t>
  </si>
  <si>
    <t>сумма:</t>
  </si>
  <si>
    <t>Ведомость работ и используемых материалов (Шпаклевка базовая)</t>
  </si>
  <si>
    <t>Штукатурка стен сухими смесями с установкой маяков с предварительной огрунтовкой / толщ. от 26,5 до 31 мм (Штукатурка по ж/б поверхностям)</t>
  </si>
  <si>
    <t>2.4</t>
  </si>
  <si>
    <t>2.048</t>
  </si>
  <si>
    <t>2.049</t>
  </si>
  <si>
    <t>2.050</t>
  </si>
  <si>
    <t>2.051</t>
  </si>
  <si>
    <t>2.052</t>
  </si>
  <si>
    <t>2.053</t>
  </si>
  <si>
    <t>2.055</t>
  </si>
  <si>
    <t>2.054-2.069</t>
  </si>
  <si>
    <t>Оклейка швов сопряжения бетонных и других поверхностей стен, перегородок (газобетон, ПГП, панели АКОТЕК и др.) стеклохолстом</t>
  </si>
  <si>
    <t>Лента армирующая ( серпянка)_/150мм</t>
  </si>
  <si>
    <t>1</t>
  </si>
  <si>
    <t>3</t>
  </si>
  <si>
    <t>3.1</t>
  </si>
  <si>
    <t>3.2</t>
  </si>
  <si>
    <t>3.3</t>
  </si>
  <si>
    <t>3.4</t>
  </si>
  <si>
    <t>2.045</t>
  </si>
  <si>
    <t>2.046</t>
  </si>
  <si>
    <t>2.047</t>
  </si>
  <si>
    <t>2.036</t>
  </si>
  <si>
    <t>2.038</t>
  </si>
  <si>
    <t>2.039</t>
  </si>
  <si>
    <t>2.040</t>
  </si>
  <si>
    <t>2.041</t>
  </si>
  <si>
    <t>2.042</t>
  </si>
  <si>
    <t>2.071</t>
  </si>
  <si>
    <t>2.043</t>
  </si>
  <si>
    <t>3.050</t>
  </si>
  <si>
    <t>3.051</t>
  </si>
  <si>
    <t>3.054</t>
  </si>
  <si>
    <t>3.058</t>
  </si>
  <si>
    <t>3.061</t>
  </si>
  <si>
    <t>3.062</t>
  </si>
  <si>
    <t>3.053</t>
  </si>
  <si>
    <t>3.059</t>
  </si>
  <si>
    <t>3.049</t>
  </si>
  <si>
    <t>3.060</t>
  </si>
  <si>
    <t>3.005</t>
  </si>
  <si>
    <t>3.046</t>
  </si>
  <si>
    <t>3.043</t>
  </si>
  <si>
    <t>3.039</t>
  </si>
  <si>
    <t>3.041</t>
  </si>
  <si>
    <t>3.044</t>
  </si>
  <si>
    <t>3.045</t>
  </si>
  <si>
    <t>3.038</t>
  </si>
  <si>
    <t>3.040</t>
  </si>
  <si>
    <t>3.042</t>
  </si>
  <si>
    <t>3.037</t>
  </si>
  <si>
    <t>3.036</t>
  </si>
  <si>
    <t>3.027</t>
  </si>
  <si>
    <t>3.028</t>
  </si>
  <si>
    <t>3.030</t>
  </si>
  <si>
    <t>3.066</t>
  </si>
  <si>
    <t>3.031</t>
  </si>
  <si>
    <t>3.057</t>
  </si>
  <si>
    <t>3.055</t>
  </si>
  <si>
    <t>3.064</t>
  </si>
  <si>
    <t>3.033</t>
  </si>
  <si>
    <t>3.032</t>
  </si>
  <si>
    <t>3.035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</si>
</sst>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00"/>
  </numFmts>
  <fonts count="5" x14ac:knownFonts="1">
    <font>
      <sz val="11"/>
      <color theme="1"/>
      <name val="Calibri"/>
      <family val="2"/>
      <charset val="204"/>
      <scheme val="minor"/>
    </font>
    <font>
      <b/>
      <sz val="10"/>
      <color theme="1"/>
      <name val="ГОСТ тип А"/>
      <family val="2"/>
      <charset val="204"/>
    </font>
    <font>
      <sz val="10"/>
      <color theme="1"/>
      <name val="ГОСТ тип А"/>
      <family val="2"/>
      <charset val="204"/>
    </font>
    <font>
      <sz val="10"/>
      <name val="ГОСТ тип А"/>
      <family val="2"/>
      <charset val="204"/>
    </font>
    <font>
      <sz val="11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thin">
        <color indexed="64"/>
      </bottom>
      <diagonal/>
    </border>
    <border>
      <left style="medium">
        <color theme="0"/>
      </left>
      <right style="medium">
        <color theme="0"/>
      </right>
      <top style="medium">
        <color indexed="64"/>
      </top>
      <bottom style="thin">
        <color indexed="64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/>
      <diagonal/>
    </border>
    <border>
      <left style="medium">
        <color theme="0"/>
      </left>
      <right style="medium">
        <color theme="0"/>
      </right>
      <top style="medium">
        <color indexed="64"/>
      </top>
      <bottom/>
      <diagonal/>
    </border>
    <border>
      <left style="medium">
        <color theme="0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4" fillId="0" borderId="0"/>
  </cellStyleXfs>
  <cellXfs count="88">
    <xf numFmtId="0" fontId="0" fillId="0" borderId="0" xfId="0"/>
    <xf numFmtId="49" fontId="1" fillId="0" borderId="1" xfId="0" applyNumberFormat="1" applyFont="1" applyBorder="1" applyAlignment="1">
      <alignment horizontal="center" vertical="center"/>
    </xf>
    <xf numFmtId="2" fontId="1" fillId="0" borderId="2" xfId="0" applyNumberFormat="1" applyFont="1" applyBorder="1" applyAlignment="1">
      <alignment horizontal="center" vertical="center"/>
    </xf>
    <xf numFmtId="2" fontId="1" fillId="0" borderId="3" xfId="0" applyNumberFormat="1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vertical="center"/>
    </xf>
    <xf numFmtId="2" fontId="1" fillId="0" borderId="5" xfId="0" applyNumberFormat="1" applyFont="1" applyBorder="1" applyAlignment="1">
      <alignment horizontal="center" vertical="center"/>
    </xf>
    <xf numFmtId="2" fontId="1" fillId="0" borderId="6" xfId="0" applyNumberFormat="1" applyFont="1" applyBorder="1" applyAlignment="1">
      <alignment horizontal="center" vertical="center"/>
    </xf>
    <xf numFmtId="49" fontId="2" fillId="0" borderId="7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left" vertical="center" wrapText="1" indent="2"/>
    </xf>
    <xf numFmtId="2" fontId="2" fillId="0" borderId="8" xfId="0" applyNumberFormat="1" applyFont="1" applyBorder="1" applyAlignment="1">
      <alignment horizontal="center" vertical="center"/>
    </xf>
    <xf numFmtId="164" fontId="2" fillId="0" borderId="8" xfId="0" applyNumberFormat="1" applyFont="1" applyBorder="1" applyAlignment="1">
      <alignment horizontal="center" vertical="center"/>
    </xf>
    <xf numFmtId="2" fontId="2" fillId="0" borderId="9" xfId="0" applyNumberFormat="1" applyFont="1" applyBorder="1" applyAlignment="1">
      <alignment horizontal="center" vertical="center"/>
    </xf>
    <xf numFmtId="164" fontId="2" fillId="0" borderId="11" xfId="0" applyNumberFormat="1" applyFont="1" applyBorder="1" applyAlignment="1">
      <alignment horizontal="center" vertical="center"/>
    </xf>
    <xf numFmtId="49" fontId="2" fillId="0" borderId="4" xfId="0" applyNumberFormat="1" applyFont="1" applyBorder="1" applyAlignment="1">
      <alignment horizontal="center" vertical="center"/>
    </xf>
    <xf numFmtId="2" fontId="2" fillId="0" borderId="5" xfId="0" applyNumberFormat="1" applyFont="1" applyBorder="1" applyAlignment="1">
      <alignment horizontal="center" vertical="center"/>
    </xf>
    <xf numFmtId="164" fontId="2" fillId="0" borderId="5" xfId="0" applyNumberFormat="1" applyFont="1" applyBorder="1" applyAlignment="1">
      <alignment horizontal="center" vertical="center"/>
    </xf>
    <xf numFmtId="2" fontId="2" fillId="0" borderId="6" xfId="0" applyNumberFormat="1" applyFont="1" applyBorder="1" applyAlignment="1">
      <alignment horizontal="center" vertical="center"/>
    </xf>
    <xf numFmtId="0" fontId="2" fillId="0" borderId="11" xfId="0" applyFont="1" applyBorder="1" applyAlignment="1">
      <alignment horizontal="left" vertical="center" indent="2"/>
    </xf>
    <xf numFmtId="2" fontId="2" fillId="0" borderId="15" xfId="0" applyNumberFormat="1" applyFont="1" applyBorder="1" applyAlignment="1">
      <alignment horizontal="center" vertical="center"/>
    </xf>
    <xf numFmtId="2" fontId="2" fillId="0" borderId="16" xfId="0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left" vertical="center" indent="2"/>
    </xf>
    <xf numFmtId="164" fontId="2" fillId="0" borderId="16" xfId="0" applyNumberFormat="1" applyFont="1" applyBorder="1" applyAlignment="1">
      <alignment horizontal="center" vertical="center"/>
    </xf>
    <xf numFmtId="2" fontId="2" fillId="0" borderId="18" xfId="0" applyNumberFormat="1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2" fontId="2" fillId="0" borderId="8" xfId="0" applyNumberFormat="1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3" fillId="0" borderId="8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49" fontId="3" fillId="0" borderId="5" xfId="0" applyNumberFormat="1" applyFont="1" applyBorder="1" applyAlignment="1">
      <alignment horizontal="center" vertical="center"/>
    </xf>
    <xf numFmtId="0" fontId="2" fillId="0" borderId="16" xfId="0" applyFont="1" applyBorder="1" applyAlignment="1">
      <alignment horizontal="right" vertical="center"/>
    </xf>
    <xf numFmtId="0" fontId="1" fillId="0" borderId="2" xfId="0" applyFont="1" applyBorder="1" applyAlignment="1">
      <alignment horizontal="left" vertical="center"/>
    </xf>
    <xf numFmtId="0" fontId="2" fillId="0" borderId="8" xfId="0" applyFont="1" applyBorder="1" applyAlignment="1">
      <alignment horizontal="left" vertical="center" indent="2"/>
    </xf>
    <xf numFmtId="49" fontId="2" fillId="0" borderId="12" xfId="0" applyNumberFormat="1" applyFont="1" applyBorder="1" applyAlignment="1">
      <alignment horizontal="center" vertical="center"/>
    </xf>
    <xf numFmtId="0" fontId="2" fillId="0" borderId="13" xfId="0" applyFont="1" applyBorder="1" applyAlignment="1">
      <alignment vertical="center" wrapText="1"/>
    </xf>
    <xf numFmtId="2" fontId="2" fillId="0" borderId="13" xfId="0" applyNumberFormat="1" applyFont="1" applyBorder="1" applyAlignment="1">
      <alignment horizontal="center" vertical="center"/>
    </xf>
    <xf numFmtId="164" fontId="2" fillId="0" borderId="13" xfId="0" applyNumberFormat="1" applyFont="1" applyBorder="1" applyAlignment="1">
      <alignment horizontal="center" vertical="center"/>
    </xf>
    <xf numFmtId="2" fontId="2" fillId="0" borderId="14" xfId="0" applyNumberFormat="1" applyFont="1" applyBorder="1" applyAlignment="1">
      <alignment horizontal="center" vertical="center"/>
    </xf>
    <xf numFmtId="49" fontId="1" fillId="0" borderId="10" xfId="0" applyNumberFormat="1" applyFont="1" applyBorder="1" applyAlignment="1">
      <alignment horizontal="center" vertical="center"/>
    </xf>
    <xf numFmtId="0" fontId="1" fillId="0" borderId="11" xfId="0" applyFont="1" applyBorder="1" applyAlignment="1">
      <alignment vertical="center"/>
    </xf>
    <xf numFmtId="2" fontId="1" fillId="0" borderId="11" xfId="0" applyNumberFormat="1" applyFont="1" applyBorder="1" applyAlignment="1">
      <alignment horizontal="center" vertical="center"/>
    </xf>
    <xf numFmtId="2" fontId="1" fillId="0" borderId="15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 wrapText="1"/>
    </xf>
    <xf numFmtId="49" fontId="2" fillId="0" borderId="10" xfId="0" applyNumberFormat="1" applyFont="1" applyBorder="1" applyAlignment="1">
      <alignment horizontal="center" vertical="center"/>
    </xf>
    <xf numFmtId="2" fontId="2" fillId="0" borderId="11" xfId="0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left" vertical="center" wrapText="1" indent="2"/>
    </xf>
    <xf numFmtId="2" fontId="2" fillId="0" borderId="19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right" vertical="center"/>
    </xf>
    <xf numFmtId="0" fontId="2" fillId="0" borderId="19" xfId="0" applyFont="1" applyBorder="1" applyAlignment="1">
      <alignment vertical="center" wrapText="1"/>
    </xf>
    <xf numFmtId="49" fontId="2" fillId="0" borderId="20" xfId="0" applyNumberFormat="1" applyFont="1" applyBorder="1" applyAlignment="1">
      <alignment horizontal="center" vertical="center"/>
    </xf>
    <xf numFmtId="2" fontId="2" fillId="0" borderId="21" xfId="0" applyNumberFormat="1" applyFont="1" applyBorder="1" applyAlignment="1">
      <alignment horizontal="center" vertical="center"/>
    </xf>
    <xf numFmtId="164" fontId="2" fillId="0" borderId="19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49" fontId="2" fillId="0" borderId="22" xfId="0" applyNumberFormat="1" applyFont="1" applyBorder="1" applyAlignment="1">
      <alignment horizontal="center" vertical="center"/>
    </xf>
    <xf numFmtId="0" fontId="2" fillId="0" borderId="23" xfId="0" applyFont="1" applyBorder="1" applyAlignment="1">
      <alignment vertical="center" wrapText="1"/>
    </xf>
    <xf numFmtId="2" fontId="2" fillId="0" borderId="23" xfId="0" applyNumberFormat="1" applyFont="1" applyBorder="1" applyAlignment="1">
      <alignment horizontal="center" vertical="center"/>
    </xf>
    <xf numFmtId="164" fontId="2" fillId="0" borderId="23" xfId="0" applyNumberFormat="1" applyFont="1" applyBorder="1" applyAlignment="1">
      <alignment horizontal="center" vertical="center"/>
    </xf>
    <xf numFmtId="2" fontId="2" fillId="0" borderId="24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vertical="center" wrapText="1"/>
    </xf>
    <xf numFmtId="49" fontId="1" fillId="0" borderId="25" xfId="0" applyNumberFormat="1" applyFont="1" applyBorder="1" applyAlignment="1">
      <alignment horizontal="center" vertical="center"/>
    </xf>
    <xf numFmtId="0" fontId="1" fillId="0" borderId="26" xfId="0" applyFont="1" applyBorder="1" applyAlignment="1">
      <alignment horizontal="left" vertical="center"/>
    </xf>
    <xf numFmtId="2" fontId="1" fillId="0" borderId="26" xfId="0" applyNumberFormat="1" applyFont="1" applyBorder="1" applyAlignment="1">
      <alignment horizontal="center" vertical="center"/>
    </xf>
    <xf numFmtId="2" fontId="1" fillId="0" borderId="27" xfId="0" applyNumberFormat="1" applyFont="1" applyBorder="1" applyAlignment="1">
      <alignment horizontal="center" vertical="center"/>
    </xf>
    <xf numFmtId="49" fontId="1" fillId="0" borderId="12" xfId="0" applyNumberFormat="1" applyFont="1" applyBorder="1" applyAlignment="1">
      <alignment horizontal="center" vertical="center"/>
    </xf>
    <xf numFmtId="0" fontId="1" fillId="0" borderId="13" xfId="0" applyFont="1" applyBorder="1" applyAlignment="1">
      <alignment vertical="center"/>
    </xf>
    <xf numFmtId="2" fontId="1" fillId="0" borderId="13" xfId="0" applyNumberFormat="1" applyFont="1" applyBorder="1" applyAlignment="1">
      <alignment horizontal="center" vertical="center"/>
    </xf>
    <xf numFmtId="2" fontId="1" fillId="0" borderId="14" xfId="0" applyNumberFormat="1" applyFont="1" applyBorder="1" applyAlignment="1">
      <alignment horizontal="center" vertical="center"/>
    </xf>
    <xf numFmtId="0" fontId="2" fillId="0" borderId="5" xfId="0" applyFont="1" applyBorder="1" applyAlignment="1">
      <alignment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2" fontId="2" fillId="2" borderId="8" xfId="0" applyNumberFormat="1" applyFont="1" applyFill="1" applyBorder="1" applyAlignment="1">
      <alignment horizontal="center" vertical="center"/>
    </xf>
  </cellXfs>
  <cellStyles count="2">
    <cellStyle name="Обычный" xfId="0" builtinId="0"/>
    <cellStyle name="Обычный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"/>
  <sheetViews>
    <sheetView workbookViewId="0">
      <selection activeCell="E4" sqref="E4"/>
    </sheetView>
  </sheetViews>
  <sheetFormatPr defaultRowHeight="15" x14ac:dyDescent="0.25"/>
  <cols>
    <col min="1" max="1" width="7.5703125" customWidth="1"/>
    <col min="2" max="2" width="54.85546875" customWidth="1"/>
    <col min="3" max="3" width="9.140625" customWidth="1"/>
    <col min="4" max="4" width="14.5703125" customWidth="1"/>
    <col min="5" max="5" width="8.85546875" customWidth="1"/>
  </cols>
  <sheetData>
    <row r="1" spans="1:5" x14ac:dyDescent="0.25">
      <c r="A1" s="1"/>
      <c r="B1" s="37" t="s">
        <v>36</v>
      </c>
      <c r="C1" s="2"/>
      <c r="D1" s="2"/>
      <c r="E1" s="3"/>
    </row>
    <row r="2" spans="1:5" x14ac:dyDescent="0.25">
      <c r="A2" s="44" t="s">
        <v>0</v>
      </c>
      <c r="B2" s="45" t="s">
        <v>1</v>
      </c>
      <c r="C2" s="46" t="s">
        <v>2</v>
      </c>
      <c r="D2" s="46" t="s">
        <v>3</v>
      </c>
      <c r="E2" s="47" t="s">
        <v>4</v>
      </c>
    </row>
    <row r="3" spans="1:5" ht="38.25" x14ac:dyDescent="0.25">
      <c r="A3" s="55" t="s">
        <v>52</v>
      </c>
      <c r="B3" s="54" t="s">
        <v>50</v>
      </c>
      <c r="C3" s="52" t="s">
        <v>7</v>
      </c>
      <c r="D3" s="57">
        <v>1</v>
      </c>
      <c r="E3" s="56">
        <v>267.16000000000003</v>
      </c>
    </row>
    <row r="4" spans="1:5" x14ac:dyDescent="0.25">
      <c r="A4" s="55" t="s">
        <v>9</v>
      </c>
      <c r="B4" s="54" t="s">
        <v>17</v>
      </c>
      <c r="C4" s="52" t="s">
        <v>6</v>
      </c>
      <c r="D4" s="57">
        <v>0.1</v>
      </c>
      <c r="E4" s="56">
        <f>D4*E3</f>
        <v>26.716000000000005</v>
      </c>
    </row>
    <row r="5" spans="1:5" ht="15.75" thickBot="1" x14ac:dyDescent="0.3">
      <c r="A5" s="55" t="s">
        <v>19</v>
      </c>
      <c r="B5" s="54" t="s">
        <v>51</v>
      </c>
      <c r="C5" s="52" t="s">
        <v>7</v>
      </c>
      <c r="D5" s="57">
        <v>1.1000000000000001</v>
      </c>
      <c r="E5" s="56">
        <f>D5*E3</f>
        <v>293.87600000000003</v>
      </c>
    </row>
    <row r="6" spans="1:5" ht="38.25" x14ac:dyDescent="0.25">
      <c r="A6" s="39">
        <v>1</v>
      </c>
      <c r="B6" s="40" t="s">
        <v>40</v>
      </c>
      <c r="C6" s="41" t="s">
        <v>5</v>
      </c>
      <c r="D6" s="42">
        <v>1</v>
      </c>
      <c r="E6" s="43">
        <v>410.02</v>
      </c>
    </row>
    <row r="7" spans="1:5" x14ac:dyDescent="0.25">
      <c r="A7" s="8">
        <v>1.1000000000000001</v>
      </c>
      <c r="B7" s="38" t="s">
        <v>8</v>
      </c>
      <c r="C7" s="10" t="s">
        <v>6</v>
      </c>
      <c r="D7" s="11">
        <v>0.25</v>
      </c>
      <c r="E7" s="12">
        <f>$E$6*D7</f>
        <v>102.505</v>
      </c>
    </row>
    <row r="8" spans="1:5" x14ac:dyDescent="0.25">
      <c r="A8" s="8" t="s">
        <v>9</v>
      </c>
      <c r="B8" s="38" t="s">
        <v>13</v>
      </c>
      <c r="C8" s="10" t="s">
        <v>7</v>
      </c>
      <c r="D8" s="11">
        <v>1.05</v>
      </c>
      <c r="E8" s="12">
        <f t="shared" ref="E8:E9" si="0">$E$6*D8</f>
        <v>430.52100000000002</v>
      </c>
    </row>
    <row r="9" spans="1:5" ht="15.75" thickBot="1" x14ac:dyDescent="0.3">
      <c r="A9" s="49" t="s">
        <v>19</v>
      </c>
      <c r="B9" s="18" t="s">
        <v>17</v>
      </c>
      <c r="C9" s="50" t="s">
        <v>6</v>
      </c>
      <c r="D9" s="13">
        <v>1</v>
      </c>
      <c r="E9" s="19">
        <f t="shared" si="0"/>
        <v>410.02</v>
      </c>
    </row>
    <row r="10" spans="1:5" ht="38.25" x14ac:dyDescent="0.25">
      <c r="A10" s="39" t="s">
        <v>11</v>
      </c>
      <c r="B10" s="40" t="s">
        <v>16</v>
      </c>
      <c r="C10" s="41" t="s">
        <v>5</v>
      </c>
      <c r="D10" s="42">
        <v>1</v>
      </c>
      <c r="E10" s="43">
        <v>603.16000000000008</v>
      </c>
    </row>
    <row r="11" spans="1:5" x14ac:dyDescent="0.25">
      <c r="A11" s="8" t="s">
        <v>14</v>
      </c>
      <c r="B11" s="38" t="s">
        <v>17</v>
      </c>
      <c r="C11" s="10" t="s">
        <v>6</v>
      </c>
      <c r="D11" s="11">
        <v>1</v>
      </c>
      <c r="E11" s="12">
        <f>$E$10*D11</f>
        <v>603.16000000000008</v>
      </c>
    </row>
    <row r="12" spans="1:5" x14ac:dyDescent="0.25">
      <c r="A12" s="8" t="s">
        <v>15</v>
      </c>
      <c r="B12" s="38" t="s">
        <v>10</v>
      </c>
      <c r="C12" s="10" t="s">
        <v>6</v>
      </c>
      <c r="D12" s="11">
        <v>0.15</v>
      </c>
      <c r="E12" s="12">
        <f t="shared" ref="E12:E13" si="1">$E$10*D12</f>
        <v>90.474000000000004</v>
      </c>
    </row>
    <row r="13" spans="1:5" x14ac:dyDescent="0.25">
      <c r="A13" s="8" t="s">
        <v>18</v>
      </c>
      <c r="B13" s="38" t="s">
        <v>13</v>
      </c>
      <c r="C13" s="10" t="s">
        <v>7</v>
      </c>
      <c r="D13" s="11">
        <v>1.05</v>
      </c>
      <c r="E13" s="12">
        <f t="shared" si="1"/>
        <v>633.3180000000001</v>
      </c>
    </row>
    <row r="14" spans="1:5" ht="15.75" thickBot="1" x14ac:dyDescent="0.3">
      <c r="A14" s="14" t="s">
        <v>41</v>
      </c>
      <c r="B14" s="51" t="s">
        <v>12</v>
      </c>
      <c r="C14" s="15" t="s">
        <v>7</v>
      </c>
      <c r="D14" s="16">
        <v>1</v>
      </c>
      <c r="E14" s="17">
        <v>295.41000000000003</v>
      </c>
    </row>
    <row r="15" spans="1:5" ht="15.75" thickBot="1" x14ac:dyDescent="0.3"/>
    <row r="16" spans="1:5" x14ac:dyDescent="0.25">
      <c r="A16" s="1"/>
      <c r="B16" s="37" t="s">
        <v>39</v>
      </c>
      <c r="C16" s="2"/>
      <c r="D16" s="2"/>
      <c r="E16" s="3"/>
    </row>
    <row r="17" spans="1:5" ht="15.75" thickBot="1" x14ac:dyDescent="0.3">
      <c r="A17" s="4" t="s">
        <v>0</v>
      </c>
      <c r="B17" s="5" t="s">
        <v>1</v>
      </c>
      <c r="C17" s="6" t="s">
        <v>2</v>
      </c>
      <c r="D17" s="6" t="s">
        <v>3</v>
      </c>
      <c r="E17" s="7" t="s">
        <v>4</v>
      </c>
    </row>
    <row r="18" spans="1:5" ht="25.5" x14ac:dyDescent="0.25">
      <c r="A18" s="39">
        <v>1</v>
      </c>
      <c r="B18" s="40" t="s">
        <v>34</v>
      </c>
      <c r="C18" s="41" t="s">
        <v>5</v>
      </c>
      <c r="D18" s="42">
        <v>1</v>
      </c>
      <c r="E18" s="43">
        <f>E10+E6</f>
        <v>1013.1800000000001</v>
      </c>
    </row>
    <row r="19" spans="1:5" x14ac:dyDescent="0.25">
      <c r="A19" s="8">
        <v>1.1000000000000001</v>
      </c>
      <c r="B19" s="18" t="s">
        <v>10</v>
      </c>
      <c r="C19" s="10" t="s">
        <v>6</v>
      </c>
      <c r="D19" s="13">
        <v>0.15</v>
      </c>
      <c r="E19" s="19">
        <f>$E$18*D19</f>
        <v>151.977</v>
      </c>
    </row>
    <row r="20" spans="1:5" x14ac:dyDescent="0.25">
      <c r="A20" s="8" t="s">
        <v>9</v>
      </c>
      <c r="B20" s="9" t="s">
        <v>33</v>
      </c>
      <c r="C20" s="10" t="s">
        <v>6</v>
      </c>
      <c r="D20" s="11">
        <v>1.8</v>
      </c>
      <c r="E20" s="19">
        <f>$E$18*D20</f>
        <v>1823.7240000000002</v>
      </c>
    </row>
    <row r="21" spans="1:5" ht="15.75" thickBot="1" x14ac:dyDescent="0.3">
      <c r="A21" s="14" t="s">
        <v>19</v>
      </c>
      <c r="B21" s="21" t="s">
        <v>35</v>
      </c>
      <c r="C21" s="15" t="s">
        <v>7</v>
      </c>
      <c r="D21" s="22">
        <v>0.3</v>
      </c>
      <c r="E21" s="17">
        <v>24.01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sqref="A1:E12"/>
    </sheetView>
  </sheetViews>
  <sheetFormatPr defaultRowHeight="12.75" x14ac:dyDescent="0.25"/>
  <cols>
    <col min="1" max="1" width="9.140625" style="29"/>
    <col min="2" max="2" width="13.7109375" style="29" customWidth="1"/>
    <col min="3" max="3" width="12.7109375" style="29" customWidth="1"/>
    <col min="4" max="4" width="17" style="29" customWidth="1"/>
    <col min="5" max="16384" width="9.140625" style="29"/>
  </cols>
  <sheetData>
    <row r="1" spans="1:5" ht="15" customHeight="1" x14ac:dyDescent="0.25">
      <c r="A1" s="80" t="s">
        <v>21</v>
      </c>
      <c r="B1" s="81"/>
      <c r="C1" s="81"/>
      <c r="D1" s="81"/>
      <c r="E1" s="82"/>
    </row>
    <row r="2" spans="1:5" ht="14.25" customHeight="1" x14ac:dyDescent="0.25">
      <c r="A2" s="83" t="s">
        <v>37</v>
      </c>
      <c r="B2" s="84"/>
      <c r="C2" s="84"/>
      <c r="D2" s="84"/>
      <c r="E2" s="85"/>
    </row>
    <row r="3" spans="1:5" ht="25.5" x14ac:dyDescent="0.25">
      <c r="A3" s="25"/>
      <c r="B3" s="30"/>
      <c r="C3" s="27" t="s">
        <v>23</v>
      </c>
      <c r="D3" s="31" t="s">
        <v>24</v>
      </c>
      <c r="E3" s="32" t="s">
        <v>32</v>
      </c>
    </row>
    <row r="4" spans="1:5" x14ac:dyDescent="0.25">
      <c r="A4" s="25" t="s">
        <v>0</v>
      </c>
      <c r="B4" s="28" t="s">
        <v>20</v>
      </c>
      <c r="C4" s="10" t="s">
        <v>22</v>
      </c>
      <c r="D4" s="10" t="s">
        <v>22</v>
      </c>
      <c r="E4" s="32"/>
    </row>
    <row r="5" spans="1:5" x14ac:dyDescent="0.25">
      <c r="A5" s="25">
        <v>1</v>
      </c>
      <c r="B5" s="30" t="s">
        <v>25</v>
      </c>
      <c r="C5" s="10">
        <v>51.28</v>
      </c>
      <c r="D5" s="10">
        <v>29.94</v>
      </c>
      <c r="E5" s="12">
        <f>C5+D5</f>
        <v>81.22</v>
      </c>
    </row>
    <row r="6" spans="1:5" x14ac:dyDescent="0.25">
      <c r="A6" s="25">
        <v>2</v>
      </c>
      <c r="B6" s="30" t="s">
        <v>26</v>
      </c>
      <c r="C6" s="10">
        <v>51.69</v>
      </c>
      <c r="D6" s="26">
        <v>50.83</v>
      </c>
      <c r="E6" s="12">
        <f t="shared" ref="E6:E11" si="0">C6+D6</f>
        <v>102.52</v>
      </c>
    </row>
    <row r="7" spans="1:5" x14ac:dyDescent="0.25">
      <c r="A7" s="25">
        <v>3</v>
      </c>
      <c r="B7" s="30" t="s">
        <v>27</v>
      </c>
      <c r="C7" s="26">
        <v>18.690000000000001</v>
      </c>
      <c r="D7" s="26">
        <v>69.78</v>
      </c>
      <c r="E7" s="12">
        <f t="shared" si="0"/>
        <v>88.47</v>
      </c>
    </row>
    <row r="8" spans="1:5" x14ac:dyDescent="0.25">
      <c r="A8" s="25">
        <v>4</v>
      </c>
      <c r="B8" s="30" t="s">
        <v>28</v>
      </c>
      <c r="C8" s="26">
        <v>72.16</v>
      </c>
      <c r="D8" s="26">
        <v>133.6</v>
      </c>
      <c r="E8" s="12">
        <f t="shared" si="0"/>
        <v>205.76</v>
      </c>
    </row>
    <row r="9" spans="1:5" x14ac:dyDescent="0.25">
      <c r="A9" s="25">
        <v>5</v>
      </c>
      <c r="B9" s="30" t="s">
        <v>29</v>
      </c>
      <c r="C9" s="26">
        <v>100.44</v>
      </c>
      <c r="D9" s="26">
        <v>190.18</v>
      </c>
      <c r="E9" s="12">
        <f t="shared" si="0"/>
        <v>290.62</v>
      </c>
    </row>
    <row r="10" spans="1:5" x14ac:dyDescent="0.25">
      <c r="A10" s="25">
        <v>6</v>
      </c>
      <c r="B10" s="30" t="s">
        <v>30</v>
      </c>
      <c r="C10" s="26">
        <v>43.98</v>
      </c>
      <c r="D10" s="26">
        <v>64.37</v>
      </c>
      <c r="E10" s="12">
        <f t="shared" si="0"/>
        <v>108.35</v>
      </c>
    </row>
    <row r="11" spans="1:5" ht="13.5" thickBot="1" x14ac:dyDescent="0.3">
      <c r="A11" s="24">
        <v>7</v>
      </c>
      <c r="B11" s="35" t="s">
        <v>31</v>
      </c>
      <c r="C11" s="33">
        <v>71.78</v>
      </c>
      <c r="D11" s="33">
        <v>64.459999999999994</v>
      </c>
      <c r="E11" s="17">
        <f t="shared" si="0"/>
        <v>136.24</v>
      </c>
    </row>
    <row r="12" spans="1:5" ht="13.5" thickBot="1" x14ac:dyDescent="0.3">
      <c r="A12" s="34"/>
      <c r="B12" s="36" t="s">
        <v>38</v>
      </c>
      <c r="C12" s="20">
        <f>SUM(C5:C11)</f>
        <v>410.02</v>
      </c>
      <c r="D12" s="20">
        <f>SUM(D5:D11)</f>
        <v>603.16000000000008</v>
      </c>
      <c r="E12" s="23">
        <f>SUM(E5:E11)</f>
        <v>1013.1800000000001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"/>
  <sheetViews>
    <sheetView zoomScaleNormal="100" workbookViewId="0">
      <selection activeCell="A3" sqref="A3:XFD5"/>
    </sheetView>
  </sheetViews>
  <sheetFormatPr defaultRowHeight="15" x14ac:dyDescent="0.25"/>
  <cols>
    <col min="1" max="1" width="7.5703125" customWidth="1"/>
    <col min="2" max="2" width="54.85546875" customWidth="1"/>
    <col min="3" max="3" width="9.140625" customWidth="1"/>
    <col min="4" max="4" width="14.5703125" customWidth="1"/>
    <col min="5" max="5" width="8.85546875" customWidth="1"/>
  </cols>
  <sheetData>
    <row r="1" spans="1:5" x14ac:dyDescent="0.25">
      <c r="A1" s="1"/>
      <c r="B1" s="37" t="s">
        <v>36</v>
      </c>
      <c r="C1" s="2"/>
      <c r="D1" s="2"/>
      <c r="E1" s="3"/>
    </row>
    <row r="2" spans="1:5" x14ac:dyDescent="0.25">
      <c r="A2" s="44" t="s">
        <v>0</v>
      </c>
      <c r="B2" s="45" t="s">
        <v>1</v>
      </c>
      <c r="C2" s="46" t="s">
        <v>2</v>
      </c>
      <c r="D2" s="46" t="s">
        <v>3</v>
      </c>
      <c r="E2" s="47" t="s">
        <v>4</v>
      </c>
    </row>
    <row r="3" spans="1:5" ht="38.25" x14ac:dyDescent="0.25">
      <c r="A3" s="55" t="s">
        <v>52</v>
      </c>
      <c r="B3" s="54" t="s">
        <v>50</v>
      </c>
      <c r="C3" s="52" t="s">
        <v>7</v>
      </c>
      <c r="D3" s="57">
        <v>1</v>
      </c>
      <c r="E3" s="56">
        <v>233</v>
      </c>
    </row>
    <row r="4" spans="1:5" x14ac:dyDescent="0.25">
      <c r="A4" s="55" t="s">
        <v>9</v>
      </c>
      <c r="B4" s="54" t="s">
        <v>17</v>
      </c>
      <c r="C4" s="52" t="s">
        <v>6</v>
      </c>
      <c r="D4" s="57">
        <v>0.1</v>
      </c>
      <c r="E4" s="56">
        <f>D4*E3</f>
        <v>23.3</v>
      </c>
    </row>
    <row r="5" spans="1:5" ht="15.75" thickBot="1" x14ac:dyDescent="0.3">
      <c r="A5" s="55" t="s">
        <v>19</v>
      </c>
      <c r="B5" s="54" t="s">
        <v>51</v>
      </c>
      <c r="C5" s="52" t="s">
        <v>7</v>
      </c>
      <c r="D5" s="57">
        <v>1.1000000000000001</v>
      </c>
      <c r="E5" s="56">
        <f>D5*E3</f>
        <v>256.3</v>
      </c>
    </row>
    <row r="6" spans="1:5" ht="38.25" x14ac:dyDescent="0.25">
      <c r="A6" s="39" t="s">
        <v>11</v>
      </c>
      <c r="B6" s="40" t="s">
        <v>40</v>
      </c>
      <c r="C6" s="41" t="s">
        <v>5</v>
      </c>
      <c r="D6" s="42">
        <v>1</v>
      </c>
      <c r="E6" s="43">
        <f>'спец 6с'!C13</f>
        <v>333.82</v>
      </c>
    </row>
    <row r="7" spans="1:5" x14ac:dyDescent="0.25">
      <c r="A7" s="8" t="s">
        <v>14</v>
      </c>
      <c r="B7" s="38" t="s">
        <v>8</v>
      </c>
      <c r="C7" s="10" t="s">
        <v>6</v>
      </c>
      <c r="D7" s="11">
        <v>0.25</v>
      </c>
      <c r="E7" s="12">
        <f>$E$6*D7</f>
        <v>83.454999999999998</v>
      </c>
    </row>
    <row r="8" spans="1:5" x14ac:dyDescent="0.25">
      <c r="A8" s="8" t="s">
        <v>15</v>
      </c>
      <c r="B8" s="38" t="s">
        <v>13</v>
      </c>
      <c r="C8" s="10" t="s">
        <v>7</v>
      </c>
      <c r="D8" s="11">
        <v>1.05</v>
      </c>
      <c r="E8" s="12">
        <f t="shared" ref="E8" si="0">$E$6*D8</f>
        <v>350.51100000000002</v>
      </c>
    </row>
    <row r="9" spans="1:5" ht="15.75" thickBot="1" x14ac:dyDescent="0.3">
      <c r="A9" s="8" t="s">
        <v>18</v>
      </c>
      <c r="B9" s="18" t="s">
        <v>17</v>
      </c>
      <c r="C9" s="50" t="s">
        <v>6</v>
      </c>
      <c r="D9" s="13">
        <v>1</v>
      </c>
      <c r="E9" s="19">
        <f>$E$6*D9*28.57</f>
        <v>9537.2374</v>
      </c>
    </row>
    <row r="10" spans="1:5" ht="38.25" x14ac:dyDescent="0.25">
      <c r="A10" s="39" t="s">
        <v>53</v>
      </c>
      <c r="B10" s="40" t="s">
        <v>16</v>
      </c>
      <c r="C10" s="41" t="s">
        <v>5</v>
      </c>
      <c r="D10" s="42">
        <v>1</v>
      </c>
      <c r="E10" s="43">
        <f>'спец 6с'!D13</f>
        <v>502.91</v>
      </c>
    </row>
    <row r="11" spans="1:5" x14ac:dyDescent="0.25">
      <c r="A11" s="8" t="s">
        <v>54</v>
      </c>
      <c r="B11" s="38" t="s">
        <v>17</v>
      </c>
      <c r="C11" s="10" t="s">
        <v>6</v>
      </c>
      <c r="D11" s="11">
        <v>1</v>
      </c>
      <c r="E11" s="12">
        <f>$E$10*D11*32.51</f>
        <v>16349.6041</v>
      </c>
    </row>
    <row r="12" spans="1:5" x14ac:dyDescent="0.25">
      <c r="A12" s="8" t="s">
        <v>55</v>
      </c>
      <c r="B12" s="38" t="s">
        <v>10</v>
      </c>
      <c r="C12" s="10" t="s">
        <v>6</v>
      </c>
      <c r="D12" s="11">
        <v>0.15</v>
      </c>
      <c r="E12" s="12">
        <f t="shared" ref="E12:E13" si="1">$E$10*D12</f>
        <v>75.436499999999995</v>
      </c>
    </row>
    <row r="13" spans="1:5" x14ac:dyDescent="0.25">
      <c r="A13" s="8" t="s">
        <v>56</v>
      </c>
      <c r="B13" s="38" t="s">
        <v>13</v>
      </c>
      <c r="C13" s="10" t="s">
        <v>7</v>
      </c>
      <c r="D13" s="11">
        <v>1.05</v>
      </c>
      <c r="E13" s="12">
        <f t="shared" si="1"/>
        <v>528.05550000000005</v>
      </c>
    </row>
    <row r="14" spans="1:5" ht="15.75" thickBot="1" x14ac:dyDescent="0.3">
      <c r="A14" s="8" t="s">
        <v>57</v>
      </c>
      <c r="B14" s="51" t="s">
        <v>12</v>
      </c>
      <c r="C14" s="15" t="s">
        <v>7</v>
      </c>
      <c r="D14" s="16">
        <v>1</v>
      </c>
      <c r="E14" s="17">
        <v>97.47</v>
      </c>
    </row>
    <row r="15" spans="1:5" ht="15.75" thickBot="1" x14ac:dyDescent="0.3"/>
    <row r="16" spans="1:5" x14ac:dyDescent="0.25">
      <c r="A16" s="1"/>
      <c r="B16" s="37" t="s">
        <v>39</v>
      </c>
      <c r="C16" s="2"/>
      <c r="D16" s="2"/>
      <c r="E16" s="3"/>
    </row>
    <row r="17" spans="1:5" ht="15.75" thickBot="1" x14ac:dyDescent="0.3">
      <c r="A17" s="4" t="s">
        <v>0</v>
      </c>
      <c r="B17" s="5" t="s">
        <v>1</v>
      </c>
      <c r="C17" s="6" t="s">
        <v>2</v>
      </c>
      <c r="D17" s="6" t="s">
        <v>3</v>
      </c>
      <c r="E17" s="7" t="s">
        <v>4</v>
      </c>
    </row>
    <row r="18" spans="1:5" ht="25.5" x14ac:dyDescent="0.25">
      <c r="A18" s="39">
        <v>1</v>
      </c>
      <c r="B18" s="40" t="s">
        <v>34</v>
      </c>
      <c r="C18" s="41" t="s">
        <v>5</v>
      </c>
      <c r="D18" s="42">
        <v>1</v>
      </c>
      <c r="E18" s="43">
        <f>E10+E6</f>
        <v>836.73</v>
      </c>
    </row>
    <row r="19" spans="1:5" x14ac:dyDescent="0.25">
      <c r="A19" s="8">
        <v>1.1000000000000001</v>
      </c>
      <c r="B19" s="18" t="s">
        <v>10</v>
      </c>
      <c r="C19" s="10" t="s">
        <v>6</v>
      </c>
      <c r="D19" s="13">
        <v>0.15</v>
      </c>
      <c r="E19" s="19">
        <f>$E$18*D19</f>
        <v>125.5095</v>
      </c>
    </row>
    <row r="20" spans="1:5" x14ac:dyDescent="0.25">
      <c r="A20" s="8" t="s">
        <v>9</v>
      </c>
      <c r="B20" s="9" t="s">
        <v>33</v>
      </c>
      <c r="C20" s="10" t="s">
        <v>6</v>
      </c>
      <c r="D20" s="11">
        <v>1.8</v>
      </c>
      <c r="E20" s="19">
        <f>$E$18*D20</f>
        <v>1506.114</v>
      </c>
    </row>
    <row r="21" spans="1:5" ht="15.75" thickBot="1" x14ac:dyDescent="0.3">
      <c r="A21" s="14" t="s">
        <v>19</v>
      </c>
      <c r="B21" s="21" t="s">
        <v>35</v>
      </c>
      <c r="C21" s="15" t="s">
        <v>7</v>
      </c>
      <c r="D21" s="22">
        <v>0.3</v>
      </c>
      <c r="E21" s="17">
        <v>24.01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zoomScale="130" zoomScaleNormal="130" workbookViewId="0">
      <selection activeCell="E13" sqref="E13"/>
    </sheetView>
  </sheetViews>
  <sheetFormatPr defaultRowHeight="15" x14ac:dyDescent="0.25"/>
  <cols>
    <col min="2" max="2" width="13.7109375" customWidth="1"/>
    <col min="3" max="3" width="12.7109375" customWidth="1"/>
    <col min="4" max="4" width="17" customWidth="1"/>
    <col min="5" max="5" width="10.140625" customWidth="1"/>
  </cols>
  <sheetData>
    <row r="1" spans="1:5" x14ac:dyDescent="0.25">
      <c r="A1" s="86" t="s">
        <v>21</v>
      </c>
      <c r="B1" s="86"/>
      <c r="C1" s="86"/>
      <c r="D1" s="86"/>
      <c r="E1" s="86"/>
    </row>
    <row r="2" spans="1:5" x14ac:dyDescent="0.25">
      <c r="A2" s="84" t="s">
        <v>37</v>
      </c>
      <c r="B2" s="84"/>
      <c r="C2" s="84"/>
      <c r="D2" s="84"/>
      <c r="E2" s="84"/>
    </row>
    <row r="3" spans="1:5" ht="25.5" x14ac:dyDescent="0.25">
      <c r="A3" s="26"/>
      <c r="B3" s="30"/>
      <c r="C3" s="27" t="s">
        <v>23</v>
      </c>
      <c r="D3" s="48" t="s">
        <v>24</v>
      </c>
      <c r="E3" s="26" t="s">
        <v>32</v>
      </c>
    </row>
    <row r="4" spans="1:5" x14ac:dyDescent="0.25">
      <c r="A4" s="26" t="s">
        <v>0</v>
      </c>
      <c r="B4" s="28" t="s">
        <v>20</v>
      </c>
      <c r="C4" s="10" t="s">
        <v>22</v>
      </c>
      <c r="D4" s="10" t="s">
        <v>22</v>
      </c>
      <c r="E4" s="26"/>
    </row>
    <row r="5" spans="1:5" x14ac:dyDescent="0.25">
      <c r="A5" s="26">
        <v>1</v>
      </c>
      <c r="B5" s="30" t="s">
        <v>42</v>
      </c>
      <c r="C5" s="10">
        <v>41.24</v>
      </c>
      <c r="D5" s="10">
        <v>153.84</v>
      </c>
      <c r="E5" s="10">
        <f>C5+D5</f>
        <v>195.08</v>
      </c>
    </row>
    <row r="6" spans="1:5" x14ac:dyDescent="0.25">
      <c r="A6" s="26">
        <v>2</v>
      </c>
      <c r="B6" s="30" t="s">
        <v>43</v>
      </c>
      <c r="C6" s="10">
        <v>153.37</v>
      </c>
      <c r="D6" s="10">
        <v>103.52</v>
      </c>
      <c r="E6" s="10">
        <f t="shared" ref="E6:E11" si="0">C6+D6</f>
        <v>256.89</v>
      </c>
    </row>
    <row r="7" spans="1:5" x14ac:dyDescent="0.25">
      <c r="A7" s="26">
        <v>3</v>
      </c>
      <c r="B7" s="30" t="s">
        <v>44</v>
      </c>
      <c r="C7" s="10">
        <v>40.340000000000003</v>
      </c>
      <c r="D7" s="10">
        <v>48.01</v>
      </c>
      <c r="E7" s="10">
        <f t="shared" si="0"/>
        <v>88.35</v>
      </c>
    </row>
    <row r="8" spans="1:5" x14ac:dyDescent="0.25">
      <c r="A8" s="26">
        <v>4</v>
      </c>
      <c r="B8" s="30" t="s">
        <v>45</v>
      </c>
      <c r="C8" s="10">
        <v>15.91</v>
      </c>
      <c r="D8" s="10">
        <v>70.86</v>
      </c>
      <c r="E8" s="10">
        <f t="shared" si="0"/>
        <v>86.77</v>
      </c>
    </row>
    <row r="9" spans="1:5" x14ac:dyDescent="0.25">
      <c r="A9" s="26">
        <v>5</v>
      </c>
      <c r="B9" s="30" t="s">
        <v>46</v>
      </c>
      <c r="C9" s="10">
        <v>3.2</v>
      </c>
      <c r="D9" s="10">
        <v>29.57</v>
      </c>
      <c r="E9" s="10">
        <f t="shared" si="0"/>
        <v>32.770000000000003</v>
      </c>
    </row>
    <row r="10" spans="1:5" x14ac:dyDescent="0.25">
      <c r="A10" s="26">
        <v>6</v>
      </c>
      <c r="B10" s="30" t="s">
        <v>47</v>
      </c>
      <c r="C10" s="10">
        <v>0</v>
      </c>
      <c r="D10" s="10">
        <v>35.28</v>
      </c>
      <c r="E10" s="10">
        <f t="shared" si="0"/>
        <v>35.28</v>
      </c>
    </row>
    <row r="11" spans="1:5" x14ac:dyDescent="0.25">
      <c r="A11" s="26">
        <v>7</v>
      </c>
      <c r="B11" s="30" t="s">
        <v>49</v>
      </c>
      <c r="C11" s="10">
        <v>43.07</v>
      </c>
      <c r="D11" s="10">
        <v>48.19</v>
      </c>
      <c r="E11" s="10">
        <f t="shared" si="0"/>
        <v>91.259999999999991</v>
      </c>
    </row>
    <row r="12" spans="1:5" x14ac:dyDescent="0.25">
      <c r="A12" s="26">
        <v>8</v>
      </c>
      <c r="B12" s="30" t="s">
        <v>48</v>
      </c>
      <c r="C12" s="10">
        <v>36.69</v>
      </c>
      <c r="D12" s="10">
        <v>13.64</v>
      </c>
      <c r="E12" s="10">
        <f t="shared" ref="E12" si="1">C12+D12</f>
        <v>50.33</v>
      </c>
    </row>
    <row r="13" spans="1:5" x14ac:dyDescent="0.25">
      <c r="A13" s="26"/>
      <c r="B13" s="53" t="s">
        <v>38</v>
      </c>
      <c r="C13" s="10">
        <f>SUM(C5:C12)</f>
        <v>333.82</v>
      </c>
      <c r="D13" s="10">
        <f>SUM(D5:D12)</f>
        <v>502.91</v>
      </c>
      <c r="E13" s="10">
        <f>SUM(E5:E12)</f>
        <v>836.73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E21"/>
  <sheetViews>
    <sheetView workbookViewId="0">
      <selection activeCell="C8" sqref="C8"/>
    </sheetView>
  </sheetViews>
  <sheetFormatPr defaultRowHeight="15" x14ac:dyDescent="0.25"/>
  <cols>
    <col min="1" max="1" width="7.5703125" customWidth="1"/>
    <col min="2" max="2" width="54.85546875" customWidth="1"/>
    <col min="3" max="3" width="9.140625" customWidth="1"/>
    <col min="4" max="4" width="14.5703125" customWidth="1"/>
    <col min="5" max="5" width="8.85546875" customWidth="1"/>
  </cols>
  <sheetData>
    <row r="1" spans="1:5" ht="15.75" thickBot="1" x14ac:dyDescent="0.3">
      <c r="A1" s="66"/>
      <c r="B1" s="67" t="s">
        <v>36</v>
      </c>
      <c r="C1" s="68"/>
      <c r="D1" s="68"/>
      <c r="E1" s="69"/>
    </row>
    <row r="2" spans="1:5" x14ac:dyDescent="0.25">
      <c r="A2" s="70" t="s">
        <v>0</v>
      </c>
      <c r="B2" s="71" t="s">
        <v>1</v>
      </c>
      <c r="C2" s="72" t="s">
        <v>2</v>
      </c>
      <c r="D2" s="72" t="s">
        <v>3</v>
      </c>
      <c r="E2" s="73" t="s">
        <v>4</v>
      </c>
    </row>
    <row r="3" spans="1:5" ht="27.75" customHeight="1" x14ac:dyDescent="0.25">
      <c r="A3" s="8" t="s">
        <v>52</v>
      </c>
      <c r="B3" s="65" t="s">
        <v>50</v>
      </c>
      <c r="C3" s="10" t="s">
        <v>7</v>
      </c>
      <c r="D3" s="11">
        <v>1</v>
      </c>
      <c r="E3" s="12">
        <v>323.32</v>
      </c>
    </row>
    <row r="4" spans="1:5" x14ac:dyDescent="0.25">
      <c r="A4" s="8" t="s">
        <v>9</v>
      </c>
      <c r="B4" s="65" t="s">
        <v>17</v>
      </c>
      <c r="C4" s="10" t="s">
        <v>6</v>
      </c>
      <c r="D4" s="11">
        <v>0.1</v>
      </c>
      <c r="E4" s="12">
        <f>D4*E3</f>
        <v>32.332000000000001</v>
      </c>
    </row>
    <row r="5" spans="1:5" ht="15.75" thickBot="1" x14ac:dyDescent="0.3">
      <c r="A5" s="14" t="s">
        <v>19</v>
      </c>
      <c r="B5" s="74" t="s">
        <v>51</v>
      </c>
      <c r="C5" s="15" t="s">
        <v>7</v>
      </c>
      <c r="D5" s="16">
        <v>1.1000000000000001</v>
      </c>
      <c r="E5" s="17">
        <f>D5*E3</f>
        <v>355.65200000000004</v>
      </c>
    </row>
    <row r="6" spans="1:5" ht="38.25" x14ac:dyDescent="0.25">
      <c r="A6" s="60" t="s">
        <v>11</v>
      </c>
      <c r="B6" s="61" t="s">
        <v>40</v>
      </c>
      <c r="C6" s="62" t="s">
        <v>5</v>
      </c>
      <c r="D6" s="63">
        <v>1</v>
      </c>
      <c r="E6" s="64">
        <f>'спец 5с'!C8</f>
        <v>161.16999999999999</v>
      </c>
    </row>
    <row r="7" spans="1:5" x14ac:dyDescent="0.25">
      <c r="A7" s="8" t="s">
        <v>14</v>
      </c>
      <c r="B7" s="38" t="s">
        <v>8</v>
      </c>
      <c r="C7" s="10" t="s">
        <v>6</v>
      </c>
      <c r="D7" s="11">
        <v>0.25</v>
      </c>
      <c r="E7" s="12">
        <f>$E$6*D7</f>
        <v>40.292499999999997</v>
      </c>
    </row>
    <row r="8" spans="1:5" x14ac:dyDescent="0.25">
      <c r="A8" s="8" t="s">
        <v>15</v>
      </c>
      <c r="B8" s="38" t="s">
        <v>13</v>
      </c>
      <c r="C8" s="10" t="s">
        <v>7</v>
      </c>
      <c r="D8" s="11">
        <v>1.05</v>
      </c>
      <c r="E8" s="12">
        <f t="shared" ref="E8" si="0">$E$6*D8</f>
        <v>169.2285</v>
      </c>
    </row>
    <row r="9" spans="1:5" ht="15.75" thickBot="1" x14ac:dyDescent="0.3">
      <c r="A9" s="8" t="s">
        <v>18</v>
      </c>
      <c r="B9" s="18" t="s">
        <v>17</v>
      </c>
      <c r="C9" s="50" t="s">
        <v>6</v>
      </c>
      <c r="D9" s="13">
        <v>1</v>
      </c>
      <c r="E9" s="19">
        <f>$E$6*D9*28.57</f>
        <v>4604.6268999999993</v>
      </c>
    </row>
    <row r="10" spans="1:5" ht="38.25" x14ac:dyDescent="0.25">
      <c r="A10" s="39" t="s">
        <v>53</v>
      </c>
      <c r="B10" s="40" t="s">
        <v>16</v>
      </c>
      <c r="C10" s="41" t="s">
        <v>5</v>
      </c>
      <c r="D10" s="42">
        <v>1</v>
      </c>
      <c r="E10" s="43">
        <f>'спец 5с'!D8</f>
        <v>341.46999999999997</v>
      </c>
    </row>
    <row r="11" spans="1:5" x14ac:dyDescent="0.25">
      <c r="A11" s="8" t="s">
        <v>54</v>
      </c>
      <c r="B11" s="38" t="s">
        <v>17</v>
      </c>
      <c r="C11" s="10" t="s">
        <v>6</v>
      </c>
      <c r="D11" s="11">
        <v>1</v>
      </c>
      <c r="E11" s="12">
        <f>$E$10*D11*32.51</f>
        <v>11101.189699999999</v>
      </c>
    </row>
    <row r="12" spans="1:5" x14ac:dyDescent="0.25">
      <c r="A12" s="8" t="s">
        <v>55</v>
      </c>
      <c r="B12" s="38" t="s">
        <v>10</v>
      </c>
      <c r="C12" s="10" t="s">
        <v>6</v>
      </c>
      <c r="D12" s="11">
        <v>0.15</v>
      </c>
      <c r="E12" s="12">
        <f t="shared" ref="E12:E13" si="1">$E$10*D12</f>
        <v>51.220499999999994</v>
      </c>
    </row>
    <row r="13" spans="1:5" x14ac:dyDescent="0.25">
      <c r="A13" s="8" t="s">
        <v>56</v>
      </c>
      <c r="B13" s="38" t="s">
        <v>13</v>
      </c>
      <c r="C13" s="10" t="s">
        <v>7</v>
      </c>
      <c r="D13" s="11">
        <v>1.05</v>
      </c>
      <c r="E13" s="12">
        <f t="shared" si="1"/>
        <v>358.54349999999999</v>
      </c>
    </row>
    <row r="14" spans="1:5" ht="15.75" thickBot="1" x14ac:dyDescent="0.3">
      <c r="A14" s="14" t="s">
        <v>57</v>
      </c>
      <c r="B14" s="51" t="s">
        <v>12</v>
      </c>
      <c r="C14" s="15" t="s">
        <v>7</v>
      </c>
      <c r="D14" s="16">
        <v>1</v>
      </c>
      <c r="E14" s="17">
        <v>97.97</v>
      </c>
    </row>
    <row r="15" spans="1:5" ht="15.75" thickBot="1" x14ac:dyDescent="0.3"/>
    <row r="16" spans="1:5" x14ac:dyDescent="0.25">
      <c r="A16" s="1"/>
      <c r="B16" s="37" t="s">
        <v>39</v>
      </c>
      <c r="C16" s="2"/>
      <c r="D16" s="2"/>
      <c r="E16" s="3"/>
    </row>
    <row r="17" spans="1:5" ht="15.75" thickBot="1" x14ac:dyDescent="0.3">
      <c r="A17" s="4" t="s">
        <v>0</v>
      </c>
      <c r="B17" s="5" t="s">
        <v>1</v>
      </c>
      <c r="C17" s="6" t="s">
        <v>2</v>
      </c>
      <c r="D17" s="6" t="s">
        <v>3</v>
      </c>
      <c r="E17" s="7" t="s">
        <v>4</v>
      </c>
    </row>
    <row r="18" spans="1:5" ht="25.5" x14ac:dyDescent="0.25">
      <c r="A18" s="39">
        <v>1</v>
      </c>
      <c r="B18" s="40" t="s">
        <v>34</v>
      </c>
      <c r="C18" s="41" t="s">
        <v>5</v>
      </c>
      <c r="D18" s="42">
        <v>1</v>
      </c>
      <c r="E18" s="43">
        <f>E10+E6</f>
        <v>502.64</v>
      </c>
    </row>
    <row r="19" spans="1:5" x14ac:dyDescent="0.25">
      <c r="A19" s="8">
        <v>1.1000000000000001</v>
      </c>
      <c r="B19" s="18" t="s">
        <v>10</v>
      </c>
      <c r="C19" s="10" t="s">
        <v>6</v>
      </c>
      <c r="D19" s="13">
        <v>0.15</v>
      </c>
      <c r="E19" s="19">
        <f>$E$18*D19</f>
        <v>75.396000000000001</v>
      </c>
    </row>
    <row r="20" spans="1:5" x14ac:dyDescent="0.25">
      <c r="A20" s="8" t="s">
        <v>9</v>
      </c>
      <c r="B20" s="9" t="s">
        <v>33</v>
      </c>
      <c r="C20" s="10" t="s">
        <v>6</v>
      </c>
      <c r="D20" s="11">
        <v>1.8</v>
      </c>
      <c r="E20" s="19">
        <f>$E$18*D20</f>
        <v>904.75199999999995</v>
      </c>
    </row>
    <row r="21" spans="1:5" ht="15.75" thickBot="1" x14ac:dyDescent="0.3">
      <c r="A21" s="14" t="s">
        <v>19</v>
      </c>
      <c r="B21" s="21" t="s">
        <v>35</v>
      </c>
      <c r="C21" s="15" t="s">
        <v>7</v>
      </c>
      <c r="D21" s="22">
        <v>0.3</v>
      </c>
      <c r="E21" s="17">
        <v>24.01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E8"/>
  <sheetViews>
    <sheetView zoomScale="145" zoomScaleNormal="145" workbookViewId="0">
      <selection activeCell="C8" sqref="C8"/>
    </sheetView>
  </sheetViews>
  <sheetFormatPr defaultRowHeight="15" x14ac:dyDescent="0.25"/>
  <cols>
    <col min="2" max="2" width="13.7109375" customWidth="1"/>
    <col min="3" max="3" width="12.7109375" customWidth="1"/>
    <col min="4" max="4" width="17" customWidth="1"/>
    <col min="5" max="5" width="10.140625" customWidth="1"/>
  </cols>
  <sheetData>
    <row r="1" spans="1:5" x14ac:dyDescent="0.25">
      <c r="A1" s="86" t="s">
        <v>21</v>
      </c>
      <c r="B1" s="86"/>
      <c r="C1" s="86"/>
      <c r="D1" s="86"/>
      <c r="E1" s="86"/>
    </row>
    <row r="2" spans="1:5" x14ac:dyDescent="0.25">
      <c r="A2" s="84" t="s">
        <v>37</v>
      </c>
      <c r="B2" s="84"/>
      <c r="C2" s="84"/>
      <c r="D2" s="84"/>
      <c r="E2" s="84"/>
    </row>
    <row r="3" spans="1:5" ht="25.5" x14ac:dyDescent="0.25">
      <c r="A3" s="59"/>
      <c r="B3" s="30"/>
      <c r="C3" s="27" t="s">
        <v>23</v>
      </c>
      <c r="D3" s="58" t="s">
        <v>24</v>
      </c>
      <c r="E3" s="59" t="s">
        <v>32</v>
      </c>
    </row>
    <row r="4" spans="1:5" x14ac:dyDescent="0.25">
      <c r="A4" s="59" t="s">
        <v>0</v>
      </c>
      <c r="B4" s="28" t="s">
        <v>20</v>
      </c>
      <c r="C4" s="10" t="s">
        <v>22</v>
      </c>
      <c r="D4" s="10" t="s">
        <v>22</v>
      </c>
      <c r="E4" s="59"/>
    </row>
    <row r="5" spans="1:5" x14ac:dyDescent="0.25">
      <c r="A5" s="59">
        <v>1</v>
      </c>
      <c r="B5" s="30" t="s">
        <v>58</v>
      </c>
      <c r="C5" s="10">
        <v>82.77</v>
      </c>
      <c r="D5" s="10">
        <v>145.32</v>
      </c>
      <c r="E5" s="10">
        <f>C5+D5</f>
        <v>228.08999999999997</v>
      </c>
    </row>
    <row r="6" spans="1:5" x14ac:dyDescent="0.25">
      <c r="A6" s="59">
        <v>2</v>
      </c>
      <c r="B6" s="30" t="s">
        <v>59</v>
      </c>
      <c r="C6" s="10">
        <v>71.44</v>
      </c>
      <c r="D6" s="10">
        <v>123.07</v>
      </c>
      <c r="E6" s="10">
        <f t="shared" ref="E6:E7" si="0">C6+D6</f>
        <v>194.51</v>
      </c>
    </row>
    <row r="7" spans="1:5" x14ac:dyDescent="0.25">
      <c r="A7" s="59">
        <v>3</v>
      </c>
      <c r="B7" s="30" t="s">
        <v>60</v>
      </c>
      <c r="C7" s="10">
        <v>6.96</v>
      </c>
      <c r="D7" s="10">
        <v>73.08</v>
      </c>
      <c r="E7" s="10">
        <f t="shared" si="0"/>
        <v>80.039999999999992</v>
      </c>
    </row>
    <row r="8" spans="1:5" x14ac:dyDescent="0.25">
      <c r="A8" s="59"/>
      <c r="B8" s="53" t="s">
        <v>38</v>
      </c>
      <c r="C8" s="10">
        <f>SUM(C5:C7)</f>
        <v>161.16999999999999</v>
      </c>
      <c r="D8" s="10">
        <f>SUM(D5:D7)</f>
        <v>341.46999999999997</v>
      </c>
      <c r="E8" s="10">
        <f>SUM(E5:E7)</f>
        <v>502.64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E21"/>
  <sheetViews>
    <sheetView workbookViewId="0">
      <selection sqref="A1:E21"/>
    </sheetView>
  </sheetViews>
  <sheetFormatPr defaultRowHeight="15" x14ac:dyDescent="0.25"/>
  <cols>
    <col min="1" max="1" width="7.5703125" customWidth="1"/>
    <col min="2" max="2" width="54.85546875" customWidth="1"/>
    <col min="3" max="3" width="9.140625" customWidth="1"/>
    <col min="4" max="4" width="14.5703125" customWidth="1"/>
    <col min="5" max="5" width="8.85546875" customWidth="1"/>
  </cols>
  <sheetData>
    <row r="1" spans="1:5" ht="15.75" thickBot="1" x14ac:dyDescent="0.3">
      <c r="A1" s="66"/>
      <c r="B1" s="67" t="s">
        <v>36</v>
      </c>
      <c r="C1" s="68"/>
      <c r="D1" s="68"/>
      <c r="E1" s="69"/>
    </row>
    <row r="2" spans="1:5" x14ac:dyDescent="0.25">
      <c r="A2" s="70" t="s">
        <v>0</v>
      </c>
      <c r="B2" s="71" t="s">
        <v>1</v>
      </c>
      <c r="C2" s="72" t="s">
        <v>2</v>
      </c>
      <c r="D2" s="72" t="s">
        <v>3</v>
      </c>
      <c r="E2" s="73" t="s">
        <v>4</v>
      </c>
    </row>
    <row r="3" spans="1:5" ht="27.75" customHeight="1" x14ac:dyDescent="0.25">
      <c r="A3" s="8" t="s">
        <v>52</v>
      </c>
      <c r="B3" s="65" t="s">
        <v>50</v>
      </c>
      <c r="C3" s="10" t="s">
        <v>7</v>
      </c>
      <c r="D3" s="11">
        <v>1</v>
      </c>
      <c r="E3" s="12">
        <v>396.86</v>
      </c>
    </row>
    <row r="4" spans="1:5" x14ac:dyDescent="0.25">
      <c r="A4" s="8" t="s">
        <v>9</v>
      </c>
      <c r="B4" s="65" t="s">
        <v>17</v>
      </c>
      <c r="C4" s="10" t="s">
        <v>6</v>
      </c>
      <c r="D4" s="11">
        <v>0.1</v>
      </c>
      <c r="E4" s="12">
        <f>D4*E3</f>
        <v>39.686000000000007</v>
      </c>
    </row>
    <row r="5" spans="1:5" ht="15.75" thickBot="1" x14ac:dyDescent="0.3">
      <c r="A5" s="14" t="s">
        <v>19</v>
      </c>
      <c r="B5" s="74" t="s">
        <v>51</v>
      </c>
      <c r="C5" s="15" t="s">
        <v>7</v>
      </c>
      <c r="D5" s="16">
        <v>1.1000000000000001</v>
      </c>
      <c r="E5" s="17">
        <f>D5*E3</f>
        <v>436.54600000000005</v>
      </c>
    </row>
    <row r="6" spans="1:5" ht="38.25" x14ac:dyDescent="0.25">
      <c r="A6" s="60" t="s">
        <v>11</v>
      </c>
      <c r="B6" s="61" t="s">
        <v>40</v>
      </c>
      <c r="C6" s="62" t="s">
        <v>5</v>
      </c>
      <c r="D6" s="63">
        <v>1</v>
      </c>
      <c r="E6" s="64">
        <f>'спец 4с'!C14</f>
        <v>361.91847680879999</v>
      </c>
    </row>
    <row r="7" spans="1:5" x14ac:dyDescent="0.25">
      <c r="A7" s="8" t="s">
        <v>14</v>
      </c>
      <c r="B7" s="38" t="s">
        <v>8</v>
      </c>
      <c r="C7" s="10" t="s">
        <v>6</v>
      </c>
      <c r="D7" s="11">
        <v>0.25</v>
      </c>
      <c r="E7" s="12">
        <f>$E$6*D7</f>
        <v>90.479619202199999</v>
      </c>
    </row>
    <row r="8" spans="1:5" x14ac:dyDescent="0.25">
      <c r="A8" s="8" t="s">
        <v>15</v>
      </c>
      <c r="B8" s="38" t="s">
        <v>13</v>
      </c>
      <c r="C8" s="10" t="s">
        <v>7</v>
      </c>
      <c r="D8" s="11">
        <v>1.05</v>
      </c>
      <c r="E8" s="12">
        <f t="shared" ref="E8" si="0">$E$6*D8</f>
        <v>380.01440064924003</v>
      </c>
    </row>
    <row r="9" spans="1:5" ht="15.75" thickBot="1" x14ac:dyDescent="0.3">
      <c r="A9" s="8" t="s">
        <v>18</v>
      </c>
      <c r="B9" s="18" t="s">
        <v>17</v>
      </c>
      <c r="C9" s="50" t="s">
        <v>6</v>
      </c>
      <c r="D9" s="13">
        <v>1</v>
      </c>
      <c r="E9" s="19">
        <f>$E$6*D9*28.57</f>
        <v>10340.010882427416</v>
      </c>
    </row>
    <row r="10" spans="1:5" ht="38.25" x14ac:dyDescent="0.25">
      <c r="A10" s="39" t="s">
        <v>53</v>
      </c>
      <c r="B10" s="40" t="s">
        <v>16</v>
      </c>
      <c r="C10" s="41" t="s">
        <v>5</v>
      </c>
      <c r="D10" s="42">
        <v>1</v>
      </c>
      <c r="E10" s="43">
        <f>'спец 4с'!D14</f>
        <v>697.45979058729995</v>
      </c>
    </row>
    <row r="11" spans="1:5" x14ac:dyDescent="0.25">
      <c r="A11" s="8" t="s">
        <v>54</v>
      </c>
      <c r="B11" s="38" t="s">
        <v>17</v>
      </c>
      <c r="C11" s="10" t="s">
        <v>6</v>
      </c>
      <c r="D11" s="11">
        <v>1</v>
      </c>
      <c r="E11" s="12">
        <f>$E$10*D11*32.51</f>
        <v>22674.417791993121</v>
      </c>
    </row>
    <row r="12" spans="1:5" x14ac:dyDescent="0.25">
      <c r="A12" s="8" t="s">
        <v>55</v>
      </c>
      <c r="B12" s="38" t="s">
        <v>10</v>
      </c>
      <c r="C12" s="10" t="s">
        <v>6</v>
      </c>
      <c r="D12" s="11">
        <v>0.15</v>
      </c>
      <c r="E12" s="12">
        <f t="shared" ref="E12:E13" si="1">$E$10*D12</f>
        <v>104.61896858809499</v>
      </c>
    </row>
    <row r="13" spans="1:5" x14ac:dyDescent="0.25">
      <c r="A13" s="8" t="s">
        <v>56</v>
      </c>
      <c r="B13" s="38" t="s">
        <v>13</v>
      </c>
      <c r="C13" s="10" t="s">
        <v>7</v>
      </c>
      <c r="D13" s="11">
        <v>1.05</v>
      </c>
      <c r="E13" s="12">
        <f t="shared" si="1"/>
        <v>732.33278011666494</v>
      </c>
    </row>
    <row r="14" spans="1:5" ht="15.75" thickBot="1" x14ac:dyDescent="0.3">
      <c r="A14" s="14" t="s">
        <v>57</v>
      </c>
      <c r="B14" s="51" t="s">
        <v>12</v>
      </c>
      <c r="C14" s="15" t="s">
        <v>7</v>
      </c>
      <c r="D14" s="16">
        <v>1</v>
      </c>
      <c r="E14" s="17">
        <f>15*3.98</f>
        <v>59.7</v>
      </c>
    </row>
    <row r="15" spans="1:5" ht="15.75" thickBot="1" x14ac:dyDescent="0.3"/>
    <row r="16" spans="1:5" x14ac:dyDescent="0.25">
      <c r="A16" s="1"/>
      <c r="B16" s="37" t="s">
        <v>39</v>
      </c>
      <c r="C16" s="2"/>
      <c r="D16" s="2"/>
      <c r="E16" s="3"/>
    </row>
    <row r="17" spans="1:5" ht="15.75" thickBot="1" x14ac:dyDescent="0.3">
      <c r="A17" s="4" t="s">
        <v>0</v>
      </c>
      <c r="B17" s="5" t="s">
        <v>1</v>
      </c>
      <c r="C17" s="6" t="s">
        <v>2</v>
      </c>
      <c r="D17" s="6" t="s">
        <v>3</v>
      </c>
      <c r="E17" s="7" t="s">
        <v>4</v>
      </c>
    </row>
    <row r="18" spans="1:5" ht="25.5" x14ac:dyDescent="0.25">
      <c r="A18" s="39">
        <v>1</v>
      </c>
      <c r="B18" s="40" t="s">
        <v>34</v>
      </c>
      <c r="C18" s="41" t="s">
        <v>5</v>
      </c>
      <c r="D18" s="42">
        <v>1</v>
      </c>
      <c r="E18" s="43">
        <f>E10+E6</f>
        <v>1059.3782673961</v>
      </c>
    </row>
    <row r="19" spans="1:5" x14ac:dyDescent="0.25">
      <c r="A19" s="8">
        <v>1.1000000000000001</v>
      </c>
      <c r="B19" s="18" t="s">
        <v>10</v>
      </c>
      <c r="C19" s="10" t="s">
        <v>6</v>
      </c>
      <c r="D19" s="13">
        <v>0.15</v>
      </c>
      <c r="E19" s="19">
        <f>$E$18*D19</f>
        <v>158.90674010941498</v>
      </c>
    </row>
    <row r="20" spans="1:5" x14ac:dyDescent="0.25">
      <c r="A20" s="8" t="s">
        <v>9</v>
      </c>
      <c r="B20" s="9" t="s">
        <v>33</v>
      </c>
      <c r="C20" s="10" t="s">
        <v>6</v>
      </c>
      <c r="D20" s="11">
        <v>1.8</v>
      </c>
      <c r="E20" s="19">
        <f>$E$18*D20</f>
        <v>1906.8808813129801</v>
      </c>
    </row>
    <row r="21" spans="1:5" ht="15.75" thickBot="1" x14ac:dyDescent="0.3">
      <c r="A21" s="14" t="s">
        <v>19</v>
      </c>
      <c r="B21" s="21" t="s">
        <v>35</v>
      </c>
      <c r="C21" s="15" t="s">
        <v>7</v>
      </c>
      <c r="D21" s="22">
        <v>0.3</v>
      </c>
      <c r="E21" s="17">
        <v>24.01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E14"/>
  <sheetViews>
    <sheetView zoomScaleNormal="100" workbookViewId="0">
      <selection activeCell="E3" sqref="A1:E1048576"/>
    </sheetView>
  </sheetViews>
  <sheetFormatPr defaultRowHeight="15" x14ac:dyDescent="0.25"/>
  <cols>
    <col min="2" max="2" width="13.7109375" customWidth="1"/>
    <col min="3" max="3" width="12.7109375" customWidth="1"/>
    <col min="4" max="4" width="17" customWidth="1"/>
    <col min="5" max="5" width="10.140625" customWidth="1"/>
  </cols>
  <sheetData>
    <row r="1" spans="1:5" x14ac:dyDescent="0.25">
      <c r="A1" s="86" t="s">
        <v>21</v>
      </c>
      <c r="B1" s="86"/>
      <c r="C1" s="86"/>
      <c r="D1" s="86"/>
      <c r="E1" s="86"/>
    </row>
    <row r="2" spans="1:5" x14ac:dyDescent="0.25">
      <c r="A2" s="84" t="s">
        <v>37</v>
      </c>
      <c r="B2" s="84"/>
      <c r="C2" s="84"/>
      <c r="D2" s="84"/>
      <c r="E2" s="84"/>
    </row>
    <row r="3" spans="1:5" ht="25.5" x14ac:dyDescent="0.25">
      <c r="A3" s="76"/>
      <c r="B3" s="30"/>
      <c r="C3" s="27" t="s">
        <v>23</v>
      </c>
      <c r="D3" s="75" t="s">
        <v>24</v>
      </c>
      <c r="E3" s="76" t="s">
        <v>32</v>
      </c>
    </row>
    <row r="4" spans="1:5" x14ac:dyDescent="0.25">
      <c r="A4" s="76" t="s">
        <v>0</v>
      </c>
      <c r="B4" s="28" t="s">
        <v>20</v>
      </c>
      <c r="C4" s="10" t="s">
        <v>22</v>
      </c>
      <c r="D4" s="10" t="s">
        <v>22</v>
      </c>
      <c r="E4" s="76"/>
    </row>
    <row r="5" spans="1:5" ht="15.75" customHeight="1" x14ac:dyDescent="0.25">
      <c r="A5" s="76">
        <v>1</v>
      </c>
      <c r="B5" s="30" t="s">
        <v>61</v>
      </c>
      <c r="C5" s="10">
        <v>27.473938947900002</v>
      </c>
      <c r="D5" s="10">
        <v>100.70855333499999</v>
      </c>
      <c r="E5" s="10">
        <f>C5+D5</f>
        <v>128.1824922829</v>
      </c>
    </row>
    <row r="6" spans="1:5" ht="15.75" customHeight="1" x14ac:dyDescent="0.25">
      <c r="A6" s="76">
        <v>2</v>
      </c>
      <c r="B6" s="30" t="s">
        <v>62</v>
      </c>
      <c r="C6" s="10">
        <v>49.624980822800005</v>
      </c>
      <c r="D6" s="10">
        <v>56.0445512175</v>
      </c>
      <c r="E6" s="10">
        <f t="shared" ref="E6:E7" si="0">C6+D6</f>
        <v>105.6695320403</v>
      </c>
    </row>
    <row r="7" spans="1:5" ht="15.75" customHeight="1" x14ac:dyDescent="0.25">
      <c r="A7" s="76">
        <v>3</v>
      </c>
      <c r="B7" s="30" t="s">
        <v>63</v>
      </c>
      <c r="C7" s="10">
        <v>42.740829176200002</v>
      </c>
      <c r="D7" s="10">
        <v>59.509028052599994</v>
      </c>
      <c r="E7" s="10">
        <f t="shared" si="0"/>
        <v>102.2498572288</v>
      </c>
    </row>
    <row r="8" spans="1:5" ht="15.75" customHeight="1" x14ac:dyDescent="0.25">
      <c r="A8" s="76">
        <v>4</v>
      </c>
      <c r="B8" s="30" t="s">
        <v>64</v>
      </c>
      <c r="C8" s="10">
        <v>69.465545464800002</v>
      </c>
      <c r="D8" s="10">
        <v>36.453381392200001</v>
      </c>
      <c r="E8" s="10">
        <f>C8+D8</f>
        <v>105.918926857</v>
      </c>
    </row>
    <row r="9" spans="1:5" ht="15.75" customHeight="1" x14ac:dyDescent="0.25">
      <c r="A9" s="76">
        <v>5</v>
      </c>
      <c r="B9" s="30" t="s">
        <v>65</v>
      </c>
      <c r="C9" s="10">
        <v>70.613545464799998</v>
      </c>
      <c r="D9" s="10">
        <v>36.0466199233</v>
      </c>
      <c r="E9" s="10">
        <f t="shared" ref="E9:E11" si="1">C9+D9</f>
        <v>106.6601653881</v>
      </c>
    </row>
    <row r="10" spans="1:5" ht="15.75" customHeight="1" x14ac:dyDescent="0.25">
      <c r="A10" s="76">
        <v>6</v>
      </c>
      <c r="B10" s="30" t="s">
        <v>66</v>
      </c>
      <c r="C10" s="10">
        <v>18.623236932599998</v>
      </c>
      <c r="D10" s="10">
        <v>171.0372205095</v>
      </c>
      <c r="E10" s="10">
        <f t="shared" si="1"/>
        <v>189.66045744210001</v>
      </c>
    </row>
    <row r="11" spans="1:5" ht="15.75" customHeight="1" x14ac:dyDescent="0.25">
      <c r="A11" s="76">
        <v>7</v>
      </c>
      <c r="B11" s="30" t="s">
        <v>68</v>
      </c>
      <c r="C11" s="10">
        <v>36.700000000000003</v>
      </c>
      <c r="D11" s="10">
        <v>13.64</v>
      </c>
      <c r="E11" s="10">
        <f t="shared" si="1"/>
        <v>50.34</v>
      </c>
    </row>
    <row r="12" spans="1:5" ht="15.75" customHeight="1" x14ac:dyDescent="0.25">
      <c r="A12" s="76">
        <v>8</v>
      </c>
      <c r="B12" s="30" t="s">
        <v>59</v>
      </c>
      <c r="C12" s="10">
        <v>31.876399999699998</v>
      </c>
      <c r="D12" s="10">
        <v>105.4742089912</v>
      </c>
      <c r="E12" s="10">
        <f t="shared" ref="E12:E13" si="2">C12+D12</f>
        <v>137.35060899090001</v>
      </c>
    </row>
    <row r="13" spans="1:5" ht="15.75" customHeight="1" x14ac:dyDescent="0.25">
      <c r="A13" s="76">
        <v>9</v>
      </c>
      <c r="B13" s="30" t="s">
        <v>67</v>
      </c>
      <c r="C13" s="10">
        <v>14.8</v>
      </c>
      <c r="D13" s="10">
        <v>118.54622716599999</v>
      </c>
      <c r="E13" s="10">
        <f t="shared" si="2"/>
        <v>133.34622716600001</v>
      </c>
    </row>
    <row r="14" spans="1:5" x14ac:dyDescent="0.25">
      <c r="A14" s="76"/>
      <c r="B14" s="53" t="s">
        <v>38</v>
      </c>
      <c r="C14" s="10">
        <f>SUM(C5:C13)</f>
        <v>361.91847680879999</v>
      </c>
      <c r="D14" s="10">
        <f>SUM(D5:D13)</f>
        <v>697.45979058729995</v>
      </c>
      <c r="E14" s="10">
        <f>SUM(C14:D14)</f>
        <v>1059.3782673961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"/>
  <sheetViews>
    <sheetView topLeftCell="A5" workbookViewId="0">
      <selection activeCell="E22" sqref="E22"/>
    </sheetView>
  </sheetViews>
  <sheetFormatPr defaultRowHeight="15" x14ac:dyDescent="0.25"/>
  <cols>
    <col min="1" max="1" width="7.5703125" customWidth="1"/>
    <col min="2" max="2" width="54.85546875" customWidth="1"/>
    <col min="3" max="3" width="9.140625" customWidth="1"/>
    <col min="4" max="4" width="14.5703125" customWidth="1"/>
    <col min="5" max="5" width="8.85546875" customWidth="1"/>
  </cols>
  <sheetData>
    <row r="1" spans="1:5" ht="15.75" thickBot="1" x14ac:dyDescent="0.3">
      <c r="A1" s="66"/>
      <c r="B1" s="67" t="s">
        <v>36</v>
      </c>
      <c r="C1" s="68"/>
      <c r="D1" s="68"/>
      <c r="E1" s="69"/>
    </row>
    <row r="2" spans="1:5" x14ac:dyDescent="0.25">
      <c r="A2" s="70" t="s">
        <v>0</v>
      </c>
      <c r="B2" s="71" t="s">
        <v>1</v>
      </c>
      <c r="C2" s="72" t="s">
        <v>2</v>
      </c>
      <c r="D2" s="72" t="s">
        <v>3</v>
      </c>
      <c r="E2" s="73" t="s">
        <v>4</v>
      </c>
    </row>
    <row r="3" spans="1:5" ht="38.25" x14ac:dyDescent="0.25">
      <c r="A3" s="8" t="s">
        <v>52</v>
      </c>
      <c r="B3" s="65" t="s">
        <v>50</v>
      </c>
      <c r="C3" s="10" t="s">
        <v>7</v>
      </c>
      <c r="D3" s="11">
        <v>1</v>
      </c>
      <c r="E3" s="12">
        <f>290*3.8</f>
        <v>1102</v>
      </c>
    </row>
    <row r="4" spans="1:5" x14ac:dyDescent="0.25">
      <c r="A4" s="8" t="s">
        <v>9</v>
      </c>
      <c r="B4" s="65" t="s">
        <v>17</v>
      </c>
      <c r="C4" s="10" t="s">
        <v>6</v>
      </c>
      <c r="D4" s="11">
        <v>0.1</v>
      </c>
      <c r="E4" s="12">
        <f>D4*E3</f>
        <v>110.2</v>
      </c>
    </row>
    <row r="5" spans="1:5" ht="15.75" thickBot="1" x14ac:dyDescent="0.3">
      <c r="A5" s="14" t="s">
        <v>19</v>
      </c>
      <c r="B5" s="74" t="s">
        <v>51</v>
      </c>
      <c r="C5" s="15" t="s">
        <v>7</v>
      </c>
      <c r="D5" s="16">
        <v>1.1000000000000001</v>
      </c>
      <c r="E5" s="17">
        <f>D5*E3</f>
        <v>1212.2</v>
      </c>
    </row>
    <row r="6" spans="1:5" ht="38.25" x14ac:dyDescent="0.25">
      <c r="A6" s="60" t="s">
        <v>11</v>
      </c>
      <c r="B6" s="61" t="s">
        <v>40</v>
      </c>
      <c r="C6" s="62" t="s">
        <v>5</v>
      </c>
      <c r="D6" s="63">
        <v>1</v>
      </c>
      <c r="E6" s="64">
        <f>Спец7с3э!C16+Спец6с3э!C14+Спец5с3э!C7+Спец4с3э!C16</f>
        <v>1389.7395421799999</v>
      </c>
    </row>
    <row r="7" spans="1:5" x14ac:dyDescent="0.25">
      <c r="A7" s="8" t="s">
        <v>14</v>
      </c>
      <c r="B7" s="38" t="s">
        <v>8</v>
      </c>
      <c r="C7" s="10" t="s">
        <v>6</v>
      </c>
      <c r="D7" s="11">
        <v>0.25</v>
      </c>
      <c r="E7" s="12">
        <f>$E$6*D7</f>
        <v>347.43488554499999</v>
      </c>
    </row>
    <row r="8" spans="1:5" x14ac:dyDescent="0.25">
      <c r="A8" s="8" t="s">
        <v>15</v>
      </c>
      <c r="B8" s="38" t="s">
        <v>13</v>
      </c>
      <c r="C8" s="10" t="s">
        <v>7</v>
      </c>
      <c r="D8" s="11">
        <v>1.05</v>
      </c>
      <c r="E8" s="12">
        <f t="shared" ref="E8" si="0">$E$6*D8</f>
        <v>1459.226519289</v>
      </c>
    </row>
    <row r="9" spans="1:5" ht="15.75" thickBot="1" x14ac:dyDescent="0.3">
      <c r="A9" s="8" t="s">
        <v>18</v>
      </c>
      <c r="B9" s="18" t="s">
        <v>17</v>
      </c>
      <c r="C9" s="50" t="s">
        <v>6</v>
      </c>
      <c r="D9" s="13">
        <v>1</v>
      </c>
      <c r="E9" s="19">
        <f>$E$6*D9*28.57</f>
        <v>39704.8587200826</v>
      </c>
    </row>
    <row r="10" spans="1:5" ht="38.25" x14ac:dyDescent="0.25">
      <c r="A10" s="39" t="s">
        <v>53</v>
      </c>
      <c r="B10" s="40" t="s">
        <v>16</v>
      </c>
      <c r="C10" s="41" t="s">
        <v>5</v>
      </c>
      <c r="D10" s="42">
        <v>1</v>
      </c>
      <c r="E10" s="43">
        <f>Спец7с3э!D16+Спец6с3э!D14+Спец5с3э!D7+Спец4с3э!D16</f>
        <v>2747.8019152800002</v>
      </c>
    </row>
    <row r="11" spans="1:5" x14ac:dyDescent="0.25">
      <c r="A11" s="8" t="s">
        <v>54</v>
      </c>
      <c r="B11" s="38" t="s">
        <v>17</v>
      </c>
      <c r="C11" s="10" t="s">
        <v>6</v>
      </c>
      <c r="D11" s="11">
        <v>1</v>
      </c>
      <c r="E11" s="12">
        <f>$E$10*D11*32.51</f>
        <v>89331.040265752803</v>
      </c>
    </row>
    <row r="12" spans="1:5" x14ac:dyDescent="0.25">
      <c r="A12" s="8" t="s">
        <v>55</v>
      </c>
      <c r="B12" s="38" t="s">
        <v>10</v>
      </c>
      <c r="C12" s="10" t="s">
        <v>6</v>
      </c>
      <c r="D12" s="11">
        <v>0.15</v>
      </c>
      <c r="E12" s="12">
        <f t="shared" ref="E12:E13" si="1">$E$10*D12</f>
        <v>412.17028729200001</v>
      </c>
    </row>
    <row r="13" spans="1:5" x14ac:dyDescent="0.25">
      <c r="A13" s="8" t="s">
        <v>56</v>
      </c>
      <c r="B13" s="38" t="s">
        <v>13</v>
      </c>
      <c r="C13" s="10" t="s">
        <v>7</v>
      </c>
      <c r="D13" s="11">
        <v>1.05</v>
      </c>
      <c r="E13" s="12">
        <f t="shared" si="1"/>
        <v>2885.1920110440005</v>
      </c>
    </row>
    <row r="14" spans="1:5" ht="15.75" thickBot="1" x14ac:dyDescent="0.3">
      <c r="A14" s="14" t="s">
        <v>57</v>
      </c>
      <c r="B14" s="51" t="s">
        <v>12</v>
      </c>
      <c r="C14" s="15" t="s">
        <v>7</v>
      </c>
      <c r="D14" s="16">
        <v>1</v>
      </c>
      <c r="E14" s="17">
        <f>235.75*4</f>
        <v>943</v>
      </c>
    </row>
    <row r="15" spans="1:5" ht="15.75" thickBot="1" x14ac:dyDescent="0.3"/>
    <row r="16" spans="1:5" x14ac:dyDescent="0.25">
      <c r="A16" s="1"/>
      <c r="B16" s="37" t="s">
        <v>39</v>
      </c>
      <c r="C16" s="2"/>
      <c r="D16" s="2"/>
      <c r="E16" s="3"/>
    </row>
    <row r="17" spans="1:5" ht="15.75" thickBot="1" x14ac:dyDescent="0.3">
      <c r="A17" s="4" t="s">
        <v>0</v>
      </c>
      <c r="B17" s="5" t="s">
        <v>1</v>
      </c>
      <c r="C17" s="6" t="s">
        <v>2</v>
      </c>
      <c r="D17" s="6" t="s">
        <v>3</v>
      </c>
      <c r="E17" s="7" t="s">
        <v>4</v>
      </c>
    </row>
    <row r="18" spans="1:5" ht="25.5" x14ac:dyDescent="0.25">
      <c r="A18" s="39">
        <v>1</v>
      </c>
      <c r="B18" s="40" t="s">
        <v>34</v>
      </c>
      <c r="C18" s="41" t="s">
        <v>5</v>
      </c>
      <c r="D18" s="42">
        <v>1</v>
      </c>
      <c r="E18" s="43">
        <f>E10+E6</f>
        <v>4137.5414574599999</v>
      </c>
    </row>
    <row r="19" spans="1:5" x14ac:dyDescent="0.25">
      <c r="A19" s="8">
        <v>1.1000000000000001</v>
      </c>
      <c r="B19" s="18" t="s">
        <v>10</v>
      </c>
      <c r="C19" s="10" t="s">
        <v>6</v>
      </c>
      <c r="D19" s="13">
        <v>0.15</v>
      </c>
      <c r="E19" s="19">
        <f>$E$18*D19</f>
        <v>620.63121861899992</v>
      </c>
    </row>
    <row r="20" spans="1:5" x14ac:dyDescent="0.25">
      <c r="A20" s="8" t="s">
        <v>9</v>
      </c>
      <c r="B20" s="9" t="s">
        <v>33</v>
      </c>
      <c r="C20" s="10" t="s">
        <v>6</v>
      </c>
      <c r="D20" s="11">
        <v>1.8</v>
      </c>
      <c r="E20" s="19">
        <f>$E$18*D20</f>
        <v>7447.5746234280005</v>
      </c>
    </row>
    <row r="21" spans="1:5" ht="15.75" thickBot="1" x14ac:dyDescent="0.3">
      <c r="A21" s="14" t="s">
        <v>19</v>
      </c>
      <c r="B21" s="21" t="s">
        <v>35</v>
      </c>
      <c r="C21" s="15" t="s">
        <v>7</v>
      </c>
      <c r="D21" s="22">
        <v>0.3</v>
      </c>
      <c r="E21" s="17">
        <v>75.13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6"/>
  <sheetViews>
    <sheetView workbookViewId="0">
      <selection activeCell="C16" sqref="C16"/>
    </sheetView>
  </sheetViews>
  <sheetFormatPr defaultRowHeight="15" x14ac:dyDescent="0.25"/>
  <cols>
    <col min="2" max="2" width="13.7109375" customWidth="1"/>
    <col min="3" max="3" width="12.7109375" customWidth="1"/>
    <col min="4" max="4" width="17" customWidth="1"/>
    <col min="5" max="5" width="10.140625" customWidth="1"/>
  </cols>
  <sheetData>
    <row r="1" spans="1:5" x14ac:dyDescent="0.25">
      <c r="A1" s="86" t="s">
        <v>21</v>
      </c>
      <c r="B1" s="86"/>
      <c r="C1" s="86"/>
      <c r="D1" s="86"/>
      <c r="E1" s="86"/>
    </row>
    <row r="2" spans="1:5" x14ac:dyDescent="0.25">
      <c r="A2" s="84" t="s">
        <v>37</v>
      </c>
      <c r="B2" s="84"/>
      <c r="C2" s="84"/>
      <c r="D2" s="84"/>
      <c r="E2" s="84"/>
    </row>
    <row r="3" spans="1:5" ht="25.5" x14ac:dyDescent="0.25">
      <c r="A3" s="78"/>
      <c r="B3" s="30"/>
      <c r="C3" s="27" t="s">
        <v>23</v>
      </c>
      <c r="D3" s="77" t="s">
        <v>24</v>
      </c>
      <c r="E3" s="78" t="s">
        <v>32</v>
      </c>
    </row>
    <row r="4" spans="1:5" x14ac:dyDescent="0.25">
      <c r="A4" s="78" t="s">
        <v>0</v>
      </c>
      <c r="B4" s="28" t="s">
        <v>20</v>
      </c>
      <c r="C4" s="10" t="s">
        <v>22</v>
      </c>
      <c r="D4" s="10" t="s">
        <v>22</v>
      </c>
      <c r="E4" s="78"/>
    </row>
    <row r="5" spans="1:5" x14ac:dyDescent="0.25">
      <c r="A5" s="78">
        <v>1</v>
      </c>
      <c r="B5" s="30" t="s">
        <v>79</v>
      </c>
      <c r="C5" s="10">
        <v>4.4658036399999999</v>
      </c>
      <c r="D5" s="10">
        <v>69.887666919999987</v>
      </c>
      <c r="E5" s="87">
        <f>C5+D5</f>
        <v>74.353470559999991</v>
      </c>
    </row>
    <row r="6" spans="1:5" x14ac:dyDescent="0.25">
      <c r="A6" s="78">
        <v>2</v>
      </c>
      <c r="B6" s="30" t="s">
        <v>77</v>
      </c>
      <c r="C6" s="10">
        <v>11.899999999999999</v>
      </c>
      <c r="D6" s="10">
        <v>83.583314279999996</v>
      </c>
      <c r="E6" s="10">
        <f t="shared" ref="E6:E7" si="0">C6+D6</f>
        <v>95.483314280000002</v>
      </c>
    </row>
    <row r="7" spans="1:5" x14ac:dyDescent="0.25">
      <c r="A7" s="78">
        <v>3</v>
      </c>
      <c r="B7" s="30" t="s">
        <v>69</v>
      </c>
      <c r="C7" s="10">
        <v>82.408188199999998</v>
      </c>
      <c r="D7" s="10">
        <v>126.88863340000002</v>
      </c>
      <c r="E7" s="87">
        <f t="shared" si="0"/>
        <v>209.29682160000002</v>
      </c>
    </row>
    <row r="8" spans="1:5" x14ac:dyDescent="0.25">
      <c r="A8" s="78">
        <v>4</v>
      </c>
      <c r="B8" s="30" t="s">
        <v>70</v>
      </c>
      <c r="C8" s="10">
        <v>66.421027600000002</v>
      </c>
      <c r="D8" s="10">
        <v>220.50730367</v>
      </c>
      <c r="E8" s="87">
        <f>C8+D8</f>
        <v>286.92833127</v>
      </c>
    </row>
    <row r="9" spans="1:5" x14ac:dyDescent="0.25">
      <c r="A9" s="78">
        <v>5</v>
      </c>
      <c r="B9" s="30" t="s">
        <v>75</v>
      </c>
      <c r="C9" s="10">
        <v>107.2082332</v>
      </c>
      <c r="D9" s="10">
        <v>120.97256036</v>
      </c>
      <c r="E9" s="87">
        <f t="shared" ref="E9:E15" si="1">C9+D9</f>
        <v>228.18079355999998</v>
      </c>
    </row>
    <row r="10" spans="1:5" x14ac:dyDescent="0.25">
      <c r="A10" s="78">
        <v>6</v>
      </c>
      <c r="B10" s="30" t="s">
        <v>71</v>
      </c>
      <c r="C10" s="10">
        <v>58.46</v>
      </c>
      <c r="D10" s="10">
        <v>80.532918559999999</v>
      </c>
      <c r="E10" s="10">
        <f t="shared" si="1"/>
        <v>138.99291855999999</v>
      </c>
    </row>
    <row r="11" spans="1:5" x14ac:dyDescent="0.25">
      <c r="A11" s="78">
        <v>7</v>
      </c>
      <c r="B11" s="30" t="s">
        <v>72</v>
      </c>
      <c r="C11" s="10">
        <v>32.572800000000001</v>
      </c>
      <c r="D11" s="10">
        <v>101.40153359999999</v>
      </c>
      <c r="E11" s="87">
        <f t="shared" si="1"/>
        <v>133.97433359999999</v>
      </c>
    </row>
    <row r="12" spans="1:5" x14ac:dyDescent="0.25">
      <c r="A12" s="78">
        <v>8</v>
      </c>
      <c r="B12" s="30" t="s">
        <v>76</v>
      </c>
      <c r="C12" s="10">
        <v>12.385599999999998</v>
      </c>
      <c r="D12" s="10">
        <v>16.096</v>
      </c>
      <c r="E12" s="87">
        <f t="shared" si="1"/>
        <v>28.4816</v>
      </c>
    </row>
    <row r="13" spans="1:5" x14ac:dyDescent="0.25">
      <c r="A13" s="78">
        <v>9</v>
      </c>
      <c r="B13" s="30" t="s">
        <v>78</v>
      </c>
      <c r="C13" s="10">
        <v>66.115608219999999</v>
      </c>
      <c r="D13" s="10">
        <v>36.970356110000004</v>
      </c>
      <c r="E13" s="87">
        <f t="shared" si="1"/>
        <v>103.08596433</v>
      </c>
    </row>
    <row r="14" spans="1:5" x14ac:dyDescent="0.25">
      <c r="A14" s="78">
        <v>10</v>
      </c>
      <c r="B14" s="30" t="s">
        <v>73</v>
      </c>
      <c r="C14" s="10">
        <v>6.8</v>
      </c>
      <c r="D14" s="10">
        <v>47.174515600000007</v>
      </c>
      <c r="E14" s="87">
        <f t="shared" si="1"/>
        <v>53.974515600000004</v>
      </c>
    </row>
    <row r="15" spans="1:5" x14ac:dyDescent="0.25">
      <c r="A15" s="78">
        <v>11</v>
      </c>
      <c r="B15" s="30" t="s">
        <v>74</v>
      </c>
      <c r="C15" s="10">
        <v>13.792</v>
      </c>
      <c r="D15" s="10">
        <v>36.183082400000004</v>
      </c>
      <c r="E15" s="87">
        <f t="shared" si="1"/>
        <v>49.975082400000005</v>
      </c>
    </row>
    <row r="16" spans="1:5" x14ac:dyDescent="0.25">
      <c r="A16" s="78"/>
      <c r="B16" s="53" t="s">
        <v>38</v>
      </c>
      <c r="C16" s="10">
        <f>SUM(C5:C15)</f>
        <v>462.52926085999997</v>
      </c>
      <c r="D16" s="10">
        <f t="shared" ref="D16:E16" si="2">SUM(D5:D15)</f>
        <v>940.19788490000008</v>
      </c>
      <c r="E16" s="10">
        <f t="shared" si="2"/>
        <v>1402.7271457599998</v>
      </c>
    </row>
  </sheetData>
  <sortState ref="B5:B15">
    <sortCondition ref="B5"/>
  </sortState>
  <mergeCells count="2">
    <mergeCell ref="A1:E1"/>
    <mergeCell ref="A2:E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3" sqref="C5:C13"/>
    </sheetView>
  </sheetViews>
  <sheetFormatPr defaultRowHeight="15" x14ac:dyDescent="0.25"/>
  <cols>
    <col min="2" max="2" width="13.7109375" customWidth="1"/>
    <col min="3" max="3" width="12.7109375" customWidth="1"/>
    <col min="4" max="4" width="17" customWidth="1"/>
    <col min="5" max="5" width="10.140625" customWidth="1"/>
  </cols>
  <sheetData>
    <row r="1" spans="1:5" x14ac:dyDescent="0.25">
      <c r="A1" s="86" t="s">
        <v>21</v>
      </c>
      <c r="B1" s="86"/>
      <c r="C1" s="86"/>
      <c r="D1" s="86"/>
      <c r="E1" s="86"/>
    </row>
    <row r="2" spans="1:5" x14ac:dyDescent="0.25">
      <c r="A2" s="84" t="s">
        <v>37</v>
      </c>
      <c r="B2" s="84"/>
      <c r="C2" s="84"/>
      <c r="D2" s="84"/>
      <c r="E2" s="84"/>
    </row>
    <row r="3" spans="1:5" ht="25.5" x14ac:dyDescent="0.25">
      <c r="A3" s="78"/>
      <c r="B3" s="30"/>
      <c r="C3" s="27" t="s">
        <v>23</v>
      </c>
      <c r="D3" s="77" t="s">
        <v>24</v>
      </c>
      <c r="E3" s="78" t="s">
        <v>32</v>
      </c>
    </row>
    <row r="4" spans="1:5" x14ac:dyDescent="0.25">
      <c r="A4" s="78" t="s">
        <v>0</v>
      </c>
      <c r="B4" s="28" t="s">
        <v>20</v>
      </c>
      <c r="C4" s="10" t="s">
        <v>22</v>
      </c>
      <c r="D4" s="10" t="s">
        <v>22</v>
      </c>
      <c r="E4" s="78"/>
    </row>
    <row r="5" spans="1:5" x14ac:dyDescent="0.25">
      <c r="A5" s="78">
        <v>1</v>
      </c>
      <c r="B5" s="30" t="s">
        <v>86</v>
      </c>
      <c r="C5" s="10">
        <v>62.963999999999999</v>
      </c>
      <c r="D5" s="10">
        <v>181.70322495999997</v>
      </c>
      <c r="E5" s="10">
        <f>C5+D5</f>
        <v>244.66722495999997</v>
      </c>
    </row>
    <row r="6" spans="1:5" x14ac:dyDescent="0.25">
      <c r="A6" s="78">
        <v>2</v>
      </c>
      <c r="B6" s="30" t="s">
        <v>82</v>
      </c>
      <c r="C6" s="10">
        <v>4.3300179999999999</v>
      </c>
      <c r="D6" s="10">
        <v>67.694470760000002</v>
      </c>
      <c r="E6" s="10">
        <f t="shared" ref="E6:E7" si="0">C6+D6</f>
        <v>72.024488759999997</v>
      </c>
    </row>
    <row r="7" spans="1:5" x14ac:dyDescent="0.25">
      <c r="A7" s="78">
        <v>3</v>
      </c>
      <c r="B7" s="30" t="s">
        <v>87</v>
      </c>
      <c r="C7" s="10">
        <v>64.902808519999994</v>
      </c>
      <c r="D7" s="10">
        <v>100.62324375999999</v>
      </c>
      <c r="E7" s="10">
        <f t="shared" si="0"/>
        <v>165.52605227999999</v>
      </c>
    </row>
    <row r="8" spans="1:5" x14ac:dyDescent="0.25">
      <c r="A8" s="78">
        <v>4</v>
      </c>
      <c r="B8" s="30" t="s">
        <v>83</v>
      </c>
      <c r="C8" s="10">
        <v>197.50406935999999</v>
      </c>
      <c r="D8" s="10">
        <v>149.17202871999996</v>
      </c>
      <c r="E8" s="10">
        <f>C8+D8</f>
        <v>346.67609807999997</v>
      </c>
    </row>
    <row r="9" spans="1:5" x14ac:dyDescent="0.25">
      <c r="A9" s="78">
        <v>5</v>
      </c>
      <c r="B9" s="30" t="s">
        <v>88</v>
      </c>
      <c r="C9" s="10">
        <v>16.28</v>
      </c>
      <c r="D9" s="10">
        <v>71.948570680000003</v>
      </c>
      <c r="E9" s="10">
        <f t="shared" ref="E9:E13" si="1">C9+D9</f>
        <v>88.228570680000004</v>
      </c>
    </row>
    <row r="10" spans="1:5" x14ac:dyDescent="0.25">
      <c r="A10" s="78">
        <v>6</v>
      </c>
      <c r="B10" s="30" t="s">
        <v>81</v>
      </c>
      <c r="C10" s="10">
        <v>45.676007200000001</v>
      </c>
      <c r="D10" s="10">
        <v>49.025836000000005</v>
      </c>
      <c r="E10" s="10">
        <f t="shared" si="1"/>
        <v>94.701843200000013</v>
      </c>
    </row>
    <row r="11" spans="1:5" x14ac:dyDescent="0.25">
      <c r="A11" s="78">
        <v>7</v>
      </c>
      <c r="B11" s="30" t="s">
        <v>84</v>
      </c>
      <c r="C11" s="10">
        <v>3.2</v>
      </c>
      <c r="D11" s="10">
        <v>29.332000000000001</v>
      </c>
      <c r="E11" s="10">
        <f t="shared" si="1"/>
        <v>32.532000000000004</v>
      </c>
    </row>
    <row r="12" spans="1:5" x14ac:dyDescent="0.25">
      <c r="A12" s="78">
        <v>8</v>
      </c>
      <c r="B12" s="30" t="s">
        <v>85</v>
      </c>
      <c r="C12" s="10">
        <v>0</v>
      </c>
      <c r="D12" s="10">
        <v>35.037599999999998</v>
      </c>
      <c r="E12" s="10">
        <f t="shared" si="1"/>
        <v>35.037599999999998</v>
      </c>
    </row>
    <row r="13" spans="1:5" x14ac:dyDescent="0.25">
      <c r="A13" s="78">
        <v>9</v>
      </c>
      <c r="B13" s="30" t="s">
        <v>80</v>
      </c>
      <c r="C13" s="10">
        <v>25.695999999999998</v>
      </c>
      <c r="D13" s="10">
        <v>18.758199999999999</v>
      </c>
      <c r="E13" s="10">
        <f t="shared" si="1"/>
        <v>44.4542</v>
      </c>
    </row>
    <row r="14" spans="1:5" x14ac:dyDescent="0.25">
      <c r="A14" s="78"/>
      <c r="B14" s="53" t="s">
        <v>38</v>
      </c>
      <c r="C14" s="10">
        <f>SUM(C5:C13)</f>
        <v>420.55290307999996</v>
      </c>
      <c r="D14" s="10">
        <f>SUM(D5:D13)</f>
        <v>703.29517487999999</v>
      </c>
      <c r="E14" s="10">
        <f>SUM(E5:E13)</f>
        <v>1123.8480779599997</v>
      </c>
    </row>
  </sheetData>
  <sortState ref="B5:B15">
    <sortCondition ref="B5"/>
  </sortState>
  <mergeCells count="2">
    <mergeCell ref="A1:E1"/>
    <mergeCell ref="A2:E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"/>
  <sheetViews>
    <sheetView workbookViewId="0">
      <selection activeCell="C7" sqref="C7"/>
    </sheetView>
  </sheetViews>
  <sheetFormatPr defaultRowHeight="15" x14ac:dyDescent="0.25"/>
  <cols>
    <col min="2" max="2" width="13.7109375" customWidth="1"/>
    <col min="3" max="3" width="12.7109375" customWidth="1"/>
    <col min="4" max="4" width="17" customWidth="1"/>
    <col min="5" max="5" width="10.140625" customWidth="1"/>
  </cols>
  <sheetData>
    <row r="1" spans="1:5" x14ac:dyDescent="0.25">
      <c r="A1" s="86" t="s">
        <v>21</v>
      </c>
      <c r="B1" s="86"/>
      <c r="C1" s="86"/>
      <c r="D1" s="86"/>
      <c r="E1" s="86"/>
    </row>
    <row r="2" spans="1:5" x14ac:dyDescent="0.25">
      <c r="A2" s="84" t="s">
        <v>37</v>
      </c>
      <c r="B2" s="84"/>
      <c r="C2" s="84"/>
      <c r="D2" s="84"/>
      <c r="E2" s="84"/>
    </row>
    <row r="3" spans="1:5" ht="25.5" x14ac:dyDescent="0.25">
      <c r="A3" s="78"/>
      <c r="B3" s="30"/>
      <c r="C3" s="27" t="s">
        <v>23</v>
      </c>
      <c r="D3" s="77" t="s">
        <v>24</v>
      </c>
      <c r="E3" s="78" t="s">
        <v>32</v>
      </c>
    </row>
    <row r="4" spans="1:5" x14ac:dyDescent="0.25">
      <c r="A4" s="78" t="s">
        <v>0</v>
      </c>
      <c r="B4" s="28" t="s">
        <v>20</v>
      </c>
      <c r="C4" s="10" t="s">
        <v>22</v>
      </c>
      <c r="D4" s="10" t="s">
        <v>22</v>
      </c>
      <c r="E4" s="78"/>
    </row>
    <row r="5" spans="1:5" x14ac:dyDescent="0.25">
      <c r="A5" s="78">
        <v>1</v>
      </c>
      <c r="B5" s="30" t="s">
        <v>90</v>
      </c>
      <c r="C5" s="10">
        <v>19.2</v>
      </c>
      <c r="D5" s="10">
        <v>98.868097649999996</v>
      </c>
      <c r="E5" s="10">
        <f>C5+D5</f>
        <v>118.06809765</v>
      </c>
    </row>
    <row r="6" spans="1:5" x14ac:dyDescent="0.25">
      <c r="A6" s="78">
        <v>2</v>
      </c>
      <c r="B6" s="30" t="s">
        <v>89</v>
      </c>
      <c r="C6" s="10">
        <v>87.732303720000004</v>
      </c>
      <c r="D6" s="10">
        <v>161.63025861</v>
      </c>
      <c r="E6" s="10">
        <f t="shared" ref="E6" si="0">C6+D6</f>
        <v>249.36256233</v>
      </c>
    </row>
    <row r="7" spans="1:5" x14ac:dyDescent="0.25">
      <c r="A7" s="78"/>
      <c r="B7" s="53" t="s">
        <v>38</v>
      </c>
      <c r="C7" s="10">
        <f>SUM(C5:C6)</f>
        <v>106.93230372000001</v>
      </c>
      <c r="D7" s="10">
        <f>SUM(D5:D6)</f>
        <v>260.49835625999998</v>
      </c>
      <c r="E7" s="10">
        <f>SUM(E5:E6)</f>
        <v>367.43065997999997</v>
      </c>
    </row>
  </sheetData>
  <sortState ref="B5:B6">
    <sortCondition ref="B6"/>
  </sortState>
  <mergeCells count="2">
    <mergeCell ref="A1:E1"/>
    <mergeCell ref="A2:E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6"/>
  <sheetViews>
    <sheetView tabSelected="1" topLeftCell="A2" workbookViewId="0">
      <selection activeCell="C16" sqref="C16"/>
    </sheetView>
  </sheetViews>
  <sheetFormatPr defaultRowHeight="15" x14ac:dyDescent="0.25"/>
  <cols>
    <col min="2" max="2" width="13.7109375" customWidth="1"/>
    <col min="3" max="3" width="12.7109375" customWidth="1"/>
    <col min="4" max="4" width="17" customWidth="1"/>
    <col min="5" max="5" width="10.140625" customWidth="1"/>
  </cols>
  <sheetData>
    <row r="1" spans="1:5" x14ac:dyDescent="0.25">
      <c r="A1" s="86" t="s">
        <v>21</v>
      </c>
      <c r="B1" s="86"/>
      <c r="C1" s="86"/>
      <c r="D1" s="86"/>
      <c r="E1" s="86"/>
    </row>
    <row r="2" spans="1:5" x14ac:dyDescent="0.25">
      <c r="A2" s="84" t="s">
        <v>37</v>
      </c>
      <c r="B2" s="84"/>
      <c r="C2" s="84"/>
      <c r="D2" s="84"/>
      <c r="E2" s="84"/>
    </row>
    <row r="3" spans="1:5" ht="25.5" x14ac:dyDescent="0.25">
      <c r="A3" s="78"/>
      <c r="B3" s="30"/>
      <c r="C3" s="27" t="s">
        <v>23</v>
      </c>
      <c r="D3" s="77" t="s">
        <v>24</v>
      </c>
      <c r="E3" s="78" t="s">
        <v>32</v>
      </c>
    </row>
    <row r="4" spans="1:5" x14ac:dyDescent="0.25">
      <c r="A4" s="78" t="s">
        <v>0</v>
      </c>
      <c r="B4" s="28" t="s">
        <v>20</v>
      </c>
      <c r="C4" s="10" t="s">
        <v>22</v>
      </c>
      <c r="D4" s="10" t="s">
        <v>22</v>
      </c>
      <c r="E4" s="78"/>
    </row>
    <row r="5" spans="1:5" x14ac:dyDescent="0.25">
      <c r="A5" s="78">
        <v>1</v>
      </c>
      <c r="B5" s="30" t="s">
        <v>91</v>
      </c>
      <c r="C5" s="10">
        <v>31.24</v>
      </c>
      <c r="D5" s="10">
        <v>108.48</v>
      </c>
      <c r="E5" s="10">
        <f>C5+D5</f>
        <v>139.72</v>
      </c>
    </row>
    <row r="6" spans="1:5" x14ac:dyDescent="0.25">
      <c r="A6" s="78">
        <v>2</v>
      </c>
      <c r="B6" s="30" t="s">
        <v>92</v>
      </c>
      <c r="C6" s="10">
        <v>21.409132</v>
      </c>
      <c r="D6" s="10">
        <v>85.789200000000008</v>
      </c>
      <c r="E6" s="10">
        <f t="shared" ref="E6" si="0">C6+D6</f>
        <v>107.19833200000001</v>
      </c>
    </row>
    <row r="7" spans="1:5" x14ac:dyDescent="0.25">
      <c r="A7" s="78">
        <v>3</v>
      </c>
      <c r="B7" s="30" t="s">
        <v>93</v>
      </c>
      <c r="C7" s="10">
        <v>47.185615720000008</v>
      </c>
      <c r="D7" s="10">
        <v>70.117447959999993</v>
      </c>
      <c r="E7" s="10">
        <f>C7+D7</f>
        <v>117.30306368000001</v>
      </c>
    </row>
    <row r="8" spans="1:5" x14ac:dyDescent="0.25">
      <c r="A8" s="78">
        <v>4</v>
      </c>
      <c r="B8" s="30" t="s">
        <v>94</v>
      </c>
      <c r="C8" s="10">
        <v>66.699999999999989</v>
      </c>
      <c r="D8" s="10">
        <v>262.95395388000003</v>
      </c>
      <c r="E8" s="10">
        <f t="shared" ref="E8:E13" si="1">C8+D8</f>
        <v>329.65395388000002</v>
      </c>
    </row>
    <row r="9" spans="1:5" x14ac:dyDescent="0.25">
      <c r="A9" s="78">
        <v>5</v>
      </c>
      <c r="B9" s="30" t="s">
        <v>95</v>
      </c>
      <c r="C9" s="10">
        <v>74.399999999999991</v>
      </c>
      <c r="D9" s="10">
        <v>36.715817960000003</v>
      </c>
      <c r="E9" s="10">
        <f t="shared" si="1"/>
        <v>111.11581795999999</v>
      </c>
    </row>
    <row r="10" spans="1:5" x14ac:dyDescent="0.25">
      <c r="A10" s="78">
        <v>6</v>
      </c>
      <c r="B10" s="30" t="s">
        <v>96</v>
      </c>
      <c r="C10" s="10">
        <v>7.82</v>
      </c>
      <c r="D10" s="10">
        <v>31.377599999999997</v>
      </c>
      <c r="E10" s="10">
        <f t="shared" si="1"/>
        <v>39.197599999999994</v>
      </c>
    </row>
    <row r="11" spans="1:5" x14ac:dyDescent="0.25">
      <c r="A11" s="78">
        <v>7</v>
      </c>
      <c r="B11" s="30" t="s">
        <v>97</v>
      </c>
      <c r="C11" s="10">
        <v>1.2003268</v>
      </c>
      <c r="D11" s="10">
        <v>60.312200000000004</v>
      </c>
      <c r="E11" s="10">
        <f t="shared" si="1"/>
        <v>61.512526800000003</v>
      </c>
    </row>
    <row r="12" spans="1:5" x14ac:dyDescent="0.25">
      <c r="A12" s="78">
        <v>8</v>
      </c>
      <c r="B12" s="30" t="s">
        <v>98</v>
      </c>
      <c r="C12" s="10">
        <v>0</v>
      </c>
      <c r="D12" s="10">
        <v>63.162099999999995</v>
      </c>
      <c r="E12" s="10">
        <f t="shared" si="1"/>
        <v>63.162099999999995</v>
      </c>
    </row>
    <row r="13" spans="1:5" x14ac:dyDescent="0.25">
      <c r="A13" s="79">
        <v>9</v>
      </c>
      <c r="B13" s="30" t="s">
        <v>99</v>
      </c>
      <c r="C13" s="10">
        <v>25.72</v>
      </c>
      <c r="D13" s="10">
        <v>17.779999999999998</v>
      </c>
      <c r="E13" s="10">
        <f t="shared" si="1"/>
        <v>43.5</v>
      </c>
    </row>
    <row r="14" spans="1:5" x14ac:dyDescent="0.25">
      <c r="A14" s="79">
        <v>10</v>
      </c>
      <c r="B14" s="30" t="s">
        <v>101</v>
      </c>
      <c r="C14" s="10">
        <v>48.6</v>
      </c>
      <c r="D14" s="10">
        <v>67.62636148</v>
      </c>
      <c r="E14" s="10">
        <f t="shared" ref="E14:E15" si="2">C14+D14</f>
        <v>116.22636148000001</v>
      </c>
    </row>
    <row r="15" spans="1:5" x14ac:dyDescent="0.25">
      <c r="A15" s="79">
        <v>11</v>
      </c>
      <c r="B15" s="30" t="s">
        <v>100</v>
      </c>
      <c r="C15" s="10">
        <v>75.45</v>
      </c>
      <c r="D15" s="10">
        <v>39.495817960000004</v>
      </c>
      <c r="E15" s="10">
        <f t="shared" si="2"/>
        <v>114.94581796</v>
      </c>
    </row>
    <row r="16" spans="1:5" x14ac:dyDescent="0.25">
      <c r="A16" s="78"/>
      <c r="B16" s="53" t="s">
        <v>38</v>
      </c>
      <c r="C16" s="10">
        <f>SUM(C5:C15)</f>
        <v>399.72507451999996</v>
      </c>
      <c r="D16" s="10">
        <f>SUM(D5:D15)</f>
        <v>843.81049924000001</v>
      </c>
      <c r="E16" s="10">
        <f>SUM(E5:E15)</f>
        <v>1243.5355737599998</v>
      </c>
    </row>
  </sheetData>
  <mergeCells count="2">
    <mergeCell ref="A1:E1"/>
    <mergeCell ref="A2:E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13</vt:i4>
      </vt:variant>
    </vt:vector>
  </HeadingPairs>
  <TitlesOfParts>
    <vt:vector size="13" baseType="lpstr">
      <vt:lpstr>ВОР</vt:lpstr>
      <vt:lpstr>Специф.</vt:lpstr>
      <vt:lpstr>ВОР 6с</vt:lpstr>
      <vt:lpstr>спец 6с</vt:lpstr>
      <vt:lpstr>ВОР 5с</vt:lpstr>
      <vt:lpstr>спец 5с</vt:lpstr>
      <vt:lpstr>ВОР 4с</vt:lpstr>
      <vt:lpstr>спец 4с</vt:lpstr>
      <vt:lpstr>ВОР 3э1ч</vt:lpstr>
      <vt:lpstr>Спец7с3э</vt:lpstr>
      <vt:lpstr>Спец6с3э</vt:lpstr>
      <vt:lpstr>Спец5с3э</vt:lpstr>
      <vt:lpstr>Спец4с3э</vt:lpstr>
    </vt:vector>
  </TitlesOfParts>
  <Company>HP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МирзаяновИИ</dc:creator>
  <cp:lastModifiedBy>МирзаяновИИ</cp:lastModifiedBy>
  <dcterms:created xsi:type="dcterms:W3CDTF">2025-09-20T10:19:57Z</dcterms:created>
  <dcterms:modified xsi:type="dcterms:W3CDTF">2025-10-31T08:35:08Z</dcterms:modified>
</cp:coreProperties>
</file>