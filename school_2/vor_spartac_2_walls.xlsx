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firstSheet="5" activeTab="9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  <sheet name="ВОР 4с" sheetId="8" r:id="rId7"/>
    <sheet name="спец 4с" sheetId="9" r:id="rId8"/>
    <sheet name="ВОР ч1э3" sheetId="10" r:id="rId9"/>
    <sheet name="Спец7с3э" sheetId="11" r:id="rId10"/>
    <sheet name="Спец6с3э" sheetId="12" r:id="rId11"/>
    <sheet name="Спец5с3э" sheetId="13" r:id="rId12"/>
    <sheet name="Спец4с3э" sheetId="14" r:id="rId13"/>
  </sheets>
  <calcPr calcId="152511"/>
</workbook>
</file>

<file path=xl/calcChain.xml><?xml version="1.0" encoding="utf-8"?>
<calcChain xmlns="http://schemas.openxmlformats.org/spreadsheetml/2006/main">
  <c r="E10" i="10" l="1"/>
  <c r="E6" i="10"/>
  <c r="E3" i="10"/>
  <c r="E14" i="10"/>
  <c r="E13" i="14"/>
  <c r="E11" i="10" l="1"/>
  <c r="E9" i="10"/>
  <c r="E5" i="10"/>
  <c r="E4" i="10"/>
  <c r="E15" i="14"/>
  <c r="E14" i="14"/>
  <c r="D16" i="14"/>
  <c r="C16" i="14"/>
  <c r="E12" i="14"/>
  <c r="E11" i="14"/>
  <c r="E10" i="14"/>
  <c r="E9" i="14"/>
  <c r="E8" i="14"/>
  <c r="E7" i="14"/>
  <c r="E6" i="14"/>
  <c r="E5" i="14"/>
  <c r="D7" i="13"/>
  <c r="C7" i="13"/>
  <c r="E6" i="13"/>
  <c r="E5" i="13"/>
  <c r="E7" i="13" s="1"/>
  <c r="D14" i="12"/>
  <c r="C14" i="12"/>
  <c r="E13" i="12"/>
  <c r="E12" i="12"/>
  <c r="E11" i="12"/>
  <c r="E10" i="12"/>
  <c r="E9" i="12"/>
  <c r="E8" i="12"/>
  <c r="E7" i="12"/>
  <c r="E6" i="12"/>
  <c r="E5" i="12"/>
  <c r="E14" i="11"/>
  <c r="E15" i="11"/>
  <c r="D16" i="11"/>
  <c r="C16" i="11"/>
  <c r="E13" i="11"/>
  <c r="E12" i="11"/>
  <c r="E11" i="11"/>
  <c r="E10" i="11"/>
  <c r="E9" i="11"/>
  <c r="E8" i="11"/>
  <c r="E7" i="11"/>
  <c r="E6" i="11"/>
  <c r="E5" i="11"/>
  <c r="E16" i="11" l="1"/>
  <c r="E13" i="10"/>
  <c r="E12" i="10"/>
  <c r="E7" i="10"/>
  <c r="E18" i="10"/>
  <c r="E8" i="10"/>
  <c r="E16" i="14"/>
  <c r="E14" i="12"/>
  <c r="E14" i="8"/>
  <c r="E11" i="9"/>
  <c r="E8" i="9"/>
  <c r="E12" i="9"/>
  <c r="E13" i="9"/>
  <c r="C14" i="9"/>
  <c r="E5" i="8"/>
  <c r="E4" i="8"/>
  <c r="E20" i="10" l="1"/>
  <c r="E19" i="10"/>
  <c r="E5" i="9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<sst xmlns="http://schemas.openxmlformats.org/spreadsheetml/2006/main" count="428" uniqueCount="106">
  <si>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</si>
  <si>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</si>
  <si>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</si>
  <si>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</si>
  <si>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</si>
  <si>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</si>
  <si>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</si>
  <si>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</si>
  <si>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</si>
  <si>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</si>
  <si>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</si>
  <si>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</si>
  <si>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</si>
  <si>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</si>
  <si>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</si>
  <si>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</si>
  <si>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</si>
  <si>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</si>
  <si>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</si>
  <si>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</si>
  <si>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</si>
  <si>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</si>
  <si>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</si>
  <si>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</si>
  <si>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</si>
  <si>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</si>
  <si>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</si>
  <si>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</si>
  <si>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</si>
  <si>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</si>
  <si>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</si>
  <si>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</si>
  <si>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</si>
  <si>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</si>
  <si>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</si>
  <si>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</si>
  <si>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</si>
  <si>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</si>
  <si>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</si>
  <si>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</si>
  <si>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</si>
  <si>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</si>
  <si>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</si>
  <si>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</si>
  <si>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</si>
  <si>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</si>
  <si>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</si>
  <si>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</si>
  <si>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</si>
  <si>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</si>
  <si>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</si>
  <si>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</si>
  <si>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</si>
  <si>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</si>
  <si>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</si>
  <si>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</si>
  <si>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</si>
  <si>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</si>
  <si>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</si>
  <si>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</si>
  <si>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</si>
  <si>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</si>
  <si>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</si>
  <si>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</si>
  <si>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</si>
  <si>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</si>
  <si>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</si>
  <si>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</si>
  <si>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</si>
  <si>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</si>
  <si>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</si>
  <si>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</si>
  <si>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</si>
  <si>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</si>
  <si>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</si>
  <si>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</si>
  <si>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</si>
  <si>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</si>
  <si>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</si>
  <si>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</si>
  <si>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</si>
  <si>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</si>
  <si>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</si>
  <si>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</si>
  <si>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</si>
  <si>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</si>
  <si>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</si>
  <si>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</si>
  <si>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</si>
  <si>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</si>
  <si>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</si>
  <si>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</si>
  <si>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</si>
  <si>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</si>
  <si>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</si>
  <si>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</si>
  <si>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</si>
  <si>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</si>
  <si>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</si>
  <si>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</si>
  <si>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</si>
  <si>
    <t>3.035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</si>
  <si>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</si>
  <si>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</si>
  <si>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 секция)</t>
  </si>
  <si>
    <t>Штукатурка стен  и базовая шпаклевка (4 секция)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</si>
</sst>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88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4" sqref="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80" t="s">
        <v>21</v>
      </c>
      <c r="B1" s="81"/>
      <c r="C1" s="81"/>
      <c r="D1" s="81"/>
      <c r="E1" s="82"/>
    </row>
    <row r="2" spans="1:5" ht="14.25" customHeight="1" x14ac:dyDescent="0.25">
      <c r="A2" s="83" t="s">
        <v>37</v>
      </c>
      <c r="B2" s="84"/>
      <c r="C2" s="84"/>
      <c r="D2" s="84"/>
      <c r="E2" s="85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C8" sqref="C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sqref="A1:E21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zoomScaleNormal="100" workbookViewId="0">
      <selection activeCell="E3" sqref="A1:E104857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6"/>
      <c r="B3" s="30"/>
      <c r="C3" s="27" t="s">
        <v>23</v>
      </c>
      <c r="D3" s="75" t="s">
        <v>24</v>
      </c>
      <c r="E3" s="76" t="s">
        <v>32</v>
      </c>
    </row>
    <row r="4" spans="1:5" x14ac:dyDescent="0.25">
      <c r="A4" s="76" t="s">
        <v>0</v>
      </c>
      <c r="B4" s="28" t="s">
        <v>20</v>
      </c>
      <c r="C4" s="10" t="s">
        <v>22</v>
      </c>
      <c r="D4" s="10" t="s">
        <v>22</v>
      </c>
      <c r="E4" s="76"/>
    </row>
    <row r="5" spans="1:5" ht="15.75" customHeight="1" x14ac:dyDescent="0.25">
      <c r="A5" s="76">
        <v>1</v>
      </c>
      <c r="B5" s="30" t="s">
        <v>61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62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63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64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65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66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68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59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67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38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opLeftCell="A5" workbookViewId="0">
      <selection activeCell="B20" sqref="B2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f>290*3.8</f>
        <v>1102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110.2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1212.2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Спец7с3э!C16+Спец6с3э!C14+Спец5с3э!C7+Спец4с3э!C16</f>
        <v>1389.7395421799999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347.43488554499999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1459.226519289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39704.8587200826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Спец7с3э!D16+Спец6с3э!D14+Спец5с3э!D7+Спец4с3э!D16</f>
        <v>2747.8019152800002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89331.040265752803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412.17028729200001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2885.1920110440005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235.75*4</f>
        <v>943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4137.5414574599999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620.63121861899992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7447.5746234280005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75.13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tabSelected="1" workbookViewId="0">
      <selection activeCell="E5" sqref="E5:E15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102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79</v>
      </c>
      <c r="C5" s="10">
        <v>4.4658036399999999</v>
      </c>
      <c r="D5" s="10">
        <v>69.887666919999987</v>
      </c>
      <c r="E5" s="87">
        <f>C5+D5</f>
        <v>74.353470559999991</v>
      </c>
    </row>
    <row r="6" spans="1:5" x14ac:dyDescent="0.25">
      <c r="A6" s="78">
        <v>2</v>
      </c>
      <c r="B6" s="30" t="s">
        <v>77</v>
      </c>
      <c r="C6" s="10">
        <v>11.899999999999999</v>
      </c>
      <c r="D6" s="10">
        <v>83.583314279999996</v>
      </c>
      <c r="E6" s="87">
        <f t="shared" ref="E6:E7" si="0">C6+D6</f>
        <v>95.483314280000002</v>
      </c>
    </row>
    <row r="7" spans="1:5" x14ac:dyDescent="0.25">
      <c r="A7" s="78">
        <v>3</v>
      </c>
      <c r="B7" s="30" t="s">
        <v>69</v>
      </c>
      <c r="C7" s="10">
        <v>82.408188199999998</v>
      </c>
      <c r="D7" s="10">
        <v>126.88863340000002</v>
      </c>
      <c r="E7" s="87">
        <f t="shared" si="0"/>
        <v>209.29682160000002</v>
      </c>
    </row>
    <row r="8" spans="1:5" x14ac:dyDescent="0.25">
      <c r="A8" s="78">
        <v>4</v>
      </c>
      <c r="B8" s="30" t="s">
        <v>70</v>
      </c>
      <c r="C8" s="10">
        <v>66.421027600000002</v>
      </c>
      <c r="D8" s="10">
        <v>220.50730367</v>
      </c>
      <c r="E8" s="87">
        <f>C8+D8</f>
        <v>286.92833127</v>
      </c>
    </row>
    <row r="9" spans="1:5" x14ac:dyDescent="0.25">
      <c r="A9" s="78">
        <v>5</v>
      </c>
      <c r="B9" s="30" t="s">
        <v>75</v>
      </c>
      <c r="C9" s="10">
        <v>107.2082332</v>
      </c>
      <c r="D9" s="10">
        <v>120.97256036</v>
      </c>
      <c r="E9" s="87">
        <f t="shared" ref="E9:E15" si="1">C9+D9</f>
        <v>228.18079355999998</v>
      </c>
    </row>
    <row r="10" spans="1:5" x14ac:dyDescent="0.25">
      <c r="A10" s="78">
        <v>6</v>
      </c>
      <c r="B10" s="30" t="s">
        <v>71</v>
      </c>
      <c r="C10" s="10">
        <v>58.46</v>
      </c>
      <c r="D10" s="10">
        <v>80.532918559999999</v>
      </c>
      <c r="E10" s="87">
        <f t="shared" si="1"/>
        <v>138.99291855999999</v>
      </c>
    </row>
    <row r="11" spans="1:5" x14ac:dyDescent="0.25">
      <c r="A11" s="78">
        <v>7</v>
      </c>
      <c r="B11" s="30" t="s">
        <v>72</v>
      </c>
      <c r="C11" s="10">
        <v>32.572800000000001</v>
      </c>
      <c r="D11" s="10">
        <v>101.40153359999999</v>
      </c>
      <c r="E11" s="87">
        <f t="shared" si="1"/>
        <v>133.97433359999999</v>
      </c>
    </row>
    <row r="12" spans="1:5" x14ac:dyDescent="0.25">
      <c r="A12" s="78">
        <v>8</v>
      </c>
      <c r="B12" s="30" t="s">
        <v>76</v>
      </c>
      <c r="C12" s="10">
        <v>12.385599999999998</v>
      </c>
      <c r="D12" s="10">
        <v>16.096</v>
      </c>
      <c r="E12" s="87">
        <f t="shared" si="1"/>
        <v>28.4816</v>
      </c>
    </row>
    <row r="13" spans="1:5" x14ac:dyDescent="0.25">
      <c r="A13" s="78">
        <v>9</v>
      </c>
      <c r="B13" s="30" t="s">
        <v>78</v>
      </c>
      <c r="C13" s="10">
        <v>66.115608219999999</v>
      </c>
      <c r="D13" s="10">
        <v>36.970356110000004</v>
      </c>
      <c r="E13" s="87">
        <f t="shared" si="1"/>
        <v>103.08596433</v>
      </c>
    </row>
    <row r="14" spans="1:5" x14ac:dyDescent="0.25">
      <c r="A14" s="78">
        <v>10</v>
      </c>
      <c r="B14" s="30" t="s">
        <v>73</v>
      </c>
      <c r="C14" s="10">
        <v>6.8</v>
      </c>
      <c r="D14" s="10">
        <v>47.174515600000007</v>
      </c>
      <c r="E14" s="87">
        <f t="shared" si="1"/>
        <v>53.974515600000004</v>
      </c>
    </row>
    <row r="15" spans="1:5" x14ac:dyDescent="0.25">
      <c r="A15" s="78">
        <v>11</v>
      </c>
      <c r="B15" s="30" t="s">
        <v>74</v>
      </c>
      <c r="C15" s="10">
        <v>13.792</v>
      </c>
      <c r="D15" s="10">
        <v>36.183082400000004</v>
      </c>
      <c r="E15" s="87">
        <f t="shared" si="1"/>
        <v>49.975082400000005</v>
      </c>
    </row>
    <row r="16" spans="1:5" x14ac:dyDescent="0.25">
      <c r="A16" s="78"/>
      <c r="B16" s="53" t="s">
        <v>38</v>
      </c>
      <c r="C16" s="10">
        <f>SUM(C5:C15)</f>
        <v>462.52926085999997</v>
      </c>
      <c r="D16" s="10">
        <f t="shared" ref="D16:E16" si="2">SUM(D5:D15)</f>
        <v>940.19788490000008</v>
      </c>
      <c r="E16" s="10">
        <f t="shared" si="2"/>
        <v>1402.7271457599998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E1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103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86</v>
      </c>
      <c r="C5" s="10">
        <v>62.963999999999999</v>
      </c>
      <c r="D5" s="10">
        <v>181.70322495999997</v>
      </c>
      <c r="E5" s="10">
        <f>C5+D5</f>
        <v>244.66722495999997</v>
      </c>
    </row>
    <row r="6" spans="1:5" x14ac:dyDescent="0.25">
      <c r="A6" s="78">
        <v>2</v>
      </c>
      <c r="B6" s="30" t="s">
        <v>82</v>
      </c>
      <c r="C6" s="10">
        <v>4.3300179999999999</v>
      </c>
      <c r="D6" s="10">
        <v>67.694470760000002</v>
      </c>
      <c r="E6" s="10">
        <f t="shared" ref="E6:E7" si="0">C6+D6</f>
        <v>72.024488759999997</v>
      </c>
    </row>
    <row r="7" spans="1:5" x14ac:dyDescent="0.25">
      <c r="A7" s="78">
        <v>3</v>
      </c>
      <c r="B7" s="30" t="s">
        <v>87</v>
      </c>
      <c r="C7" s="10">
        <v>64.902808519999994</v>
      </c>
      <c r="D7" s="10">
        <v>100.62324375999999</v>
      </c>
      <c r="E7" s="10">
        <f t="shared" si="0"/>
        <v>165.52605227999999</v>
      </c>
    </row>
    <row r="8" spans="1:5" x14ac:dyDescent="0.25">
      <c r="A8" s="78">
        <v>4</v>
      </c>
      <c r="B8" s="30" t="s">
        <v>83</v>
      </c>
      <c r="C8" s="10">
        <v>197.50406935999999</v>
      </c>
      <c r="D8" s="10">
        <v>149.17202871999996</v>
      </c>
      <c r="E8" s="10">
        <f>C8+D8</f>
        <v>346.67609807999997</v>
      </c>
    </row>
    <row r="9" spans="1:5" x14ac:dyDescent="0.25">
      <c r="A9" s="78">
        <v>5</v>
      </c>
      <c r="B9" s="30" t="s">
        <v>88</v>
      </c>
      <c r="C9" s="10">
        <v>16.28</v>
      </c>
      <c r="D9" s="10">
        <v>71.948570680000003</v>
      </c>
      <c r="E9" s="10">
        <f t="shared" ref="E9:E13" si="1">C9+D9</f>
        <v>88.228570680000004</v>
      </c>
    </row>
    <row r="10" spans="1:5" x14ac:dyDescent="0.25">
      <c r="A10" s="78">
        <v>6</v>
      </c>
      <c r="B10" s="30" t="s">
        <v>81</v>
      </c>
      <c r="C10" s="10">
        <v>45.676007200000001</v>
      </c>
      <c r="D10" s="10">
        <v>49.025836000000005</v>
      </c>
      <c r="E10" s="10">
        <f t="shared" si="1"/>
        <v>94.701843200000013</v>
      </c>
    </row>
    <row r="11" spans="1:5" x14ac:dyDescent="0.25">
      <c r="A11" s="78">
        <v>7</v>
      </c>
      <c r="B11" s="30" t="s">
        <v>84</v>
      </c>
      <c r="C11" s="10">
        <v>3.2</v>
      </c>
      <c r="D11" s="10">
        <v>29.332000000000001</v>
      </c>
      <c r="E11" s="10">
        <f t="shared" si="1"/>
        <v>32.532000000000004</v>
      </c>
    </row>
    <row r="12" spans="1:5" x14ac:dyDescent="0.25">
      <c r="A12" s="78">
        <v>8</v>
      </c>
      <c r="B12" s="30" t="s">
        <v>85</v>
      </c>
      <c r="C12" s="10">
        <v>0</v>
      </c>
      <c r="D12" s="10">
        <v>35.037599999999998</v>
      </c>
      <c r="E12" s="10">
        <f t="shared" si="1"/>
        <v>35.037599999999998</v>
      </c>
    </row>
    <row r="13" spans="1:5" x14ac:dyDescent="0.25">
      <c r="A13" s="78">
        <v>9</v>
      </c>
      <c r="B13" s="30" t="s">
        <v>80</v>
      </c>
      <c r="C13" s="10">
        <v>25.695999999999998</v>
      </c>
      <c r="D13" s="10">
        <v>18.758199999999999</v>
      </c>
      <c r="E13" s="10">
        <f t="shared" si="1"/>
        <v>44.4542</v>
      </c>
    </row>
    <row r="14" spans="1:5" x14ac:dyDescent="0.25">
      <c r="A14" s="78"/>
      <c r="B14" s="53" t="s">
        <v>38</v>
      </c>
      <c r="C14" s="10">
        <f>SUM(C5:C13)</f>
        <v>420.55290307999996</v>
      </c>
      <c r="D14" s="10">
        <f>SUM(D5:D13)</f>
        <v>703.29517487999999</v>
      </c>
      <c r="E14" s="10">
        <f>SUM(E5:E13)</f>
        <v>1123.8480779599997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1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104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90</v>
      </c>
      <c r="C5" s="10">
        <v>19.2</v>
      </c>
      <c r="D5" s="10">
        <v>98.868097649999996</v>
      </c>
      <c r="E5" s="10">
        <f>C5+D5</f>
        <v>118.06809765</v>
      </c>
    </row>
    <row r="6" spans="1:5" x14ac:dyDescent="0.25">
      <c r="A6" s="78">
        <v>2</v>
      </c>
      <c r="B6" s="30" t="s">
        <v>89</v>
      </c>
      <c r="C6" s="10">
        <v>87.732303720000004</v>
      </c>
      <c r="D6" s="10">
        <v>161.63025861</v>
      </c>
      <c r="E6" s="10">
        <f t="shared" ref="E6" si="0">C6+D6</f>
        <v>249.36256233</v>
      </c>
    </row>
    <row r="7" spans="1:5" x14ac:dyDescent="0.25">
      <c r="A7" s="78"/>
      <c r="B7" s="53" t="s">
        <v>38</v>
      </c>
      <c r="C7" s="10">
        <f>SUM(C5:C6)</f>
        <v>106.93230372000001</v>
      </c>
      <c r="D7" s="10">
        <f>SUM(D5:D6)</f>
        <v>260.49835625999998</v>
      </c>
      <c r="E7" s="10">
        <f>SUM(E5:E6)</f>
        <v>367.43065997999997</v>
      </c>
    </row>
  </sheetData>
  <sortState ref="B5:B6">
    <sortCondition ref="B6"/>
  </sortState>
  <mergeCells count="2">
    <mergeCell ref="A1:E1"/>
    <mergeCell ref="A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topLeftCell="A2" workbookViewId="0">
      <selection activeCell="G6" sqref="G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105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91</v>
      </c>
      <c r="C5" s="10">
        <v>31.24</v>
      </c>
      <c r="D5" s="10">
        <v>108.48</v>
      </c>
      <c r="E5" s="10">
        <f>C5+D5</f>
        <v>139.72</v>
      </c>
    </row>
    <row r="6" spans="1:5" x14ac:dyDescent="0.25">
      <c r="A6" s="78">
        <v>2</v>
      </c>
      <c r="B6" s="30" t="s">
        <v>92</v>
      </c>
      <c r="C6" s="10">
        <v>21.409132</v>
      </c>
      <c r="D6" s="10">
        <v>85.789200000000008</v>
      </c>
      <c r="E6" s="10">
        <f t="shared" ref="E6" si="0">C6+D6</f>
        <v>107.19833200000001</v>
      </c>
    </row>
    <row r="7" spans="1:5" x14ac:dyDescent="0.25">
      <c r="A7" s="78">
        <v>3</v>
      </c>
      <c r="B7" s="30" t="s">
        <v>93</v>
      </c>
      <c r="C7" s="10">
        <v>47.185615720000008</v>
      </c>
      <c r="D7" s="10">
        <v>70.117447959999993</v>
      </c>
      <c r="E7" s="10">
        <f>C7+D7</f>
        <v>117.30306368000001</v>
      </c>
    </row>
    <row r="8" spans="1:5" x14ac:dyDescent="0.25">
      <c r="A8" s="78">
        <v>4</v>
      </c>
      <c r="B8" s="30" t="s">
        <v>94</v>
      </c>
      <c r="C8" s="10">
        <v>66.699999999999989</v>
      </c>
      <c r="D8" s="10">
        <v>262.95395388000003</v>
      </c>
      <c r="E8" s="10">
        <f t="shared" ref="E8:E13" si="1">C8+D8</f>
        <v>329.65395388000002</v>
      </c>
    </row>
    <row r="9" spans="1:5" x14ac:dyDescent="0.25">
      <c r="A9" s="78">
        <v>5</v>
      </c>
      <c r="B9" s="30" t="s">
        <v>95</v>
      </c>
      <c r="C9" s="10">
        <v>74.399999999999991</v>
      </c>
      <c r="D9" s="10">
        <v>36.715817960000003</v>
      </c>
      <c r="E9" s="10">
        <f t="shared" si="1"/>
        <v>111.11581795999999</v>
      </c>
    </row>
    <row r="10" spans="1:5" x14ac:dyDescent="0.25">
      <c r="A10" s="78">
        <v>6</v>
      </c>
      <c r="B10" s="30" t="s">
        <v>96</v>
      </c>
      <c r="C10" s="10">
        <v>7.82</v>
      </c>
      <c r="D10" s="10">
        <v>31.377599999999997</v>
      </c>
      <c r="E10" s="10">
        <f t="shared" si="1"/>
        <v>39.197599999999994</v>
      </c>
    </row>
    <row r="11" spans="1:5" x14ac:dyDescent="0.25">
      <c r="A11" s="78">
        <v>7</v>
      </c>
      <c r="B11" s="30" t="s">
        <v>97</v>
      </c>
      <c r="C11" s="10">
        <v>1.2003268</v>
      </c>
      <c r="D11" s="10">
        <v>60.312200000000004</v>
      </c>
      <c r="E11" s="10">
        <f t="shared" si="1"/>
        <v>61.512526800000003</v>
      </c>
    </row>
    <row r="12" spans="1:5" x14ac:dyDescent="0.25">
      <c r="A12" s="78">
        <v>8</v>
      </c>
      <c r="B12" s="30" t="s">
        <v>98</v>
      </c>
      <c r="C12" s="10">
        <v>0</v>
      </c>
      <c r="D12" s="10">
        <v>63.162099999999995</v>
      </c>
      <c r="E12" s="10">
        <f t="shared" si="1"/>
        <v>63.162099999999995</v>
      </c>
    </row>
    <row r="13" spans="1:5" x14ac:dyDescent="0.25">
      <c r="A13" s="79">
        <v>9</v>
      </c>
      <c r="B13" s="30" t="s">
        <v>99</v>
      </c>
      <c r="C13" s="10">
        <v>25.72</v>
      </c>
      <c r="D13" s="10">
        <v>17.779999999999998</v>
      </c>
      <c r="E13" s="10">
        <f t="shared" si="1"/>
        <v>43.5</v>
      </c>
    </row>
    <row r="14" spans="1:5" x14ac:dyDescent="0.25">
      <c r="A14" s="79">
        <v>10</v>
      </c>
      <c r="B14" s="30" t="s">
        <v>101</v>
      </c>
      <c r="C14" s="10">
        <v>48.6</v>
      </c>
      <c r="D14" s="10">
        <v>67.62636148</v>
      </c>
      <c r="E14" s="10">
        <f t="shared" ref="E14:E15" si="2">C14+D14</f>
        <v>116.22636148000001</v>
      </c>
    </row>
    <row r="15" spans="1:5" x14ac:dyDescent="0.25">
      <c r="A15" s="79">
        <v>11</v>
      </c>
      <c r="B15" s="30" t="s">
        <v>100</v>
      </c>
      <c r="C15" s="10">
        <v>75.45</v>
      </c>
      <c r="D15" s="10">
        <v>39.495817960000004</v>
      </c>
      <c r="E15" s="10">
        <f t="shared" si="2"/>
        <v>114.94581796</v>
      </c>
    </row>
    <row r="16" spans="1:5" x14ac:dyDescent="0.25">
      <c r="A16" s="78"/>
      <c r="B16" s="53" t="s">
        <v>38</v>
      </c>
      <c r="C16" s="10">
        <f>SUM(C5:C15)</f>
        <v>399.72507451999996</v>
      </c>
      <c r="D16" s="10">
        <f>SUM(D5:D15)</f>
        <v>843.81049924000001</v>
      </c>
      <c r="E16" s="10">
        <f>SUM(E5:E15)</f>
        <v>1243.5355737599998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  <vt:lpstr>ВОР ч1э3</vt:lpstr>
      <vt:lpstr>Спец7с3э</vt:lpstr>
      <vt:lpstr>Спец6с3э</vt:lpstr>
      <vt:lpstr>Спец5с3э</vt:lpstr>
      <vt:lpstr>Спец4с3э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2025-11-02T08:33:15Z</dcterms:modified>
</cp:coreProperties>
</file>