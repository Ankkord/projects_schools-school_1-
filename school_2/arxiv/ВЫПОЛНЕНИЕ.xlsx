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0" yWindow="0" windowWidth="12264" windowHeight="8124" activeTab="3"/>
  </bookViews>
  <sheets>
    <sheet name="Изменения" sheetId="1" r:id="rId1"/>
    <sheet name="ТКП" sheetId="2" r:id="rId2"/>
    <sheet name="ВЫПОЛНЕНИЕ" sheetId="3" r:id="rId3"/>
    <sheet name="ВЫПОЛНЕНИЕ КС2" sheetId="4" r:id="rId4"/>
    <sheet name="Table 1" sheetId="5" r:id="rId5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5" i="5" l="1"/>
  <c r="R75" i="5"/>
  <c r="Q75" i="5"/>
  <c r="S74" i="5"/>
  <c r="R74" i="5"/>
  <c r="Q74" i="5"/>
  <c r="S73" i="5"/>
  <c r="R73" i="5"/>
  <c r="Q73" i="5"/>
  <c r="S72" i="5"/>
  <c r="R72" i="5"/>
  <c r="Q72" i="5"/>
  <c r="S71" i="5"/>
  <c r="R71" i="5"/>
  <c r="Q71" i="5"/>
  <c r="S70" i="5"/>
  <c r="R70" i="5"/>
  <c r="Q70" i="5"/>
  <c r="S69" i="5"/>
  <c r="R69" i="5"/>
  <c r="Q69" i="5"/>
  <c r="S68" i="5"/>
  <c r="R68" i="5"/>
  <c r="Q68" i="5"/>
  <c r="S67" i="5"/>
  <c r="R67" i="5"/>
  <c r="Q67" i="5"/>
  <c r="S66" i="5"/>
  <c r="R66" i="5"/>
  <c r="Q66" i="5"/>
  <c r="S65" i="5"/>
  <c r="R65" i="5"/>
  <c r="Q65" i="5"/>
  <c r="S64" i="5"/>
  <c r="R64" i="5"/>
  <c r="Q64" i="5"/>
  <c r="S63" i="5"/>
  <c r="R63" i="5"/>
  <c r="Q63" i="5"/>
  <c r="T62" i="5"/>
  <c r="S62" i="5"/>
  <c r="R62" i="5"/>
  <c r="Q62" i="5"/>
  <c r="S61" i="5"/>
  <c r="R61" i="5"/>
  <c r="Q61" i="5"/>
  <c r="S60" i="5"/>
  <c r="R60" i="5"/>
  <c r="Q60" i="5"/>
  <c r="S59" i="5"/>
  <c r="R59" i="5"/>
  <c r="Q59" i="5"/>
  <c r="S58" i="5"/>
  <c r="R58" i="5"/>
  <c r="Q58" i="5"/>
  <c r="S57" i="5"/>
  <c r="R57" i="5"/>
  <c r="Q57" i="5"/>
  <c r="S56" i="5"/>
  <c r="R56" i="5"/>
  <c r="Q56" i="5"/>
  <c r="S55" i="5"/>
  <c r="R55" i="5"/>
  <c r="Q55" i="5"/>
  <c r="S54" i="5"/>
  <c r="R54" i="5"/>
  <c r="Q54" i="5"/>
  <c r="S53" i="5"/>
  <c r="R53" i="5"/>
  <c r="Q53" i="5"/>
  <c r="S52" i="5"/>
  <c r="R52" i="5"/>
  <c r="Q52" i="5"/>
  <c r="S51" i="5"/>
  <c r="R51" i="5"/>
  <c r="Q51" i="5"/>
  <c r="S50" i="5"/>
  <c r="R50" i="5"/>
  <c r="Q50" i="5"/>
  <c r="S49" i="5"/>
  <c r="R49" i="5"/>
  <c r="Q49" i="5"/>
  <c r="S48" i="5"/>
  <c r="R48" i="5"/>
  <c r="Q48" i="5"/>
  <c r="S47" i="5"/>
  <c r="R47" i="5"/>
  <c r="Q47" i="5"/>
  <c r="S46" i="5"/>
  <c r="R46" i="5"/>
  <c r="Q46" i="5"/>
  <c r="S45" i="5"/>
  <c r="R45" i="5"/>
  <c r="Q45" i="5"/>
  <c r="S44" i="5"/>
  <c r="R44" i="5"/>
  <c r="Q44" i="5"/>
  <c r="S43" i="5"/>
  <c r="R43" i="5"/>
  <c r="Q43" i="5"/>
  <c r="T42" i="5"/>
  <c r="S42" i="5"/>
  <c r="R42" i="5"/>
  <c r="Q42" i="5"/>
  <c r="S41" i="5"/>
  <c r="R41" i="5"/>
  <c r="Q41" i="5"/>
  <c r="S40" i="5"/>
  <c r="R40" i="5"/>
  <c r="Q40" i="5"/>
  <c r="S39" i="5"/>
  <c r="R39" i="5"/>
  <c r="Q39" i="5"/>
  <c r="S38" i="5"/>
  <c r="R38" i="5"/>
  <c r="Q38" i="5"/>
  <c r="S37" i="5"/>
  <c r="R37" i="5"/>
  <c r="Q37" i="5"/>
  <c r="S36" i="5"/>
  <c r="R36" i="5"/>
  <c r="Q36" i="5"/>
  <c r="S35" i="5"/>
  <c r="R35" i="5"/>
  <c r="Q35" i="5"/>
  <c r="S34" i="5"/>
  <c r="R34" i="5"/>
  <c r="Q34" i="5"/>
  <c r="S33" i="5"/>
  <c r="R33" i="5"/>
  <c r="Q33" i="5"/>
  <c r="S32" i="5"/>
  <c r="R32" i="5"/>
  <c r="Q32" i="5"/>
  <c r="S31" i="5"/>
  <c r="R31" i="5"/>
  <c r="Q31" i="5"/>
  <c r="S30" i="5"/>
  <c r="R30" i="5"/>
  <c r="Q30" i="5"/>
  <c r="S29" i="5"/>
  <c r="R29" i="5"/>
  <c r="Q29" i="5"/>
  <c r="S28" i="5"/>
  <c r="R28" i="5"/>
  <c r="Q28" i="5"/>
  <c r="S27" i="5"/>
  <c r="R27" i="5"/>
  <c r="Q27" i="5"/>
  <c r="T26" i="5"/>
  <c r="S26" i="5"/>
  <c r="R26" i="5"/>
  <c r="Q26" i="5"/>
  <c r="S25" i="5"/>
  <c r="R25" i="5"/>
  <c r="Q25" i="5"/>
  <c r="S24" i="5"/>
  <c r="R24" i="5"/>
  <c r="Q24" i="5"/>
  <c r="S23" i="5"/>
  <c r="R23" i="5"/>
  <c r="Q23" i="5"/>
  <c r="S22" i="5"/>
  <c r="R22" i="5"/>
  <c r="Q22" i="5"/>
  <c r="S21" i="5"/>
  <c r="R21" i="5"/>
  <c r="Q21" i="5"/>
  <c r="S20" i="5"/>
  <c r="R20" i="5"/>
  <c r="Q20" i="5"/>
  <c r="S19" i="5"/>
  <c r="R19" i="5"/>
  <c r="Q19" i="5"/>
  <c r="S18" i="5"/>
  <c r="R18" i="5"/>
  <c r="Q18" i="5"/>
  <c r="S17" i="5"/>
  <c r="R17" i="5"/>
  <c r="Q17" i="5"/>
  <c r="S16" i="5"/>
  <c r="R16" i="5"/>
  <c r="Q16" i="5"/>
  <c r="S15" i="5"/>
  <c r="R15" i="5"/>
  <c r="Q15" i="5"/>
  <c r="S14" i="5"/>
  <c r="R14" i="5"/>
  <c r="Q14" i="5"/>
  <c r="S13" i="5"/>
  <c r="R13" i="5"/>
  <c r="Q13" i="5"/>
  <c r="S12" i="5"/>
  <c r="R12" i="5"/>
  <c r="Q12" i="5"/>
  <c r="S11" i="5"/>
  <c r="R11" i="5"/>
  <c r="Q11" i="5"/>
  <c r="S10" i="5"/>
  <c r="R10" i="5"/>
  <c r="Q10" i="5"/>
  <c r="S9" i="5"/>
  <c r="R9" i="5"/>
  <c r="Q9" i="5"/>
  <c r="S8" i="5"/>
  <c r="R8" i="5"/>
  <c r="Q8" i="5"/>
  <c r="S7" i="5"/>
  <c r="R7" i="5"/>
  <c r="Q7" i="5"/>
  <c r="S6" i="5"/>
  <c r="R6" i="5"/>
  <c r="Q6" i="5"/>
  <c r="S5" i="5"/>
  <c r="R5" i="5"/>
  <c r="Q5" i="5"/>
  <c r="R167" i="4"/>
  <c r="M188" i="4" l="1"/>
  <c r="J188" i="4"/>
  <c r="K188" i="4"/>
  <c r="L188" i="4"/>
  <c r="M204" i="4"/>
  <c r="J204" i="4"/>
  <c r="K204" i="4"/>
  <c r="L204" i="4"/>
  <c r="M199" i="4"/>
  <c r="J199" i="4"/>
  <c r="K199" i="4"/>
  <c r="L199" i="4"/>
  <c r="M223" i="4"/>
  <c r="J223" i="4"/>
  <c r="K223" i="4"/>
  <c r="L223" i="4"/>
  <c r="M219" i="4"/>
  <c r="J219" i="4"/>
  <c r="K219" i="4"/>
  <c r="L219" i="4"/>
  <c r="L167" i="4"/>
  <c r="K167" i="4" s="1"/>
  <c r="J167" i="4" s="1"/>
  <c r="L191" i="4"/>
  <c r="M191" i="4" s="1"/>
  <c r="L214" i="4"/>
  <c r="M214" i="4" s="1"/>
  <c r="L231" i="4"/>
  <c r="M231" i="4" s="1"/>
  <c r="L227" i="4"/>
  <c r="K191" i="4"/>
  <c r="J191" i="4" s="1"/>
  <c r="L209" i="4"/>
  <c r="K209" i="4" s="1"/>
  <c r="J209" i="4" s="1"/>
  <c r="M227" i="4"/>
  <c r="K227" i="4"/>
  <c r="J227" i="4" s="1"/>
  <c r="Y772" i="4"/>
  <c r="Y771" i="4" s="1"/>
  <c r="Y770" i="4" s="1"/>
  <c r="Y769" i="4" s="1"/>
  <c r="X772" i="4"/>
  <c r="X771" i="4" s="1"/>
  <c r="X770" i="4" s="1"/>
  <c r="X769" i="4" s="1"/>
  <c r="V772" i="4"/>
  <c r="W771" i="4"/>
  <c r="W770" i="4" s="1"/>
  <c r="W769" i="4" s="1"/>
  <c r="W768" i="4"/>
  <c r="T767" i="4" s="1"/>
  <c r="X767" i="4"/>
  <c r="W766" i="4"/>
  <c r="T765" i="4" s="1"/>
  <c r="V765" i="4" s="1"/>
  <c r="X765" i="4"/>
  <c r="W764" i="4"/>
  <c r="T763" i="4" s="1"/>
  <c r="X763" i="4"/>
  <c r="W762" i="4"/>
  <c r="T761" i="4" s="1"/>
  <c r="V761" i="4" s="1"/>
  <c r="X761" i="4"/>
  <c r="W760" i="4"/>
  <c r="T759" i="4" s="1"/>
  <c r="X759" i="4"/>
  <c r="W758" i="4"/>
  <c r="T757" i="4" s="1"/>
  <c r="V757" i="4" s="1"/>
  <c r="X757" i="4"/>
  <c r="W756" i="4"/>
  <c r="T755" i="4" s="1"/>
  <c r="X755" i="4"/>
  <c r="W754" i="4"/>
  <c r="T753" i="4" s="1"/>
  <c r="V753" i="4" s="1"/>
  <c r="X753" i="4"/>
  <c r="W752" i="4"/>
  <c r="T751" i="4" s="1"/>
  <c r="X751" i="4"/>
  <c r="W750" i="4"/>
  <c r="T749" i="4" s="1"/>
  <c r="V749" i="4" s="1"/>
  <c r="X749" i="4"/>
  <c r="W748" i="4"/>
  <c r="T747" i="4" s="1"/>
  <c r="X747" i="4"/>
  <c r="W746" i="4"/>
  <c r="T745" i="4" s="1"/>
  <c r="V745" i="4" s="1"/>
  <c r="X745" i="4"/>
  <c r="W744" i="4"/>
  <c r="T743" i="4" s="1"/>
  <c r="X743" i="4"/>
  <c r="W742" i="4"/>
  <c r="T741" i="4" s="1"/>
  <c r="V741" i="4" s="1"/>
  <c r="X741" i="4"/>
  <c r="W740" i="4"/>
  <c r="T739" i="4" s="1"/>
  <c r="X739" i="4"/>
  <c r="W738" i="4"/>
  <c r="T737" i="4" s="1"/>
  <c r="V737" i="4" s="1"/>
  <c r="X737" i="4"/>
  <c r="W736" i="4"/>
  <c r="T735" i="4" s="1"/>
  <c r="X735" i="4"/>
  <c r="W734" i="4"/>
  <c r="T733" i="4" s="1"/>
  <c r="V733" i="4" s="1"/>
  <c r="X733" i="4"/>
  <c r="W732" i="4"/>
  <c r="T731" i="4" s="1"/>
  <c r="X731" i="4"/>
  <c r="W730" i="4"/>
  <c r="T729" i="4" s="1"/>
  <c r="V729" i="4" s="1"/>
  <c r="X729" i="4"/>
  <c r="W728" i="4"/>
  <c r="T727" i="4" s="1"/>
  <c r="X727" i="4"/>
  <c r="W726" i="4"/>
  <c r="T725" i="4" s="1"/>
  <c r="V725" i="4" s="1"/>
  <c r="X725" i="4"/>
  <c r="W724" i="4"/>
  <c r="T723" i="4" s="1"/>
  <c r="X723" i="4"/>
  <c r="W722" i="4"/>
  <c r="T721" i="4" s="1"/>
  <c r="V721" i="4" s="1"/>
  <c r="X721" i="4"/>
  <c r="W720" i="4"/>
  <c r="T719" i="4" s="1"/>
  <c r="X719" i="4"/>
  <c r="W718" i="4"/>
  <c r="T717" i="4" s="1"/>
  <c r="V717" i="4" s="1"/>
  <c r="X717" i="4"/>
  <c r="X715" i="4"/>
  <c r="Y715" i="4" s="1"/>
  <c r="V715" i="4"/>
  <c r="W714" i="4"/>
  <c r="W713" i="4"/>
  <c r="W712" i="4"/>
  <c r="W711" i="4"/>
  <c r="W710" i="4"/>
  <c r="W709" i="4"/>
  <c r="W708" i="4"/>
  <c r="W707" i="4"/>
  <c r="W706" i="4"/>
  <c r="W705" i="4"/>
  <c r="W704" i="4"/>
  <c r="X703" i="4"/>
  <c r="W702" i="4"/>
  <c r="W701" i="4"/>
  <c r="W700" i="4"/>
  <c r="W699" i="4"/>
  <c r="W698" i="4"/>
  <c r="W697" i="4"/>
  <c r="W696" i="4"/>
  <c r="W695" i="4"/>
  <c r="W694" i="4"/>
  <c r="W693" i="4"/>
  <c r="W692" i="4"/>
  <c r="X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X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X664" i="4"/>
  <c r="W663" i="4"/>
  <c r="T662" i="4" s="1"/>
  <c r="W662" i="4" s="1"/>
  <c r="Y662" i="4" s="1"/>
  <c r="X662" i="4"/>
  <c r="W661" i="4"/>
  <c r="T660" i="4" s="1"/>
  <c r="W660" i="4" s="1"/>
  <c r="Y660" i="4" s="1"/>
  <c r="X660" i="4"/>
  <c r="W659" i="4"/>
  <c r="T658" i="4" s="1"/>
  <c r="W658" i="4" s="1"/>
  <c r="X658" i="4"/>
  <c r="W657" i="4"/>
  <c r="T656" i="4" s="1"/>
  <c r="W656" i="4" s="1"/>
  <c r="X656" i="4"/>
  <c r="W655" i="4"/>
  <c r="T654" i="4" s="1"/>
  <c r="X654" i="4"/>
  <c r="W653" i="4"/>
  <c r="T652" i="4" s="1"/>
  <c r="W652" i="4" s="1"/>
  <c r="Y652" i="4" s="1"/>
  <c r="X652" i="4"/>
  <c r="W651" i="4"/>
  <c r="T650" i="4" s="1"/>
  <c r="X650" i="4"/>
  <c r="W649" i="4"/>
  <c r="T648" i="4" s="1"/>
  <c r="W648" i="4" s="1"/>
  <c r="X648" i="4"/>
  <c r="W647" i="4"/>
  <c r="T646" i="4" s="1"/>
  <c r="X646" i="4"/>
  <c r="W645" i="4"/>
  <c r="T644" i="4" s="1"/>
  <c r="W644" i="4" s="1"/>
  <c r="X644" i="4"/>
  <c r="W642" i="4"/>
  <c r="W641" i="4"/>
  <c r="X640" i="4"/>
  <c r="W639" i="4"/>
  <c r="W638" i="4"/>
  <c r="X637" i="4"/>
  <c r="W636" i="4"/>
  <c r="W635" i="4"/>
  <c r="X634" i="4"/>
  <c r="W633" i="4"/>
  <c r="W632" i="4"/>
  <c r="T631" i="4" s="1"/>
  <c r="V631" i="4" s="1"/>
  <c r="X631" i="4"/>
  <c r="W630" i="4"/>
  <c r="T628" i="4" s="1"/>
  <c r="W629" i="4"/>
  <c r="X628" i="4"/>
  <c r="W627" i="4"/>
  <c r="W626" i="4"/>
  <c r="X625" i="4"/>
  <c r="W624" i="4"/>
  <c r="W623" i="4"/>
  <c r="X622" i="4"/>
  <c r="W621" i="4"/>
  <c r="W620" i="4"/>
  <c r="X619" i="4"/>
  <c r="W618" i="4"/>
  <c r="W617" i="4"/>
  <c r="X616" i="4"/>
  <c r="W615" i="4"/>
  <c r="W614" i="4"/>
  <c r="X613" i="4"/>
  <c r="W612" i="4"/>
  <c r="T610" i="4" s="1"/>
  <c r="W610" i="4" s="1"/>
  <c r="W611" i="4"/>
  <c r="X610" i="4"/>
  <c r="W609" i="4"/>
  <c r="W608" i="4"/>
  <c r="X607" i="4"/>
  <c r="W606" i="4"/>
  <c r="T604" i="4" s="1"/>
  <c r="W605" i="4"/>
  <c r="X604" i="4"/>
  <c r="W603" i="4"/>
  <c r="W602" i="4"/>
  <c r="X601" i="4"/>
  <c r="W600" i="4"/>
  <c r="W599" i="4"/>
  <c r="X598" i="4"/>
  <c r="W597" i="4"/>
  <c r="W596" i="4"/>
  <c r="X595" i="4"/>
  <c r="W594" i="4"/>
  <c r="W593" i="4"/>
  <c r="X592" i="4"/>
  <c r="W591" i="4"/>
  <c r="W590" i="4"/>
  <c r="X589" i="4"/>
  <c r="W588" i="4"/>
  <c r="T586" i="4" s="1"/>
  <c r="W586" i="4" s="1"/>
  <c r="W587" i="4"/>
  <c r="X586" i="4"/>
  <c r="W585" i="4"/>
  <c r="W584" i="4"/>
  <c r="X583" i="4"/>
  <c r="W582" i="4"/>
  <c r="T580" i="4" s="1"/>
  <c r="W581" i="4"/>
  <c r="X580" i="4"/>
  <c r="W579" i="4"/>
  <c r="W578" i="4"/>
  <c r="X577" i="4"/>
  <c r="W576" i="4"/>
  <c r="W575" i="4"/>
  <c r="T574" i="4" s="1"/>
  <c r="W574" i="4" s="1"/>
  <c r="Y574" i="4" s="1"/>
  <c r="X574" i="4"/>
  <c r="W573" i="4"/>
  <c r="W572" i="4"/>
  <c r="X571" i="4"/>
  <c r="W570" i="4"/>
  <c r="T568" i="4" s="1"/>
  <c r="W569" i="4"/>
  <c r="X568" i="4"/>
  <c r="W567" i="4"/>
  <c r="W566" i="4"/>
  <c r="X565" i="4"/>
  <c r="W564" i="4"/>
  <c r="W563" i="4"/>
  <c r="X562" i="4"/>
  <c r="W561" i="4"/>
  <c r="W560" i="4"/>
  <c r="X559" i="4"/>
  <c r="W558" i="4"/>
  <c r="W557" i="4"/>
  <c r="X556" i="4"/>
  <c r="W555" i="4"/>
  <c r="W554" i="4"/>
  <c r="X553" i="4"/>
  <c r="W552" i="4"/>
  <c r="T550" i="4" s="1"/>
  <c r="W550" i="4" s="1"/>
  <c r="Y550" i="4" s="1"/>
  <c r="W551" i="4"/>
  <c r="X550" i="4"/>
  <c r="W549" i="4"/>
  <c r="W548" i="4"/>
  <c r="X547" i="4"/>
  <c r="W546" i="4"/>
  <c r="T544" i="4" s="1"/>
  <c r="V544" i="4" s="1"/>
  <c r="W545" i="4"/>
  <c r="X544" i="4"/>
  <c r="W543" i="4"/>
  <c r="W542" i="4"/>
  <c r="T541" i="4" s="1"/>
  <c r="X541" i="4"/>
  <c r="W540" i="4"/>
  <c r="W539" i="4"/>
  <c r="X538" i="4"/>
  <c r="W537" i="4"/>
  <c r="W536" i="4"/>
  <c r="X535" i="4"/>
  <c r="W534" i="4"/>
  <c r="W533" i="4"/>
  <c r="X532" i="4"/>
  <c r="W531" i="4"/>
  <c r="W530" i="4"/>
  <c r="T529" i="4" s="1"/>
  <c r="W529" i="4" s="1"/>
  <c r="Y529" i="4" s="1"/>
  <c r="X529" i="4"/>
  <c r="W528" i="4"/>
  <c r="W527" i="4"/>
  <c r="X526" i="4"/>
  <c r="T526" i="4"/>
  <c r="V526" i="4" s="1"/>
  <c r="W525" i="4"/>
  <c r="W524" i="4"/>
  <c r="T523" i="4" s="1"/>
  <c r="W523" i="4" s="1"/>
  <c r="Y523" i="4" s="1"/>
  <c r="X523" i="4"/>
  <c r="W522" i="4"/>
  <c r="W521" i="4"/>
  <c r="T520" i="4" s="1"/>
  <c r="X520" i="4"/>
  <c r="W519" i="4"/>
  <c r="W518" i="4"/>
  <c r="T517" i="4" s="1"/>
  <c r="X517" i="4"/>
  <c r="W516" i="4"/>
  <c r="W515" i="4"/>
  <c r="T514" i="4" s="1"/>
  <c r="X514" i="4"/>
  <c r="W512" i="4"/>
  <c r="W511" i="4"/>
  <c r="X510" i="4"/>
  <c r="W509" i="4"/>
  <c r="T507" i="4" s="1"/>
  <c r="W508" i="4"/>
  <c r="X507" i="4"/>
  <c r="W506" i="4"/>
  <c r="W505" i="4"/>
  <c r="X504" i="4"/>
  <c r="W503" i="4"/>
  <c r="W502" i="4"/>
  <c r="X501" i="4"/>
  <c r="W500" i="4"/>
  <c r="W499" i="4"/>
  <c r="T498" i="4" s="1"/>
  <c r="W498" i="4" s="1"/>
  <c r="X498" i="4"/>
  <c r="X497" i="4" s="1"/>
  <c r="W495" i="4"/>
  <c r="T494" i="4" s="1"/>
  <c r="X494" i="4"/>
  <c r="W493" i="4"/>
  <c r="T492" i="4" s="1"/>
  <c r="X492" i="4"/>
  <c r="X491" i="4" s="1"/>
  <c r="W490" i="4"/>
  <c r="W489" i="4"/>
  <c r="W488" i="4"/>
  <c r="W487" i="4"/>
  <c r="W486" i="4"/>
  <c r="W485" i="4"/>
  <c r="W484" i="4"/>
  <c r="X483" i="4"/>
  <c r="W482" i="4"/>
  <c r="W481" i="4"/>
  <c r="W480" i="4"/>
  <c r="W479" i="4"/>
  <c r="X478" i="4"/>
  <c r="W477" i="4"/>
  <c r="W476" i="4"/>
  <c r="W475" i="4"/>
  <c r="X474" i="4"/>
  <c r="W473" i="4"/>
  <c r="W472" i="4"/>
  <c r="W471" i="4"/>
  <c r="W470" i="4"/>
  <c r="X469" i="4"/>
  <c r="W468" i="4"/>
  <c r="W467" i="4"/>
  <c r="W466" i="4"/>
  <c r="W465" i="4"/>
  <c r="X464" i="4"/>
  <c r="W463" i="4"/>
  <c r="W462" i="4"/>
  <c r="W461" i="4"/>
  <c r="W460" i="4"/>
  <c r="X459" i="4"/>
  <c r="W458" i="4"/>
  <c r="W457" i="4"/>
  <c r="W456" i="4"/>
  <c r="X455" i="4"/>
  <c r="W454" i="4"/>
  <c r="W453" i="4"/>
  <c r="W452" i="4"/>
  <c r="X451" i="4"/>
  <c r="W450" i="4"/>
  <c r="W449" i="4"/>
  <c r="W448" i="4"/>
  <c r="X447" i="4"/>
  <c r="W446" i="4"/>
  <c r="W445" i="4"/>
  <c r="W444" i="4"/>
  <c r="W443" i="4"/>
  <c r="X442" i="4"/>
  <c r="W441" i="4"/>
  <c r="W440" i="4"/>
  <c r="X439" i="4"/>
  <c r="W438" i="4"/>
  <c r="W437" i="4"/>
  <c r="X436" i="4"/>
  <c r="W435" i="4"/>
  <c r="W434" i="4"/>
  <c r="X433" i="4"/>
  <c r="W432" i="4"/>
  <c r="W431" i="4"/>
  <c r="W430" i="4"/>
  <c r="X429" i="4"/>
  <c r="W428" i="4"/>
  <c r="W427" i="4"/>
  <c r="W426" i="4"/>
  <c r="T425" i="4" s="1"/>
  <c r="V425" i="4" s="1"/>
  <c r="X425" i="4"/>
  <c r="W424" i="4"/>
  <c r="W423" i="4"/>
  <c r="W422" i="4"/>
  <c r="T421" i="4" s="1"/>
  <c r="V421" i="4" s="1"/>
  <c r="X421" i="4"/>
  <c r="W420" i="4"/>
  <c r="W419" i="4"/>
  <c r="W418" i="4"/>
  <c r="X417" i="4"/>
  <c r="W415" i="4"/>
  <c r="W414" i="4"/>
  <c r="W413" i="4"/>
  <c r="W412" i="4"/>
  <c r="X411" i="4"/>
  <c r="W410" i="4"/>
  <c r="W409" i="4"/>
  <c r="W408" i="4"/>
  <c r="W407" i="4"/>
  <c r="X406" i="4"/>
  <c r="W405" i="4"/>
  <c r="W404" i="4"/>
  <c r="W403" i="4"/>
  <c r="W402" i="4"/>
  <c r="W401" i="4"/>
  <c r="X400" i="4"/>
  <c r="W399" i="4"/>
  <c r="W398" i="4"/>
  <c r="W397" i="4"/>
  <c r="T395" i="4" s="1"/>
  <c r="W396" i="4"/>
  <c r="X395" i="4"/>
  <c r="W394" i="4"/>
  <c r="W393" i="4"/>
  <c r="W392" i="4"/>
  <c r="W391" i="4"/>
  <c r="X390" i="4"/>
  <c r="W389" i="4"/>
  <c r="W388" i="4"/>
  <c r="W387" i="4"/>
  <c r="W386" i="4"/>
  <c r="X385" i="4"/>
  <c r="W384" i="4"/>
  <c r="W383" i="4"/>
  <c r="W382" i="4"/>
  <c r="W381" i="4"/>
  <c r="X380" i="4"/>
  <c r="W379" i="4"/>
  <c r="W378" i="4"/>
  <c r="W377" i="4"/>
  <c r="W376" i="4"/>
  <c r="T375" i="4" s="1"/>
  <c r="V375" i="4" s="1"/>
  <c r="X375" i="4"/>
  <c r="W374" i="4"/>
  <c r="W373" i="4"/>
  <c r="W372" i="4"/>
  <c r="W371" i="4"/>
  <c r="W370" i="4"/>
  <c r="X369" i="4"/>
  <c r="W368" i="4"/>
  <c r="W367" i="4"/>
  <c r="W366" i="4"/>
  <c r="W365" i="4"/>
  <c r="W364" i="4"/>
  <c r="X363" i="4"/>
  <c r="W362" i="4"/>
  <c r="W361" i="4"/>
  <c r="T359" i="4" s="1"/>
  <c r="W360" i="4"/>
  <c r="X359" i="4"/>
  <c r="W358" i="4"/>
  <c r="W357" i="4"/>
  <c r="W356" i="4"/>
  <c r="W355" i="4"/>
  <c r="X354" i="4"/>
  <c r="W353" i="4"/>
  <c r="W352" i="4"/>
  <c r="W351" i="4"/>
  <c r="X350" i="4"/>
  <c r="W349" i="4"/>
  <c r="W348" i="4"/>
  <c r="W347" i="4"/>
  <c r="W346" i="4"/>
  <c r="X345" i="4"/>
  <c r="W344" i="4"/>
  <c r="W343" i="4"/>
  <c r="W342" i="4"/>
  <c r="W341" i="4"/>
  <c r="X340" i="4"/>
  <c r="W339" i="4"/>
  <c r="W338" i="4"/>
  <c r="W337" i="4"/>
  <c r="W336" i="4"/>
  <c r="X335" i="4"/>
  <c r="W334" i="4"/>
  <c r="W333" i="4"/>
  <c r="X332" i="4"/>
  <c r="T332" i="4"/>
  <c r="W332" i="4" s="1"/>
  <c r="W331" i="4"/>
  <c r="W330" i="4"/>
  <c r="X329" i="4"/>
  <c r="W328" i="4"/>
  <c r="W327" i="4"/>
  <c r="X326" i="4"/>
  <c r="W325" i="4"/>
  <c r="W324" i="4"/>
  <c r="X323" i="4"/>
  <c r="W322" i="4"/>
  <c r="W321" i="4"/>
  <c r="X320" i="4"/>
  <c r="W319" i="4"/>
  <c r="W318" i="4"/>
  <c r="X317" i="4"/>
  <c r="W316" i="4"/>
  <c r="W315" i="4"/>
  <c r="X314" i="4"/>
  <c r="W313" i="4"/>
  <c r="W312" i="4"/>
  <c r="X311" i="4"/>
  <c r="W310" i="4"/>
  <c r="W309" i="4"/>
  <c r="T308" i="4" s="1"/>
  <c r="V308" i="4" s="1"/>
  <c r="X308" i="4"/>
  <c r="W307" i="4"/>
  <c r="W306" i="4"/>
  <c r="X305" i="4"/>
  <c r="W304" i="4"/>
  <c r="W303" i="4"/>
  <c r="T302" i="4" s="1"/>
  <c r="W302" i="4" s="1"/>
  <c r="X302" i="4"/>
  <c r="W301" i="4"/>
  <c r="T299" i="4" s="1"/>
  <c r="W300" i="4"/>
  <c r="X299" i="4"/>
  <c r="W298" i="4"/>
  <c r="T296" i="4" s="1"/>
  <c r="W297" i="4"/>
  <c r="X296" i="4"/>
  <c r="W295" i="4"/>
  <c r="W294" i="4"/>
  <c r="X293" i="4"/>
  <c r="W292" i="4"/>
  <c r="W291" i="4"/>
  <c r="T290" i="4" s="1"/>
  <c r="V290" i="4" s="1"/>
  <c r="X290" i="4"/>
  <c r="W289" i="4"/>
  <c r="W288" i="4"/>
  <c r="X287" i="4"/>
  <c r="W286" i="4"/>
  <c r="W285" i="4"/>
  <c r="X284" i="4"/>
  <c r="W283" i="4"/>
  <c r="W282" i="4"/>
  <c r="X281" i="4"/>
  <c r="W280" i="4"/>
  <c r="W279" i="4"/>
  <c r="T278" i="4" s="1"/>
  <c r="V278" i="4" s="1"/>
  <c r="X278" i="4"/>
  <c r="W277" i="4"/>
  <c r="T275" i="4" s="1"/>
  <c r="W276" i="4"/>
  <c r="X275" i="4"/>
  <c r="W274" i="4"/>
  <c r="W273" i="4"/>
  <c r="X272" i="4"/>
  <c r="W271" i="4"/>
  <c r="W270" i="4"/>
  <c r="X269" i="4"/>
  <c r="W268" i="4"/>
  <c r="T266" i="4" s="1"/>
  <c r="V266" i="4" s="1"/>
  <c r="W267" i="4"/>
  <c r="X266" i="4"/>
  <c r="W265" i="4"/>
  <c r="W264" i="4"/>
  <c r="T263" i="4" s="1"/>
  <c r="W263" i="4" s="1"/>
  <c r="Y263" i="4" s="1"/>
  <c r="X263" i="4"/>
  <c r="W262" i="4"/>
  <c r="W261" i="4"/>
  <c r="T260" i="4" s="1"/>
  <c r="X260" i="4"/>
  <c r="W259" i="4"/>
  <c r="W258" i="4"/>
  <c r="T257" i="4" s="1"/>
  <c r="X257" i="4"/>
  <c r="W256" i="4"/>
  <c r="W255" i="4"/>
  <c r="X254" i="4"/>
  <c r="W253" i="4"/>
  <c r="W252" i="4"/>
  <c r="X251" i="4"/>
  <c r="W251" i="4"/>
  <c r="Y251" i="4" s="1"/>
  <c r="V251" i="4"/>
  <c r="T251" i="4"/>
  <c r="W250" i="4"/>
  <c r="W249" i="4"/>
  <c r="X248" i="4"/>
  <c r="W247" i="4"/>
  <c r="W246" i="4"/>
  <c r="W245" i="4"/>
  <c r="W244" i="4"/>
  <c r="W243" i="4"/>
  <c r="X242" i="4"/>
  <c r="W241" i="4"/>
  <c r="W240" i="4"/>
  <c r="W239" i="4"/>
  <c r="W238" i="4"/>
  <c r="W237" i="4"/>
  <c r="X236" i="4"/>
  <c r="W234" i="4"/>
  <c r="W233" i="4"/>
  <c r="W232" i="4"/>
  <c r="X231" i="4"/>
  <c r="W230" i="4"/>
  <c r="W229" i="4"/>
  <c r="W228" i="4"/>
  <c r="X227" i="4"/>
  <c r="W226" i="4"/>
  <c r="W225" i="4"/>
  <c r="W224" i="4"/>
  <c r="X223" i="4"/>
  <c r="W222" i="4"/>
  <c r="W221" i="4"/>
  <c r="W220" i="4"/>
  <c r="X219" i="4"/>
  <c r="W218" i="4"/>
  <c r="W217" i="4"/>
  <c r="W216" i="4"/>
  <c r="W215" i="4"/>
  <c r="X214" i="4"/>
  <c r="W213" i="4"/>
  <c r="W212" i="4"/>
  <c r="W211" i="4"/>
  <c r="W210" i="4"/>
  <c r="X209" i="4"/>
  <c r="W208" i="4"/>
  <c r="W207" i="4"/>
  <c r="W206" i="4"/>
  <c r="W205" i="4"/>
  <c r="X204" i="4"/>
  <c r="W203" i="4"/>
  <c r="W202" i="4"/>
  <c r="W201" i="4"/>
  <c r="W200" i="4"/>
  <c r="X199" i="4"/>
  <c r="W198" i="4"/>
  <c r="W197" i="4"/>
  <c r="W196" i="4"/>
  <c r="W195" i="4"/>
  <c r="T194" i="4" s="1"/>
  <c r="X194" i="4"/>
  <c r="W193" i="4"/>
  <c r="W192" i="4"/>
  <c r="T191" i="4" s="1"/>
  <c r="V191" i="4" s="1"/>
  <c r="X191" i="4"/>
  <c r="W190" i="4"/>
  <c r="W189" i="4"/>
  <c r="X188" i="4"/>
  <c r="X166" i="4" s="1"/>
  <c r="W187" i="4"/>
  <c r="W186" i="4"/>
  <c r="X185" i="4"/>
  <c r="W184" i="4"/>
  <c r="W183" i="4"/>
  <c r="X182" i="4"/>
  <c r="T182" i="4"/>
  <c r="W181" i="4"/>
  <c r="W180" i="4"/>
  <c r="X179" i="4"/>
  <c r="W178" i="4"/>
  <c r="W177" i="4"/>
  <c r="W176" i="4"/>
  <c r="W175" i="4"/>
  <c r="X174" i="4"/>
  <c r="W173" i="4"/>
  <c r="W172" i="4"/>
  <c r="W171" i="4"/>
  <c r="X170" i="4"/>
  <c r="W169" i="4"/>
  <c r="W168" i="4"/>
  <c r="T167" i="4" s="1"/>
  <c r="V167" i="4" s="1"/>
  <c r="X167" i="4"/>
  <c r="W167" i="4"/>
  <c r="Y167" i="4" s="1"/>
  <c r="W164" i="4"/>
  <c r="W163" i="4"/>
  <c r="W162" i="4"/>
  <c r="W161" i="4"/>
  <c r="X160" i="4"/>
  <c r="W159" i="4"/>
  <c r="W158" i="4"/>
  <c r="W157" i="4"/>
  <c r="W156" i="4"/>
  <c r="X155" i="4"/>
  <c r="W154" i="4"/>
  <c r="T150" i="4" s="1"/>
  <c r="W153" i="4"/>
  <c r="W152" i="4"/>
  <c r="W151" i="4"/>
  <c r="X150" i="4"/>
  <c r="W149" i="4"/>
  <c r="W148" i="4"/>
  <c r="W147" i="4"/>
  <c r="W146" i="4"/>
  <c r="X145" i="4"/>
  <c r="W144" i="4"/>
  <c r="W143" i="4"/>
  <c r="W142" i="4"/>
  <c r="W141" i="4"/>
  <c r="X140" i="4"/>
  <c r="W139" i="4"/>
  <c r="W138" i="4"/>
  <c r="W137" i="4"/>
  <c r="W136" i="4"/>
  <c r="X135" i="4"/>
  <c r="W134" i="4"/>
  <c r="W133" i="4"/>
  <c r="W132" i="4"/>
  <c r="W131" i="4"/>
  <c r="T130" i="4" s="1"/>
  <c r="X130" i="4"/>
  <c r="W129" i="4"/>
  <c r="T128" i="4" s="1"/>
  <c r="X128" i="4"/>
  <c r="W127" i="4"/>
  <c r="T126" i="4" s="1"/>
  <c r="X126" i="4"/>
  <c r="W125" i="4"/>
  <c r="W124" i="4"/>
  <c r="X123" i="4"/>
  <c r="W122" i="4"/>
  <c r="W121" i="4"/>
  <c r="X120" i="4"/>
  <c r="T120" i="4"/>
  <c r="V120" i="4" s="1"/>
  <c r="W119" i="4"/>
  <c r="W118" i="4"/>
  <c r="T117" i="4" s="1"/>
  <c r="X117" i="4"/>
  <c r="W116" i="4"/>
  <c r="W115" i="4"/>
  <c r="W114" i="4"/>
  <c r="X113" i="4"/>
  <c r="X94" i="4" s="1"/>
  <c r="W112" i="4"/>
  <c r="W111" i="4"/>
  <c r="W110" i="4"/>
  <c r="X109" i="4"/>
  <c r="W108" i="4"/>
  <c r="W107" i="4"/>
  <c r="X106" i="4"/>
  <c r="T106" i="4"/>
  <c r="V106" i="4" s="1"/>
  <c r="W105" i="4"/>
  <c r="W104" i="4"/>
  <c r="W103" i="4"/>
  <c r="W102" i="4"/>
  <c r="X101" i="4"/>
  <c r="W100" i="4"/>
  <c r="W99" i="4"/>
  <c r="W98" i="4"/>
  <c r="W97" i="4"/>
  <c r="W96" i="4"/>
  <c r="X95" i="4"/>
  <c r="W93" i="4"/>
  <c r="X92" i="4"/>
  <c r="T92" i="4"/>
  <c r="V92" i="4" s="1"/>
  <c r="W91" i="4"/>
  <c r="T90" i="4" s="1"/>
  <c r="X90" i="4"/>
  <c r="W89" i="4"/>
  <c r="T88" i="4" s="1"/>
  <c r="X88" i="4"/>
  <c r="W87" i="4"/>
  <c r="T86" i="4" s="1"/>
  <c r="X86" i="4"/>
  <c r="W85" i="4"/>
  <c r="W84" i="4"/>
  <c r="X83" i="4"/>
  <c r="W82" i="4"/>
  <c r="W81" i="4"/>
  <c r="X80" i="4"/>
  <c r="T80" i="4"/>
  <c r="V80" i="4" s="1"/>
  <c r="W78" i="4"/>
  <c r="W77" i="4"/>
  <c r="W76" i="4"/>
  <c r="W75" i="4"/>
  <c r="W74" i="4"/>
  <c r="X73" i="4"/>
  <c r="W72" i="4"/>
  <c r="W71" i="4"/>
  <c r="W70" i="4"/>
  <c r="W69" i="4"/>
  <c r="W68" i="4"/>
  <c r="T67" i="4" s="1"/>
  <c r="W67" i="4" s="1"/>
  <c r="Y67" i="4" s="1"/>
  <c r="X67" i="4"/>
  <c r="W66" i="4"/>
  <c r="W65" i="4"/>
  <c r="W64" i="4"/>
  <c r="W63" i="4"/>
  <c r="W62" i="4"/>
  <c r="W61" i="4"/>
  <c r="T59" i="4" s="1"/>
  <c r="W59" i="4" s="1"/>
  <c r="Y59" i="4" s="1"/>
  <c r="W60" i="4"/>
  <c r="X59" i="4"/>
  <c r="W58" i="4"/>
  <c r="W57" i="4"/>
  <c r="W56" i="4"/>
  <c r="W55" i="4"/>
  <c r="W54" i="4"/>
  <c r="X53" i="4"/>
  <c r="W52" i="4"/>
  <c r="W51" i="4"/>
  <c r="W50" i="4"/>
  <c r="W49" i="4"/>
  <c r="W48" i="4"/>
  <c r="X47" i="4"/>
  <c r="W46" i="4"/>
  <c r="W45" i="4"/>
  <c r="W44" i="4"/>
  <c r="W43" i="4"/>
  <c r="W42" i="4"/>
  <c r="X41" i="4"/>
  <c r="W40" i="4"/>
  <c r="W39" i="4"/>
  <c r="W38" i="4"/>
  <c r="W37" i="4"/>
  <c r="W36" i="4"/>
  <c r="W35" i="4"/>
  <c r="W34" i="4"/>
  <c r="X33" i="4"/>
  <c r="W32" i="4"/>
  <c r="W31" i="4"/>
  <c r="W30" i="4"/>
  <c r="W29" i="4"/>
  <c r="W28" i="4"/>
  <c r="W27" i="4"/>
  <c r="W26" i="4"/>
  <c r="X25" i="4"/>
  <c r="W24" i="4"/>
  <c r="T23" i="4" s="1"/>
  <c r="X23" i="4"/>
  <c r="W22" i="4"/>
  <c r="W21" i="4"/>
  <c r="W20" i="4"/>
  <c r="X19" i="4"/>
  <c r="T19" i="4"/>
  <c r="W19" i="4" s="1"/>
  <c r="Y19" i="4" s="1"/>
  <c r="W18" i="4"/>
  <c r="W17" i="4"/>
  <c r="X16" i="4"/>
  <c r="T772" i="3"/>
  <c r="R772" i="3"/>
  <c r="N772" i="3"/>
  <c r="O772" i="3" s="1"/>
  <c r="O771" i="3" s="1"/>
  <c r="O770" i="3" s="1"/>
  <c r="O769" i="3" s="1"/>
  <c r="L772" i="3"/>
  <c r="T771" i="3"/>
  <c r="T770" i="3" s="1"/>
  <c r="T769" i="3" s="1"/>
  <c r="S771" i="3"/>
  <c r="S770" i="3" s="1"/>
  <c r="S769" i="3" s="1"/>
  <c r="M771" i="3"/>
  <c r="M770" i="3" s="1"/>
  <c r="M769" i="3" s="1"/>
  <c r="S768" i="3"/>
  <c r="P767" i="3" s="1"/>
  <c r="S767" i="3" s="1"/>
  <c r="M768" i="3"/>
  <c r="J767" i="3" s="1"/>
  <c r="T767" i="3"/>
  <c r="R767" i="3"/>
  <c r="N767" i="3"/>
  <c r="S766" i="3"/>
  <c r="P765" i="3" s="1"/>
  <c r="M766" i="3"/>
  <c r="T765" i="3"/>
  <c r="N765" i="3"/>
  <c r="L765" i="3"/>
  <c r="J765" i="3"/>
  <c r="M765" i="3" s="1"/>
  <c r="O765" i="3" s="1"/>
  <c r="S764" i="3"/>
  <c r="P763" i="3" s="1"/>
  <c r="M764" i="3"/>
  <c r="J763" i="3" s="1"/>
  <c r="T763" i="3"/>
  <c r="N763" i="3"/>
  <c r="S762" i="3"/>
  <c r="M762" i="3"/>
  <c r="T761" i="3"/>
  <c r="P761" i="3"/>
  <c r="R761" i="3" s="1"/>
  <c r="N761" i="3"/>
  <c r="J761" i="3"/>
  <c r="M761" i="3" s="1"/>
  <c r="O761" i="3" s="1"/>
  <c r="S760" i="3"/>
  <c r="P759" i="3" s="1"/>
  <c r="S759" i="3" s="1"/>
  <c r="M760" i="3"/>
  <c r="T759" i="3"/>
  <c r="N759" i="3"/>
  <c r="L759" i="3"/>
  <c r="J759" i="3"/>
  <c r="M759" i="3" s="1"/>
  <c r="O759" i="3" s="1"/>
  <c r="S758" i="3"/>
  <c r="P757" i="3" s="1"/>
  <c r="M758" i="3"/>
  <c r="T757" i="3"/>
  <c r="N757" i="3"/>
  <c r="J757" i="3"/>
  <c r="M757" i="3" s="1"/>
  <c r="O757" i="3" s="1"/>
  <c r="S756" i="3"/>
  <c r="P755" i="3" s="1"/>
  <c r="S755" i="3" s="1"/>
  <c r="M756" i="3"/>
  <c r="T755" i="3"/>
  <c r="N755" i="3"/>
  <c r="J755" i="3"/>
  <c r="M755" i="3" s="1"/>
  <c r="S754" i="3"/>
  <c r="P753" i="3" s="1"/>
  <c r="M754" i="3"/>
  <c r="T753" i="3"/>
  <c r="N753" i="3"/>
  <c r="M753" i="3"/>
  <c r="O753" i="3" s="1"/>
  <c r="L753" i="3"/>
  <c r="J753" i="3"/>
  <c r="S752" i="3"/>
  <c r="P751" i="3" s="1"/>
  <c r="S751" i="3" s="1"/>
  <c r="M752" i="3"/>
  <c r="T751" i="3"/>
  <c r="N751" i="3"/>
  <c r="M751" i="3"/>
  <c r="L751" i="3"/>
  <c r="J751" i="3"/>
  <c r="S750" i="3"/>
  <c r="M750" i="3"/>
  <c r="T749" i="3"/>
  <c r="P749" i="3"/>
  <c r="S749" i="3" s="1"/>
  <c r="N749" i="3"/>
  <c r="M749" i="3"/>
  <c r="L749" i="3"/>
  <c r="J749" i="3"/>
  <c r="S748" i="3"/>
  <c r="P747" i="3" s="1"/>
  <c r="S747" i="3" s="1"/>
  <c r="M748" i="3"/>
  <c r="J747" i="3" s="1"/>
  <c r="T747" i="3"/>
  <c r="R747" i="3"/>
  <c r="N747" i="3"/>
  <c r="S746" i="3"/>
  <c r="P745" i="3" s="1"/>
  <c r="M746" i="3"/>
  <c r="T745" i="3"/>
  <c r="N745" i="3"/>
  <c r="L745" i="3"/>
  <c r="J745" i="3"/>
  <c r="M745" i="3" s="1"/>
  <c r="O745" i="3" s="1"/>
  <c r="S744" i="3"/>
  <c r="P743" i="3" s="1"/>
  <c r="M744" i="3"/>
  <c r="J743" i="3" s="1"/>
  <c r="T743" i="3"/>
  <c r="N743" i="3"/>
  <c r="S742" i="3"/>
  <c r="M742" i="3"/>
  <c r="T741" i="3"/>
  <c r="P741" i="3"/>
  <c r="R741" i="3" s="1"/>
  <c r="N741" i="3"/>
  <c r="J741" i="3"/>
  <c r="M741" i="3" s="1"/>
  <c r="O741" i="3" s="1"/>
  <c r="S740" i="3"/>
  <c r="P739" i="3" s="1"/>
  <c r="S739" i="3" s="1"/>
  <c r="M740" i="3"/>
  <c r="J739" i="3" s="1"/>
  <c r="T739" i="3"/>
  <c r="N739" i="3"/>
  <c r="S738" i="3"/>
  <c r="P737" i="3" s="1"/>
  <c r="M738" i="3"/>
  <c r="T737" i="3"/>
  <c r="N737" i="3"/>
  <c r="J737" i="3"/>
  <c r="M737" i="3" s="1"/>
  <c r="O737" i="3" s="1"/>
  <c r="S736" i="3"/>
  <c r="P735" i="3" s="1"/>
  <c r="S735" i="3" s="1"/>
  <c r="M736" i="3"/>
  <c r="T735" i="3"/>
  <c r="N735" i="3"/>
  <c r="J735" i="3"/>
  <c r="M735" i="3" s="1"/>
  <c r="S734" i="3"/>
  <c r="P733" i="3" s="1"/>
  <c r="M734" i="3"/>
  <c r="T733" i="3"/>
  <c r="N733" i="3"/>
  <c r="M733" i="3"/>
  <c r="O733" i="3" s="1"/>
  <c r="L733" i="3"/>
  <c r="J733" i="3"/>
  <c r="S732" i="3"/>
  <c r="P731" i="3" s="1"/>
  <c r="M732" i="3"/>
  <c r="T731" i="3"/>
  <c r="N731" i="3"/>
  <c r="M731" i="3"/>
  <c r="O731" i="3" s="1"/>
  <c r="L731" i="3"/>
  <c r="J731" i="3"/>
  <c r="S730" i="3"/>
  <c r="M730" i="3"/>
  <c r="J729" i="3" s="1"/>
  <c r="T729" i="3"/>
  <c r="P729" i="3"/>
  <c r="N729" i="3"/>
  <c r="S728" i="3"/>
  <c r="P727" i="3" s="1"/>
  <c r="S727" i="3" s="1"/>
  <c r="M728" i="3"/>
  <c r="T727" i="3"/>
  <c r="N727" i="3"/>
  <c r="J727" i="3"/>
  <c r="M727" i="3" s="1"/>
  <c r="O727" i="3" s="1"/>
  <c r="S726" i="3"/>
  <c r="P725" i="3" s="1"/>
  <c r="S725" i="3" s="1"/>
  <c r="M726" i="3"/>
  <c r="T725" i="3"/>
  <c r="T716" i="3" s="1"/>
  <c r="N725" i="3"/>
  <c r="J725" i="3"/>
  <c r="M725" i="3" s="1"/>
  <c r="S724" i="3"/>
  <c r="P723" i="3" s="1"/>
  <c r="S723" i="3" s="1"/>
  <c r="U723" i="3" s="1"/>
  <c r="M724" i="3"/>
  <c r="T723" i="3"/>
  <c r="N723" i="3"/>
  <c r="M723" i="3"/>
  <c r="L723" i="3"/>
  <c r="J723" i="3"/>
  <c r="S722" i="3"/>
  <c r="P721" i="3" s="1"/>
  <c r="M722" i="3"/>
  <c r="T721" i="3"/>
  <c r="N721" i="3"/>
  <c r="M721" i="3"/>
  <c r="O721" i="3" s="1"/>
  <c r="L721" i="3"/>
  <c r="J721" i="3"/>
  <c r="S720" i="3"/>
  <c r="P719" i="3" s="1"/>
  <c r="S719" i="3" s="1"/>
  <c r="M720" i="3"/>
  <c r="T719" i="3"/>
  <c r="N719" i="3"/>
  <c r="J719" i="3"/>
  <c r="L719" i="3" s="1"/>
  <c r="S718" i="3"/>
  <c r="M718" i="3"/>
  <c r="T717" i="3"/>
  <c r="S717" i="3"/>
  <c r="U717" i="3" s="1"/>
  <c r="R717" i="3"/>
  <c r="P717" i="3"/>
  <c r="N717" i="3"/>
  <c r="M717" i="3"/>
  <c r="J717" i="3"/>
  <c r="L717" i="3" s="1"/>
  <c r="T715" i="3"/>
  <c r="U715" i="3" s="1"/>
  <c r="R715" i="3"/>
  <c r="N715" i="3"/>
  <c r="O715" i="3" s="1"/>
  <c r="L715" i="3"/>
  <c r="S714" i="3"/>
  <c r="M714" i="3"/>
  <c r="S713" i="3"/>
  <c r="M713" i="3"/>
  <c r="S712" i="3"/>
  <c r="M712" i="3"/>
  <c r="S711" i="3"/>
  <c r="M711" i="3"/>
  <c r="S710" i="3"/>
  <c r="M710" i="3"/>
  <c r="S709" i="3"/>
  <c r="M709" i="3"/>
  <c r="S708" i="3"/>
  <c r="M708" i="3"/>
  <c r="S707" i="3"/>
  <c r="M707" i="3"/>
  <c r="S706" i="3"/>
  <c r="M706" i="3"/>
  <c r="S705" i="3"/>
  <c r="M705" i="3"/>
  <c r="S704" i="3"/>
  <c r="M704" i="3"/>
  <c r="T703" i="3"/>
  <c r="N703" i="3"/>
  <c r="S702" i="3"/>
  <c r="M702" i="3"/>
  <c r="S701" i="3"/>
  <c r="M701" i="3"/>
  <c r="S700" i="3"/>
  <c r="M700" i="3"/>
  <c r="S699" i="3"/>
  <c r="M699" i="3"/>
  <c r="S698" i="3"/>
  <c r="M698" i="3"/>
  <c r="S697" i="3"/>
  <c r="M697" i="3"/>
  <c r="S696" i="3"/>
  <c r="M696" i="3"/>
  <c r="S695" i="3"/>
  <c r="M695" i="3"/>
  <c r="S694" i="3"/>
  <c r="M694" i="3"/>
  <c r="S693" i="3"/>
  <c r="M693" i="3"/>
  <c r="S692" i="3"/>
  <c r="M692" i="3"/>
  <c r="T691" i="3"/>
  <c r="N691" i="3"/>
  <c r="S690" i="3"/>
  <c r="M690" i="3"/>
  <c r="S689" i="3"/>
  <c r="M689" i="3"/>
  <c r="S688" i="3"/>
  <c r="M688" i="3"/>
  <c r="S687" i="3"/>
  <c r="M687" i="3"/>
  <c r="S686" i="3"/>
  <c r="M686" i="3"/>
  <c r="S685" i="3"/>
  <c r="M685" i="3"/>
  <c r="S684" i="3"/>
  <c r="M684" i="3"/>
  <c r="S683" i="3"/>
  <c r="M683" i="3"/>
  <c r="S682" i="3"/>
  <c r="M682" i="3"/>
  <c r="S681" i="3"/>
  <c r="M681" i="3"/>
  <c r="S680" i="3"/>
  <c r="M680" i="3"/>
  <c r="S679" i="3"/>
  <c r="P678" i="3" s="1"/>
  <c r="M679" i="3"/>
  <c r="T678" i="3"/>
  <c r="N678" i="3"/>
  <c r="S677" i="3"/>
  <c r="M677" i="3"/>
  <c r="S676" i="3"/>
  <c r="M676" i="3"/>
  <c r="S675" i="3"/>
  <c r="M675" i="3"/>
  <c r="S674" i="3"/>
  <c r="M674" i="3"/>
  <c r="S673" i="3"/>
  <c r="M673" i="3"/>
  <c r="S672" i="3"/>
  <c r="M672" i="3"/>
  <c r="S671" i="3"/>
  <c r="M671" i="3"/>
  <c r="S670" i="3"/>
  <c r="M670" i="3"/>
  <c r="S669" i="3"/>
  <c r="M669" i="3"/>
  <c r="S668" i="3"/>
  <c r="M668" i="3"/>
  <c r="S667" i="3"/>
  <c r="M667" i="3"/>
  <c r="S666" i="3"/>
  <c r="M666" i="3"/>
  <c r="J664" i="3" s="1"/>
  <c r="M664" i="3" s="1"/>
  <c r="O664" i="3" s="1"/>
  <c r="S665" i="3"/>
  <c r="M665" i="3"/>
  <c r="T664" i="3"/>
  <c r="N664" i="3"/>
  <c r="S663" i="3"/>
  <c r="M663" i="3"/>
  <c r="T662" i="3"/>
  <c r="P662" i="3"/>
  <c r="S662" i="3" s="1"/>
  <c r="U662" i="3" s="1"/>
  <c r="N662" i="3"/>
  <c r="J662" i="3"/>
  <c r="L662" i="3" s="1"/>
  <c r="S661" i="3"/>
  <c r="M661" i="3"/>
  <c r="J660" i="3" s="1"/>
  <c r="L660" i="3" s="1"/>
  <c r="T660" i="3"/>
  <c r="P660" i="3"/>
  <c r="S660" i="3" s="1"/>
  <c r="U660" i="3" s="1"/>
  <c r="N660" i="3"/>
  <c r="M660" i="3"/>
  <c r="S659" i="3"/>
  <c r="M659" i="3"/>
  <c r="J658" i="3" s="1"/>
  <c r="T658" i="3"/>
  <c r="N658" i="3"/>
  <c r="S657" i="3"/>
  <c r="M657" i="3"/>
  <c r="J656" i="3" s="1"/>
  <c r="M656" i="3" s="1"/>
  <c r="O656" i="3" s="1"/>
  <c r="T656" i="3"/>
  <c r="P656" i="3"/>
  <c r="N656" i="3"/>
  <c r="S655" i="3"/>
  <c r="M655" i="3"/>
  <c r="T654" i="3"/>
  <c r="R654" i="3"/>
  <c r="P654" i="3"/>
  <c r="N654" i="3"/>
  <c r="J654" i="3"/>
  <c r="S653" i="3"/>
  <c r="M653" i="3"/>
  <c r="J652" i="3" s="1"/>
  <c r="T652" i="3"/>
  <c r="N652" i="3"/>
  <c r="N643" i="3" s="1"/>
  <c r="S651" i="3"/>
  <c r="M651" i="3"/>
  <c r="J650" i="3" s="1"/>
  <c r="T650" i="3"/>
  <c r="N650" i="3"/>
  <c r="S649" i="3"/>
  <c r="M649" i="3"/>
  <c r="J648" i="3" s="1"/>
  <c r="T648" i="3"/>
  <c r="N648" i="3"/>
  <c r="S647" i="3"/>
  <c r="M647" i="3"/>
  <c r="J646" i="3" s="1"/>
  <c r="T646" i="3"/>
  <c r="P646" i="3"/>
  <c r="S646" i="3" s="1"/>
  <c r="U646" i="3" s="1"/>
  <c r="N646" i="3"/>
  <c r="S645" i="3"/>
  <c r="M645" i="3"/>
  <c r="J644" i="3" s="1"/>
  <c r="L644" i="3" s="1"/>
  <c r="T644" i="3"/>
  <c r="P644" i="3"/>
  <c r="N644" i="3"/>
  <c r="S642" i="3"/>
  <c r="M642" i="3"/>
  <c r="S641" i="3"/>
  <c r="P640" i="3" s="1"/>
  <c r="R640" i="3" s="1"/>
  <c r="M641" i="3"/>
  <c r="J640" i="3" s="1"/>
  <c r="T640" i="3"/>
  <c r="N640" i="3"/>
  <c r="S639" i="3"/>
  <c r="M639" i="3"/>
  <c r="S638" i="3"/>
  <c r="M638" i="3"/>
  <c r="J637" i="3" s="1"/>
  <c r="T637" i="3"/>
  <c r="N637" i="3"/>
  <c r="S636" i="3"/>
  <c r="M636" i="3"/>
  <c r="S635" i="3"/>
  <c r="M635" i="3"/>
  <c r="T634" i="3"/>
  <c r="N634" i="3"/>
  <c r="S633" i="3"/>
  <c r="M633" i="3"/>
  <c r="S632" i="3"/>
  <c r="M632" i="3"/>
  <c r="J631" i="3" s="1"/>
  <c r="M631" i="3" s="1"/>
  <c r="T631" i="3"/>
  <c r="N631" i="3"/>
  <c r="S630" i="3"/>
  <c r="M630" i="3"/>
  <c r="S629" i="3"/>
  <c r="P628" i="3" s="1"/>
  <c r="M629" i="3"/>
  <c r="J628" i="3" s="1"/>
  <c r="M628" i="3" s="1"/>
  <c r="T628" i="3"/>
  <c r="N628" i="3"/>
  <c r="S627" i="3"/>
  <c r="M627" i="3"/>
  <c r="S626" i="3"/>
  <c r="P625" i="3" s="1"/>
  <c r="M626" i="3"/>
  <c r="J625" i="3" s="1"/>
  <c r="M625" i="3" s="1"/>
  <c r="T625" i="3"/>
  <c r="N625" i="3"/>
  <c r="S624" i="3"/>
  <c r="M624" i="3"/>
  <c r="S623" i="3"/>
  <c r="M623" i="3"/>
  <c r="T622" i="3"/>
  <c r="N622" i="3"/>
  <c r="O622" i="3" s="1"/>
  <c r="J622" i="3"/>
  <c r="M622" i="3" s="1"/>
  <c r="S621" i="3"/>
  <c r="M621" i="3"/>
  <c r="S620" i="3"/>
  <c r="P619" i="3" s="1"/>
  <c r="M620" i="3"/>
  <c r="T619" i="3"/>
  <c r="N619" i="3"/>
  <c r="J619" i="3"/>
  <c r="M619" i="3" s="1"/>
  <c r="O619" i="3" s="1"/>
  <c r="S618" i="3"/>
  <c r="M618" i="3"/>
  <c r="S617" i="3"/>
  <c r="P616" i="3" s="1"/>
  <c r="M617" i="3"/>
  <c r="T616" i="3"/>
  <c r="N616" i="3"/>
  <c r="J616" i="3"/>
  <c r="M616" i="3" s="1"/>
  <c r="O616" i="3" s="1"/>
  <c r="S615" i="3"/>
  <c r="M615" i="3"/>
  <c r="S614" i="3"/>
  <c r="M614" i="3"/>
  <c r="J613" i="3" s="1"/>
  <c r="M613" i="3" s="1"/>
  <c r="O613" i="3" s="1"/>
  <c r="T613" i="3"/>
  <c r="N613" i="3"/>
  <c r="S612" i="3"/>
  <c r="M612" i="3"/>
  <c r="J610" i="3" s="1"/>
  <c r="M610" i="3" s="1"/>
  <c r="O610" i="3" s="1"/>
  <c r="S611" i="3"/>
  <c r="M611" i="3"/>
  <c r="T610" i="3"/>
  <c r="N610" i="3"/>
  <c r="S609" i="3"/>
  <c r="M609" i="3"/>
  <c r="S608" i="3"/>
  <c r="P607" i="3" s="1"/>
  <c r="M608" i="3"/>
  <c r="J607" i="3" s="1"/>
  <c r="M607" i="3" s="1"/>
  <c r="O607" i="3" s="1"/>
  <c r="T607" i="3"/>
  <c r="N607" i="3"/>
  <c r="S606" i="3"/>
  <c r="M606" i="3"/>
  <c r="S605" i="3"/>
  <c r="P604" i="3" s="1"/>
  <c r="M605" i="3"/>
  <c r="J604" i="3" s="1"/>
  <c r="M604" i="3" s="1"/>
  <c r="O604" i="3" s="1"/>
  <c r="T604" i="3"/>
  <c r="N604" i="3"/>
  <c r="S603" i="3"/>
  <c r="M603" i="3"/>
  <c r="S602" i="3"/>
  <c r="P601" i="3" s="1"/>
  <c r="M602" i="3"/>
  <c r="J601" i="3" s="1"/>
  <c r="T601" i="3"/>
  <c r="S601" i="3"/>
  <c r="N601" i="3"/>
  <c r="S600" i="3"/>
  <c r="M600" i="3"/>
  <c r="S599" i="3"/>
  <c r="M599" i="3"/>
  <c r="J598" i="3" s="1"/>
  <c r="T598" i="3"/>
  <c r="N598" i="3"/>
  <c r="S597" i="3"/>
  <c r="M597" i="3"/>
  <c r="S596" i="3"/>
  <c r="M596" i="3"/>
  <c r="J595" i="3" s="1"/>
  <c r="M595" i="3" s="1"/>
  <c r="O595" i="3" s="1"/>
  <c r="T595" i="3"/>
  <c r="N595" i="3"/>
  <c r="S594" i="3"/>
  <c r="M594" i="3"/>
  <c r="S593" i="3"/>
  <c r="M593" i="3"/>
  <c r="J592" i="3" s="1"/>
  <c r="T592" i="3"/>
  <c r="N592" i="3"/>
  <c r="S591" i="3"/>
  <c r="M591" i="3"/>
  <c r="S590" i="3"/>
  <c r="P589" i="3" s="1"/>
  <c r="S589" i="3" s="1"/>
  <c r="M590" i="3"/>
  <c r="T589" i="3"/>
  <c r="N589" i="3"/>
  <c r="L589" i="3"/>
  <c r="J589" i="3"/>
  <c r="M589" i="3" s="1"/>
  <c r="S588" i="3"/>
  <c r="M588" i="3"/>
  <c r="S587" i="3"/>
  <c r="M587" i="3"/>
  <c r="T586" i="3"/>
  <c r="N586" i="3"/>
  <c r="S585" i="3"/>
  <c r="M585" i="3"/>
  <c r="S584" i="3"/>
  <c r="M584" i="3"/>
  <c r="T583" i="3"/>
  <c r="N583" i="3"/>
  <c r="J583" i="3"/>
  <c r="M583" i="3" s="1"/>
  <c r="O583" i="3" s="1"/>
  <c r="S582" i="3"/>
  <c r="M582" i="3"/>
  <c r="S581" i="3"/>
  <c r="M581" i="3"/>
  <c r="J580" i="3" s="1"/>
  <c r="T580" i="3"/>
  <c r="N580" i="3"/>
  <c r="S579" i="3"/>
  <c r="M579" i="3"/>
  <c r="S578" i="3"/>
  <c r="P577" i="3" s="1"/>
  <c r="S577" i="3" s="1"/>
  <c r="M578" i="3"/>
  <c r="J577" i="3" s="1"/>
  <c r="T577" i="3"/>
  <c r="N577" i="3"/>
  <c r="S576" i="3"/>
  <c r="M576" i="3"/>
  <c r="S575" i="3"/>
  <c r="M575" i="3"/>
  <c r="T574" i="3"/>
  <c r="N574" i="3"/>
  <c r="S573" i="3"/>
  <c r="M573" i="3"/>
  <c r="S572" i="3"/>
  <c r="P571" i="3" s="1"/>
  <c r="S571" i="3" s="1"/>
  <c r="M572" i="3"/>
  <c r="J571" i="3" s="1"/>
  <c r="M571" i="3" s="1"/>
  <c r="O571" i="3" s="1"/>
  <c r="T571" i="3"/>
  <c r="N571" i="3"/>
  <c r="S570" i="3"/>
  <c r="M570" i="3"/>
  <c r="S569" i="3"/>
  <c r="P568" i="3" s="1"/>
  <c r="M569" i="3"/>
  <c r="J568" i="3" s="1"/>
  <c r="T568" i="3"/>
  <c r="N568" i="3"/>
  <c r="S567" i="3"/>
  <c r="M567" i="3"/>
  <c r="S566" i="3"/>
  <c r="M566" i="3"/>
  <c r="J565" i="3" s="1"/>
  <c r="T565" i="3"/>
  <c r="P565" i="3"/>
  <c r="N565" i="3"/>
  <c r="S564" i="3"/>
  <c r="P562" i="3" s="1"/>
  <c r="M564" i="3"/>
  <c r="S563" i="3"/>
  <c r="M563" i="3"/>
  <c r="T562" i="3"/>
  <c r="N562" i="3"/>
  <c r="J562" i="3"/>
  <c r="M562" i="3" s="1"/>
  <c r="O562" i="3" s="1"/>
  <c r="S561" i="3"/>
  <c r="M561" i="3"/>
  <c r="S560" i="3"/>
  <c r="P559" i="3" s="1"/>
  <c r="M560" i="3"/>
  <c r="J559" i="3" s="1"/>
  <c r="T559" i="3"/>
  <c r="N559" i="3"/>
  <c r="S558" i="3"/>
  <c r="P556" i="3" s="1"/>
  <c r="M558" i="3"/>
  <c r="S557" i="3"/>
  <c r="M557" i="3"/>
  <c r="J556" i="3" s="1"/>
  <c r="M556" i="3" s="1"/>
  <c r="O556" i="3" s="1"/>
  <c r="T556" i="3"/>
  <c r="N556" i="3"/>
  <c r="S555" i="3"/>
  <c r="M555" i="3"/>
  <c r="S554" i="3"/>
  <c r="P553" i="3" s="1"/>
  <c r="M554" i="3"/>
  <c r="T553" i="3"/>
  <c r="N553" i="3"/>
  <c r="S552" i="3"/>
  <c r="M552" i="3"/>
  <c r="S551" i="3"/>
  <c r="M551" i="3"/>
  <c r="J550" i="3" s="1"/>
  <c r="M550" i="3" s="1"/>
  <c r="O550" i="3" s="1"/>
  <c r="T550" i="3"/>
  <c r="N550" i="3"/>
  <c r="S549" i="3"/>
  <c r="M549" i="3"/>
  <c r="S548" i="3"/>
  <c r="P547" i="3" s="1"/>
  <c r="S547" i="3" s="1"/>
  <c r="M548" i="3"/>
  <c r="J547" i="3" s="1"/>
  <c r="T547" i="3"/>
  <c r="N547" i="3"/>
  <c r="S546" i="3"/>
  <c r="M546" i="3"/>
  <c r="S545" i="3"/>
  <c r="P544" i="3" s="1"/>
  <c r="S544" i="3" s="1"/>
  <c r="M545" i="3"/>
  <c r="J544" i="3" s="1"/>
  <c r="T544" i="3"/>
  <c r="N544" i="3"/>
  <c r="S543" i="3"/>
  <c r="M543" i="3"/>
  <c r="J541" i="3" s="1"/>
  <c r="S542" i="3"/>
  <c r="M542" i="3"/>
  <c r="T541" i="3"/>
  <c r="N541" i="3"/>
  <c r="S540" i="3"/>
  <c r="M540" i="3"/>
  <c r="S539" i="3"/>
  <c r="M539" i="3"/>
  <c r="T538" i="3"/>
  <c r="N538" i="3"/>
  <c r="J538" i="3"/>
  <c r="L538" i="3" s="1"/>
  <c r="S537" i="3"/>
  <c r="M537" i="3"/>
  <c r="S536" i="3"/>
  <c r="M536" i="3"/>
  <c r="J535" i="3" s="1"/>
  <c r="M535" i="3" s="1"/>
  <c r="O535" i="3" s="1"/>
  <c r="T535" i="3"/>
  <c r="N535" i="3"/>
  <c r="S534" i="3"/>
  <c r="M534" i="3"/>
  <c r="S533" i="3"/>
  <c r="M533" i="3"/>
  <c r="J532" i="3" s="1"/>
  <c r="M532" i="3" s="1"/>
  <c r="O532" i="3" s="1"/>
  <c r="T532" i="3"/>
  <c r="N532" i="3"/>
  <c r="S531" i="3"/>
  <c r="M531" i="3"/>
  <c r="S530" i="3"/>
  <c r="M530" i="3"/>
  <c r="J529" i="3" s="1"/>
  <c r="M529" i="3" s="1"/>
  <c r="O529" i="3" s="1"/>
  <c r="T529" i="3"/>
  <c r="N529" i="3"/>
  <c r="S528" i="3"/>
  <c r="M528" i="3"/>
  <c r="S527" i="3"/>
  <c r="P526" i="3" s="1"/>
  <c r="S526" i="3" s="1"/>
  <c r="M527" i="3"/>
  <c r="J526" i="3" s="1"/>
  <c r="M526" i="3" s="1"/>
  <c r="O526" i="3" s="1"/>
  <c r="T526" i="3"/>
  <c r="N526" i="3"/>
  <c r="S525" i="3"/>
  <c r="M525" i="3"/>
  <c r="S524" i="3"/>
  <c r="P523" i="3" s="1"/>
  <c r="S523" i="3" s="1"/>
  <c r="M524" i="3"/>
  <c r="J523" i="3" s="1"/>
  <c r="M523" i="3" s="1"/>
  <c r="O523" i="3" s="1"/>
  <c r="T523" i="3"/>
  <c r="N523" i="3"/>
  <c r="S522" i="3"/>
  <c r="M522" i="3"/>
  <c r="S521" i="3"/>
  <c r="P520" i="3" s="1"/>
  <c r="S520" i="3" s="1"/>
  <c r="M521" i="3"/>
  <c r="J520" i="3" s="1"/>
  <c r="M520" i="3" s="1"/>
  <c r="O520" i="3" s="1"/>
  <c r="T520" i="3"/>
  <c r="N520" i="3"/>
  <c r="N513" i="3" s="1"/>
  <c r="S519" i="3"/>
  <c r="M519" i="3"/>
  <c r="S518" i="3"/>
  <c r="P517" i="3" s="1"/>
  <c r="M518" i="3"/>
  <c r="J517" i="3" s="1"/>
  <c r="T517" i="3"/>
  <c r="N517" i="3"/>
  <c r="S516" i="3"/>
  <c r="M516" i="3"/>
  <c r="S515" i="3"/>
  <c r="P514" i="3" s="1"/>
  <c r="M515" i="3"/>
  <c r="J514" i="3" s="1"/>
  <c r="T514" i="3"/>
  <c r="S514" i="3"/>
  <c r="N514" i="3"/>
  <c r="S512" i="3"/>
  <c r="M512" i="3"/>
  <c r="S511" i="3"/>
  <c r="M511" i="3"/>
  <c r="J510" i="3" s="1"/>
  <c r="M510" i="3" s="1"/>
  <c r="O510" i="3" s="1"/>
  <c r="T510" i="3"/>
  <c r="N510" i="3"/>
  <c r="S509" i="3"/>
  <c r="M509" i="3"/>
  <c r="S508" i="3"/>
  <c r="P507" i="3" s="1"/>
  <c r="M508" i="3"/>
  <c r="J507" i="3" s="1"/>
  <c r="T507" i="3"/>
  <c r="N507" i="3"/>
  <c r="S506" i="3"/>
  <c r="M506" i="3"/>
  <c r="S505" i="3"/>
  <c r="M505" i="3"/>
  <c r="J504" i="3" s="1"/>
  <c r="T504" i="3"/>
  <c r="N504" i="3"/>
  <c r="S503" i="3"/>
  <c r="M503" i="3"/>
  <c r="S502" i="3"/>
  <c r="P501" i="3" s="1"/>
  <c r="S501" i="3" s="1"/>
  <c r="M502" i="3"/>
  <c r="J501" i="3" s="1"/>
  <c r="T501" i="3"/>
  <c r="N501" i="3"/>
  <c r="S500" i="3"/>
  <c r="M500" i="3"/>
  <c r="J498" i="3" s="1"/>
  <c r="S499" i="3"/>
  <c r="M499" i="3"/>
  <c r="T498" i="3"/>
  <c r="T497" i="3" s="1"/>
  <c r="N498" i="3"/>
  <c r="S495" i="3"/>
  <c r="M495" i="3"/>
  <c r="J494" i="3" s="1"/>
  <c r="T494" i="3"/>
  <c r="N494" i="3"/>
  <c r="S493" i="3"/>
  <c r="M493" i="3"/>
  <c r="J492" i="3" s="1"/>
  <c r="T492" i="3"/>
  <c r="T491" i="3" s="1"/>
  <c r="P492" i="3"/>
  <c r="N492" i="3"/>
  <c r="N491" i="3" s="1"/>
  <c r="S490" i="3"/>
  <c r="M490" i="3"/>
  <c r="S489" i="3"/>
  <c r="M489" i="3"/>
  <c r="S488" i="3"/>
  <c r="M488" i="3"/>
  <c r="S487" i="3"/>
  <c r="M487" i="3"/>
  <c r="S486" i="3"/>
  <c r="M486" i="3"/>
  <c r="S485" i="3"/>
  <c r="M485" i="3"/>
  <c r="S484" i="3"/>
  <c r="M484" i="3"/>
  <c r="T483" i="3"/>
  <c r="N483" i="3"/>
  <c r="S482" i="3"/>
  <c r="M482" i="3"/>
  <c r="S481" i="3"/>
  <c r="M481" i="3"/>
  <c r="S480" i="3"/>
  <c r="M480" i="3"/>
  <c r="S479" i="3"/>
  <c r="M479" i="3"/>
  <c r="J478" i="3" s="1"/>
  <c r="T478" i="3"/>
  <c r="N478" i="3"/>
  <c r="S477" i="3"/>
  <c r="M477" i="3"/>
  <c r="S476" i="3"/>
  <c r="M476" i="3"/>
  <c r="J474" i="3" s="1"/>
  <c r="S475" i="3"/>
  <c r="P474" i="3" s="1"/>
  <c r="M475" i="3"/>
  <c r="T474" i="3"/>
  <c r="N474" i="3"/>
  <c r="S473" i="3"/>
  <c r="M473" i="3"/>
  <c r="S472" i="3"/>
  <c r="M472" i="3"/>
  <c r="S471" i="3"/>
  <c r="M471" i="3"/>
  <c r="S470" i="3"/>
  <c r="M470" i="3"/>
  <c r="J469" i="3" s="1"/>
  <c r="T469" i="3"/>
  <c r="N469" i="3"/>
  <c r="S468" i="3"/>
  <c r="M468" i="3"/>
  <c r="S467" i="3"/>
  <c r="M467" i="3"/>
  <c r="S466" i="3"/>
  <c r="M466" i="3"/>
  <c r="J464" i="3" s="1"/>
  <c r="S465" i="3"/>
  <c r="P464" i="3" s="1"/>
  <c r="M465" i="3"/>
  <c r="T464" i="3"/>
  <c r="N464" i="3"/>
  <c r="S463" i="3"/>
  <c r="M463" i="3"/>
  <c r="S462" i="3"/>
  <c r="M462" i="3"/>
  <c r="S461" i="3"/>
  <c r="P459" i="3" s="1"/>
  <c r="M461" i="3"/>
  <c r="S460" i="3"/>
  <c r="M460" i="3"/>
  <c r="T459" i="3"/>
  <c r="N459" i="3"/>
  <c r="S458" i="3"/>
  <c r="M458" i="3"/>
  <c r="S457" i="3"/>
  <c r="M457" i="3"/>
  <c r="S456" i="3"/>
  <c r="P455" i="3" s="1"/>
  <c r="M456" i="3"/>
  <c r="J455" i="3" s="1"/>
  <c r="L455" i="3" s="1"/>
  <c r="T455" i="3"/>
  <c r="N455" i="3"/>
  <c r="S454" i="3"/>
  <c r="M454" i="3"/>
  <c r="S453" i="3"/>
  <c r="M453" i="3"/>
  <c r="J451" i="3" s="1"/>
  <c r="S452" i="3"/>
  <c r="P451" i="3" s="1"/>
  <c r="M452" i="3"/>
  <c r="T451" i="3"/>
  <c r="N451" i="3"/>
  <c r="S450" i="3"/>
  <c r="M450" i="3"/>
  <c r="S449" i="3"/>
  <c r="M449" i="3"/>
  <c r="S448" i="3"/>
  <c r="M448" i="3"/>
  <c r="T447" i="3"/>
  <c r="N447" i="3"/>
  <c r="S446" i="3"/>
  <c r="M446" i="3"/>
  <c r="S445" i="3"/>
  <c r="M445" i="3"/>
  <c r="S444" i="3"/>
  <c r="M444" i="3"/>
  <c r="S443" i="3"/>
  <c r="M443" i="3"/>
  <c r="T442" i="3"/>
  <c r="N442" i="3"/>
  <c r="J442" i="3"/>
  <c r="L442" i="3" s="1"/>
  <c r="S441" i="3"/>
  <c r="M441" i="3"/>
  <c r="S440" i="3"/>
  <c r="P439" i="3" s="1"/>
  <c r="M440" i="3"/>
  <c r="J439" i="3" s="1"/>
  <c r="T439" i="3"/>
  <c r="N439" i="3"/>
  <c r="S438" i="3"/>
  <c r="M438" i="3"/>
  <c r="S437" i="3"/>
  <c r="M437" i="3"/>
  <c r="T436" i="3"/>
  <c r="N436" i="3"/>
  <c r="S435" i="3"/>
  <c r="M435" i="3"/>
  <c r="S434" i="3"/>
  <c r="P433" i="3" s="1"/>
  <c r="M434" i="3"/>
  <c r="J433" i="3" s="1"/>
  <c r="T433" i="3"/>
  <c r="N433" i="3"/>
  <c r="S432" i="3"/>
  <c r="M432" i="3"/>
  <c r="S431" i="3"/>
  <c r="M431" i="3"/>
  <c r="J429" i="3" s="1"/>
  <c r="S430" i="3"/>
  <c r="P429" i="3" s="1"/>
  <c r="M430" i="3"/>
  <c r="T429" i="3"/>
  <c r="N429" i="3"/>
  <c r="S428" i="3"/>
  <c r="M428" i="3"/>
  <c r="J425" i="3" s="1"/>
  <c r="S427" i="3"/>
  <c r="M427" i="3"/>
  <c r="S426" i="3"/>
  <c r="M426" i="3"/>
  <c r="T425" i="3"/>
  <c r="N425" i="3"/>
  <c r="S424" i="3"/>
  <c r="M424" i="3"/>
  <c r="S423" i="3"/>
  <c r="M423" i="3"/>
  <c r="S422" i="3"/>
  <c r="M422" i="3"/>
  <c r="T421" i="3"/>
  <c r="P421" i="3"/>
  <c r="S421" i="3" s="1"/>
  <c r="N421" i="3"/>
  <c r="S420" i="3"/>
  <c r="M420" i="3"/>
  <c r="S419" i="3"/>
  <c r="M419" i="3"/>
  <c r="S418" i="3"/>
  <c r="M418" i="3"/>
  <c r="T417" i="3"/>
  <c r="N417" i="3"/>
  <c r="N416" i="3" s="1"/>
  <c r="M417" i="3"/>
  <c r="J417" i="3"/>
  <c r="L417" i="3" s="1"/>
  <c r="S415" i="3"/>
  <c r="M415" i="3"/>
  <c r="S414" i="3"/>
  <c r="M414" i="3"/>
  <c r="S413" i="3"/>
  <c r="M413" i="3"/>
  <c r="S412" i="3"/>
  <c r="M412" i="3"/>
  <c r="T411" i="3"/>
  <c r="N411" i="3"/>
  <c r="J411" i="3"/>
  <c r="M411" i="3" s="1"/>
  <c r="O411" i="3" s="1"/>
  <c r="S410" i="3"/>
  <c r="M410" i="3"/>
  <c r="S409" i="3"/>
  <c r="M409" i="3"/>
  <c r="S408" i="3"/>
  <c r="M408" i="3"/>
  <c r="S407" i="3"/>
  <c r="M407" i="3"/>
  <c r="J406" i="3" s="1"/>
  <c r="T406" i="3"/>
  <c r="N406" i="3"/>
  <c r="S405" i="3"/>
  <c r="M405" i="3"/>
  <c r="S404" i="3"/>
  <c r="M404" i="3"/>
  <c r="S403" i="3"/>
  <c r="M403" i="3"/>
  <c r="S402" i="3"/>
  <c r="M402" i="3"/>
  <c r="S401" i="3"/>
  <c r="M401" i="3"/>
  <c r="T400" i="3"/>
  <c r="N400" i="3"/>
  <c r="S399" i="3"/>
  <c r="M399" i="3"/>
  <c r="S398" i="3"/>
  <c r="M398" i="3"/>
  <c r="S397" i="3"/>
  <c r="M397" i="3"/>
  <c r="J395" i="3" s="1"/>
  <c r="S396" i="3"/>
  <c r="P395" i="3" s="1"/>
  <c r="M396" i="3"/>
  <c r="T395" i="3"/>
  <c r="N395" i="3"/>
  <c r="S394" i="3"/>
  <c r="M394" i="3"/>
  <c r="S393" i="3"/>
  <c r="M393" i="3"/>
  <c r="S392" i="3"/>
  <c r="M392" i="3"/>
  <c r="S391" i="3"/>
  <c r="M391" i="3"/>
  <c r="T390" i="3"/>
  <c r="N390" i="3"/>
  <c r="S389" i="3"/>
  <c r="M389" i="3"/>
  <c r="S388" i="3"/>
  <c r="M388" i="3"/>
  <c r="S387" i="3"/>
  <c r="M387" i="3"/>
  <c r="S386" i="3"/>
  <c r="M386" i="3"/>
  <c r="T385" i="3"/>
  <c r="N385" i="3"/>
  <c r="S384" i="3"/>
  <c r="M384" i="3"/>
  <c r="S383" i="3"/>
  <c r="M383" i="3"/>
  <c r="S382" i="3"/>
  <c r="M382" i="3"/>
  <c r="S381" i="3"/>
  <c r="M381" i="3"/>
  <c r="T380" i="3"/>
  <c r="N380" i="3"/>
  <c r="S379" i="3"/>
  <c r="M379" i="3"/>
  <c r="S378" i="3"/>
  <c r="M378" i="3"/>
  <c r="S377" i="3"/>
  <c r="M377" i="3"/>
  <c r="J375" i="3" s="1"/>
  <c r="S376" i="3"/>
  <c r="P375" i="3" s="1"/>
  <c r="M376" i="3"/>
  <c r="T375" i="3"/>
  <c r="N375" i="3"/>
  <c r="S374" i="3"/>
  <c r="M374" i="3"/>
  <c r="S373" i="3"/>
  <c r="M373" i="3"/>
  <c r="S372" i="3"/>
  <c r="M372" i="3"/>
  <c r="S371" i="3"/>
  <c r="M371" i="3"/>
  <c r="S370" i="3"/>
  <c r="M370" i="3"/>
  <c r="J369" i="3" s="1"/>
  <c r="T369" i="3"/>
  <c r="N369" i="3"/>
  <c r="S368" i="3"/>
  <c r="M368" i="3"/>
  <c r="S367" i="3"/>
  <c r="M367" i="3"/>
  <c r="S366" i="3"/>
  <c r="M366" i="3"/>
  <c r="S365" i="3"/>
  <c r="P363" i="3" s="1"/>
  <c r="R363" i="3" s="1"/>
  <c r="M365" i="3"/>
  <c r="S364" i="3"/>
  <c r="M364" i="3"/>
  <c r="T363" i="3"/>
  <c r="N363" i="3"/>
  <c r="S362" i="3"/>
  <c r="M362" i="3"/>
  <c r="S361" i="3"/>
  <c r="M361" i="3"/>
  <c r="S360" i="3"/>
  <c r="P359" i="3" s="1"/>
  <c r="R359" i="3" s="1"/>
  <c r="M360" i="3"/>
  <c r="J359" i="3" s="1"/>
  <c r="T359" i="3"/>
  <c r="N359" i="3"/>
  <c r="S358" i="3"/>
  <c r="M358" i="3"/>
  <c r="S357" i="3"/>
  <c r="M357" i="3"/>
  <c r="S356" i="3"/>
  <c r="M356" i="3"/>
  <c r="S355" i="3"/>
  <c r="M355" i="3"/>
  <c r="T354" i="3"/>
  <c r="N354" i="3"/>
  <c r="S353" i="3"/>
  <c r="P350" i="3" s="1"/>
  <c r="M353" i="3"/>
  <c r="S352" i="3"/>
  <c r="M352" i="3"/>
  <c r="J350" i="3" s="1"/>
  <c r="S351" i="3"/>
  <c r="M351" i="3"/>
  <c r="T350" i="3"/>
  <c r="N350" i="3"/>
  <c r="S349" i="3"/>
  <c r="M349" i="3"/>
  <c r="S348" i="3"/>
  <c r="M348" i="3"/>
  <c r="S347" i="3"/>
  <c r="M347" i="3"/>
  <c r="S346" i="3"/>
  <c r="P345" i="3" s="1"/>
  <c r="S345" i="3" s="1"/>
  <c r="M346" i="3"/>
  <c r="T345" i="3"/>
  <c r="N345" i="3"/>
  <c r="S344" i="3"/>
  <c r="M344" i="3"/>
  <c r="S343" i="3"/>
  <c r="M343" i="3"/>
  <c r="S342" i="3"/>
  <c r="M342" i="3"/>
  <c r="S341" i="3"/>
  <c r="M341" i="3"/>
  <c r="T340" i="3"/>
  <c r="N340" i="3"/>
  <c r="S339" i="3"/>
  <c r="M339" i="3"/>
  <c r="S338" i="3"/>
  <c r="M338" i="3"/>
  <c r="S337" i="3"/>
  <c r="M337" i="3"/>
  <c r="S336" i="3"/>
  <c r="M336" i="3"/>
  <c r="T335" i="3"/>
  <c r="P335" i="3"/>
  <c r="N335" i="3"/>
  <c r="S334" i="3"/>
  <c r="M334" i="3"/>
  <c r="J332" i="3" s="1"/>
  <c r="S333" i="3"/>
  <c r="M333" i="3"/>
  <c r="T332" i="3"/>
  <c r="P332" i="3"/>
  <c r="R332" i="3" s="1"/>
  <c r="N332" i="3"/>
  <c r="S331" i="3"/>
  <c r="M331" i="3"/>
  <c r="S330" i="3"/>
  <c r="M330" i="3"/>
  <c r="J329" i="3" s="1"/>
  <c r="T329" i="3"/>
  <c r="R329" i="3"/>
  <c r="P329" i="3"/>
  <c r="N329" i="3"/>
  <c r="S328" i="3"/>
  <c r="M328" i="3"/>
  <c r="S327" i="3"/>
  <c r="M327" i="3"/>
  <c r="T326" i="3"/>
  <c r="P326" i="3"/>
  <c r="N326" i="3"/>
  <c r="S325" i="3"/>
  <c r="M325" i="3"/>
  <c r="S324" i="3"/>
  <c r="M324" i="3"/>
  <c r="T323" i="3"/>
  <c r="N323" i="3"/>
  <c r="J323" i="3"/>
  <c r="S322" i="3"/>
  <c r="M322" i="3"/>
  <c r="S321" i="3"/>
  <c r="M321" i="3"/>
  <c r="J320" i="3" s="1"/>
  <c r="L320" i="3" s="1"/>
  <c r="T320" i="3"/>
  <c r="N320" i="3"/>
  <c r="S319" i="3"/>
  <c r="M319" i="3"/>
  <c r="S318" i="3"/>
  <c r="P317" i="3" s="1"/>
  <c r="M318" i="3"/>
  <c r="T317" i="3"/>
  <c r="N317" i="3"/>
  <c r="S316" i="3"/>
  <c r="M316" i="3"/>
  <c r="S315" i="3"/>
  <c r="M315" i="3"/>
  <c r="T314" i="3"/>
  <c r="N314" i="3"/>
  <c r="J314" i="3"/>
  <c r="L314" i="3" s="1"/>
  <c r="S313" i="3"/>
  <c r="P311" i="3" s="1"/>
  <c r="M313" i="3"/>
  <c r="S312" i="3"/>
  <c r="M312" i="3"/>
  <c r="T311" i="3"/>
  <c r="N311" i="3"/>
  <c r="S310" i="3"/>
  <c r="M310" i="3"/>
  <c r="S309" i="3"/>
  <c r="M309" i="3"/>
  <c r="T308" i="3"/>
  <c r="N308" i="3"/>
  <c r="J308" i="3"/>
  <c r="L308" i="3" s="1"/>
  <c r="S307" i="3"/>
  <c r="M307" i="3"/>
  <c r="S306" i="3"/>
  <c r="M306" i="3"/>
  <c r="J305" i="3" s="1"/>
  <c r="T305" i="3"/>
  <c r="P305" i="3"/>
  <c r="S305" i="3" s="1"/>
  <c r="U305" i="3" s="1"/>
  <c r="N305" i="3"/>
  <c r="S304" i="3"/>
  <c r="M304" i="3"/>
  <c r="S303" i="3"/>
  <c r="M303" i="3"/>
  <c r="T302" i="3"/>
  <c r="N302" i="3"/>
  <c r="M302" i="3"/>
  <c r="O302" i="3" s="1"/>
  <c r="J302" i="3"/>
  <c r="L302" i="3" s="1"/>
  <c r="S301" i="3"/>
  <c r="M301" i="3"/>
  <c r="S300" i="3"/>
  <c r="M300" i="3"/>
  <c r="T299" i="3"/>
  <c r="R299" i="3"/>
  <c r="P299" i="3"/>
  <c r="S299" i="3" s="1"/>
  <c r="U299" i="3" s="1"/>
  <c r="N299" i="3"/>
  <c r="S298" i="3"/>
  <c r="M298" i="3"/>
  <c r="J296" i="3" s="1"/>
  <c r="S297" i="3"/>
  <c r="M297" i="3"/>
  <c r="T296" i="3"/>
  <c r="N296" i="3"/>
  <c r="S295" i="3"/>
  <c r="P293" i="3" s="1"/>
  <c r="M295" i="3"/>
  <c r="S294" i="3"/>
  <c r="M294" i="3"/>
  <c r="T293" i="3"/>
  <c r="N293" i="3"/>
  <c r="S292" i="3"/>
  <c r="M292" i="3"/>
  <c r="S291" i="3"/>
  <c r="M291" i="3"/>
  <c r="J290" i="3" s="1"/>
  <c r="T290" i="3"/>
  <c r="N290" i="3"/>
  <c r="S289" i="3"/>
  <c r="M289" i="3"/>
  <c r="S288" i="3"/>
  <c r="M288" i="3"/>
  <c r="J287" i="3" s="1"/>
  <c r="T287" i="3"/>
  <c r="N287" i="3"/>
  <c r="S286" i="3"/>
  <c r="M286" i="3"/>
  <c r="S285" i="3"/>
  <c r="P284" i="3" s="1"/>
  <c r="M285" i="3"/>
  <c r="T284" i="3"/>
  <c r="N284" i="3"/>
  <c r="S283" i="3"/>
  <c r="M283" i="3"/>
  <c r="S282" i="3"/>
  <c r="M282" i="3"/>
  <c r="T281" i="3"/>
  <c r="N281" i="3"/>
  <c r="S280" i="3"/>
  <c r="M280" i="3"/>
  <c r="S279" i="3"/>
  <c r="M279" i="3"/>
  <c r="J278" i="3" s="1"/>
  <c r="T278" i="3"/>
  <c r="N278" i="3"/>
  <c r="S277" i="3"/>
  <c r="M277" i="3"/>
  <c r="S276" i="3"/>
  <c r="M276" i="3"/>
  <c r="J275" i="3" s="1"/>
  <c r="M275" i="3" s="1"/>
  <c r="O275" i="3" s="1"/>
  <c r="T275" i="3"/>
  <c r="N275" i="3"/>
  <c r="S274" i="3"/>
  <c r="M274" i="3"/>
  <c r="S273" i="3"/>
  <c r="M273" i="3"/>
  <c r="T272" i="3"/>
  <c r="P272" i="3"/>
  <c r="S272" i="3" s="1"/>
  <c r="U272" i="3" s="1"/>
  <c r="N272" i="3"/>
  <c r="J272" i="3"/>
  <c r="S271" i="3"/>
  <c r="M271" i="3"/>
  <c r="S270" i="3"/>
  <c r="M270" i="3"/>
  <c r="T269" i="3"/>
  <c r="P269" i="3"/>
  <c r="N269" i="3"/>
  <c r="S268" i="3"/>
  <c r="M268" i="3"/>
  <c r="J266" i="3" s="1"/>
  <c r="L266" i="3" s="1"/>
  <c r="S267" i="3"/>
  <c r="M267" i="3"/>
  <c r="T266" i="3"/>
  <c r="N266" i="3"/>
  <c r="S265" i="3"/>
  <c r="M265" i="3"/>
  <c r="S264" i="3"/>
  <c r="M264" i="3"/>
  <c r="J263" i="3" s="1"/>
  <c r="T263" i="3"/>
  <c r="N263" i="3"/>
  <c r="S262" i="3"/>
  <c r="M262" i="3"/>
  <c r="S261" i="3"/>
  <c r="P260" i="3" s="1"/>
  <c r="S260" i="3" s="1"/>
  <c r="U260" i="3" s="1"/>
  <c r="M261" i="3"/>
  <c r="T260" i="3"/>
  <c r="N260" i="3"/>
  <c r="S259" i="3"/>
  <c r="M259" i="3"/>
  <c r="S258" i="3"/>
  <c r="M258" i="3"/>
  <c r="T257" i="3"/>
  <c r="N257" i="3"/>
  <c r="S256" i="3"/>
  <c r="M256" i="3"/>
  <c r="S255" i="3"/>
  <c r="M255" i="3"/>
  <c r="T254" i="3"/>
  <c r="N254" i="3"/>
  <c r="S253" i="3"/>
  <c r="M253" i="3"/>
  <c r="S252" i="3"/>
  <c r="M252" i="3"/>
  <c r="T251" i="3"/>
  <c r="N251" i="3"/>
  <c r="S250" i="3"/>
  <c r="M250" i="3"/>
  <c r="S249" i="3"/>
  <c r="P248" i="3" s="1"/>
  <c r="S248" i="3" s="1"/>
  <c r="M249" i="3"/>
  <c r="U248" i="3"/>
  <c r="T248" i="3"/>
  <c r="N248" i="3"/>
  <c r="S247" i="3"/>
  <c r="M247" i="3"/>
  <c r="S246" i="3"/>
  <c r="M246" i="3"/>
  <c r="S245" i="3"/>
  <c r="M245" i="3"/>
  <c r="S244" i="3"/>
  <c r="M244" i="3"/>
  <c r="S243" i="3"/>
  <c r="M243" i="3"/>
  <c r="T242" i="3"/>
  <c r="P242" i="3"/>
  <c r="N242" i="3"/>
  <c r="S241" i="3"/>
  <c r="M241" i="3"/>
  <c r="S240" i="3"/>
  <c r="M240" i="3"/>
  <c r="S239" i="3"/>
  <c r="M239" i="3"/>
  <c r="S238" i="3"/>
  <c r="M238" i="3"/>
  <c r="S237" i="3"/>
  <c r="M237" i="3"/>
  <c r="T236" i="3"/>
  <c r="N236" i="3"/>
  <c r="S234" i="3"/>
  <c r="M234" i="3"/>
  <c r="J231" i="3" s="1"/>
  <c r="S233" i="3"/>
  <c r="M233" i="3"/>
  <c r="S232" i="3"/>
  <c r="M232" i="3"/>
  <c r="T231" i="3"/>
  <c r="N231" i="3"/>
  <c r="S230" i="3"/>
  <c r="M230" i="3"/>
  <c r="S229" i="3"/>
  <c r="M229" i="3"/>
  <c r="S228" i="3"/>
  <c r="M228" i="3"/>
  <c r="T227" i="3"/>
  <c r="N227" i="3"/>
  <c r="S226" i="3"/>
  <c r="M226" i="3"/>
  <c r="S225" i="3"/>
  <c r="M225" i="3"/>
  <c r="S224" i="3"/>
  <c r="P223" i="3" s="1"/>
  <c r="S223" i="3" s="1"/>
  <c r="M224" i="3"/>
  <c r="J223" i="3" s="1"/>
  <c r="T223" i="3"/>
  <c r="N223" i="3"/>
  <c r="S222" i="3"/>
  <c r="M222" i="3"/>
  <c r="S221" i="3"/>
  <c r="P219" i="3" s="1"/>
  <c r="R219" i="3" s="1"/>
  <c r="M221" i="3"/>
  <c r="J219" i="3" s="1"/>
  <c r="S220" i="3"/>
  <c r="M220" i="3"/>
  <c r="T219" i="3"/>
  <c r="N219" i="3"/>
  <c r="S218" i="3"/>
  <c r="M218" i="3"/>
  <c r="S217" i="3"/>
  <c r="M217" i="3"/>
  <c r="S216" i="3"/>
  <c r="M216" i="3"/>
  <c r="S215" i="3"/>
  <c r="M215" i="3"/>
  <c r="T214" i="3"/>
  <c r="N214" i="3"/>
  <c r="S213" i="3"/>
  <c r="M213" i="3"/>
  <c r="S212" i="3"/>
  <c r="M212" i="3"/>
  <c r="S211" i="3"/>
  <c r="M211" i="3"/>
  <c r="J209" i="3" s="1"/>
  <c r="L209" i="3" s="1"/>
  <c r="S210" i="3"/>
  <c r="P209" i="3" s="1"/>
  <c r="R209" i="3" s="1"/>
  <c r="M210" i="3"/>
  <c r="T209" i="3"/>
  <c r="N209" i="3"/>
  <c r="S208" i="3"/>
  <c r="M208" i="3"/>
  <c r="S207" i="3"/>
  <c r="M207" i="3"/>
  <c r="S206" i="3"/>
  <c r="M206" i="3"/>
  <c r="S205" i="3"/>
  <c r="M205" i="3"/>
  <c r="T204" i="3"/>
  <c r="N204" i="3"/>
  <c r="S203" i="3"/>
  <c r="M203" i="3"/>
  <c r="S202" i="3"/>
  <c r="M202" i="3"/>
  <c r="S201" i="3"/>
  <c r="M201" i="3"/>
  <c r="J199" i="3" s="1"/>
  <c r="M199" i="3" s="1"/>
  <c r="O199" i="3" s="1"/>
  <c r="S200" i="3"/>
  <c r="M200" i="3"/>
  <c r="T199" i="3"/>
  <c r="N199" i="3"/>
  <c r="S198" i="3"/>
  <c r="P194" i="3" s="1"/>
  <c r="M198" i="3"/>
  <c r="S197" i="3"/>
  <c r="M197" i="3"/>
  <c r="S196" i="3"/>
  <c r="M196" i="3"/>
  <c r="S195" i="3"/>
  <c r="M195" i="3"/>
  <c r="T194" i="3"/>
  <c r="N194" i="3"/>
  <c r="S193" i="3"/>
  <c r="M193" i="3"/>
  <c r="S192" i="3"/>
  <c r="P191" i="3" s="1"/>
  <c r="M192" i="3"/>
  <c r="T191" i="3"/>
  <c r="N191" i="3"/>
  <c r="S190" i="3"/>
  <c r="M190" i="3"/>
  <c r="S189" i="3"/>
  <c r="M189" i="3"/>
  <c r="T188" i="3"/>
  <c r="N188" i="3"/>
  <c r="S187" i="3"/>
  <c r="M187" i="3"/>
  <c r="S186" i="3"/>
  <c r="M186" i="3"/>
  <c r="J185" i="3" s="1"/>
  <c r="T185" i="3"/>
  <c r="N185" i="3"/>
  <c r="S184" i="3"/>
  <c r="M184" i="3"/>
  <c r="S183" i="3"/>
  <c r="P182" i="3" s="1"/>
  <c r="M183" i="3"/>
  <c r="J182" i="3" s="1"/>
  <c r="T182" i="3"/>
  <c r="N182" i="3"/>
  <c r="S181" i="3"/>
  <c r="M181" i="3"/>
  <c r="S180" i="3"/>
  <c r="M180" i="3"/>
  <c r="J179" i="3" s="1"/>
  <c r="T179" i="3"/>
  <c r="N179" i="3"/>
  <c r="S178" i="3"/>
  <c r="M178" i="3"/>
  <c r="S177" i="3"/>
  <c r="M177" i="3"/>
  <c r="S176" i="3"/>
  <c r="M176" i="3"/>
  <c r="S175" i="3"/>
  <c r="M175" i="3"/>
  <c r="T174" i="3"/>
  <c r="N174" i="3"/>
  <c r="S173" i="3"/>
  <c r="M173" i="3"/>
  <c r="S172" i="3"/>
  <c r="P170" i="3" s="1"/>
  <c r="S170" i="3" s="1"/>
  <c r="M172" i="3"/>
  <c r="S171" i="3"/>
  <c r="M171" i="3"/>
  <c r="T170" i="3"/>
  <c r="N170" i="3"/>
  <c r="S169" i="3"/>
  <c r="P167" i="3" s="1"/>
  <c r="M169" i="3"/>
  <c r="S168" i="3"/>
  <c r="M168" i="3"/>
  <c r="J167" i="3" s="1"/>
  <c r="T167" i="3"/>
  <c r="N167" i="3"/>
  <c r="S164" i="3"/>
  <c r="M164" i="3"/>
  <c r="J160" i="3" s="1"/>
  <c r="S163" i="3"/>
  <c r="M163" i="3"/>
  <c r="S162" i="3"/>
  <c r="M162" i="3"/>
  <c r="S161" i="3"/>
  <c r="P160" i="3" s="1"/>
  <c r="M161" i="3"/>
  <c r="T160" i="3"/>
  <c r="N160" i="3"/>
  <c r="S159" i="3"/>
  <c r="M159" i="3"/>
  <c r="S158" i="3"/>
  <c r="M158" i="3"/>
  <c r="S157" i="3"/>
  <c r="P155" i="3" s="1"/>
  <c r="M157" i="3"/>
  <c r="S156" i="3"/>
  <c r="M156" i="3"/>
  <c r="T155" i="3"/>
  <c r="N155" i="3"/>
  <c r="S154" i="3"/>
  <c r="M154" i="3"/>
  <c r="S153" i="3"/>
  <c r="M153" i="3"/>
  <c r="S152" i="3"/>
  <c r="M152" i="3"/>
  <c r="S151" i="3"/>
  <c r="P150" i="3" s="1"/>
  <c r="M151" i="3"/>
  <c r="T150" i="3"/>
  <c r="N150" i="3"/>
  <c r="S149" i="3"/>
  <c r="M149" i="3"/>
  <c r="S148" i="3"/>
  <c r="M148" i="3"/>
  <c r="S147" i="3"/>
  <c r="P145" i="3" s="1"/>
  <c r="M147" i="3"/>
  <c r="S146" i="3"/>
  <c r="M146" i="3"/>
  <c r="T145" i="3"/>
  <c r="N145" i="3"/>
  <c r="J145" i="3"/>
  <c r="S144" i="3"/>
  <c r="M144" i="3"/>
  <c r="S143" i="3"/>
  <c r="M143" i="3"/>
  <c r="S142" i="3"/>
  <c r="M142" i="3"/>
  <c r="S141" i="3"/>
  <c r="M141" i="3"/>
  <c r="J140" i="3" s="1"/>
  <c r="T140" i="3"/>
  <c r="N140" i="3"/>
  <c r="S139" i="3"/>
  <c r="M139" i="3"/>
  <c r="S138" i="3"/>
  <c r="M138" i="3"/>
  <c r="S137" i="3"/>
  <c r="M137" i="3"/>
  <c r="S136" i="3"/>
  <c r="M136" i="3"/>
  <c r="T135" i="3"/>
  <c r="N135" i="3"/>
  <c r="S134" i="3"/>
  <c r="M134" i="3"/>
  <c r="S133" i="3"/>
  <c r="P130" i="3" s="1"/>
  <c r="M133" i="3"/>
  <c r="S132" i="3"/>
  <c r="M132" i="3"/>
  <c r="S131" i="3"/>
  <c r="M131" i="3"/>
  <c r="T130" i="3"/>
  <c r="N130" i="3"/>
  <c r="S129" i="3"/>
  <c r="P128" i="3" s="1"/>
  <c r="R128" i="3" s="1"/>
  <c r="M129" i="3"/>
  <c r="J128" i="3" s="1"/>
  <c r="T128" i="3"/>
  <c r="N128" i="3"/>
  <c r="S127" i="3"/>
  <c r="P126" i="3" s="1"/>
  <c r="M127" i="3"/>
  <c r="J126" i="3" s="1"/>
  <c r="T126" i="3"/>
  <c r="T94" i="3" s="1"/>
  <c r="N126" i="3"/>
  <c r="S125" i="3"/>
  <c r="M125" i="3"/>
  <c r="S124" i="3"/>
  <c r="M124" i="3"/>
  <c r="T123" i="3"/>
  <c r="N123" i="3"/>
  <c r="J123" i="3"/>
  <c r="M123" i="3" s="1"/>
  <c r="O123" i="3" s="1"/>
  <c r="S122" i="3"/>
  <c r="P120" i="3" s="1"/>
  <c r="R120" i="3" s="1"/>
  <c r="M122" i="3"/>
  <c r="S121" i="3"/>
  <c r="M121" i="3"/>
  <c r="J120" i="3" s="1"/>
  <c r="T120" i="3"/>
  <c r="N120" i="3"/>
  <c r="S119" i="3"/>
  <c r="M119" i="3"/>
  <c r="J117" i="3" s="1"/>
  <c r="M117" i="3" s="1"/>
  <c r="O117" i="3" s="1"/>
  <c r="S118" i="3"/>
  <c r="M118" i="3"/>
  <c r="T117" i="3"/>
  <c r="N117" i="3"/>
  <c r="S116" i="3"/>
  <c r="M116" i="3"/>
  <c r="S115" i="3"/>
  <c r="M115" i="3"/>
  <c r="S114" i="3"/>
  <c r="M114" i="3"/>
  <c r="T113" i="3"/>
  <c r="N113" i="3"/>
  <c r="S112" i="3"/>
  <c r="M112" i="3"/>
  <c r="S111" i="3"/>
  <c r="M111" i="3"/>
  <c r="S110" i="3"/>
  <c r="M110" i="3"/>
  <c r="T109" i="3"/>
  <c r="N109" i="3"/>
  <c r="S108" i="3"/>
  <c r="M108" i="3"/>
  <c r="S107" i="3"/>
  <c r="P106" i="3" s="1"/>
  <c r="M107" i="3"/>
  <c r="J106" i="3" s="1"/>
  <c r="L106" i="3" s="1"/>
  <c r="T106" i="3"/>
  <c r="N106" i="3"/>
  <c r="S105" i="3"/>
  <c r="M105" i="3"/>
  <c r="S104" i="3"/>
  <c r="P101" i="3" s="1"/>
  <c r="M104" i="3"/>
  <c r="J101" i="3" s="1"/>
  <c r="S103" i="3"/>
  <c r="M103" i="3"/>
  <c r="S102" i="3"/>
  <c r="M102" i="3"/>
  <c r="T101" i="3"/>
  <c r="N101" i="3"/>
  <c r="S100" i="3"/>
  <c r="M100" i="3"/>
  <c r="S99" i="3"/>
  <c r="M99" i="3"/>
  <c r="S98" i="3"/>
  <c r="M98" i="3"/>
  <c r="J95" i="3" s="1"/>
  <c r="S97" i="3"/>
  <c r="M97" i="3"/>
  <c r="S96" i="3"/>
  <c r="M96" i="3"/>
  <c r="T95" i="3"/>
  <c r="N95" i="3"/>
  <c r="S93" i="3"/>
  <c r="M93" i="3"/>
  <c r="J92" i="3" s="1"/>
  <c r="T92" i="3"/>
  <c r="P92" i="3"/>
  <c r="S92" i="3" s="1"/>
  <c r="N92" i="3"/>
  <c r="S91" i="3"/>
  <c r="P90" i="3" s="1"/>
  <c r="M91" i="3"/>
  <c r="T90" i="3"/>
  <c r="N90" i="3"/>
  <c r="J90" i="3"/>
  <c r="L90" i="3" s="1"/>
  <c r="S89" i="3"/>
  <c r="P88" i="3" s="1"/>
  <c r="M89" i="3"/>
  <c r="J88" i="3" s="1"/>
  <c r="T88" i="3"/>
  <c r="N88" i="3"/>
  <c r="S87" i="3"/>
  <c r="P86" i="3" s="1"/>
  <c r="M87" i="3"/>
  <c r="J86" i="3" s="1"/>
  <c r="T86" i="3"/>
  <c r="N86" i="3"/>
  <c r="S85" i="3"/>
  <c r="M85" i="3"/>
  <c r="S84" i="3"/>
  <c r="P83" i="3" s="1"/>
  <c r="M84" i="3"/>
  <c r="T83" i="3"/>
  <c r="N83" i="3"/>
  <c r="S82" i="3"/>
  <c r="M82" i="3"/>
  <c r="S81" i="3"/>
  <c r="M81" i="3"/>
  <c r="T80" i="3"/>
  <c r="T79" i="3" s="1"/>
  <c r="S80" i="3"/>
  <c r="U80" i="3" s="1"/>
  <c r="R80" i="3"/>
  <c r="P80" i="3"/>
  <c r="N80" i="3"/>
  <c r="S78" i="3"/>
  <c r="M78" i="3"/>
  <c r="S77" i="3"/>
  <c r="M77" i="3"/>
  <c r="S76" i="3"/>
  <c r="M76" i="3"/>
  <c r="S75" i="3"/>
  <c r="M75" i="3"/>
  <c r="S74" i="3"/>
  <c r="M74" i="3"/>
  <c r="T73" i="3"/>
  <c r="N73" i="3"/>
  <c r="S72" i="3"/>
  <c r="M72" i="3"/>
  <c r="S71" i="3"/>
  <c r="M71" i="3"/>
  <c r="S70" i="3"/>
  <c r="M70" i="3"/>
  <c r="S69" i="3"/>
  <c r="M69" i="3"/>
  <c r="J67" i="3" s="1"/>
  <c r="S68" i="3"/>
  <c r="P67" i="3" s="1"/>
  <c r="M68" i="3"/>
  <c r="T67" i="3"/>
  <c r="N67" i="3"/>
  <c r="S66" i="3"/>
  <c r="M66" i="3"/>
  <c r="S65" i="3"/>
  <c r="M65" i="3"/>
  <c r="S64" i="3"/>
  <c r="M64" i="3"/>
  <c r="S63" i="3"/>
  <c r="M63" i="3"/>
  <c r="S62" i="3"/>
  <c r="M62" i="3"/>
  <c r="S61" i="3"/>
  <c r="M61" i="3"/>
  <c r="J59" i="3" s="1"/>
  <c r="L59" i="3" s="1"/>
  <c r="S60" i="3"/>
  <c r="M60" i="3"/>
  <c r="T59" i="3"/>
  <c r="N59" i="3"/>
  <c r="S58" i="3"/>
  <c r="M58" i="3"/>
  <c r="S57" i="3"/>
  <c r="M57" i="3"/>
  <c r="S56" i="3"/>
  <c r="M56" i="3"/>
  <c r="S55" i="3"/>
  <c r="M55" i="3"/>
  <c r="S54" i="3"/>
  <c r="P53" i="3" s="1"/>
  <c r="M54" i="3"/>
  <c r="T53" i="3"/>
  <c r="N53" i="3"/>
  <c r="S52" i="3"/>
  <c r="M52" i="3"/>
  <c r="S51" i="3"/>
  <c r="M51" i="3"/>
  <c r="S50" i="3"/>
  <c r="M50" i="3"/>
  <c r="S49" i="3"/>
  <c r="M49" i="3"/>
  <c r="S48" i="3"/>
  <c r="M48" i="3"/>
  <c r="T47" i="3"/>
  <c r="N47" i="3"/>
  <c r="J47" i="3"/>
  <c r="L47" i="3" s="1"/>
  <c r="S46" i="3"/>
  <c r="M46" i="3"/>
  <c r="S45" i="3"/>
  <c r="M45" i="3"/>
  <c r="S44" i="3"/>
  <c r="M44" i="3"/>
  <c r="S43" i="3"/>
  <c r="M43" i="3"/>
  <c r="J41" i="3" s="1"/>
  <c r="S42" i="3"/>
  <c r="M42" i="3"/>
  <c r="T41" i="3"/>
  <c r="N41" i="3"/>
  <c r="S40" i="3"/>
  <c r="M40" i="3"/>
  <c r="S39" i="3"/>
  <c r="M39" i="3"/>
  <c r="S38" i="3"/>
  <c r="M38" i="3"/>
  <c r="S37" i="3"/>
  <c r="M37" i="3"/>
  <c r="S36" i="3"/>
  <c r="M36" i="3"/>
  <c r="S35" i="3"/>
  <c r="M35" i="3"/>
  <c r="S34" i="3"/>
  <c r="P33" i="3" s="1"/>
  <c r="M34" i="3"/>
  <c r="T33" i="3"/>
  <c r="N33" i="3"/>
  <c r="S32" i="3"/>
  <c r="M32" i="3"/>
  <c r="S31" i="3"/>
  <c r="M31" i="3"/>
  <c r="S30" i="3"/>
  <c r="M30" i="3"/>
  <c r="S29" i="3"/>
  <c r="M29" i="3"/>
  <c r="S28" i="3"/>
  <c r="M28" i="3"/>
  <c r="S27" i="3"/>
  <c r="M27" i="3"/>
  <c r="J25" i="3" s="1"/>
  <c r="S26" i="3"/>
  <c r="P25" i="3" s="1"/>
  <c r="M26" i="3"/>
  <c r="T25" i="3"/>
  <c r="N25" i="3"/>
  <c r="S24" i="3"/>
  <c r="P23" i="3" s="1"/>
  <c r="M24" i="3"/>
  <c r="J23" i="3" s="1"/>
  <c r="T23" i="3"/>
  <c r="T15" i="3" s="1"/>
  <c r="N23" i="3"/>
  <c r="S22" i="3"/>
  <c r="M22" i="3"/>
  <c r="S21" i="3"/>
  <c r="M21" i="3"/>
  <c r="S20" i="3"/>
  <c r="M20" i="3"/>
  <c r="T19" i="3"/>
  <c r="N19" i="3"/>
  <c r="S18" i="3"/>
  <c r="P16" i="3" s="1"/>
  <c r="M18" i="3"/>
  <c r="J16" i="3" s="1"/>
  <c r="S17" i="3"/>
  <c r="M17" i="3"/>
  <c r="T16" i="3"/>
  <c r="N16" i="3"/>
  <c r="W771" i="2"/>
  <c r="T771" i="2"/>
  <c r="Z771" i="2" s="1"/>
  <c r="R771" i="2"/>
  <c r="X771" i="2" s="1"/>
  <c r="N771" i="2"/>
  <c r="O771" i="2" s="1"/>
  <c r="O770" i="2" s="1"/>
  <c r="O769" i="2" s="1"/>
  <c r="O768" i="2" s="1"/>
  <c r="L771" i="2"/>
  <c r="Y770" i="2"/>
  <c r="T770" i="2"/>
  <c r="T769" i="2" s="1"/>
  <c r="T768" i="2" s="1"/>
  <c r="S770" i="2"/>
  <c r="M770" i="2"/>
  <c r="Y769" i="2"/>
  <c r="S769" i="2"/>
  <c r="S768" i="2" s="1"/>
  <c r="M769" i="2"/>
  <c r="M768" i="2" s="1"/>
  <c r="Y768" i="2"/>
  <c r="Y767" i="2"/>
  <c r="V767" i="2"/>
  <c r="S767" i="2"/>
  <c r="M767" i="2"/>
  <c r="W766" i="2"/>
  <c r="V766" i="2"/>
  <c r="T766" i="2"/>
  <c r="Z766" i="2" s="1"/>
  <c r="P766" i="2"/>
  <c r="S766" i="2" s="1"/>
  <c r="N766" i="2"/>
  <c r="M766" i="2"/>
  <c r="O766" i="2" s="1"/>
  <c r="J766" i="2"/>
  <c r="L766" i="2" s="1"/>
  <c r="V765" i="2"/>
  <c r="S765" i="2"/>
  <c r="P764" i="2" s="1"/>
  <c r="M765" i="2"/>
  <c r="Z764" i="2"/>
  <c r="W764" i="2"/>
  <c r="T764" i="2"/>
  <c r="R764" i="2"/>
  <c r="X764" i="2" s="1"/>
  <c r="O764" i="2"/>
  <c r="N764" i="2"/>
  <c r="M764" i="2"/>
  <c r="L764" i="2"/>
  <c r="J764" i="2"/>
  <c r="Y763" i="2"/>
  <c r="V763" i="2"/>
  <c r="S763" i="2"/>
  <c r="M763" i="2"/>
  <c r="W762" i="2"/>
  <c r="V762" i="2"/>
  <c r="T762" i="2"/>
  <c r="Z762" i="2" s="1"/>
  <c r="P762" i="2"/>
  <c r="S762" i="2" s="1"/>
  <c r="N762" i="2"/>
  <c r="M762" i="2"/>
  <c r="O762" i="2" s="1"/>
  <c r="J762" i="2"/>
  <c r="L762" i="2" s="1"/>
  <c r="V761" i="2"/>
  <c r="S761" i="2"/>
  <c r="P760" i="2" s="1"/>
  <c r="M761" i="2"/>
  <c r="Z760" i="2"/>
  <c r="W760" i="2"/>
  <c r="T760" i="2"/>
  <c r="R760" i="2"/>
  <c r="X760" i="2" s="1"/>
  <c r="N760" i="2"/>
  <c r="L760" i="2"/>
  <c r="J760" i="2"/>
  <c r="M760" i="2" s="1"/>
  <c r="O760" i="2" s="1"/>
  <c r="Y759" i="2"/>
  <c r="V759" i="2"/>
  <c r="S759" i="2"/>
  <c r="M759" i="2"/>
  <c r="W758" i="2"/>
  <c r="V758" i="2"/>
  <c r="T758" i="2"/>
  <c r="Z758" i="2" s="1"/>
  <c r="P758" i="2"/>
  <c r="S758" i="2" s="1"/>
  <c r="N758" i="2"/>
  <c r="M758" i="2"/>
  <c r="O758" i="2" s="1"/>
  <c r="J758" i="2"/>
  <c r="L758" i="2" s="1"/>
  <c r="V757" i="2"/>
  <c r="S757" i="2"/>
  <c r="P756" i="2" s="1"/>
  <c r="M757" i="2"/>
  <c r="Z756" i="2"/>
  <c r="W756" i="2"/>
  <c r="T756" i="2"/>
  <c r="R756" i="2"/>
  <c r="X756" i="2" s="1"/>
  <c r="N756" i="2"/>
  <c r="L756" i="2"/>
  <c r="J756" i="2"/>
  <c r="M756" i="2" s="1"/>
  <c r="O756" i="2" s="1"/>
  <c r="Y755" i="2"/>
  <c r="V755" i="2"/>
  <c r="S755" i="2"/>
  <c r="M755" i="2"/>
  <c r="W754" i="2"/>
  <c r="V754" i="2"/>
  <c r="T754" i="2"/>
  <c r="Z754" i="2" s="1"/>
  <c r="P754" i="2"/>
  <c r="S754" i="2" s="1"/>
  <c r="N754" i="2"/>
  <c r="M754" i="2"/>
  <c r="O754" i="2" s="1"/>
  <c r="J754" i="2"/>
  <c r="L754" i="2" s="1"/>
  <c r="V753" i="2"/>
  <c r="S753" i="2"/>
  <c r="P752" i="2" s="1"/>
  <c r="M753" i="2"/>
  <c r="Z752" i="2"/>
  <c r="W752" i="2"/>
  <c r="T752" i="2"/>
  <c r="R752" i="2"/>
  <c r="X752" i="2" s="1"/>
  <c r="N752" i="2"/>
  <c r="L752" i="2"/>
  <c r="J752" i="2"/>
  <c r="M752" i="2" s="1"/>
  <c r="O752" i="2" s="1"/>
  <c r="Y751" i="2"/>
  <c r="V751" i="2"/>
  <c r="S751" i="2"/>
  <c r="M751" i="2"/>
  <c r="W750" i="2"/>
  <c r="V750" i="2"/>
  <c r="T750" i="2"/>
  <c r="Z750" i="2" s="1"/>
  <c r="P750" i="2"/>
  <c r="S750" i="2" s="1"/>
  <c r="N750" i="2"/>
  <c r="M750" i="2"/>
  <c r="O750" i="2" s="1"/>
  <c r="J750" i="2"/>
  <c r="L750" i="2" s="1"/>
  <c r="V749" i="2"/>
  <c r="S749" i="2"/>
  <c r="P748" i="2" s="1"/>
  <c r="R748" i="2" s="1"/>
  <c r="X748" i="2" s="1"/>
  <c r="M749" i="2"/>
  <c r="Z748" i="2"/>
  <c r="W748" i="2"/>
  <c r="T748" i="2"/>
  <c r="N748" i="2"/>
  <c r="L748" i="2"/>
  <c r="J748" i="2"/>
  <c r="M748" i="2" s="1"/>
  <c r="O748" i="2" s="1"/>
  <c r="Y747" i="2"/>
  <c r="V747" i="2"/>
  <c r="S747" i="2"/>
  <c r="M747" i="2"/>
  <c r="W746" i="2"/>
  <c r="V746" i="2"/>
  <c r="T746" i="2"/>
  <c r="Z746" i="2" s="1"/>
  <c r="P746" i="2"/>
  <c r="S746" i="2" s="1"/>
  <c r="N746" i="2"/>
  <c r="M746" i="2"/>
  <c r="O746" i="2" s="1"/>
  <c r="J746" i="2"/>
  <c r="L746" i="2" s="1"/>
  <c r="V745" i="2"/>
  <c r="S745" i="2"/>
  <c r="P744" i="2" s="1"/>
  <c r="M745" i="2"/>
  <c r="Z744" i="2"/>
  <c r="W744" i="2"/>
  <c r="T744" i="2"/>
  <c r="R744" i="2"/>
  <c r="X744" i="2" s="1"/>
  <c r="N744" i="2"/>
  <c r="L744" i="2"/>
  <c r="J744" i="2"/>
  <c r="M744" i="2" s="1"/>
  <c r="O744" i="2" s="1"/>
  <c r="Y743" i="2"/>
  <c r="V743" i="2"/>
  <c r="S743" i="2"/>
  <c r="M743" i="2"/>
  <c r="W742" i="2"/>
  <c r="V742" i="2"/>
  <c r="T742" i="2"/>
  <c r="Z742" i="2" s="1"/>
  <c r="P742" i="2"/>
  <c r="S742" i="2" s="1"/>
  <c r="N742" i="2"/>
  <c r="M742" i="2"/>
  <c r="O742" i="2" s="1"/>
  <c r="J742" i="2"/>
  <c r="L742" i="2" s="1"/>
  <c r="V741" i="2"/>
  <c r="S741" i="2"/>
  <c r="P740" i="2" s="1"/>
  <c r="M741" i="2"/>
  <c r="Z740" i="2"/>
  <c r="W740" i="2"/>
  <c r="T740" i="2"/>
  <c r="R740" i="2"/>
  <c r="X740" i="2" s="1"/>
  <c r="N740" i="2"/>
  <c r="L740" i="2"/>
  <c r="J740" i="2"/>
  <c r="M740" i="2" s="1"/>
  <c r="O740" i="2" s="1"/>
  <c r="Y739" i="2"/>
  <c r="V739" i="2"/>
  <c r="S739" i="2"/>
  <c r="M739" i="2"/>
  <c r="W738" i="2"/>
  <c r="V738" i="2"/>
  <c r="T738" i="2"/>
  <c r="Z738" i="2" s="1"/>
  <c r="P738" i="2"/>
  <c r="S738" i="2" s="1"/>
  <c r="N738" i="2"/>
  <c r="M738" i="2"/>
  <c r="O738" i="2" s="1"/>
  <c r="J738" i="2"/>
  <c r="L738" i="2" s="1"/>
  <c r="V737" i="2"/>
  <c r="S737" i="2"/>
  <c r="P736" i="2" s="1"/>
  <c r="M737" i="2"/>
  <c r="Z736" i="2"/>
  <c r="W736" i="2"/>
  <c r="T736" i="2"/>
  <c r="N736" i="2"/>
  <c r="L736" i="2"/>
  <c r="J736" i="2"/>
  <c r="M736" i="2" s="1"/>
  <c r="O736" i="2" s="1"/>
  <c r="Y735" i="2"/>
  <c r="V735" i="2"/>
  <c r="S735" i="2"/>
  <c r="M735" i="2"/>
  <c r="W734" i="2"/>
  <c r="V734" i="2"/>
  <c r="T734" i="2"/>
  <c r="Z734" i="2" s="1"/>
  <c r="P734" i="2"/>
  <c r="S734" i="2" s="1"/>
  <c r="N734" i="2"/>
  <c r="M734" i="2"/>
  <c r="O734" i="2" s="1"/>
  <c r="J734" i="2"/>
  <c r="L734" i="2" s="1"/>
  <c r="V733" i="2"/>
  <c r="S733" i="2"/>
  <c r="P732" i="2" s="1"/>
  <c r="M733" i="2"/>
  <c r="Z732" i="2"/>
  <c r="W732" i="2"/>
  <c r="T732" i="2"/>
  <c r="N732" i="2"/>
  <c r="L732" i="2"/>
  <c r="J732" i="2"/>
  <c r="M732" i="2" s="1"/>
  <c r="O732" i="2" s="1"/>
  <c r="Y731" i="2"/>
  <c r="V731" i="2"/>
  <c r="S731" i="2"/>
  <c r="M731" i="2"/>
  <c r="W730" i="2"/>
  <c r="V730" i="2"/>
  <c r="T730" i="2"/>
  <c r="Z730" i="2" s="1"/>
  <c r="P730" i="2"/>
  <c r="S730" i="2" s="1"/>
  <c r="N730" i="2"/>
  <c r="M730" i="2"/>
  <c r="O730" i="2" s="1"/>
  <c r="J730" i="2"/>
  <c r="L730" i="2" s="1"/>
  <c r="V729" i="2"/>
  <c r="S729" i="2"/>
  <c r="P728" i="2" s="1"/>
  <c r="R728" i="2" s="1"/>
  <c r="X728" i="2" s="1"/>
  <c r="M729" i="2"/>
  <c r="Z728" i="2"/>
  <c r="W728" i="2"/>
  <c r="T728" i="2"/>
  <c r="N728" i="2"/>
  <c r="L728" i="2"/>
  <c r="J728" i="2"/>
  <c r="M728" i="2" s="1"/>
  <c r="O728" i="2" s="1"/>
  <c r="Y727" i="2"/>
  <c r="V727" i="2"/>
  <c r="S727" i="2"/>
  <c r="M727" i="2"/>
  <c r="W726" i="2"/>
  <c r="V726" i="2"/>
  <c r="T726" i="2"/>
  <c r="Z726" i="2" s="1"/>
  <c r="P726" i="2"/>
  <c r="S726" i="2" s="1"/>
  <c r="N726" i="2"/>
  <c r="M726" i="2"/>
  <c r="O726" i="2" s="1"/>
  <c r="J726" i="2"/>
  <c r="L726" i="2" s="1"/>
  <c r="V725" i="2"/>
  <c r="S725" i="2"/>
  <c r="P724" i="2" s="1"/>
  <c r="M725" i="2"/>
  <c r="Z724" i="2"/>
  <c r="W724" i="2"/>
  <c r="T724" i="2"/>
  <c r="R724" i="2"/>
  <c r="X724" i="2" s="1"/>
  <c r="N724" i="2"/>
  <c r="L724" i="2"/>
  <c r="J724" i="2"/>
  <c r="M724" i="2" s="1"/>
  <c r="O724" i="2" s="1"/>
  <c r="Y723" i="2"/>
  <c r="V723" i="2"/>
  <c r="S723" i="2"/>
  <c r="M723" i="2"/>
  <c r="W722" i="2"/>
  <c r="V722" i="2"/>
  <c r="T722" i="2"/>
  <c r="Z722" i="2" s="1"/>
  <c r="P722" i="2"/>
  <c r="S722" i="2" s="1"/>
  <c r="N722" i="2"/>
  <c r="M722" i="2"/>
  <c r="O722" i="2" s="1"/>
  <c r="J722" i="2"/>
  <c r="L722" i="2" s="1"/>
  <c r="V721" i="2"/>
  <c r="S721" i="2"/>
  <c r="P720" i="2" s="1"/>
  <c r="M721" i="2"/>
  <c r="Z720" i="2"/>
  <c r="W720" i="2"/>
  <c r="T720" i="2"/>
  <c r="R720" i="2"/>
  <c r="X720" i="2" s="1"/>
  <c r="N720" i="2"/>
  <c r="L720" i="2"/>
  <c r="J720" i="2"/>
  <c r="M720" i="2" s="1"/>
  <c r="O720" i="2" s="1"/>
  <c r="Y719" i="2"/>
  <c r="V719" i="2"/>
  <c r="S719" i="2"/>
  <c r="M719" i="2"/>
  <c r="W718" i="2"/>
  <c r="V718" i="2"/>
  <c r="T718" i="2"/>
  <c r="Z718" i="2" s="1"/>
  <c r="P718" i="2"/>
  <c r="S718" i="2" s="1"/>
  <c r="N718" i="2"/>
  <c r="M718" i="2"/>
  <c r="O718" i="2" s="1"/>
  <c r="J718" i="2"/>
  <c r="L718" i="2" s="1"/>
  <c r="V717" i="2"/>
  <c r="S717" i="2"/>
  <c r="P716" i="2" s="1"/>
  <c r="R716" i="2" s="1"/>
  <c r="X716" i="2" s="1"/>
  <c r="M717" i="2"/>
  <c r="Z716" i="2"/>
  <c r="Z715" i="2" s="1"/>
  <c r="W716" i="2"/>
  <c r="T716" i="2"/>
  <c r="N716" i="2"/>
  <c r="L716" i="2"/>
  <c r="J716" i="2"/>
  <c r="M716" i="2" s="1"/>
  <c r="T715" i="2"/>
  <c r="N715" i="2"/>
  <c r="AA714" i="2"/>
  <c r="W714" i="2"/>
  <c r="T714" i="2"/>
  <c r="Z714" i="2" s="1"/>
  <c r="R714" i="2"/>
  <c r="X714" i="2" s="1"/>
  <c r="N714" i="2"/>
  <c r="O714" i="2" s="1"/>
  <c r="L714" i="2"/>
  <c r="V713" i="2"/>
  <c r="S713" i="2"/>
  <c r="Y713" i="2" s="1"/>
  <c r="M713" i="2"/>
  <c r="V712" i="2"/>
  <c r="S712" i="2"/>
  <c r="Y712" i="2" s="1"/>
  <c r="M712" i="2"/>
  <c r="V711" i="2"/>
  <c r="S711" i="2"/>
  <c r="Y711" i="2" s="1"/>
  <c r="M711" i="2"/>
  <c r="V710" i="2"/>
  <c r="S710" i="2"/>
  <c r="Y710" i="2" s="1"/>
  <c r="M710" i="2"/>
  <c r="V709" i="2"/>
  <c r="S709" i="2"/>
  <c r="Y709" i="2" s="1"/>
  <c r="M709" i="2"/>
  <c r="V708" i="2"/>
  <c r="S708" i="2"/>
  <c r="Y708" i="2" s="1"/>
  <c r="M708" i="2"/>
  <c r="V707" i="2"/>
  <c r="S707" i="2"/>
  <c r="Y707" i="2" s="1"/>
  <c r="M707" i="2"/>
  <c r="V706" i="2"/>
  <c r="S706" i="2"/>
  <c r="Y706" i="2" s="1"/>
  <c r="M706" i="2"/>
  <c r="V705" i="2"/>
  <c r="S705" i="2"/>
  <c r="Y705" i="2" s="1"/>
  <c r="M705" i="2"/>
  <c r="V704" i="2"/>
  <c r="S704" i="2"/>
  <c r="Y704" i="2" s="1"/>
  <c r="M704" i="2"/>
  <c r="V703" i="2"/>
  <c r="S703" i="2"/>
  <c r="Y703" i="2" s="1"/>
  <c r="M703" i="2"/>
  <c r="W702" i="2"/>
  <c r="T702" i="2"/>
  <c r="Z702" i="2" s="1"/>
  <c r="N702" i="2"/>
  <c r="J702" i="2"/>
  <c r="M702" i="2" s="1"/>
  <c r="O702" i="2" s="1"/>
  <c r="V701" i="2"/>
  <c r="S701" i="2"/>
  <c r="Y701" i="2" s="1"/>
  <c r="M701" i="2"/>
  <c r="V700" i="2"/>
  <c r="S700" i="2"/>
  <c r="Y700" i="2" s="1"/>
  <c r="M700" i="2"/>
  <c r="V699" i="2"/>
  <c r="S699" i="2"/>
  <c r="Y699" i="2" s="1"/>
  <c r="M699" i="2"/>
  <c r="V698" i="2"/>
  <c r="S698" i="2"/>
  <c r="Y698" i="2" s="1"/>
  <c r="M698" i="2"/>
  <c r="V697" i="2"/>
  <c r="S697" i="2"/>
  <c r="Y697" i="2" s="1"/>
  <c r="M697" i="2"/>
  <c r="V696" i="2"/>
  <c r="S696" i="2"/>
  <c r="Y696" i="2" s="1"/>
  <c r="M696" i="2"/>
  <c r="V695" i="2"/>
  <c r="S695" i="2"/>
  <c r="Y695" i="2" s="1"/>
  <c r="M695" i="2"/>
  <c r="V694" i="2"/>
  <c r="S694" i="2"/>
  <c r="Y694" i="2" s="1"/>
  <c r="M694" i="2"/>
  <c r="V693" i="2"/>
  <c r="S693" i="2"/>
  <c r="Y693" i="2" s="1"/>
  <c r="M693" i="2"/>
  <c r="V692" i="2"/>
  <c r="S692" i="2"/>
  <c r="Y692" i="2" s="1"/>
  <c r="M692" i="2"/>
  <c r="J690" i="2" s="1"/>
  <c r="M690" i="2" s="1"/>
  <c r="O690" i="2" s="1"/>
  <c r="V691" i="2"/>
  <c r="S691" i="2"/>
  <c r="M691" i="2"/>
  <c r="W690" i="2"/>
  <c r="T690" i="2"/>
  <c r="Z690" i="2" s="1"/>
  <c r="N690" i="2"/>
  <c r="L690" i="2"/>
  <c r="V689" i="2"/>
  <c r="S689" i="2"/>
  <c r="Y689" i="2" s="1"/>
  <c r="M689" i="2"/>
  <c r="V688" i="2"/>
  <c r="S688" i="2"/>
  <c r="Y688" i="2" s="1"/>
  <c r="M688" i="2"/>
  <c r="V687" i="2"/>
  <c r="S687" i="2"/>
  <c r="Y687" i="2" s="1"/>
  <c r="M687" i="2"/>
  <c r="V686" i="2"/>
  <c r="S686" i="2"/>
  <c r="Y686" i="2" s="1"/>
  <c r="M686" i="2"/>
  <c r="V685" i="2"/>
  <c r="S685" i="2"/>
  <c r="Y685" i="2" s="1"/>
  <c r="M685" i="2"/>
  <c r="V684" i="2"/>
  <c r="S684" i="2"/>
  <c r="Y684" i="2" s="1"/>
  <c r="M684" i="2"/>
  <c r="V683" i="2"/>
  <c r="S683" i="2"/>
  <c r="Y683" i="2" s="1"/>
  <c r="M683" i="2"/>
  <c r="V682" i="2"/>
  <c r="S682" i="2"/>
  <c r="Y682" i="2" s="1"/>
  <c r="M682" i="2"/>
  <c r="V681" i="2"/>
  <c r="S681" i="2"/>
  <c r="Y681" i="2" s="1"/>
  <c r="M681" i="2"/>
  <c r="V680" i="2"/>
  <c r="S680" i="2"/>
  <c r="Y680" i="2" s="1"/>
  <c r="M680" i="2"/>
  <c r="V679" i="2"/>
  <c r="S679" i="2"/>
  <c r="Y679" i="2" s="1"/>
  <c r="M679" i="2"/>
  <c r="V678" i="2"/>
  <c r="S678" i="2"/>
  <c r="M678" i="2"/>
  <c r="W677" i="2"/>
  <c r="T677" i="2"/>
  <c r="Z677" i="2" s="1"/>
  <c r="N677" i="2"/>
  <c r="L677" i="2"/>
  <c r="J677" i="2"/>
  <c r="M677" i="2" s="1"/>
  <c r="O677" i="2" s="1"/>
  <c r="V676" i="2"/>
  <c r="S676" i="2"/>
  <c r="Y676" i="2" s="1"/>
  <c r="M676" i="2"/>
  <c r="V675" i="2"/>
  <c r="S675" i="2"/>
  <c r="Y675" i="2" s="1"/>
  <c r="M675" i="2"/>
  <c r="V674" i="2"/>
  <c r="S674" i="2"/>
  <c r="Y674" i="2" s="1"/>
  <c r="M674" i="2"/>
  <c r="V673" i="2"/>
  <c r="S673" i="2"/>
  <c r="Y673" i="2" s="1"/>
  <c r="M673" i="2"/>
  <c r="V672" i="2"/>
  <c r="S672" i="2"/>
  <c r="Y672" i="2" s="1"/>
  <c r="M672" i="2"/>
  <c r="V671" i="2"/>
  <c r="S671" i="2"/>
  <c r="Y671" i="2" s="1"/>
  <c r="M671" i="2"/>
  <c r="V670" i="2"/>
  <c r="S670" i="2"/>
  <c r="Y670" i="2" s="1"/>
  <c r="M670" i="2"/>
  <c r="V669" i="2"/>
  <c r="S669" i="2"/>
  <c r="M669" i="2"/>
  <c r="V668" i="2"/>
  <c r="S668" i="2"/>
  <c r="Y668" i="2" s="1"/>
  <c r="M668" i="2"/>
  <c r="V667" i="2"/>
  <c r="S667" i="2"/>
  <c r="Y667" i="2" s="1"/>
  <c r="M667" i="2"/>
  <c r="V666" i="2"/>
  <c r="S666" i="2"/>
  <c r="Y666" i="2" s="1"/>
  <c r="M666" i="2"/>
  <c r="V665" i="2"/>
  <c r="S665" i="2"/>
  <c r="Y665" i="2" s="1"/>
  <c r="M665" i="2"/>
  <c r="J663" i="2" s="1"/>
  <c r="V664" i="2"/>
  <c r="S664" i="2"/>
  <c r="Y664" i="2" s="1"/>
  <c r="M664" i="2"/>
  <c r="W663" i="2"/>
  <c r="T663" i="2"/>
  <c r="Z663" i="2" s="1"/>
  <c r="N663" i="2"/>
  <c r="V662" i="2"/>
  <c r="S662" i="2"/>
  <c r="M662" i="2"/>
  <c r="W661" i="2"/>
  <c r="T661" i="2"/>
  <c r="Z661" i="2" s="1"/>
  <c r="N661" i="2"/>
  <c r="L661" i="2"/>
  <c r="J661" i="2"/>
  <c r="M661" i="2" s="1"/>
  <c r="O661" i="2" s="1"/>
  <c r="V660" i="2"/>
  <c r="S660" i="2"/>
  <c r="Y660" i="2" s="1"/>
  <c r="M660" i="2"/>
  <c r="W659" i="2"/>
  <c r="T659" i="2"/>
  <c r="Z659" i="2" s="1"/>
  <c r="P659" i="2"/>
  <c r="N659" i="2"/>
  <c r="J659" i="2"/>
  <c r="M659" i="2" s="1"/>
  <c r="O659" i="2" s="1"/>
  <c r="V658" i="2"/>
  <c r="S658" i="2"/>
  <c r="M658" i="2"/>
  <c r="W657" i="2"/>
  <c r="T657" i="2"/>
  <c r="Z657" i="2" s="1"/>
  <c r="N657" i="2"/>
  <c r="L657" i="2"/>
  <c r="J657" i="2"/>
  <c r="M657" i="2" s="1"/>
  <c r="O657" i="2" s="1"/>
  <c r="V656" i="2"/>
  <c r="S656" i="2"/>
  <c r="Y656" i="2" s="1"/>
  <c r="M656" i="2"/>
  <c r="W655" i="2"/>
  <c r="T655" i="2"/>
  <c r="Z655" i="2" s="1"/>
  <c r="P655" i="2"/>
  <c r="O655" i="2"/>
  <c r="N655" i="2"/>
  <c r="J655" i="2"/>
  <c r="M655" i="2" s="1"/>
  <c r="V654" i="2"/>
  <c r="S654" i="2"/>
  <c r="M654" i="2"/>
  <c r="W653" i="2"/>
  <c r="T653" i="2"/>
  <c r="Z653" i="2" s="1"/>
  <c r="N653" i="2"/>
  <c r="L653" i="2"/>
  <c r="J653" i="2"/>
  <c r="M653" i="2" s="1"/>
  <c r="O653" i="2" s="1"/>
  <c r="V652" i="2"/>
  <c r="S652" i="2"/>
  <c r="Y652" i="2" s="1"/>
  <c r="M652" i="2"/>
  <c r="W651" i="2"/>
  <c r="T651" i="2"/>
  <c r="Z651" i="2" s="1"/>
  <c r="P651" i="2"/>
  <c r="N651" i="2"/>
  <c r="J651" i="2"/>
  <c r="V650" i="2"/>
  <c r="S650" i="2"/>
  <c r="M650" i="2"/>
  <c r="W649" i="2"/>
  <c r="T649" i="2"/>
  <c r="Z649" i="2" s="1"/>
  <c r="O649" i="2"/>
  <c r="N649" i="2"/>
  <c r="L649" i="2"/>
  <c r="J649" i="2"/>
  <c r="M649" i="2" s="1"/>
  <c r="V648" i="2"/>
  <c r="S648" i="2"/>
  <c r="Y648" i="2" s="1"/>
  <c r="M648" i="2"/>
  <c r="J647" i="2" s="1"/>
  <c r="W647" i="2"/>
  <c r="T647" i="2"/>
  <c r="Z647" i="2" s="1"/>
  <c r="P647" i="2"/>
  <c r="N647" i="2"/>
  <c r="V646" i="2"/>
  <c r="S646" i="2"/>
  <c r="M646" i="2"/>
  <c r="J645" i="2" s="1"/>
  <c r="W645" i="2"/>
  <c r="T645" i="2"/>
  <c r="Z645" i="2" s="1"/>
  <c r="N645" i="2"/>
  <c r="V644" i="2"/>
  <c r="S644" i="2"/>
  <c r="Y644" i="2" s="1"/>
  <c r="M644" i="2"/>
  <c r="J643" i="2" s="1"/>
  <c r="W643" i="2"/>
  <c r="T643" i="2"/>
  <c r="P643" i="2"/>
  <c r="N643" i="2"/>
  <c r="N642" i="2"/>
  <c r="V641" i="2"/>
  <c r="S641" i="2"/>
  <c r="Y641" i="2" s="1"/>
  <c r="M641" i="2"/>
  <c r="V640" i="2"/>
  <c r="S640" i="2"/>
  <c r="M640" i="2"/>
  <c r="Z639" i="2"/>
  <c r="W639" i="2"/>
  <c r="T639" i="2"/>
  <c r="N639" i="2"/>
  <c r="M639" i="2"/>
  <c r="O639" i="2" s="1"/>
  <c r="L639" i="2"/>
  <c r="J639" i="2"/>
  <c r="V638" i="2"/>
  <c r="S638" i="2"/>
  <c r="Y638" i="2" s="1"/>
  <c r="M638" i="2"/>
  <c r="V637" i="2"/>
  <c r="S637" i="2"/>
  <c r="Y637" i="2" s="1"/>
  <c r="M637" i="2"/>
  <c r="Z636" i="2"/>
  <c r="W636" i="2"/>
  <c r="T636" i="2"/>
  <c r="P636" i="2"/>
  <c r="N636" i="2"/>
  <c r="M636" i="2"/>
  <c r="L636" i="2"/>
  <c r="J636" i="2"/>
  <c r="V635" i="2"/>
  <c r="S635" i="2"/>
  <c r="Y635" i="2" s="1"/>
  <c r="M635" i="2"/>
  <c r="Y634" i="2"/>
  <c r="V634" i="2"/>
  <c r="S634" i="2"/>
  <c r="M634" i="2"/>
  <c r="Z633" i="2"/>
  <c r="Y633" i="2"/>
  <c r="AA633" i="2" s="1"/>
  <c r="W633" i="2"/>
  <c r="T633" i="2"/>
  <c r="P633" i="2"/>
  <c r="S633" i="2" s="1"/>
  <c r="U633" i="2" s="1"/>
  <c r="N633" i="2"/>
  <c r="M633" i="2"/>
  <c r="O633" i="2" s="1"/>
  <c r="L633" i="2"/>
  <c r="J633" i="2"/>
  <c r="V632" i="2"/>
  <c r="S632" i="2"/>
  <c r="Y632" i="2" s="1"/>
  <c r="M632" i="2"/>
  <c r="Y631" i="2"/>
  <c r="V631" i="2"/>
  <c r="S631" i="2"/>
  <c r="M631" i="2"/>
  <c r="Z630" i="2"/>
  <c r="W630" i="2"/>
  <c r="T630" i="2"/>
  <c r="N630" i="2"/>
  <c r="M630" i="2"/>
  <c r="O630" i="2" s="1"/>
  <c r="L630" i="2"/>
  <c r="J630" i="2"/>
  <c r="V629" i="2"/>
  <c r="S629" i="2"/>
  <c r="Y629" i="2" s="1"/>
  <c r="M629" i="2"/>
  <c r="V628" i="2"/>
  <c r="S628" i="2"/>
  <c r="Y628" i="2" s="1"/>
  <c r="M628" i="2"/>
  <c r="Y627" i="2"/>
  <c r="W627" i="2"/>
  <c r="V627" i="2"/>
  <c r="T627" i="2"/>
  <c r="Z627" i="2" s="1"/>
  <c r="R627" i="2"/>
  <c r="X627" i="2" s="1"/>
  <c r="P627" i="2"/>
  <c r="S627" i="2" s="1"/>
  <c r="U627" i="2" s="1"/>
  <c r="N627" i="2"/>
  <c r="J627" i="2"/>
  <c r="L627" i="2" s="1"/>
  <c r="V626" i="2"/>
  <c r="S626" i="2"/>
  <c r="Y626" i="2" s="1"/>
  <c r="M626" i="2"/>
  <c r="J624" i="2" s="1"/>
  <c r="V625" i="2"/>
  <c r="S625" i="2"/>
  <c r="Y625" i="2" s="1"/>
  <c r="M625" i="2"/>
  <c r="W624" i="2"/>
  <c r="T624" i="2"/>
  <c r="Z624" i="2" s="1"/>
  <c r="P624" i="2"/>
  <c r="N624" i="2"/>
  <c r="V623" i="2"/>
  <c r="S623" i="2"/>
  <c r="Y623" i="2" s="1"/>
  <c r="M623" i="2"/>
  <c r="J621" i="2" s="1"/>
  <c r="V622" i="2"/>
  <c r="S622" i="2"/>
  <c r="Y622" i="2" s="1"/>
  <c r="M622" i="2"/>
  <c r="W621" i="2"/>
  <c r="T621" i="2"/>
  <c r="Z621" i="2" s="1"/>
  <c r="P621" i="2"/>
  <c r="N621" i="2"/>
  <c r="V620" i="2"/>
  <c r="S620" i="2"/>
  <c r="Y620" i="2" s="1"/>
  <c r="M620" i="2"/>
  <c r="J618" i="2" s="1"/>
  <c r="V619" i="2"/>
  <c r="S619" i="2"/>
  <c r="Y619" i="2" s="1"/>
  <c r="M619" i="2"/>
  <c r="W618" i="2"/>
  <c r="T618" i="2"/>
  <c r="Z618" i="2" s="1"/>
  <c r="P618" i="2"/>
  <c r="N618" i="2"/>
  <c r="V617" i="2"/>
  <c r="S617" i="2"/>
  <c r="Y617" i="2" s="1"/>
  <c r="M617" i="2"/>
  <c r="J615" i="2" s="1"/>
  <c r="V616" i="2"/>
  <c r="S616" i="2"/>
  <c r="Y616" i="2" s="1"/>
  <c r="M616" i="2"/>
  <c r="W615" i="2"/>
  <c r="T615" i="2"/>
  <c r="Z615" i="2" s="1"/>
  <c r="P615" i="2"/>
  <c r="N615" i="2"/>
  <c r="V614" i="2"/>
  <c r="S614" i="2"/>
  <c r="Y614" i="2" s="1"/>
  <c r="M614" i="2"/>
  <c r="J612" i="2" s="1"/>
  <c r="V613" i="2"/>
  <c r="S613" i="2"/>
  <c r="Y613" i="2" s="1"/>
  <c r="M613" i="2"/>
  <c r="W612" i="2"/>
  <c r="T612" i="2"/>
  <c r="Z612" i="2" s="1"/>
  <c r="P612" i="2"/>
  <c r="N612" i="2"/>
  <c r="V611" i="2"/>
  <c r="S611" i="2"/>
  <c r="Y611" i="2" s="1"/>
  <c r="M611" i="2"/>
  <c r="J609" i="2" s="1"/>
  <c r="V610" i="2"/>
  <c r="S610" i="2"/>
  <c r="Y610" i="2" s="1"/>
  <c r="M610" i="2"/>
  <c r="W609" i="2"/>
  <c r="T609" i="2"/>
  <c r="Z609" i="2" s="1"/>
  <c r="P609" i="2"/>
  <c r="N609" i="2"/>
  <c r="V608" i="2"/>
  <c r="S608" i="2"/>
  <c r="Y608" i="2" s="1"/>
  <c r="M608" i="2"/>
  <c r="J606" i="2" s="1"/>
  <c r="V607" i="2"/>
  <c r="S607" i="2"/>
  <c r="Y607" i="2" s="1"/>
  <c r="M607" i="2"/>
  <c r="W606" i="2"/>
  <c r="T606" i="2"/>
  <c r="Z606" i="2" s="1"/>
  <c r="P606" i="2"/>
  <c r="N606" i="2"/>
  <c r="V605" i="2"/>
  <c r="S605" i="2"/>
  <c r="Y605" i="2" s="1"/>
  <c r="M605" i="2"/>
  <c r="J603" i="2" s="1"/>
  <c r="V604" i="2"/>
  <c r="S604" i="2"/>
  <c r="Y604" i="2" s="1"/>
  <c r="M604" i="2"/>
  <c r="W603" i="2"/>
  <c r="T603" i="2"/>
  <c r="Z603" i="2" s="1"/>
  <c r="P603" i="2"/>
  <c r="N603" i="2"/>
  <c r="V602" i="2"/>
  <c r="S602" i="2"/>
  <c r="Y602" i="2" s="1"/>
  <c r="M602" i="2"/>
  <c r="J600" i="2" s="1"/>
  <c r="V601" i="2"/>
  <c r="S601" i="2"/>
  <c r="Y601" i="2" s="1"/>
  <c r="M601" i="2"/>
  <c r="W600" i="2"/>
  <c r="T600" i="2"/>
  <c r="Z600" i="2" s="1"/>
  <c r="P600" i="2"/>
  <c r="N600" i="2"/>
  <c r="V599" i="2"/>
  <c r="S599" i="2"/>
  <c r="Y599" i="2" s="1"/>
  <c r="M599" i="2"/>
  <c r="J597" i="2" s="1"/>
  <c r="V598" i="2"/>
  <c r="S598" i="2"/>
  <c r="Y598" i="2" s="1"/>
  <c r="M598" i="2"/>
  <c r="W597" i="2"/>
  <c r="T597" i="2"/>
  <c r="Z597" i="2" s="1"/>
  <c r="P597" i="2"/>
  <c r="N597" i="2"/>
  <c r="V596" i="2"/>
  <c r="S596" i="2"/>
  <c r="Y596" i="2" s="1"/>
  <c r="M596" i="2"/>
  <c r="J594" i="2" s="1"/>
  <c r="V595" i="2"/>
  <c r="S595" i="2"/>
  <c r="Y595" i="2" s="1"/>
  <c r="M595" i="2"/>
  <c r="W594" i="2"/>
  <c r="T594" i="2"/>
  <c r="Z594" i="2" s="1"/>
  <c r="P594" i="2"/>
  <c r="N594" i="2"/>
  <c r="V593" i="2"/>
  <c r="S593" i="2"/>
  <c r="Y593" i="2" s="1"/>
  <c r="M593" i="2"/>
  <c r="J591" i="2" s="1"/>
  <c r="V592" i="2"/>
  <c r="S592" i="2"/>
  <c r="Y592" i="2" s="1"/>
  <c r="M592" i="2"/>
  <c r="W591" i="2"/>
  <c r="T591" i="2"/>
  <c r="Z591" i="2" s="1"/>
  <c r="P591" i="2"/>
  <c r="N591" i="2"/>
  <c r="V590" i="2"/>
  <c r="S590" i="2"/>
  <c r="Y590" i="2" s="1"/>
  <c r="M590" i="2"/>
  <c r="J588" i="2" s="1"/>
  <c r="V589" i="2"/>
  <c r="S589" i="2"/>
  <c r="Y589" i="2" s="1"/>
  <c r="M589" i="2"/>
  <c r="W588" i="2"/>
  <c r="T588" i="2"/>
  <c r="Z588" i="2" s="1"/>
  <c r="P588" i="2"/>
  <c r="N588" i="2"/>
  <c r="V587" i="2"/>
  <c r="S587" i="2"/>
  <c r="Y587" i="2" s="1"/>
  <c r="M587" i="2"/>
  <c r="J585" i="2" s="1"/>
  <c r="V586" i="2"/>
  <c r="S586" i="2"/>
  <c r="Y586" i="2" s="1"/>
  <c r="M586" i="2"/>
  <c r="W585" i="2"/>
  <c r="T585" i="2"/>
  <c r="Z585" i="2" s="1"/>
  <c r="P585" i="2"/>
  <c r="N585" i="2"/>
  <c r="V584" i="2"/>
  <c r="S584" i="2"/>
  <c r="Y584" i="2" s="1"/>
  <c r="M584" i="2"/>
  <c r="J582" i="2" s="1"/>
  <c r="Y583" i="2"/>
  <c r="V583" i="2"/>
  <c r="S583" i="2"/>
  <c r="M583" i="2"/>
  <c r="Z582" i="2"/>
  <c r="W582" i="2"/>
  <c r="T582" i="2"/>
  <c r="N582" i="2"/>
  <c r="V581" i="2"/>
  <c r="S581" i="2"/>
  <c r="Y581" i="2" s="1"/>
  <c r="M581" i="2"/>
  <c r="V580" i="2"/>
  <c r="S580" i="2"/>
  <c r="M580" i="2"/>
  <c r="J579" i="2" s="1"/>
  <c r="W579" i="2"/>
  <c r="T579" i="2"/>
  <c r="Z579" i="2" s="1"/>
  <c r="N579" i="2"/>
  <c r="V578" i="2"/>
  <c r="S578" i="2"/>
  <c r="Y578" i="2" s="1"/>
  <c r="M578" i="2"/>
  <c r="J576" i="2" s="1"/>
  <c r="V577" i="2"/>
  <c r="S577" i="2"/>
  <c r="Y577" i="2" s="1"/>
  <c r="M577" i="2"/>
  <c r="Z576" i="2"/>
  <c r="W576" i="2"/>
  <c r="T576" i="2"/>
  <c r="N576" i="2"/>
  <c r="V575" i="2"/>
  <c r="S575" i="2"/>
  <c r="Y575" i="2" s="1"/>
  <c r="M575" i="2"/>
  <c r="J573" i="2" s="1"/>
  <c r="M573" i="2" s="1"/>
  <c r="O573" i="2" s="1"/>
  <c r="Y574" i="2"/>
  <c r="V574" i="2"/>
  <c r="S574" i="2"/>
  <c r="P573" i="2" s="1"/>
  <c r="M574" i="2"/>
  <c r="W573" i="2"/>
  <c r="V573" i="2"/>
  <c r="T573" i="2"/>
  <c r="Z573" i="2" s="1"/>
  <c r="N573" i="2"/>
  <c r="V572" i="2"/>
  <c r="S572" i="2"/>
  <c r="Y572" i="2" s="1"/>
  <c r="M572" i="2"/>
  <c r="V571" i="2"/>
  <c r="S571" i="2"/>
  <c r="Y571" i="2" s="1"/>
  <c r="M571" i="2"/>
  <c r="J570" i="2" s="1"/>
  <c r="W570" i="2"/>
  <c r="T570" i="2"/>
  <c r="Z570" i="2" s="1"/>
  <c r="N570" i="2"/>
  <c r="V569" i="2"/>
  <c r="S569" i="2"/>
  <c r="Y569" i="2" s="1"/>
  <c r="M569" i="2"/>
  <c r="Y568" i="2"/>
  <c r="V568" i="2"/>
  <c r="S568" i="2"/>
  <c r="M568" i="2"/>
  <c r="J567" i="2" s="1"/>
  <c r="W567" i="2"/>
  <c r="T567" i="2"/>
  <c r="Z567" i="2" s="1"/>
  <c r="N567" i="2"/>
  <c r="V566" i="2"/>
  <c r="S566" i="2"/>
  <c r="Y566" i="2" s="1"/>
  <c r="M566" i="2"/>
  <c r="Y565" i="2"/>
  <c r="V565" i="2"/>
  <c r="S565" i="2"/>
  <c r="P564" i="2" s="1"/>
  <c r="M565" i="2"/>
  <c r="W564" i="2"/>
  <c r="T564" i="2"/>
  <c r="Z564" i="2" s="1"/>
  <c r="N564" i="2"/>
  <c r="J564" i="2"/>
  <c r="V563" i="2"/>
  <c r="S563" i="2"/>
  <c r="Y563" i="2" s="1"/>
  <c r="M563" i="2"/>
  <c r="Y562" i="2"/>
  <c r="V562" i="2"/>
  <c r="S562" i="2"/>
  <c r="M562" i="2"/>
  <c r="J561" i="2" s="1"/>
  <c r="Z561" i="2"/>
  <c r="W561" i="2"/>
  <c r="T561" i="2"/>
  <c r="P561" i="2"/>
  <c r="N561" i="2"/>
  <c r="V560" i="2"/>
  <c r="S560" i="2"/>
  <c r="Y560" i="2" s="1"/>
  <c r="M560" i="2"/>
  <c r="J558" i="2" s="1"/>
  <c r="L558" i="2" s="1"/>
  <c r="Y559" i="2"/>
  <c r="V559" i="2"/>
  <c r="S559" i="2"/>
  <c r="M559" i="2"/>
  <c r="Z558" i="2"/>
  <c r="W558" i="2"/>
  <c r="T558" i="2"/>
  <c r="N558" i="2"/>
  <c r="V557" i="2"/>
  <c r="S557" i="2"/>
  <c r="Y557" i="2" s="1"/>
  <c r="M557" i="2"/>
  <c r="V556" i="2"/>
  <c r="S556" i="2"/>
  <c r="M556" i="2"/>
  <c r="W555" i="2"/>
  <c r="T555" i="2"/>
  <c r="Z555" i="2" s="1"/>
  <c r="N555" i="2"/>
  <c r="J555" i="2"/>
  <c r="M555" i="2" s="1"/>
  <c r="O555" i="2" s="1"/>
  <c r="V554" i="2"/>
  <c r="S554" i="2"/>
  <c r="Y554" i="2" s="1"/>
  <c r="M554" i="2"/>
  <c r="J552" i="2" s="1"/>
  <c r="V553" i="2"/>
  <c r="S553" i="2"/>
  <c r="Y553" i="2" s="1"/>
  <c r="M553" i="2"/>
  <c r="Z552" i="2"/>
  <c r="Y552" i="2"/>
  <c r="AA552" i="2" s="1"/>
  <c r="W552" i="2"/>
  <c r="T552" i="2"/>
  <c r="P552" i="2"/>
  <c r="S552" i="2" s="1"/>
  <c r="U552" i="2" s="1"/>
  <c r="N552" i="2"/>
  <c r="V551" i="2"/>
  <c r="S551" i="2"/>
  <c r="Y551" i="2" s="1"/>
  <c r="M551" i="2"/>
  <c r="J549" i="2" s="1"/>
  <c r="Y550" i="2"/>
  <c r="V550" i="2"/>
  <c r="S550" i="2"/>
  <c r="P549" i="2" s="1"/>
  <c r="M550" i="2"/>
  <c r="Z549" i="2"/>
  <c r="W549" i="2"/>
  <c r="T549" i="2"/>
  <c r="N549" i="2"/>
  <c r="Y548" i="2"/>
  <c r="V548" i="2"/>
  <c r="S548" i="2"/>
  <c r="M548" i="2"/>
  <c r="J546" i="2" s="1"/>
  <c r="Y547" i="2"/>
  <c r="V547" i="2"/>
  <c r="S547" i="2"/>
  <c r="P546" i="2" s="1"/>
  <c r="M547" i="2"/>
  <c r="Z546" i="2"/>
  <c r="W546" i="2"/>
  <c r="T546" i="2"/>
  <c r="N546" i="2"/>
  <c r="Y545" i="2"/>
  <c r="V545" i="2"/>
  <c r="S545" i="2"/>
  <c r="M545" i="2"/>
  <c r="J543" i="2" s="1"/>
  <c r="Y544" i="2"/>
  <c r="V544" i="2"/>
  <c r="S544" i="2"/>
  <c r="P543" i="2" s="1"/>
  <c r="M544" i="2"/>
  <c r="Z543" i="2"/>
  <c r="W543" i="2"/>
  <c r="T543" i="2"/>
  <c r="N543" i="2"/>
  <c r="Y542" i="2"/>
  <c r="V542" i="2"/>
  <c r="S542" i="2"/>
  <c r="M542" i="2"/>
  <c r="J540" i="2" s="1"/>
  <c r="Y541" i="2"/>
  <c r="V541" i="2"/>
  <c r="S541" i="2"/>
  <c r="P540" i="2" s="1"/>
  <c r="M541" i="2"/>
  <c r="Z540" i="2"/>
  <c r="W540" i="2"/>
  <c r="T540" i="2"/>
  <c r="N540" i="2"/>
  <c r="Y539" i="2"/>
  <c r="V539" i="2"/>
  <c r="S539" i="2"/>
  <c r="M539" i="2"/>
  <c r="J537" i="2" s="1"/>
  <c r="Y538" i="2"/>
  <c r="V538" i="2"/>
  <c r="S538" i="2"/>
  <c r="P537" i="2" s="1"/>
  <c r="M538" i="2"/>
  <c r="Z537" i="2"/>
  <c r="W537" i="2"/>
  <c r="T537" i="2"/>
  <c r="N537" i="2"/>
  <c r="Y536" i="2"/>
  <c r="V536" i="2"/>
  <c r="S536" i="2"/>
  <c r="M536" i="2"/>
  <c r="J534" i="2" s="1"/>
  <c r="Y535" i="2"/>
  <c r="V535" i="2"/>
  <c r="S535" i="2"/>
  <c r="P534" i="2" s="1"/>
  <c r="M535" i="2"/>
  <c r="Z534" i="2"/>
  <c r="W534" i="2"/>
  <c r="T534" i="2"/>
  <c r="N534" i="2"/>
  <c r="V533" i="2"/>
  <c r="S533" i="2"/>
  <c r="Y533" i="2" s="1"/>
  <c r="M533" i="2"/>
  <c r="J531" i="2" s="1"/>
  <c r="Y532" i="2"/>
  <c r="V532" i="2"/>
  <c r="S532" i="2"/>
  <c r="P531" i="2" s="1"/>
  <c r="M532" i="2"/>
  <c r="Z531" i="2"/>
  <c r="W531" i="2"/>
  <c r="T531" i="2"/>
  <c r="N531" i="2"/>
  <c r="V530" i="2"/>
  <c r="S530" i="2"/>
  <c r="Y530" i="2" s="1"/>
  <c r="M530" i="2"/>
  <c r="J528" i="2" s="1"/>
  <c r="Y529" i="2"/>
  <c r="V529" i="2"/>
  <c r="S529" i="2"/>
  <c r="P528" i="2" s="1"/>
  <c r="M529" i="2"/>
  <c r="Z528" i="2"/>
  <c r="W528" i="2"/>
  <c r="T528" i="2"/>
  <c r="N528" i="2"/>
  <c r="V527" i="2"/>
  <c r="S527" i="2"/>
  <c r="Y527" i="2" s="1"/>
  <c r="M527" i="2"/>
  <c r="J525" i="2" s="1"/>
  <c r="Y526" i="2"/>
  <c r="V526" i="2"/>
  <c r="S526" i="2"/>
  <c r="P525" i="2" s="1"/>
  <c r="M526" i="2"/>
  <c r="Z525" i="2"/>
  <c r="W525" i="2"/>
  <c r="T525" i="2"/>
  <c r="N525" i="2"/>
  <c r="V524" i="2"/>
  <c r="S524" i="2"/>
  <c r="Y524" i="2" s="1"/>
  <c r="M524" i="2"/>
  <c r="J522" i="2" s="1"/>
  <c r="Y523" i="2"/>
  <c r="V523" i="2"/>
  <c r="S523" i="2"/>
  <c r="P522" i="2" s="1"/>
  <c r="M523" i="2"/>
  <c r="Z522" i="2"/>
  <c r="W522" i="2"/>
  <c r="T522" i="2"/>
  <c r="N522" i="2"/>
  <c r="V521" i="2"/>
  <c r="S521" i="2"/>
  <c r="Y521" i="2" s="1"/>
  <c r="M521" i="2"/>
  <c r="J519" i="2" s="1"/>
  <c r="Y520" i="2"/>
  <c r="V520" i="2"/>
  <c r="S520" i="2"/>
  <c r="P519" i="2" s="1"/>
  <c r="M520" i="2"/>
  <c r="Z519" i="2"/>
  <c r="W519" i="2"/>
  <c r="T519" i="2"/>
  <c r="N519" i="2"/>
  <c r="V518" i="2"/>
  <c r="S518" i="2"/>
  <c r="Y518" i="2" s="1"/>
  <c r="M518" i="2"/>
  <c r="J516" i="2" s="1"/>
  <c r="Y517" i="2"/>
  <c r="V517" i="2"/>
  <c r="S517" i="2"/>
  <c r="P516" i="2" s="1"/>
  <c r="M517" i="2"/>
  <c r="Z516" i="2"/>
  <c r="W516" i="2"/>
  <c r="T516" i="2"/>
  <c r="N516" i="2"/>
  <c r="V515" i="2"/>
  <c r="S515" i="2"/>
  <c r="Y515" i="2" s="1"/>
  <c r="M515" i="2"/>
  <c r="J513" i="2" s="1"/>
  <c r="Y514" i="2"/>
  <c r="V514" i="2"/>
  <c r="S514" i="2"/>
  <c r="P513" i="2" s="1"/>
  <c r="M514" i="2"/>
  <c r="Z513" i="2"/>
  <c r="W513" i="2"/>
  <c r="T513" i="2"/>
  <c r="N513" i="2"/>
  <c r="T512" i="2"/>
  <c r="V511" i="2"/>
  <c r="S511" i="2"/>
  <c r="Y511" i="2" s="1"/>
  <c r="M511" i="2"/>
  <c r="J509" i="2" s="1"/>
  <c r="Y510" i="2"/>
  <c r="V510" i="2"/>
  <c r="S510" i="2"/>
  <c r="M510" i="2"/>
  <c r="Z509" i="2"/>
  <c r="W509" i="2"/>
  <c r="T509" i="2"/>
  <c r="P509" i="2"/>
  <c r="N509" i="2"/>
  <c r="V508" i="2"/>
  <c r="S508" i="2"/>
  <c r="Y508" i="2" s="1"/>
  <c r="M508" i="2"/>
  <c r="J506" i="2" s="1"/>
  <c r="Y507" i="2"/>
  <c r="V507" i="2"/>
  <c r="S507" i="2"/>
  <c r="M507" i="2"/>
  <c r="Z506" i="2"/>
  <c r="W506" i="2"/>
  <c r="T506" i="2"/>
  <c r="N506" i="2"/>
  <c r="V505" i="2"/>
  <c r="S505" i="2"/>
  <c r="Y505" i="2" s="1"/>
  <c r="M505" i="2"/>
  <c r="J503" i="2" s="1"/>
  <c r="Y504" i="2"/>
  <c r="V504" i="2"/>
  <c r="S504" i="2"/>
  <c r="M504" i="2"/>
  <c r="Z503" i="2"/>
  <c r="W503" i="2"/>
  <c r="T503" i="2"/>
  <c r="N503" i="2"/>
  <c r="V502" i="2"/>
  <c r="S502" i="2"/>
  <c r="Y502" i="2" s="1"/>
  <c r="M502" i="2"/>
  <c r="J500" i="2" s="1"/>
  <c r="Y501" i="2"/>
  <c r="V501" i="2"/>
  <c r="S501" i="2"/>
  <c r="M501" i="2"/>
  <c r="W500" i="2"/>
  <c r="T500" i="2"/>
  <c r="Z500" i="2" s="1"/>
  <c r="P500" i="2"/>
  <c r="N500" i="2"/>
  <c r="V499" i="2"/>
  <c r="S499" i="2"/>
  <c r="Y499" i="2" s="1"/>
  <c r="M499" i="2"/>
  <c r="J497" i="2" s="1"/>
  <c r="Y498" i="2"/>
  <c r="V498" i="2"/>
  <c r="S498" i="2"/>
  <c r="M498" i="2"/>
  <c r="W497" i="2"/>
  <c r="T497" i="2"/>
  <c r="Z497" i="2" s="1"/>
  <c r="N497" i="2"/>
  <c r="N496" i="2" s="1"/>
  <c r="T496" i="2"/>
  <c r="T495" i="2" s="1"/>
  <c r="V494" i="2"/>
  <c r="S494" i="2"/>
  <c r="M494" i="2"/>
  <c r="W493" i="2"/>
  <c r="T493" i="2"/>
  <c r="Z493" i="2" s="1"/>
  <c r="N493" i="2"/>
  <c r="M493" i="2"/>
  <c r="O493" i="2" s="1"/>
  <c r="L493" i="2"/>
  <c r="J493" i="2"/>
  <c r="V492" i="2"/>
  <c r="S492" i="2"/>
  <c r="Y492" i="2" s="1"/>
  <c r="M492" i="2"/>
  <c r="Z491" i="2"/>
  <c r="Z490" i="2" s="1"/>
  <c r="Y491" i="2"/>
  <c r="AA491" i="2" s="1"/>
  <c r="W491" i="2"/>
  <c r="T491" i="2"/>
  <c r="S491" i="2"/>
  <c r="R491" i="2"/>
  <c r="X491" i="2" s="1"/>
  <c r="P491" i="2"/>
  <c r="V491" i="2" s="1"/>
  <c r="N491" i="2"/>
  <c r="L491" i="2"/>
  <c r="J491" i="2"/>
  <c r="M491" i="2" s="1"/>
  <c r="O491" i="2" s="1"/>
  <c r="O490" i="2" s="1"/>
  <c r="T490" i="2"/>
  <c r="Y489" i="2"/>
  <c r="V489" i="2"/>
  <c r="S489" i="2"/>
  <c r="M489" i="2"/>
  <c r="V488" i="2"/>
  <c r="S488" i="2"/>
  <c r="Y488" i="2" s="1"/>
  <c r="M488" i="2"/>
  <c r="Y487" i="2"/>
  <c r="V487" i="2"/>
  <c r="S487" i="2"/>
  <c r="M487" i="2"/>
  <c r="V486" i="2"/>
  <c r="S486" i="2"/>
  <c r="Y486" i="2" s="1"/>
  <c r="M486" i="2"/>
  <c r="Y485" i="2"/>
  <c r="V485" i="2"/>
  <c r="S485" i="2"/>
  <c r="M485" i="2"/>
  <c r="V484" i="2"/>
  <c r="S484" i="2"/>
  <c r="Y484" i="2" s="1"/>
  <c r="M484" i="2"/>
  <c r="Y483" i="2"/>
  <c r="V483" i="2"/>
  <c r="S483" i="2"/>
  <c r="P482" i="2" s="1"/>
  <c r="M483" i="2"/>
  <c r="W482" i="2"/>
  <c r="V482" i="2"/>
  <c r="T482" i="2"/>
  <c r="Z482" i="2" s="1"/>
  <c r="N482" i="2"/>
  <c r="V481" i="2"/>
  <c r="S481" i="2"/>
  <c r="Y481" i="2" s="1"/>
  <c r="M481" i="2"/>
  <c r="Y480" i="2"/>
  <c r="V480" i="2"/>
  <c r="S480" i="2"/>
  <c r="M480" i="2"/>
  <c r="V479" i="2"/>
  <c r="S479" i="2"/>
  <c r="Y479" i="2" s="1"/>
  <c r="M479" i="2"/>
  <c r="J477" i="2" s="1"/>
  <c r="Y478" i="2"/>
  <c r="V478" i="2"/>
  <c r="S478" i="2"/>
  <c r="P477" i="2" s="1"/>
  <c r="M478" i="2"/>
  <c r="W477" i="2"/>
  <c r="T477" i="2"/>
  <c r="Z477" i="2" s="1"/>
  <c r="N477" i="2"/>
  <c r="V476" i="2"/>
  <c r="S476" i="2"/>
  <c r="Y476" i="2" s="1"/>
  <c r="M476" i="2"/>
  <c r="Y475" i="2"/>
  <c r="V475" i="2"/>
  <c r="S475" i="2"/>
  <c r="M475" i="2"/>
  <c r="V474" i="2"/>
  <c r="S474" i="2"/>
  <c r="Y474" i="2" s="1"/>
  <c r="M474" i="2"/>
  <c r="J473" i="2" s="1"/>
  <c r="Z473" i="2"/>
  <c r="W473" i="2"/>
  <c r="T473" i="2"/>
  <c r="P473" i="2"/>
  <c r="N473" i="2"/>
  <c r="V472" i="2"/>
  <c r="S472" i="2"/>
  <c r="Y472" i="2" s="1"/>
  <c r="M472" i="2"/>
  <c r="V471" i="2"/>
  <c r="S471" i="2"/>
  <c r="Y471" i="2" s="1"/>
  <c r="M471" i="2"/>
  <c r="V470" i="2"/>
  <c r="S470" i="2"/>
  <c r="Y470" i="2" s="1"/>
  <c r="M470" i="2"/>
  <c r="J468" i="2" s="1"/>
  <c r="L468" i="2" s="1"/>
  <c r="V469" i="2"/>
  <c r="S469" i="2"/>
  <c r="Y469" i="2" s="1"/>
  <c r="M469" i="2"/>
  <c r="W468" i="2"/>
  <c r="T468" i="2"/>
  <c r="Z468" i="2" s="1"/>
  <c r="N468" i="2"/>
  <c r="Y467" i="2"/>
  <c r="V467" i="2"/>
  <c r="S467" i="2"/>
  <c r="M467" i="2"/>
  <c r="V466" i="2"/>
  <c r="S466" i="2"/>
  <c r="Y466" i="2" s="1"/>
  <c r="M466" i="2"/>
  <c r="Y465" i="2"/>
  <c r="V465" i="2"/>
  <c r="S465" i="2"/>
  <c r="M465" i="2"/>
  <c r="V464" i="2"/>
  <c r="S464" i="2"/>
  <c r="Y464" i="2" s="1"/>
  <c r="M464" i="2"/>
  <c r="J463" i="2" s="1"/>
  <c r="W463" i="2"/>
  <c r="T463" i="2"/>
  <c r="N463" i="2"/>
  <c r="V462" i="2"/>
  <c r="S462" i="2"/>
  <c r="Y462" i="2" s="1"/>
  <c r="M462" i="2"/>
  <c r="V461" i="2"/>
  <c r="S461" i="2"/>
  <c r="Y461" i="2" s="1"/>
  <c r="M461" i="2"/>
  <c r="Y460" i="2"/>
  <c r="V460" i="2"/>
  <c r="S460" i="2"/>
  <c r="M460" i="2"/>
  <c r="V459" i="2"/>
  <c r="S459" i="2"/>
  <c r="Y459" i="2" s="1"/>
  <c r="M459" i="2"/>
  <c r="Z458" i="2"/>
  <c r="W458" i="2"/>
  <c r="T458" i="2"/>
  <c r="N458" i="2"/>
  <c r="J458" i="2"/>
  <c r="M458" i="2" s="1"/>
  <c r="O458" i="2" s="1"/>
  <c r="Y457" i="2"/>
  <c r="V457" i="2"/>
  <c r="S457" i="2"/>
  <c r="M457" i="2"/>
  <c r="Y456" i="2"/>
  <c r="V456" i="2"/>
  <c r="S456" i="2"/>
  <c r="M456" i="2"/>
  <c r="J454" i="2" s="1"/>
  <c r="L454" i="2" s="1"/>
  <c r="Y455" i="2"/>
  <c r="V455" i="2"/>
  <c r="S455" i="2"/>
  <c r="M455" i="2"/>
  <c r="W454" i="2"/>
  <c r="V454" i="2"/>
  <c r="T454" i="2"/>
  <c r="Z454" i="2" s="1"/>
  <c r="S454" i="2"/>
  <c r="Y454" i="2" s="1"/>
  <c r="AA454" i="2" s="1"/>
  <c r="P454" i="2"/>
  <c r="R454" i="2" s="1"/>
  <c r="X454" i="2" s="1"/>
  <c r="N454" i="2"/>
  <c r="M454" i="2"/>
  <c r="O454" i="2" s="1"/>
  <c r="Y453" i="2"/>
  <c r="V453" i="2"/>
  <c r="S453" i="2"/>
  <c r="M453" i="2"/>
  <c r="Y452" i="2"/>
  <c r="V452" i="2"/>
  <c r="S452" i="2"/>
  <c r="M452" i="2"/>
  <c r="Y451" i="2"/>
  <c r="V451" i="2"/>
  <c r="S451" i="2"/>
  <c r="P450" i="2" s="1"/>
  <c r="M451" i="2"/>
  <c r="Z450" i="2"/>
  <c r="W450" i="2"/>
  <c r="T450" i="2"/>
  <c r="R450" i="2"/>
  <c r="X450" i="2" s="1"/>
  <c r="N450" i="2"/>
  <c r="J450" i="2"/>
  <c r="M450" i="2" s="1"/>
  <c r="O450" i="2" s="1"/>
  <c r="Y449" i="2"/>
  <c r="V449" i="2"/>
  <c r="S449" i="2"/>
  <c r="M449" i="2"/>
  <c r="Y448" i="2"/>
  <c r="V448" i="2"/>
  <c r="S448" i="2"/>
  <c r="M448" i="2"/>
  <c r="J446" i="2" s="1"/>
  <c r="L446" i="2" s="1"/>
  <c r="Y447" i="2"/>
  <c r="V447" i="2"/>
  <c r="S447" i="2"/>
  <c r="M447" i="2"/>
  <c r="W446" i="2"/>
  <c r="V446" i="2"/>
  <c r="T446" i="2"/>
  <c r="Z446" i="2" s="1"/>
  <c r="S446" i="2"/>
  <c r="Y446" i="2" s="1"/>
  <c r="AA446" i="2" s="1"/>
  <c r="P446" i="2"/>
  <c r="R446" i="2" s="1"/>
  <c r="X446" i="2" s="1"/>
  <c r="N446" i="2"/>
  <c r="Y445" i="2"/>
  <c r="V445" i="2"/>
  <c r="S445" i="2"/>
  <c r="M445" i="2"/>
  <c r="Y444" i="2"/>
  <c r="V444" i="2"/>
  <c r="S444" i="2"/>
  <c r="M444" i="2"/>
  <c r="Y443" i="2"/>
  <c r="V443" i="2"/>
  <c r="S443" i="2"/>
  <c r="M443" i="2"/>
  <c r="J441" i="2" s="1"/>
  <c r="L441" i="2" s="1"/>
  <c r="Y442" i="2"/>
  <c r="V442" i="2"/>
  <c r="S442" i="2"/>
  <c r="M442" i="2"/>
  <c r="W441" i="2"/>
  <c r="V441" i="2"/>
  <c r="T441" i="2"/>
  <c r="Z441" i="2" s="1"/>
  <c r="S441" i="2"/>
  <c r="Y441" i="2" s="1"/>
  <c r="P441" i="2"/>
  <c r="R441" i="2" s="1"/>
  <c r="X441" i="2" s="1"/>
  <c r="N441" i="2"/>
  <c r="M441" i="2"/>
  <c r="O441" i="2" s="1"/>
  <c r="Y440" i="2"/>
  <c r="V440" i="2"/>
  <c r="S440" i="2"/>
  <c r="M440" i="2"/>
  <c r="J438" i="2" s="1"/>
  <c r="Y439" i="2"/>
  <c r="V439" i="2"/>
  <c r="S439" i="2"/>
  <c r="M439" i="2"/>
  <c r="W438" i="2"/>
  <c r="V438" i="2"/>
  <c r="T438" i="2"/>
  <c r="Z438" i="2" s="1"/>
  <c r="S438" i="2"/>
  <c r="Y438" i="2" s="1"/>
  <c r="AA438" i="2" s="1"/>
  <c r="P438" i="2"/>
  <c r="R438" i="2" s="1"/>
  <c r="X438" i="2" s="1"/>
  <c r="N438" i="2"/>
  <c r="Y437" i="2"/>
  <c r="V437" i="2"/>
  <c r="S437" i="2"/>
  <c r="M437" i="2"/>
  <c r="J435" i="2" s="1"/>
  <c r="L435" i="2" s="1"/>
  <c r="Y436" i="2"/>
  <c r="V436" i="2"/>
  <c r="S436" i="2"/>
  <c r="M436" i="2"/>
  <c r="W435" i="2"/>
  <c r="V435" i="2"/>
  <c r="T435" i="2"/>
  <c r="Z435" i="2" s="1"/>
  <c r="S435" i="2"/>
  <c r="Y435" i="2" s="1"/>
  <c r="AA435" i="2" s="1"/>
  <c r="P435" i="2"/>
  <c r="R435" i="2" s="1"/>
  <c r="X435" i="2" s="1"/>
  <c r="N435" i="2"/>
  <c r="Y434" i="2"/>
  <c r="V434" i="2"/>
  <c r="S434" i="2"/>
  <c r="M434" i="2"/>
  <c r="J432" i="2" s="1"/>
  <c r="L432" i="2" s="1"/>
  <c r="Y433" i="2"/>
  <c r="V433" i="2"/>
  <c r="S433" i="2"/>
  <c r="M433" i="2"/>
  <c r="W432" i="2"/>
  <c r="V432" i="2"/>
  <c r="T432" i="2"/>
  <c r="Z432" i="2" s="1"/>
  <c r="S432" i="2"/>
  <c r="Y432" i="2" s="1"/>
  <c r="AA432" i="2" s="1"/>
  <c r="P432" i="2"/>
  <c r="R432" i="2" s="1"/>
  <c r="X432" i="2" s="1"/>
  <c r="N432" i="2"/>
  <c r="Y431" i="2"/>
  <c r="V431" i="2"/>
  <c r="S431" i="2"/>
  <c r="M431" i="2"/>
  <c r="Y430" i="2"/>
  <c r="V430" i="2"/>
  <c r="S430" i="2"/>
  <c r="M430" i="2"/>
  <c r="Y429" i="2"/>
  <c r="V429" i="2"/>
  <c r="S429" i="2"/>
  <c r="P428" i="2" s="1"/>
  <c r="R428" i="2" s="1"/>
  <c r="X428" i="2" s="1"/>
  <c r="M429" i="2"/>
  <c r="Z428" i="2"/>
  <c r="W428" i="2"/>
  <c r="T428" i="2"/>
  <c r="N428" i="2"/>
  <c r="J428" i="2"/>
  <c r="M428" i="2" s="1"/>
  <c r="O428" i="2" s="1"/>
  <c r="Y427" i="2"/>
  <c r="V427" i="2"/>
  <c r="S427" i="2"/>
  <c r="M427" i="2"/>
  <c r="Y426" i="2"/>
  <c r="V426" i="2"/>
  <c r="S426" i="2"/>
  <c r="M426" i="2"/>
  <c r="J424" i="2" s="1"/>
  <c r="L424" i="2" s="1"/>
  <c r="Y425" i="2"/>
  <c r="V425" i="2"/>
  <c r="S425" i="2"/>
  <c r="M425" i="2"/>
  <c r="W424" i="2"/>
  <c r="V424" i="2"/>
  <c r="T424" i="2"/>
  <c r="Z424" i="2" s="1"/>
  <c r="S424" i="2"/>
  <c r="Y424" i="2" s="1"/>
  <c r="P424" i="2"/>
  <c r="R424" i="2" s="1"/>
  <c r="X424" i="2" s="1"/>
  <c r="N424" i="2"/>
  <c r="M424" i="2"/>
  <c r="O424" i="2" s="1"/>
  <c r="Y423" i="2"/>
  <c r="V423" i="2"/>
  <c r="S423" i="2"/>
  <c r="M423" i="2"/>
  <c r="Y422" i="2"/>
  <c r="V422" i="2"/>
  <c r="S422" i="2"/>
  <c r="M422" i="2"/>
  <c r="Y421" i="2"/>
  <c r="V421" i="2"/>
  <c r="S421" i="2"/>
  <c r="P420" i="2" s="1"/>
  <c r="M421" i="2"/>
  <c r="Z420" i="2"/>
  <c r="W420" i="2"/>
  <c r="T420" i="2"/>
  <c r="R420" i="2"/>
  <c r="X420" i="2" s="1"/>
  <c r="N420" i="2"/>
  <c r="J420" i="2"/>
  <c r="M420" i="2" s="1"/>
  <c r="O420" i="2" s="1"/>
  <c r="Y419" i="2"/>
  <c r="V419" i="2"/>
  <c r="S419" i="2"/>
  <c r="M419" i="2"/>
  <c r="Y418" i="2"/>
  <c r="V418" i="2"/>
  <c r="S418" i="2"/>
  <c r="M418" i="2"/>
  <c r="J416" i="2" s="1"/>
  <c r="Y417" i="2"/>
  <c r="V417" i="2"/>
  <c r="S417" i="2"/>
  <c r="M417" i="2"/>
  <c r="W416" i="2"/>
  <c r="V416" i="2"/>
  <c r="T416" i="2"/>
  <c r="Z416" i="2" s="1"/>
  <c r="S416" i="2"/>
  <c r="Y416" i="2" s="1"/>
  <c r="P416" i="2"/>
  <c r="R416" i="2" s="1"/>
  <c r="X416" i="2" s="1"/>
  <c r="N416" i="2"/>
  <c r="N415" i="2" s="1"/>
  <c r="V414" i="2"/>
  <c r="S414" i="2"/>
  <c r="Y414" i="2" s="1"/>
  <c r="M414" i="2"/>
  <c r="Y413" i="2"/>
  <c r="V413" i="2"/>
  <c r="S413" i="2"/>
  <c r="M413" i="2"/>
  <c r="V412" i="2"/>
  <c r="S412" i="2"/>
  <c r="Y412" i="2" s="1"/>
  <c r="M412" i="2"/>
  <c r="Y411" i="2"/>
  <c r="V411" i="2"/>
  <c r="S411" i="2"/>
  <c r="M411" i="2"/>
  <c r="W410" i="2"/>
  <c r="T410" i="2"/>
  <c r="Z410" i="2" s="1"/>
  <c r="P410" i="2"/>
  <c r="S410" i="2" s="1"/>
  <c r="N410" i="2"/>
  <c r="J410" i="2"/>
  <c r="M410" i="2" s="1"/>
  <c r="O410" i="2" s="1"/>
  <c r="V409" i="2"/>
  <c r="S409" i="2"/>
  <c r="Y409" i="2" s="1"/>
  <c r="M409" i="2"/>
  <c r="Y408" i="2"/>
  <c r="V408" i="2"/>
  <c r="S408" i="2"/>
  <c r="M408" i="2"/>
  <c r="V407" i="2"/>
  <c r="S407" i="2"/>
  <c r="Y407" i="2" s="1"/>
  <c r="M407" i="2"/>
  <c r="Y406" i="2"/>
  <c r="V406" i="2"/>
  <c r="S406" i="2"/>
  <c r="M406" i="2"/>
  <c r="W405" i="2"/>
  <c r="T405" i="2"/>
  <c r="Z405" i="2" s="1"/>
  <c r="P405" i="2"/>
  <c r="S405" i="2" s="1"/>
  <c r="N405" i="2"/>
  <c r="J405" i="2"/>
  <c r="M405" i="2" s="1"/>
  <c r="O405" i="2" s="1"/>
  <c r="V404" i="2"/>
  <c r="S404" i="2"/>
  <c r="Y404" i="2" s="1"/>
  <c r="M404" i="2"/>
  <c r="Y403" i="2"/>
  <c r="V403" i="2"/>
  <c r="S403" i="2"/>
  <c r="M403" i="2"/>
  <c r="V402" i="2"/>
  <c r="S402" i="2"/>
  <c r="Y402" i="2" s="1"/>
  <c r="M402" i="2"/>
  <c r="Y401" i="2"/>
  <c r="V401" i="2"/>
  <c r="S401" i="2"/>
  <c r="M401" i="2"/>
  <c r="J399" i="2" s="1"/>
  <c r="V400" i="2"/>
  <c r="S400" i="2"/>
  <c r="Y400" i="2" s="1"/>
  <c r="M400" i="2"/>
  <c r="W399" i="2"/>
  <c r="T399" i="2"/>
  <c r="Z399" i="2" s="1"/>
  <c r="N399" i="2"/>
  <c r="Y398" i="2"/>
  <c r="V398" i="2"/>
  <c r="S398" i="2"/>
  <c r="M398" i="2"/>
  <c r="V397" i="2"/>
  <c r="S397" i="2"/>
  <c r="Y397" i="2" s="1"/>
  <c r="M397" i="2"/>
  <c r="Y396" i="2"/>
  <c r="V396" i="2"/>
  <c r="S396" i="2"/>
  <c r="M396" i="2"/>
  <c r="J394" i="2" s="1"/>
  <c r="V395" i="2"/>
  <c r="S395" i="2"/>
  <c r="Y395" i="2" s="1"/>
  <c r="M395" i="2"/>
  <c r="W394" i="2"/>
  <c r="T394" i="2"/>
  <c r="Z394" i="2" s="1"/>
  <c r="N394" i="2"/>
  <c r="Y393" i="2"/>
  <c r="V393" i="2"/>
  <c r="S393" i="2"/>
  <c r="M393" i="2"/>
  <c r="V392" i="2"/>
  <c r="S392" i="2"/>
  <c r="Y392" i="2" s="1"/>
  <c r="M392" i="2"/>
  <c r="Y391" i="2"/>
  <c r="V391" i="2"/>
  <c r="S391" i="2"/>
  <c r="M391" i="2"/>
  <c r="J389" i="2" s="1"/>
  <c r="V390" i="2"/>
  <c r="S390" i="2"/>
  <c r="Y390" i="2" s="1"/>
  <c r="M390" i="2"/>
  <c r="W389" i="2"/>
  <c r="T389" i="2"/>
  <c r="Z389" i="2" s="1"/>
  <c r="N389" i="2"/>
  <c r="Y388" i="2"/>
  <c r="V388" i="2"/>
  <c r="S388" i="2"/>
  <c r="M388" i="2"/>
  <c r="V387" i="2"/>
  <c r="S387" i="2"/>
  <c r="Y387" i="2" s="1"/>
  <c r="M387" i="2"/>
  <c r="Y386" i="2"/>
  <c r="V386" i="2"/>
  <c r="S386" i="2"/>
  <c r="M386" i="2"/>
  <c r="V385" i="2"/>
  <c r="S385" i="2"/>
  <c r="Y385" i="2" s="1"/>
  <c r="M385" i="2"/>
  <c r="W384" i="2"/>
  <c r="T384" i="2"/>
  <c r="Z384" i="2" s="1"/>
  <c r="N384" i="2"/>
  <c r="J384" i="2"/>
  <c r="M384" i="2" s="1"/>
  <c r="O384" i="2" s="1"/>
  <c r="Y383" i="2"/>
  <c r="V383" i="2"/>
  <c r="S383" i="2"/>
  <c r="M383" i="2"/>
  <c r="V382" i="2"/>
  <c r="S382" i="2"/>
  <c r="Y382" i="2" s="1"/>
  <c r="M382" i="2"/>
  <c r="Y381" i="2"/>
  <c r="V381" i="2"/>
  <c r="S381" i="2"/>
  <c r="M381" i="2"/>
  <c r="V380" i="2"/>
  <c r="S380" i="2"/>
  <c r="Y380" i="2" s="1"/>
  <c r="M380" i="2"/>
  <c r="W379" i="2"/>
  <c r="T379" i="2"/>
  <c r="Z379" i="2" s="1"/>
  <c r="N379" i="2"/>
  <c r="J379" i="2"/>
  <c r="M379" i="2" s="1"/>
  <c r="O379" i="2" s="1"/>
  <c r="Y378" i="2"/>
  <c r="V378" i="2"/>
  <c r="S378" i="2"/>
  <c r="M378" i="2"/>
  <c r="V377" i="2"/>
  <c r="S377" i="2"/>
  <c r="Y377" i="2" s="1"/>
  <c r="M377" i="2"/>
  <c r="Y376" i="2"/>
  <c r="V376" i="2"/>
  <c r="S376" i="2"/>
  <c r="M376" i="2"/>
  <c r="V375" i="2"/>
  <c r="S375" i="2"/>
  <c r="Y375" i="2" s="1"/>
  <c r="M375" i="2"/>
  <c r="W374" i="2"/>
  <c r="T374" i="2"/>
  <c r="Z374" i="2" s="1"/>
  <c r="N374" i="2"/>
  <c r="J374" i="2"/>
  <c r="M374" i="2" s="1"/>
  <c r="O374" i="2" s="1"/>
  <c r="Y373" i="2"/>
  <c r="V373" i="2"/>
  <c r="S373" i="2"/>
  <c r="M373" i="2"/>
  <c r="V372" i="2"/>
  <c r="S372" i="2"/>
  <c r="Y372" i="2" s="1"/>
  <c r="M372" i="2"/>
  <c r="Y371" i="2"/>
  <c r="V371" i="2"/>
  <c r="S371" i="2"/>
  <c r="M371" i="2"/>
  <c r="V370" i="2"/>
  <c r="S370" i="2"/>
  <c r="Y370" i="2" s="1"/>
  <c r="M370" i="2"/>
  <c r="Y369" i="2"/>
  <c r="V369" i="2"/>
  <c r="S369" i="2"/>
  <c r="M369" i="2"/>
  <c r="W368" i="2"/>
  <c r="T368" i="2"/>
  <c r="Z368" i="2" s="1"/>
  <c r="P368" i="2"/>
  <c r="S368" i="2" s="1"/>
  <c r="N368" i="2"/>
  <c r="N234" i="2" s="1"/>
  <c r="J368" i="2"/>
  <c r="M368" i="2" s="1"/>
  <c r="V367" i="2"/>
  <c r="S367" i="2"/>
  <c r="Y367" i="2" s="1"/>
  <c r="M367" i="2"/>
  <c r="Y366" i="2"/>
  <c r="V366" i="2"/>
  <c r="S366" i="2"/>
  <c r="M366" i="2"/>
  <c r="V365" i="2"/>
  <c r="S365" i="2"/>
  <c r="Y365" i="2" s="1"/>
  <c r="M365" i="2"/>
  <c r="Y364" i="2"/>
  <c r="V364" i="2"/>
  <c r="S364" i="2"/>
  <c r="M364" i="2"/>
  <c r="V363" i="2"/>
  <c r="S363" i="2"/>
  <c r="Y363" i="2" s="1"/>
  <c r="M363" i="2"/>
  <c r="W362" i="2"/>
  <c r="T362" i="2"/>
  <c r="Z362" i="2" s="1"/>
  <c r="N362" i="2"/>
  <c r="J362" i="2"/>
  <c r="M362" i="2" s="1"/>
  <c r="O362" i="2" s="1"/>
  <c r="Y361" i="2"/>
  <c r="V361" i="2"/>
  <c r="S361" i="2"/>
  <c r="M361" i="2"/>
  <c r="V360" i="2"/>
  <c r="S360" i="2"/>
  <c r="Y360" i="2" s="1"/>
  <c r="M360" i="2"/>
  <c r="Y359" i="2"/>
  <c r="V359" i="2"/>
  <c r="S359" i="2"/>
  <c r="M359" i="2"/>
  <c r="W358" i="2"/>
  <c r="T358" i="2"/>
  <c r="Z358" i="2" s="1"/>
  <c r="P358" i="2"/>
  <c r="S358" i="2" s="1"/>
  <c r="N358" i="2"/>
  <c r="J358" i="2"/>
  <c r="M358" i="2" s="1"/>
  <c r="O358" i="2" s="1"/>
  <c r="V357" i="2"/>
  <c r="S357" i="2"/>
  <c r="Y357" i="2" s="1"/>
  <c r="M357" i="2"/>
  <c r="Y356" i="2"/>
  <c r="V356" i="2"/>
  <c r="S356" i="2"/>
  <c r="M356" i="2"/>
  <c r="V355" i="2"/>
  <c r="S355" i="2"/>
  <c r="Y355" i="2" s="1"/>
  <c r="M355" i="2"/>
  <c r="Y354" i="2"/>
  <c r="V354" i="2"/>
  <c r="S354" i="2"/>
  <c r="M354" i="2"/>
  <c r="W353" i="2"/>
  <c r="T353" i="2"/>
  <c r="Z353" i="2" s="1"/>
  <c r="P353" i="2"/>
  <c r="S353" i="2" s="1"/>
  <c r="N353" i="2"/>
  <c r="J353" i="2"/>
  <c r="M353" i="2" s="1"/>
  <c r="V352" i="2"/>
  <c r="S352" i="2"/>
  <c r="Y352" i="2" s="1"/>
  <c r="M352" i="2"/>
  <c r="Y351" i="2"/>
  <c r="V351" i="2"/>
  <c r="S351" i="2"/>
  <c r="M351" i="2"/>
  <c r="J349" i="2" s="1"/>
  <c r="V350" i="2"/>
  <c r="S350" i="2"/>
  <c r="Y350" i="2" s="1"/>
  <c r="M350" i="2"/>
  <c r="W349" i="2"/>
  <c r="T349" i="2"/>
  <c r="Z349" i="2" s="1"/>
  <c r="N349" i="2"/>
  <c r="Y348" i="2"/>
  <c r="V348" i="2"/>
  <c r="S348" i="2"/>
  <c r="M348" i="2"/>
  <c r="V347" i="2"/>
  <c r="S347" i="2"/>
  <c r="Y347" i="2" s="1"/>
  <c r="M347" i="2"/>
  <c r="Y346" i="2"/>
  <c r="V346" i="2"/>
  <c r="S346" i="2"/>
  <c r="M346" i="2"/>
  <c r="J344" i="2" s="1"/>
  <c r="V345" i="2"/>
  <c r="S345" i="2"/>
  <c r="Y345" i="2" s="1"/>
  <c r="M345" i="2"/>
  <c r="W344" i="2"/>
  <c r="T344" i="2"/>
  <c r="Z344" i="2" s="1"/>
  <c r="N344" i="2"/>
  <c r="Y343" i="2"/>
  <c r="V343" i="2"/>
  <c r="S343" i="2"/>
  <c r="M343" i="2"/>
  <c r="J339" i="2" s="1"/>
  <c r="V342" i="2"/>
  <c r="S342" i="2"/>
  <c r="Y342" i="2" s="1"/>
  <c r="M342" i="2"/>
  <c r="Y341" i="2"/>
  <c r="V341" i="2"/>
  <c r="S341" i="2"/>
  <c r="M341" i="2"/>
  <c r="V340" i="2"/>
  <c r="S340" i="2"/>
  <c r="Y340" i="2" s="1"/>
  <c r="M340" i="2"/>
  <c r="W339" i="2"/>
  <c r="T339" i="2"/>
  <c r="Z339" i="2" s="1"/>
  <c r="N339" i="2"/>
  <c r="Y338" i="2"/>
  <c r="V338" i="2"/>
  <c r="S338" i="2"/>
  <c r="M338" i="2"/>
  <c r="V337" i="2"/>
  <c r="S337" i="2"/>
  <c r="Y337" i="2" s="1"/>
  <c r="M337" i="2"/>
  <c r="Y336" i="2"/>
  <c r="V336" i="2"/>
  <c r="S336" i="2"/>
  <c r="M336" i="2"/>
  <c r="V335" i="2"/>
  <c r="S335" i="2"/>
  <c r="M335" i="2"/>
  <c r="W334" i="2"/>
  <c r="T334" i="2"/>
  <c r="Z334" i="2" s="1"/>
  <c r="N334" i="2"/>
  <c r="Y333" i="2"/>
  <c r="V333" i="2"/>
  <c r="S333" i="2"/>
  <c r="M333" i="2"/>
  <c r="V332" i="2"/>
  <c r="S332" i="2"/>
  <c r="M332" i="2"/>
  <c r="J331" i="2" s="1"/>
  <c r="W331" i="2"/>
  <c r="T331" i="2"/>
  <c r="Z331" i="2" s="1"/>
  <c r="N331" i="2"/>
  <c r="Y330" i="2"/>
  <c r="V330" i="2"/>
  <c r="S330" i="2"/>
  <c r="M330" i="2"/>
  <c r="V329" i="2"/>
  <c r="S329" i="2"/>
  <c r="M329" i="2"/>
  <c r="J328" i="2" s="1"/>
  <c r="W328" i="2"/>
  <c r="T328" i="2"/>
  <c r="Z328" i="2" s="1"/>
  <c r="N328" i="2"/>
  <c r="Y327" i="2"/>
  <c r="V327" i="2"/>
  <c r="S327" i="2"/>
  <c r="M327" i="2"/>
  <c r="V326" i="2"/>
  <c r="S326" i="2"/>
  <c r="M326" i="2"/>
  <c r="J325" i="2" s="1"/>
  <c r="W325" i="2"/>
  <c r="T325" i="2"/>
  <c r="Z325" i="2" s="1"/>
  <c r="N325" i="2"/>
  <c r="V324" i="2"/>
  <c r="S324" i="2"/>
  <c r="Y324" i="2" s="1"/>
  <c r="M324" i="2"/>
  <c r="J322" i="2" s="1"/>
  <c r="V323" i="2"/>
  <c r="S323" i="2"/>
  <c r="Y323" i="2" s="1"/>
  <c r="M323" i="2"/>
  <c r="W322" i="2"/>
  <c r="T322" i="2"/>
  <c r="Z322" i="2" s="1"/>
  <c r="N322" i="2"/>
  <c r="Y321" i="2"/>
  <c r="V321" i="2"/>
  <c r="S321" i="2"/>
  <c r="P319" i="2" s="1"/>
  <c r="M321" i="2"/>
  <c r="V320" i="2"/>
  <c r="S320" i="2"/>
  <c r="Y320" i="2" s="1"/>
  <c r="M320" i="2"/>
  <c r="W319" i="2"/>
  <c r="T319" i="2"/>
  <c r="Z319" i="2" s="1"/>
  <c r="O319" i="2"/>
  <c r="N319" i="2"/>
  <c r="J319" i="2"/>
  <c r="M319" i="2" s="1"/>
  <c r="Y318" i="2"/>
  <c r="V318" i="2"/>
  <c r="S318" i="2"/>
  <c r="M318" i="2"/>
  <c r="V317" i="2"/>
  <c r="S317" i="2"/>
  <c r="M317" i="2"/>
  <c r="J316" i="2" s="1"/>
  <c r="W316" i="2"/>
  <c r="T316" i="2"/>
  <c r="Z316" i="2" s="1"/>
  <c r="N316" i="2"/>
  <c r="V315" i="2"/>
  <c r="S315" i="2"/>
  <c r="M315" i="2"/>
  <c r="J313" i="2" s="1"/>
  <c r="V314" i="2"/>
  <c r="S314" i="2"/>
  <c r="Y314" i="2" s="1"/>
  <c r="M314" i="2"/>
  <c r="Z313" i="2"/>
  <c r="W313" i="2"/>
  <c r="T313" i="2"/>
  <c r="N313" i="2"/>
  <c r="V312" i="2"/>
  <c r="S312" i="2"/>
  <c r="Y312" i="2" s="1"/>
  <c r="M312" i="2"/>
  <c r="J310" i="2" s="1"/>
  <c r="V311" i="2"/>
  <c r="S311" i="2"/>
  <c r="Y311" i="2" s="1"/>
  <c r="M311" i="2"/>
  <c r="W310" i="2"/>
  <c r="T310" i="2"/>
  <c r="Z310" i="2" s="1"/>
  <c r="N310" i="2"/>
  <c r="V309" i="2"/>
  <c r="S309" i="2"/>
  <c r="Y309" i="2" s="1"/>
  <c r="M309" i="2"/>
  <c r="J307" i="2" s="1"/>
  <c r="L307" i="2" s="1"/>
  <c r="V308" i="2"/>
  <c r="S308" i="2"/>
  <c r="Y308" i="2" s="1"/>
  <c r="M308" i="2"/>
  <c r="W307" i="2"/>
  <c r="T307" i="2"/>
  <c r="Z307" i="2" s="1"/>
  <c r="N307" i="2"/>
  <c r="M307" i="2"/>
  <c r="O307" i="2" s="1"/>
  <c r="Y306" i="2"/>
  <c r="V306" i="2"/>
  <c r="S306" i="2"/>
  <c r="M306" i="2"/>
  <c r="V305" i="2"/>
  <c r="S305" i="2"/>
  <c r="M305" i="2"/>
  <c r="W304" i="2"/>
  <c r="T304" i="2"/>
  <c r="Z304" i="2" s="1"/>
  <c r="N304" i="2"/>
  <c r="M304" i="2"/>
  <c r="O304" i="2" s="1"/>
  <c r="L304" i="2"/>
  <c r="J304" i="2"/>
  <c r="Y303" i="2"/>
  <c r="V303" i="2"/>
  <c r="S303" i="2"/>
  <c r="M303" i="2"/>
  <c r="V302" i="2"/>
  <c r="S302" i="2"/>
  <c r="Y302" i="2" s="1"/>
  <c r="M302" i="2"/>
  <c r="W301" i="2"/>
  <c r="T301" i="2"/>
  <c r="Z301" i="2" s="1"/>
  <c r="N301" i="2"/>
  <c r="J301" i="2"/>
  <c r="Y300" i="2"/>
  <c r="V300" i="2"/>
  <c r="S300" i="2"/>
  <c r="M300" i="2"/>
  <c r="V299" i="2"/>
  <c r="S299" i="2"/>
  <c r="P298" i="2" s="1"/>
  <c r="M299" i="2"/>
  <c r="W298" i="2"/>
  <c r="T298" i="2"/>
  <c r="Z298" i="2" s="1"/>
  <c r="N298" i="2"/>
  <c r="J298" i="2"/>
  <c r="Y297" i="2"/>
  <c r="V297" i="2"/>
  <c r="S297" i="2"/>
  <c r="M297" i="2"/>
  <c r="V296" i="2"/>
  <c r="S296" i="2"/>
  <c r="P295" i="2" s="1"/>
  <c r="M296" i="2"/>
  <c r="J295" i="2" s="1"/>
  <c r="W295" i="2"/>
  <c r="T295" i="2"/>
  <c r="Z295" i="2" s="1"/>
  <c r="N295" i="2"/>
  <c r="V294" i="2"/>
  <c r="S294" i="2"/>
  <c r="Y294" i="2" s="1"/>
  <c r="M294" i="2"/>
  <c r="V293" i="2"/>
  <c r="S293" i="2"/>
  <c r="P292" i="2" s="1"/>
  <c r="M293" i="2"/>
  <c r="W292" i="2"/>
  <c r="T292" i="2"/>
  <c r="Z292" i="2" s="1"/>
  <c r="N292" i="2"/>
  <c r="J292" i="2"/>
  <c r="V291" i="2"/>
  <c r="S291" i="2"/>
  <c r="Y291" i="2" s="1"/>
  <c r="M291" i="2"/>
  <c r="V290" i="2"/>
  <c r="S290" i="2"/>
  <c r="P289" i="2" s="1"/>
  <c r="M290" i="2"/>
  <c r="J289" i="2" s="1"/>
  <c r="W289" i="2"/>
  <c r="T289" i="2"/>
  <c r="Z289" i="2" s="1"/>
  <c r="N289" i="2"/>
  <c r="V288" i="2"/>
  <c r="S288" i="2"/>
  <c r="Y288" i="2" s="1"/>
  <c r="M288" i="2"/>
  <c r="V287" i="2"/>
  <c r="S287" i="2"/>
  <c r="P286" i="2" s="1"/>
  <c r="M287" i="2"/>
  <c r="J286" i="2" s="1"/>
  <c r="W286" i="2"/>
  <c r="T286" i="2"/>
  <c r="Z286" i="2" s="1"/>
  <c r="N286" i="2"/>
  <c r="V285" i="2"/>
  <c r="S285" i="2"/>
  <c r="Y285" i="2" s="1"/>
  <c r="M285" i="2"/>
  <c r="V284" i="2"/>
  <c r="S284" i="2"/>
  <c r="P283" i="2" s="1"/>
  <c r="M284" i="2"/>
  <c r="J283" i="2" s="1"/>
  <c r="W283" i="2"/>
  <c r="T283" i="2"/>
  <c r="Z283" i="2" s="1"/>
  <c r="N283" i="2"/>
  <c r="V282" i="2"/>
  <c r="S282" i="2"/>
  <c r="Y282" i="2" s="1"/>
  <c r="M282" i="2"/>
  <c r="V281" i="2"/>
  <c r="S281" i="2"/>
  <c r="P280" i="2" s="1"/>
  <c r="M281" i="2"/>
  <c r="W280" i="2"/>
  <c r="T280" i="2"/>
  <c r="Z280" i="2" s="1"/>
  <c r="N280" i="2"/>
  <c r="J280" i="2"/>
  <c r="V279" i="2"/>
  <c r="S279" i="2"/>
  <c r="Y279" i="2" s="1"/>
  <c r="M279" i="2"/>
  <c r="V278" i="2"/>
  <c r="S278" i="2"/>
  <c r="P277" i="2" s="1"/>
  <c r="M278" i="2"/>
  <c r="J277" i="2" s="1"/>
  <c r="W277" i="2"/>
  <c r="T277" i="2"/>
  <c r="Z277" i="2" s="1"/>
  <c r="N277" i="2"/>
  <c r="V276" i="2"/>
  <c r="S276" i="2"/>
  <c r="Y276" i="2" s="1"/>
  <c r="M276" i="2"/>
  <c r="V275" i="2"/>
  <c r="S275" i="2"/>
  <c r="P274" i="2" s="1"/>
  <c r="M275" i="2"/>
  <c r="J274" i="2" s="1"/>
  <c r="W274" i="2"/>
  <c r="T274" i="2"/>
  <c r="Z274" i="2" s="1"/>
  <c r="N274" i="2"/>
  <c r="V273" i="2"/>
  <c r="S273" i="2"/>
  <c r="Y273" i="2" s="1"/>
  <c r="M273" i="2"/>
  <c r="V272" i="2"/>
  <c r="S272" i="2"/>
  <c r="P271" i="2" s="1"/>
  <c r="M272" i="2"/>
  <c r="J271" i="2" s="1"/>
  <c r="W271" i="2"/>
  <c r="T271" i="2"/>
  <c r="Z271" i="2" s="1"/>
  <c r="N271" i="2"/>
  <c r="V270" i="2"/>
  <c r="S270" i="2"/>
  <c r="Y270" i="2" s="1"/>
  <c r="M270" i="2"/>
  <c r="V269" i="2"/>
  <c r="S269" i="2"/>
  <c r="P268" i="2" s="1"/>
  <c r="M269" i="2"/>
  <c r="W268" i="2"/>
  <c r="T268" i="2"/>
  <c r="Z268" i="2" s="1"/>
  <c r="N268" i="2"/>
  <c r="J268" i="2"/>
  <c r="V267" i="2"/>
  <c r="S267" i="2"/>
  <c r="Y267" i="2" s="1"/>
  <c r="M267" i="2"/>
  <c r="V266" i="2"/>
  <c r="S266" i="2"/>
  <c r="P265" i="2" s="1"/>
  <c r="M266" i="2"/>
  <c r="J265" i="2" s="1"/>
  <c r="W265" i="2"/>
  <c r="T265" i="2"/>
  <c r="Z265" i="2" s="1"/>
  <c r="N265" i="2"/>
  <c r="V264" i="2"/>
  <c r="S264" i="2"/>
  <c r="Y264" i="2" s="1"/>
  <c r="M264" i="2"/>
  <c r="V263" i="2"/>
  <c r="S263" i="2"/>
  <c r="P262" i="2" s="1"/>
  <c r="M263" i="2"/>
  <c r="J262" i="2" s="1"/>
  <c r="W262" i="2"/>
  <c r="T262" i="2"/>
  <c r="Z262" i="2" s="1"/>
  <c r="N262" i="2"/>
  <c r="V261" i="2"/>
  <c r="S261" i="2"/>
  <c r="Y261" i="2" s="1"/>
  <c r="M261" i="2"/>
  <c r="V260" i="2"/>
  <c r="S260" i="2"/>
  <c r="P259" i="2" s="1"/>
  <c r="M260" i="2"/>
  <c r="J259" i="2" s="1"/>
  <c r="W259" i="2"/>
  <c r="T259" i="2"/>
  <c r="Z259" i="2" s="1"/>
  <c r="N259" i="2"/>
  <c r="V258" i="2"/>
  <c r="S258" i="2"/>
  <c r="Y258" i="2" s="1"/>
  <c r="M258" i="2"/>
  <c r="V257" i="2"/>
  <c r="S257" i="2"/>
  <c r="P256" i="2" s="1"/>
  <c r="M257" i="2"/>
  <c r="W256" i="2"/>
  <c r="T256" i="2"/>
  <c r="Z256" i="2" s="1"/>
  <c r="N256" i="2"/>
  <c r="J256" i="2"/>
  <c r="V255" i="2"/>
  <c r="S255" i="2"/>
  <c r="Y255" i="2" s="1"/>
  <c r="M255" i="2"/>
  <c r="V254" i="2"/>
  <c r="S254" i="2"/>
  <c r="P253" i="2" s="1"/>
  <c r="M254" i="2"/>
  <c r="J253" i="2" s="1"/>
  <c r="W253" i="2"/>
  <c r="T253" i="2"/>
  <c r="Z253" i="2" s="1"/>
  <c r="N253" i="2"/>
  <c r="V252" i="2"/>
  <c r="S252" i="2"/>
  <c r="Y252" i="2" s="1"/>
  <c r="M252" i="2"/>
  <c r="V251" i="2"/>
  <c r="S251" i="2"/>
  <c r="P250" i="2" s="1"/>
  <c r="M251" i="2"/>
  <c r="J250" i="2" s="1"/>
  <c r="W250" i="2"/>
  <c r="T250" i="2"/>
  <c r="Z250" i="2" s="1"/>
  <c r="N250" i="2"/>
  <c r="V249" i="2"/>
  <c r="S249" i="2"/>
  <c r="Y249" i="2" s="1"/>
  <c r="M249" i="2"/>
  <c r="V248" i="2"/>
  <c r="S248" i="2"/>
  <c r="P247" i="2" s="1"/>
  <c r="M248" i="2"/>
  <c r="J247" i="2" s="1"/>
  <c r="W247" i="2"/>
  <c r="T247" i="2"/>
  <c r="Z247" i="2" s="1"/>
  <c r="N247" i="2"/>
  <c r="V246" i="2"/>
  <c r="S246" i="2"/>
  <c r="Y246" i="2" s="1"/>
  <c r="M246" i="2"/>
  <c r="V245" i="2"/>
  <c r="S245" i="2"/>
  <c r="Y245" i="2" s="1"/>
  <c r="M245" i="2"/>
  <c r="V244" i="2"/>
  <c r="S244" i="2"/>
  <c r="Y244" i="2" s="1"/>
  <c r="M244" i="2"/>
  <c r="V243" i="2"/>
  <c r="S243" i="2"/>
  <c r="Y243" i="2" s="1"/>
  <c r="M243" i="2"/>
  <c r="J241" i="2" s="1"/>
  <c r="V242" i="2"/>
  <c r="S242" i="2"/>
  <c r="Y242" i="2" s="1"/>
  <c r="M242" i="2"/>
  <c r="W241" i="2"/>
  <c r="T241" i="2"/>
  <c r="Z241" i="2" s="1"/>
  <c r="P241" i="2"/>
  <c r="S241" i="2" s="1"/>
  <c r="N241" i="2"/>
  <c r="V240" i="2"/>
  <c r="S240" i="2"/>
  <c r="Y240" i="2" s="1"/>
  <c r="M240" i="2"/>
  <c r="V239" i="2"/>
  <c r="S239" i="2"/>
  <c r="Y239" i="2" s="1"/>
  <c r="M239" i="2"/>
  <c r="V238" i="2"/>
  <c r="S238" i="2"/>
  <c r="Y238" i="2" s="1"/>
  <c r="M238" i="2"/>
  <c r="V237" i="2"/>
  <c r="S237" i="2"/>
  <c r="Y237" i="2" s="1"/>
  <c r="M237" i="2"/>
  <c r="V236" i="2"/>
  <c r="S236" i="2"/>
  <c r="P235" i="2" s="1"/>
  <c r="M236" i="2"/>
  <c r="J235" i="2" s="1"/>
  <c r="W235" i="2"/>
  <c r="T235" i="2"/>
  <c r="N235" i="2"/>
  <c r="V233" i="2"/>
  <c r="S233" i="2"/>
  <c r="Y233" i="2" s="1"/>
  <c r="M233" i="2"/>
  <c r="V232" i="2"/>
  <c r="S232" i="2"/>
  <c r="Y232" i="2" s="1"/>
  <c r="M232" i="2"/>
  <c r="V231" i="2"/>
  <c r="S231" i="2"/>
  <c r="Y231" i="2" s="1"/>
  <c r="M231" i="2"/>
  <c r="Z230" i="2"/>
  <c r="W230" i="2"/>
  <c r="T230" i="2"/>
  <c r="N230" i="2"/>
  <c r="M230" i="2"/>
  <c r="O230" i="2" s="1"/>
  <c r="J230" i="2"/>
  <c r="L230" i="2" s="1"/>
  <c r="V229" i="2"/>
  <c r="S229" i="2"/>
  <c r="Y229" i="2" s="1"/>
  <c r="M229" i="2"/>
  <c r="V228" i="2"/>
  <c r="S228" i="2"/>
  <c r="Y228" i="2" s="1"/>
  <c r="M228" i="2"/>
  <c r="J226" i="2" s="1"/>
  <c r="M226" i="2" s="1"/>
  <c r="O226" i="2" s="1"/>
  <c r="V227" i="2"/>
  <c r="S227" i="2"/>
  <c r="M227" i="2"/>
  <c r="Z226" i="2"/>
  <c r="W226" i="2"/>
  <c r="T226" i="2"/>
  <c r="N226" i="2"/>
  <c r="V225" i="2"/>
  <c r="S225" i="2"/>
  <c r="Y225" i="2" s="1"/>
  <c r="M225" i="2"/>
  <c r="V224" i="2"/>
  <c r="S224" i="2"/>
  <c r="Y224" i="2" s="1"/>
  <c r="M224" i="2"/>
  <c r="V223" i="2"/>
  <c r="S223" i="2"/>
  <c r="Y223" i="2" s="1"/>
  <c r="M223" i="2"/>
  <c r="Z222" i="2"/>
  <c r="W222" i="2"/>
  <c r="T222" i="2"/>
  <c r="N222" i="2"/>
  <c r="M222" i="2"/>
  <c r="O222" i="2" s="1"/>
  <c r="J222" i="2"/>
  <c r="L222" i="2" s="1"/>
  <c r="V221" i="2"/>
  <c r="S221" i="2"/>
  <c r="Y221" i="2" s="1"/>
  <c r="M221" i="2"/>
  <c r="V220" i="2"/>
  <c r="S220" i="2"/>
  <c r="Y220" i="2" s="1"/>
  <c r="M220" i="2"/>
  <c r="J218" i="2" s="1"/>
  <c r="L218" i="2" s="1"/>
  <c r="V219" i="2"/>
  <c r="S219" i="2"/>
  <c r="M219" i="2"/>
  <c r="Z218" i="2"/>
  <c r="W218" i="2"/>
  <c r="T218" i="2"/>
  <c r="N218" i="2"/>
  <c r="V217" i="2"/>
  <c r="S217" i="2"/>
  <c r="Y217" i="2" s="1"/>
  <c r="M217" i="2"/>
  <c r="V216" i="2"/>
  <c r="S216" i="2"/>
  <c r="Y216" i="2" s="1"/>
  <c r="M216" i="2"/>
  <c r="V215" i="2"/>
  <c r="S215" i="2"/>
  <c r="Y215" i="2" s="1"/>
  <c r="M215" i="2"/>
  <c r="J213" i="2" s="1"/>
  <c r="V214" i="2"/>
  <c r="S214" i="2"/>
  <c r="Y214" i="2" s="1"/>
  <c r="M214" i="2"/>
  <c r="Z213" i="2"/>
  <c r="W213" i="2"/>
  <c r="T213" i="2"/>
  <c r="P213" i="2"/>
  <c r="O213" i="2"/>
  <c r="N213" i="2"/>
  <c r="M213" i="2"/>
  <c r="L213" i="2"/>
  <c r="V212" i="2"/>
  <c r="S212" i="2"/>
  <c r="Y212" i="2" s="1"/>
  <c r="M212" i="2"/>
  <c r="V211" i="2"/>
  <c r="S211" i="2"/>
  <c r="Y211" i="2" s="1"/>
  <c r="M211" i="2"/>
  <c r="V210" i="2"/>
  <c r="S210" i="2"/>
  <c r="Y210" i="2" s="1"/>
  <c r="M210" i="2"/>
  <c r="J208" i="2" s="1"/>
  <c r="V209" i="2"/>
  <c r="S209" i="2"/>
  <c r="Y209" i="2" s="1"/>
  <c r="M209" i="2"/>
  <c r="W208" i="2"/>
  <c r="T208" i="2"/>
  <c r="Z208" i="2" s="1"/>
  <c r="N208" i="2"/>
  <c r="V207" i="2"/>
  <c r="S207" i="2"/>
  <c r="Y207" i="2" s="1"/>
  <c r="M207" i="2"/>
  <c r="V206" i="2"/>
  <c r="S206" i="2"/>
  <c r="Y206" i="2" s="1"/>
  <c r="M206" i="2"/>
  <c r="V205" i="2"/>
  <c r="S205" i="2"/>
  <c r="Y205" i="2" s="1"/>
  <c r="M205" i="2"/>
  <c r="V204" i="2"/>
  <c r="S204" i="2"/>
  <c r="Y204" i="2" s="1"/>
  <c r="M204" i="2"/>
  <c r="W203" i="2"/>
  <c r="T203" i="2"/>
  <c r="Z203" i="2" s="1"/>
  <c r="N203" i="2"/>
  <c r="J203" i="2"/>
  <c r="Y202" i="2"/>
  <c r="V202" i="2"/>
  <c r="S202" i="2"/>
  <c r="M202" i="2"/>
  <c r="V201" i="2"/>
  <c r="S201" i="2"/>
  <c r="Y201" i="2" s="1"/>
  <c r="M201" i="2"/>
  <c r="J198" i="2" s="1"/>
  <c r="Y200" i="2"/>
  <c r="V200" i="2"/>
  <c r="S200" i="2"/>
  <c r="M200" i="2"/>
  <c r="V199" i="2"/>
  <c r="S199" i="2"/>
  <c r="P198" i="2" s="1"/>
  <c r="M199" i="2"/>
  <c r="W198" i="2"/>
  <c r="T198" i="2"/>
  <c r="Z198" i="2" s="1"/>
  <c r="N198" i="2"/>
  <c r="Y197" i="2"/>
  <c r="V197" i="2"/>
  <c r="S197" i="2"/>
  <c r="M197" i="2"/>
  <c r="V196" i="2"/>
  <c r="S196" i="2"/>
  <c r="Y196" i="2" s="1"/>
  <c r="M196" i="2"/>
  <c r="Y195" i="2"/>
  <c r="V195" i="2"/>
  <c r="S195" i="2"/>
  <c r="M195" i="2"/>
  <c r="V194" i="2"/>
  <c r="S194" i="2"/>
  <c r="P193" i="2" s="1"/>
  <c r="M194" i="2"/>
  <c r="J193" i="2" s="1"/>
  <c r="W193" i="2"/>
  <c r="T193" i="2"/>
  <c r="Z193" i="2" s="1"/>
  <c r="N193" i="2"/>
  <c r="Y192" i="2"/>
  <c r="V192" i="2"/>
  <c r="S192" i="2"/>
  <c r="M192" i="2"/>
  <c r="V191" i="2"/>
  <c r="S191" i="2"/>
  <c r="P190" i="2" s="1"/>
  <c r="M191" i="2"/>
  <c r="J190" i="2" s="1"/>
  <c r="W190" i="2"/>
  <c r="T190" i="2"/>
  <c r="Z190" i="2" s="1"/>
  <c r="N190" i="2"/>
  <c r="Y189" i="2"/>
  <c r="V189" i="2"/>
  <c r="S189" i="2"/>
  <c r="M189" i="2"/>
  <c r="V188" i="2"/>
  <c r="S188" i="2"/>
  <c r="P187" i="2" s="1"/>
  <c r="M188" i="2"/>
  <c r="W187" i="2"/>
  <c r="T187" i="2"/>
  <c r="Z187" i="2" s="1"/>
  <c r="N187" i="2"/>
  <c r="J187" i="2"/>
  <c r="Y186" i="2"/>
  <c r="V186" i="2"/>
  <c r="S186" i="2"/>
  <c r="M186" i="2"/>
  <c r="V185" i="2"/>
  <c r="S185" i="2"/>
  <c r="P184" i="2" s="1"/>
  <c r="M185" i="2"/>
  <c r="W184" i="2"/>
  <c r="T184" i="2"/>
  <c r="Z184" i="2" s="1"/>
  <c r="N184" i="2"/>
  <c r="J184" i="2"/>
  <c r="Y183" i="2"/>
  <c r="V183" i="2"/>
  <c r="S183" i="2"/>
  <c r="M183" i="2"/>
  <c r="V182" i="2"/>
  <c r="S182" i="2"/>
  <c r="P181" i="2" s="1"/>
  <c r="M182" i="2"/>
  <c r="W181" i="2"/>
  <c r="T181" i="2"/>
  <c r="Z181" i="2" s="1"/>
  <c r="N181" i="2"/>
  <c r="J181" i="2"/>
  <c r="Y180" i="2"/>
  <c r="V180" i="2"/>
  <c r="S180" i="2"/>
  <c r="M180" i="2"/>
  <c r="V179" i="2"/>
  <c r="S179" i="2"/>
  <c r="P178" i="2" s="1"/>
  <c r="M179" i="2"/>
  <c r="W178" i="2"/>
  <c r="T178" i="2"/>
  <c r="Z178" i="2" s="1"/>
  <c r="N178" i="2"/>
  <c r="J178" i="2"/>
  <c r="Y177" i="2"/>
  <c r="V177" i="2"/>
  <c r="S177" i="2"/>
  <c r="M177" i="2"/>
  <c r="V176" i="2"/>
  <c r="S176" i="2"/>
  <c r="Y176" i="2" s="1"/>
  <c r="M176" i="2"/>
  <c r="J173" i="2" s="1"/>
  <c r="Y175" i="2"/>
  <c r="V175" i="2"/>
  <c r="S175" i="2"/>
  <c r="M175" i="2"/>
  <c r="V174" i="2"/>
  <c r="S174" i="2"/>
  <c r="P173" i="2" s="1"/>
  <c r="M174" i="2"/>
  <c r="W173" i="2"/>
  <c r="T173" i="2"/>
  <c r="N173" i="2"/>
  <c r="Y172" i="2"/>
  <c r="V172" i="2"/>
  <c r="S172" i="2"/>
  <c r="M172" i="2"/>
  <c r="V171" i="2"/>
  <c r="S171" i="2"/>
  <c r="Y171" i="2" s="1"/>
  <c r="M171" i="2"/>
  <c r="J169" i="2" s="1"/>
  <c r="Y170" i="2"/>
  <c r="V170" i="2"/>
  <c r="S170" i="2"/>
  <c r="M170" i="2"/>
  <c r="Z169" i="2"/>
  <c r="W169" i="2"/>
  <c r="T169" i="2"/>
  <c r="P169" i="2"/>
  <c r="S169" i="2" s="1"/>
  <c r="N169" i="2"/>
  <c r="V168" i="2"/>
  <c r="S168" i="2"/>
  <c r="Y168" i="2" s="1"/>
  <c r="M168" i="2"/>
  <c r="J166" i="2" s="1"/>
  <c r="Y167" i="2"/>
  <c r="V167" i="2"/>
  <c r="S167" i="2"/>
  <c r="M167" i="2"/>
  <c r="Z166" i="2"/>
  <c r="W166" i="2"/>
  <c r="T166" i="2"/>
  <c r="P166" i="2"/>
  <c r="S166" i="2" s="1"/>
  <c r="N166" i="2"/>
  <c r="N165" i="2" s="1"/>
  <c r="Y163" i="2"/>
  <c r="V163" i="2"/>
  <c r="S163" i="2"/>
  <c r="M163" i="2"/>
  <c r="V162" i="2"/>
  <c r="S162" i="2"/>
  <c r="Y162" i="2" s="1"/>
  <c r="M162" i="2"/>
  <c r="Y161" i="2"/>
  <c r="V161" i="2"/>
  <c r="S161" i="2"/>
  <c r="M161" i="2"/>
  <c r="V160" i="2"/>
  <c r="S160" i="2"/>
  <c r="Y160" i="2" s="1"/>
  <c r="M160" i="2"/>
  <c r="Z159" i="2"/>
  <c r="W159" i="2"/>
  <c r="T159" i="2"/>
  <c r="S159" i="2"/>
  <c r="U159" i="2" s="1"/>
  <c r="R159" i="2"/>
  <c r="X159" i="2" s="1"/>
  <c r="P159" i="2"/>
  <c r="V159" i="2" s="1"/>
  <c r="N159" i="2"/>
  <c r="L159" i="2"/>
  <c r="J159" i="2"/>
  <c r="M159" i="2" s="1"/>
  <c r="O159" i="2" s="1"/>
  <c r="Y158" i="2"/>
  <c r="V158" i="2"/>
  <c r="S158" i="2"/>
  <c r="M158" i="2"/>
  <c r="V157" i="2"/>
  <c r="S157" i="2"/>
  <c r="Y157" i="2" s="1"/>
  <c r="M157" i="2"/>
  <c r="Y156" i="2"/>
  <c r="V156" i="2"/>
  <c r="S156" i="2"/>
  <c r="M156" i="2"/>
  <c r="V155" i="2"/>
  <c r="S155" i="2"/>
  <c r="Y155" i="2" s="1"/>
  <c r="M155" i="2"/>
  <c r="Z154" i="2"/>
  <c r="W154" i="2"/>
  <c r="T154" i="2"/>
  <c r="S154" i="2"/>
  <c r="U154" i="2" s="1"/>
  <c r="R154" i="2"/>
  <c r="X154" i="2" s="1"/>
  <c r="P154" i="2"/>
  <c r="V154" i="2" s="1"/>
  <c r="N154" i="2"/>
  <c r="L154" i="2"/>
  <c r="J154" i="2"/>
  <c r="M154" i="2" s="1"/>
  <c r="O154" i="2" s="1"/>
  <c r="Y153" i="2"/>
  <c r="V153" i="2"/>
  <c r="S153" i="2"/>
  <c r="M153" i="2"/>
  <c r="V152" i="2"/>
  <c r="S152" i="2"/>
  <c r="Y152" i="2" s="1"/>
  <c r="M152" i="2"/>
  <c r="Y151" i="2"/>
  <c r="V151" i="2"/>
  <c r="S151" i="2"/>
  <c r="M151" i="2"/>
  <c r="V150" i="2"/>
  <c r="S150" i="2"/>
  <c r="Y150" i="2" s="1"/>
  <c r="M150" i="2"/>
  <c r="Z149" i="2"/>
  <c r="W149" i="2"/>
  <c r="T149" i="2"/>
  <c r="S149" i="2"/>
  <c r="U149" i="2" s="1"/>
  <c r="R149" i="2"/>
  <c r="X149" i="2" s="1"/>
  <c r="P149" i="2"/>
  <c r="V149" i="2" s="1"/>
  <c r="N149" i="2"/>
  <c r="L149" i="2"/>
  <c r="J149" i="2"/>
  <c r="M149" i="2" s="1"/>
  <c r="O149" i="2" s="1"/>
  <c r="Y148" i="2"/>
  <c r="V148" i="2"/>
  <c r="S148" i="2"/>
  <c r="M148" i="2"/>
  <c r="V147" i="2"/>
  <c r="S147" i="2"/>
  <c r="Y147" i="2" s="1"/>
  <c r="M147" i="2"/>
  <c r="Y146" i="2"/>
  <c r="V146" i="2"/>
  <c r="S146" i="2"/>
  <c r="M146" i="2"/>
  <c r="V145" i="2"/>
  <c r="S145" i="2"/>
  <c r="Y145" i="2" s="1"/>
  <c r="M145" i="2"/>
  <c r="Z144" i="2"/>
  <c r="W144" i="2"/>
  <c r="T144" i="2"/>
  <c r="S144" i="2"/>
  <c r="U144" i="2" s="1"/>
  <c r="R144" i="2"/>
  <c r="X144" i="2" s="1"/>
  <c r="P144" i="2"/>
  <c r="V144" i="2" s="1"/>
  <c r="N144" i="2"/>
  <c r="L144" i="2"/>
  <c r="J144" i="2"/>
  <c r="M144" i="2" s="1"/>
  <c r="O144" i="2" s="1"/>
  <c r="Y143" i="2"/>
  <c r="V143" i="2"/>
  <c r="S143" i="2"/>
  <c r="M143" i="2"/>
  <c r="V142" i="2"/>
  <c r="S142" i="2"/>
  <c r="Y142" i="2" s="1"/>
  <c r="M142" i="2"/>
  <c r="Y141" i="2"/>
  <c r="V141" i="2"/>
  <c r="S141" i="2"/>
  <c r="M141" i="2"/>
  <c r="V140" i="2"/>
  <c r="S140" i="2"/>
  <c r="Y140" i="2" s="1"/>
  <c r="M140" i="2"/>
  <c r="Z139" i="2"/>
  <c r="W139" i="2"/>
  <c r="T139" i="2"/>
  <c r="S139" i="2"/>
  <c r="U139" i="2" s="1"/>
  <c r="R139" i="2"/>
  <c r="X139" i="2" s="1"/>
  <c r="P139" i="2"/>
  <c r="V139" i="2" s="1"/>
  <c r="N139" i="2"/>
  <c r="L139" i="2"/>
  <c r="J139" i="2"/>
  <c r="M139" i="2" s="1"/>
  <c r="O139" i="2" s="1"/>
  <c r="Y138" i="2"/>
  <c r="V138" i="2"/>
  <c r="S138" i="2"/>
  <c r="M138" i="2"/>
  <c r="V137" i="2"/>
  <c r="S137" i="2"/>
  <c r="Y137" i="2" s="1"/>
  <c r="M137" i="2"/>
  <c r="Y136" i="2"/>
  <c r="V136" i="2"/>
  <c r="S136" i="2"/>
  <c r="M136" i="2"/>
  <c r="V135" i="2"/>
  <c r="S135" i="2"/>
  <c r="Y135" i="2" s="1"/>
  <c r="M135" i="2"/>
  <c r="Z134" i="2"/>
  <c r="W134" i="2"/>
  <c r="T134" i="2"/>
  <c r="S134" i="2"/>
  <c r="U134" i="2" s="1"/>
  <c r="R134" i="2"/>
  <c r="X134" i="2" s="1"/>
  <c r="P134" i="2"/>
  <c r="V134" i="2" s="1"/>
  <c r="N134" i="2"/>
  <c r="L134" i="2"/>
  <c r="J134" i="2"/>
  <c r="M134" i="2" s="1"/>
  <c r="O134" i="2" s="1"/>
  <c r="Y133" i="2"/>
  <c r="V133" i="2"/>
  <c r="S133" i="2"/>
  <c r="M133" i="2"/>
  <c r="V132" i="2"/>
  <c r="S132" i="2"/>
  <c r="Y132" i="2" s="1"/>
  <c r="M132" i="2"/>
  <c r="Y131" i="2"/>
  <c r="V131" i="2"/>
  <c r="S131" i="2"/>
  <c r="M131" i="2"/>
  <c r="V130" i="2"/>
  <c r="S130" i="2"/>
  <c r="Y130" i="2" s="1"/>
  <c r="M130" i="2"/>
  <c r="Z129" i="2"/>
  <c r="W129" i="2"/>
  <c r="T129" i="2"/>
  <c r="S129" i="2"/>
  <c r="U129" i="2" s="1"/>
  <c r="R129" i="2"/>
  <c r="X129" i="2" s="1"/>
  <c r="P129" i="2"/>
  <c r="V129" i="2" s="1"/>
  <c r="N129" i="2"/>
  <c r="J129" i="2"/>
  <c r="M129" i="2" s="1"/>
  <c r="O129" i="2" s="1"/>
  <c r="Y128" i="2"/>
  <c r="V128" i="2"/>
  <c r="S128" i="2"/>
  <c r="P127" i="2" s="1"/>
  <c r="M128" i="2"/>
  <c r="W127" i="2"/>
  <c r="V127" i="2"/>
  <c r="T127" i="2"/>
  <c r="Z127" i="2" s="1"/>
  <c r="N127" i="2"/>
  <c r="M127" i="2"/>
  <c r="O127" i="2" s="1"/>
  <c r="L127" i="2"/>
  <c r="J127" i="2"/>
  <c r="V126" i="2"/>
  <c r="S126" i="2"/>
  <c r="Y126" i="2" s="1"/>
  <c r="M126" i="2"/>
  <c r="Z125" i="2"/>
  <c r="W125" i="2"/>
  <c r="T125" i="2"/>
  <c r="S125" i="2"/>
  <c r="U125" i="2" s="1"/>
  <c r="R125" i="2"/>
  <c r="X125" i="2" s="1"/>
  <c r="P125" i="2"/>
  <c r="V125" i="2" s="1"/>
  <c r="N125" i="2"/>
  <c r="J125" i="2"/>
  <c r="M125" i="2" s="1"/>
  <c r="O125" i="2" s="1"/>
  <c r="Y124" i="2"/>
  <c r="V124" i="2"/>
  <c r="S124" i="2"/>
  <c r="M124" i="2"/>
  <c r="V123" i="2"/>
  <c r="S123" i="2"/>
  <c r="Y123" i="2" s="1"/>
  <c r="M123" i="2"/>
  <c r="Z122" i="2"/>
  <c r="W122" i="2"/>
  <c r="T122" i="2"/>
  <c r="S122" i="2"/>
  <c r="U122" i="2" s="1"/>
  <c r="R122" i="2"/>
  <c r="X122" i="2" s="1"/>
  <c r="P122" i="2"/>
  <c r="V122" i="2" s="1"/>
  <c r="N122" i="2"/>
  <c r="J122" i="2"/>
  <c r="M122" i="2" s="1"/>
  <c r="O122" i="2" s="1"/>
  <c r="Y121" i="2"/>
  <c r="V121" i="2"/>
  <c r="S121" i="2"/>
  <c r="M121" i="2"/>
  <c r="V120" i="2"/>
  <c r="S120" i="2"/>
  <c r="Y120" i="2" s="1"/>
  <c r="M120" i="2"/>
  <c r="Z119" i="2"/>
  <c r="W119" i="2"/>
  <c r="T119" i="2"/>
  <c r="S119" i="2"/>
  <c r="U119" i="2" s="1"/>
  <c r="R119" i="2"/>
  <c r="X119" i="2" s="1"/>
  <c r="P119" i="2"/>
  <c r="V119" i="2" s="1"/>
  <c r="N119" i="2"/>
  <c r="J119" i="2"/>
  <c r="M119" i="2" s="1"/>
  <c r="O119" i="2" s="1"/>
  <c r="V118" i="2"/>
  <c r="S118" i="2"/>
  <c r="Y118" i="2" s="1"/>
  <c r="M118" i="2"/>
  <c r="V117" i="2"/>
  <c r="S117" i="2"/>
  <c r="Y117" i="2" s="1"/>
  <c r="M117" i="2"/>
  <c r="Z116" i="2"/>
  <c r="W116" i="2"/>
  <c r="T116" i="2"/>
  <c r="R116" i="2"/>
  <c r="X116" i="2" s="1"/>
  <c r="P116" i="2"/>
  <c r="V116" i="2" s="1"/>
  <c r="N116" i="2"/>
  <c r="J116" i="2"/>
  <c r="M116" i="2" s="1"/>
  <c r="O116" i="2" s="1"/>
  <c r="V115" i="2"/>
  <c r="S115" i="2"/>
  <c r="Y115" i="2" s="1"/>
  <c r="M115" i="2"/>
  <c r="V114" i="2"/>
  <c r="S114" i="2"/>
  <c r="Y114" i="2" s="1"/>
  <c r="M114" i="2"/>
  <c r="J112" i="2" s="1"/>
  <c r="L112" i="2" s="1"/>
  <c r="V113" i="2"/>
  <c r="S113" i="2"/>
  <c r="P112" i="2" s="1"/>
  <c r="M113" i="2"/>
  <c r="W112" i="2"/>
  <c r="V112" i="2"/>
  <c r="T112" i="2"/>
  <c r="Z112" i="2" s="1"/>
  <c r="N112" i="2"/>
  <c r="M112" i="2"/>
  <c r="O112" i="2" s="1"/>
  <c r="V111" i="2"/>
  <c r="S111" i="2"/>
  <c r="Y111" i="2" s="1"/>
  <c r="M111" i="2"/>
  <c r="V110" i="2"/>
  <c r="S110" i="2"/>
  <c r="Y110" i="2" s="1"/>
  <c r="M110" i="2"/>
  <c r="V109" i="2"/>
  <c r="S109" i="2"/>
  <c r="Y109" i="2" s="1"/>
  <c r="M109" i="2"/>
  <c r="Z108" i="2"/>
  <c r="W108" i="2"/>
  <c r="T108" i="2"/>
  <c r="R108" i="2"/>
  <c r="X108" i="2" s="1"/>
  <c r="P108" i="2"/>
  <c r="V108" i="2" s="1"/>
  <c r="N108" i="2"/>
  <c r="J108" i="2"/>
  <c r="M108" i="2" s="1"/>
  <c r="O108" i="2" s="1"/>
  <c r="V107" i="2"/>
  <c r="S107" i="2"/>
  <c r="Y107" i="2" s="1"/>
  <c r="M107" i="2"/>
  <c r="V106" i="2"/>
  <c r="S106" i="2"/>
  <c r="Y106" i="2" s="1"/>
  <c r="M106" i="2"/>
  <c r="Z105" i="2"/>
  <c r="W105" i="2"/>
  <c r="T105" i="2"/>
  <c r="R105" i="2"/>
  <c r="X105" i="2" s="1"/>
  <c r="P105" i="2"/>
  <c r="V105" i="2" s="1"/>
  <c r="N105" i="2"/>
  <c r="J105" i="2"/>
  <c r="M105" i="2" s="1"/>
  <c r="O105" i="2" s="1"/>
  <c r="V104" i="2"/>
  <c r="S104" i="2"/>
  <c r="Y104" i="2" s="1"/>
  <c r="M104" i="2"/>
  <c r="V103" i="2"/>
  <c r="S103" i="2"/>
  <c r="Y103" i="2" s="1"/>
  <c r="M103" i="2"/>
  <c r="V102" i="2"/>
  <c r="S102" i="2"/>
  <c r="Y102" i="2" s="1"/>
  <c r="M102" i="2"/>
  <c r="V101" i="2"/>
  <c r="S101" i="2"/>
  <c r="Y101" i="2" s="1"/>
  <c r="M101" i="2"/>
  <c r="Z100" i="2"/>
  <c r="W100" i="2"/>
  <c r="T100" i="2"/>
  <c r="T93" i="2" s="1"/>
  <c r="R100" i="2"/>
  <c r="X100" i="2" s="1"/>
  <c r="P100" i="2"/>
  <c r="V100" i="2" s="1"/>
  <c r="N100" i="2"/>
  <c r="J100" i="2"/>
  <c r="M100" i="2" s="1"/>
  <c r="O100" i="2" s="1"/>
  <c r="V99" i="2"/>
  <c r="S99" i="2"/>
  <c r="Y99" i="2" s="1"/>
  <c r="M99" i="2"/>
  <c r="V98" i="2"/>
  <c r="S98" i="2"/>
  <c r="Y98" i="2" s="1"/>
  <c r="M98" i="2"/>
  <c r="V97" i="2"/>
  <c r="S97" i="2"/>
  <c r="Y97" i="2" s="1"/>
  <c r="M97" i="2"/>
  <c r="V96" i="2"/>
  <c r="S96" i="2"/>
  <c r="Y96" i="2" s="1"/>
  <c r="M96" i="2"/>
  <c r="J94" i="2" s="1"/>
  <c r="L94" i="2" s="1"/>
  <c r="V95" i="2"/>
  <c r="S95" i="2"/>
  <c r="P94" i="2" s="1"/>
  <c r="M95" i="2"/>
  <c r="W94" i="2"/>
  <c r="V94" i="2"/>
  <c r="T94" i="2"/>
  <c r="Z94" i="2" s="1"/>
  <c r="N94" i="2"/>
  <c r="N93" i="2" s="1"/>
  <c r="M94" i="2"/>
  <c r="V92" i="2"/>
  <c r="S92" i="2"/>
  <c r="Y92" i="2" s="1"/>
  <c r="M92" i="2"/>
  <c r="Z91" i="2"/>
  <c r="W91" i="2"/>
  <c r="T91" i="2"/>
  <c r="N91" i="2"/>
  <c r="L91" i="2"/>
  <c r="J91" i="2"/>
  <c r="M91" i="2" s="1"/>
  <c r="O91" i="2" s="1"/>
  <c r="Y90" i="2"/>
  <c r="V90" i="2"/>
  <c r="S90" i="2"/>
  <c r="M90" i="2"/>
  <c r="Z89" i="2"/>
  <c r="W89" i="2"/>
  <c r="V89" i="2"/>
  <c r="T89" i="2"/>
  <c r="P89" i="2"/>
  <c r="S89" i="2" s="1"/>
  <c r="N89" i="2"/>
  <c r="M89" i="2"/>
  <c r="J89" i="2"/>
  <c r="L89" i="2" s="1"/>
  <c r="V88" i="2"/>
  <c r="S88" i="2"/>
  <c r="Y88" i="2" s="1"/>
  <c r="M88" i="2"/>
  <c r="Z87" i="2"/>
  <c r="Z78" i="2" s="1"/>
  <c r="W87" i="2"/>
  <c r="T87" i="2"/>
  <c r="N87" i="2"/>
  <c r="L87" i="2"/>
  <c r="J87" i="2"/>
  <c r="M87" i="2" s="1"/>
  <c r="O87" i="2" s="1"/>
  <c r="Y86" i="2"/>
  <c r="V86" i="2"/>
  <c r="S86" i="2"/>
  <c r="M86" i="2"/>
  <c r="Z85" i="2"/>
  <c r="W85" i="2"/>
  <c r="V85" i="2"/>
  <c r="T85" i="2"/>
  <c r="P85" i="2"/>
  <c r="S85" i="2" s="1"/>
  <c r="N85" i="2"/>
  <c r="M85" i="2"/>
  <c r="O85" i="2" s="1"/>
  <c r="J85" i="2"/>
  <c r="L85" i="2" s="1"/>
  <c r="V84" i="2"/>
  <c r="S84" i="2"/>
  <c r="Y84" i="2" s="1"/>
  <c r="M84" i="2"/>
  <c r="J82" i="2" s="1"/>
  <c r="Y83" i="2"/>
  <c r="V83" i="2"/>
  <c r="S83" i="2"/>
  <c r="M83" i="2"/>
  <c r="Z82" i="2"/>
  <c r="W82" i="2"/>
  <c r="V82" i="2"/>
  <c r="T82" i="2"/>
  <c r="P82" i="2"/>
  <c r="S82" i="2" s="1"/>
  <c r="N82" i="2"/>
  <c r="V81" i="2"/>
  <c r="S81" i="2"/>
  <c r="Y81" i="2" s="1"/>
  <c r="M81" i="2"/>
  <c r="J79" i="2" s="1"/>
  <c r="L79" i="2" s="1"/>
  <c r="Y80" i="2"/>
  <c r="V80" i="2"/>
  <c r="S80" i="2"/>
  <c r="M80" i="2"/>
  <c r="Z79" i="2"/>
  <c r="W79" i="2"/>
  <c r="V79" i="2"/>
  <c r="T79" i="2"/>
  <c r="P79" i="2"/>
  <c r="S79" i="2" s="1"/>
  <c r="N79" i="2"/>
  <c r="N78" i="2" s="1"/>
  <c r="T78" i="2"/>
  <c r="V77" i="2"/>
  <c r="S77" i="2"/>
  <c r="Y77" i="2" s="1"/>
  <c r="M77" i="2"/>
  <c r="Y76" i="2"/>
  <c r="V76" i="2"/>
  <c r="S76" i="2"/>
  <c r="M76" i="2"/>
  <c r="V75" i="2"/>
  <c r="S75" i="2"/>
  <c r="Y75" i="2" s="1"/>
  <c r="M75" i="2"/>
  <c r="J72" i="2" s="1"/>
  <c r="Y74" i="2"/>
  <c r="V74" i="2"/>
  <c r="S74" i="2"/>
  <c r="M74" i="2"/>
  <c r="V73" i="2"/>
  <c r="S73" i="2"/>
  <c r="P72" i="2" s="1"/>
  <c r="R72" i="2" s="1"/>
  <c r="X72" i="2" s="1"/>
  <c r="M73" i="2"/>
  <c r="W72" i="2"/>
  <c r="V72" i="2"/>
  <c r="T72" i="2"/>
  <c r="Z72" i="2" s="1"/>
  <c r="N72" i="2"/>
  <c r="Y71" i="2"/>
  <c r="V71" i="2"/>
  <c r="S71" i="2"/>
  <c r="M71" i="2"/>
  <c r="V70" i="2"/>
  <c r="S70" i="2"/>
  <c r="Y70" i="2" s="1"/>
  <c r="M70" i="2"/>
  <c r="Y69" i="2"/>
  <c r="V69" i="2"/>
  <c r="S69" i="2"/>
  <c r="M69" i="2"/>
  <c r="V68" i="2"/>
  <c r="S68" i="2"/>
  <c r="Y68" i="2" s="1"/>
  <c r="M68" i="2"/>
  <c r="J66" i="2" s="1"/>
  <c r="Y67" i="2"/>
  <c r="V67" i="2"/>
  <c r="S67" i="2"/>
  <c r="M67" i="2"/>
  <c r="Z66" i="2"/>
  <c r="W66" i="2"/>
  <c r="T66" i="2"/>
  <c r="P66" i="2"/>
  <c r="N66" i="2"/>
  <c r="V65" i="2"/>
  <c r="S65" i="2"/>
  <c r="Y65" i="2" s="1"/>
  <c r="M65" i="2"/>
  <c r="Y64" i="2"/>
  <c r="V64" i="2"/>
  <c r="S64" i="2"/>
  <c r="M64" i="2"/>
  <c r="V63" i="2"/>
  <c r="S63" i="2"/>
  <c r="Y63" i="2" s="1"/>
  <c r="M63" i="2"/>
  <c r="Y62" i="2"/>
  <c r="V62" i="2"/>
  <c r="S62" i="2"/>
  <c r="M62" i="2"/>
  <c r="V61" i="2"/>
  <c r="S61" i="2"/>
  <c r="Y61" i="2" s="1"/>
  <c r="M61" i="2"/>
  <c r="Y60" i="2"/>
  <c r="V60" i="2"/>
  <c r="S60" i="2"/>
  <c r="M60" i="2"/>
  <c r="V59" i="2"/>
  <c r="S59" i="2"/>
  <c r="M59" i="2"/>
  <c r="W58" i="2"/>
  <c r="T58" i="2"/>
  <c r="Z58" i="2" s="1"/>
  <c r="N58" i="2"/>
  <c r="Y57" i="2"/>
  <c r="V57" i="2"/>
  <c r="S57" i="2"/>
  <c r="M57" i="2"/>
  <c r="V56" i="2"/>
  <c r="S56" i="2"/>
  <c r="Y56" i="2" s="1"/>
  <c r="M56" i="2"/>
  <c r="Y55" i="2"/>
  <c r="V55" i="2"/>
  <c r="S55" i="2"/>
  <c r="M55" i="2"/>
  <c r="V54" i="2"/>
  <c r="S54" i="2"/>
  <c r="Y54" i="2" s="1"/>
  <c r="M54" i="2"/>
  <c r="Y53" i="2"/>
  <c r="V53" i="2"/>
  <c r="S53" i="2"/>
  <c r="M53" i="2"/>
  <c r="Z52" i="2"/>
  <c r="W52" i="2"/>
  <c r="T52" i="2"/>
  <c r="N52" i="2"/>
  <c r="V51" i="2"/>
  <c r="S51" i="2"/>
  <c r="Y51" i="2" s="1"/>
  <c r="M51" i="2"/>
  <c r="V50" i="2"/>
  <c r="S50" i="2"/>
  <c r="Y50" i="2" s="1"/>
  <c r="M50" i="2"/>
  <c r="V49" i="2"/>
  <c r="S49" i="2"/>
  <c r="Y49" i="2" s="1"/>
  <c r="M49" i="2"/>
  <c r="J46" i="2" s="1"/>
  <c r="L46" i="2" s="1"/>
  <c r="Y48" i="2"/>
  <c r="V48" i="2"/>
  <c r="S48" i="2"/>
  <c r="M48" i="2"/>
  <c r="V47" i="2"/>
  <c r="S47" i="2"/>
  <c r="Y47" i="2" s="1"/>
  <c r="M47" i="2"/>
  <c r="W46" i="2"/>
  <c r="T46" i="2"/>
  <c r="Z46" i="2" s="1"/>
  <c r="N46" i="2"/>
  <c r="V45" i="2"/>
  <c r="S45" i="2"/>
  <c r="Y45" i="2" s="1"/>
  <c r="M45" i="2"/>
  <c r="Y44" i="2"/>
  <c r="V44" i="2"/>
  <c r="S44" i="2"/>
  <c r="M44" i="2"/>
  <c r="V43" i="2"/>
  <c r="S43" i="2"/>
  <c r="Y43" i="2" s="1"/>
  <c r="M43" i="2"/>
  <c r="Y42" i="2"/>
  <c r="V42" i="2"/>
  <c r="S42" i="2"/>
  <c r="M42" i="2"/>
  <c r="J40" i="2" s="1"/>
  <c r="V41" i="2"/>
  <c r="S41" i="2"/>
  <c r="Y41" i="2" s="1"/>
  <c r="M41" i="2"/>
  <c r="Z40" i="2"/>
  <c r="W40" i="2"/>
  <c r="T40" i="2"/>
  <c r="N40" i="2"/>
  <c r="Y39" i="2"/>
  <c r="V39" i="2"/>
  <c r="S39" i="2"/>
  <c r="M39" i="2"/>
  <c r="V38" i="2"/>
  <c r="S38" i="2"/>
  <c r="Y38" i="2" s="1"/>
  <c r="M38" i="2"/>
  <c r="Y37" i="2"/>
  <c r="V37" i="2"/>
  <c r="S37" i="2"/>
  <c r="M37" i="2"/>
  <c r="V36" i="2"/>
  <c r="S36" i="2"/>
  <c r="Y36" i="2" s="1"/>
  <c r="M36" i="2"/>
  <c r="Y35" i="2"/>
  <c r="V35" i="2"/>
  <c r="S35" i="2"/>
  <c r="M35" i="2"/>
  <c r="V34" i="2"/>
  <c r="S34" i="2"/>
  <c r="Y34" i="2" s="1"/>
  <c r="M34" i="2"/>
  <c r="Y33" i="2"/>
  <c r="V33" i="2"/>
  <c r="S33" i="2"/>
  <c r="M33" i="2"/>
  <c r="W32" i="2"/>
  <c r="V32" i="2"/>
  <c r="T32" i="2"/>
  <c r="Z32" i="2" s="1"/>
  <c r="P32" i="2"/>
  <c r="S32" i="2" s="1"/>
  <c r="N32" i="2"/>
  <c r="M32" i="2"/>
  <c r="O32" i="2" s="1"/>
  <c r="J32" i="2"/>
  <c r="L32" i="2" s="1"/>
  <c r="V31" i="2"/>
  <c r="S31" i="2"/>
  <c r="Y31" i="2" s="1"/>
  <c r="M31" i="2"/>
  <c r="Y30" i="2"/>
  <c r="V30" i="2"/>
  <c r="S30" i="2"/>
  <c r="M30" i="2"/>
  <c r="V29" i="2"/>
  <c r="S29" i="2"/>
  <c r="Y29" i="2" s="1"/>
  <c r="M29" i="2"/>
  <c r="Y28" i="2"/>
  <c r="V28" i="2"/>
  <c r="S28" i="2"/>
  <c r="M28" i="2"/>
  <c r="V27" i="2"/>
  <c r="S27" i="2"/>
  <c r="Y27" i="2" s="1"/>
  <c r="M27" i="2"/>
  <c r="Y26" i="2"/>
  <c r="V26" i="2"/>
  <c r="S26" i="2"/>
  <c r="M26" i="2"/>
  <c r="J24" i="2" s="1"/>
  <c r="V25" i="2"/>
  <c r="S25" i="2"/>
  <c r="Y25" i="2" s="1"/>
  <c r="M25" i="2"/>
  <c r="Z24" i="2"/>
  <c r="W24" i="2"/>
  <c r="T24" i="2"/>
  <c r="N24" i="2"/>
  <c r="Y23" i="2"/>
  <c r="V23" i="2"/>
  <c r="S23" i="2"/>
  <c r="M23" i="2"/>
  <c r="W22" i="2"/>
  <c r="V22" i="2"/>
  <c r="T22" i="2"/>
  <c r="Z22" i="2" s="1"/>
  <c r="P22" i="2"/>
  <c r="S22" i="2" s="1"/>
  <c r="N22" i="2"/>
  <c r="N14" i="2" s="1"/>
  <c r="M22" i="2"/>
  <c r="O22" i="2" s="1"/>
  <c r="J22" i="2"/>
  <c r="L22" i="2" s="1"/>
  <c r="V21" i="2"/>
  <c r="S21" i="2"/>
  <c r="Y21" i="2" s="1"/>
  <c r="M21" i="2"/>
  <c r="Y20" i="2"/>
  <c r="V20" i="2"/>
  <c r="S20" i="2"/>
  <c r="M20" i="2"/>
  <c r="J18" i="2" s="1"/>
  <c r="V19" i="2"/>
  <c r="S19" i="2"/>
  <c r="Y19" i="2" s="1"/>
  <c r="M19" i="2"/>
  <c r="Z18" i="2"/>
  <c r="W18" i="2"/>
  <c r="T18" i="2"/>
  <c r="N18" i="2"/>
  <c r="Y17" i="2"/>
  <c r="V17" i="2"/>
  <c r="S17" i="2"/>
  <c r="M17" i="2"/>
  <c r="J15" i="2" s="1"/>
  <c r="V16" i="2"/>
  <c r="S16" i="2"/>
  <c r="Y16" i="2" s="1"/>
  <c r="M16" i="2"/>
  <c r="Z15" i="2"/>
  <c r="Z14" i="2" s="1"/>
  <c r="W15" i="2"/>
  <c r="T15" i="2"/>
  <c r="T14" i="2" s="1"/>
  <c r="T13" i="2" s="1"/>
  <c r="N15" i="2"/>
  <c r="Z917" i="1"/>
  <c r="W917" i="1"/>
  <c r="T917" i="1"/>
  <c r="U917" i="1" s="1"/>
  <c r="U916" i="1" s="1"/>
  <c r="U915" i="1" s="1"/>
  <c r="U914" i="1" s="1"/>
  <c r="R917" i="1"/>
  <c r="X917" i="1" s="1"/>
  <c r="N917" i="1"/>
  <c r="O917" i="1" s="1"/>
  <c r="O916" i="1" s="1"/>
  <c r="O915" i="1" s="1"/>
  <c r="O914" i="1" s="1"/>
  <c r="L917" i="1"/>
  <c r="Y916" i="1"/>
  <c r="T916" i="1"/>
  <c r="T915" i="1" s="1"/>
  <c r="T914" i="1" s="1"/>
  <c r="S916" i="1"/>
  <c r="N916" i="1"/>
  <c r="N915" i="1" s="1"/>
  <c r="N914" i="1" s="1"/>
  <c r="M916" i="1"/>
  <c r="Y915" i="1"/>
  <c r="S915" i="1"/>
  <c r="M915" i="1"/>
  <c r="M914" i="1" s="1"/>
  <c r="Y914" i="1"/>
  <c r="S914" i="1"/>
  <c r="V913" i="1"/>
  <c r="S913" i="1"/>
  <c r="Y913" i="1" s="1"/>
  <c r="M913" i="1"/>
  <c r="W912" i="1"/>
  <c r="T912" i="1"/>
  <c r="Z912" i="1" s="1"/>
  <c r="S912" i="1"/>
  <c r="P912" i="1"/>
  <c r="V912" i="1" s="1"/>
  <c r="N912" i="1"/>
  <c r="J912" i="1"/>
  <c r="M912" i="1" s="1"/>
  <c r="O912" i="1" s="1"/>
  <c r="Y911" i="1"/>
  <c r="V911" i="1"/>
  <c r="S911" i="1"/>
  <c r="P910" i="1" s="1"/>
  <c r="M911" i="1"/>
  <c r="Z910" i="1"/>
  <c r="W910" i="1"/>
  <c r="T910" i="1"/>
  <c r="N910" i="1"/>
  <c r="L910" i="1"/>
  <c r="J910" i="1"/>
  <c r="M910" i="1" s="1"/>
  <c r="V909" i="1"/>
  <c r="S909" i="1"/>
  <c r="Y909" i="1" s="1"/>
  <c r="M909" i="1"/>
  <c r="W908" i="1"/>
  <c r="T908" i="1"/>
  <c r="Z908" i="1" s="1"/>
  <c r="S908" i="1"/>
  <c r="P908" i="1"/>
  <c r="V908" i="1" s="1"/>
  <c r="N908" i="1"/>
  <c r="J908" i="1"/>
  <c r="M908" i="1" s="1"/>
  <c r="O908" i="1" s="1"/>
  <c r="Y907" i="1"/>
  <c r="V907" i="1"/>
  <c r="S907" i="1"/>
  <c r="P906" i="1" s="1"/>
  <c r="M907" i="1"/>
  <c r="Z906" i="1"/>
  <c r="W906" i="1"/>
  <c r="T906" i="1"/>
  <c r="N906" i="1"/>
  <c r="L906" i="1"/>
  <c r="J906" i="1"/>
  <c r="M906" i="1" s="1"/>
  <c r="V905" i="1"/>
  <c r="S905" i="1"/>
  <c r="Y905" i="1" s="1"/>
  <c r="M905" i="1"/>
  <c r="W904" i="1"/>
  <c r="T904" i="1"/>
  <c r="Z904" i="1" s="1"/>
  <c r="S904" i="1"/>
  <c r="P904" i="1"/>
  <c r="V904" i="1" s="1"/>
  <c r="N904" i="1"/>
  <c r="J904" i="1"/>
  <c r="M904" i="1" s="1"/>
  <c r="O904" i="1" s="1"/>
  <c r="Y903" i="1"/>
  <c r="V903" i="1"/>
  <c r="S903" i="1"/>
  <c r="P902" i="1" s="1"/>
  <c r="M903" i="1"/>
  <c r="Z902" i="1"/>
  <c r="W902" i="1"/>
  <c r="T902" i="1"/>
  <c r="N902" i="1"/>
  <c r="L902" i="1"/>
  <c r="J902" i="1"/>
  <c r="M902" i="1" s="1"/>
  <c r="V901" i="1"/>
  <c r="S901" i="1"/>
  <c r="Y901" i="1" s="1"/>
  <c r="M901" i="1"/>
  <c r="W900" i="1"/>
  <c r="T900" i="1"/>
  <c r="Z900" i="1" s="1"/>
  <c r="S900" i="1"/>
  <c r="P900" i="1"/>
  <c r="V900" i="1" s="1"/>
  <c r="N900" i="1"/>
  <c r="J900" i="1"/>
  <c r="M900" i="1" s="1"/>
  <c r="O900" i="1" s="1"/>
  <c r="Y899" i="1"/>
  <c r="V899" i="1"/>
  <c r="S899" i="1"/>
  <c r="P898" i="1" s="1"/>
  <c r="M899" i="1"/>
  <c r="Z898" i="1"/>
  <c r="W898" i="1"/>
  <c r="T898" i="1"/>
  <c r="N898" i="1"/>
  <c r="L898" i="1"/>
  <c r="J898" i="1"/>
  <c r="M898" i="1" s="1"/>
  <c r="V897" i="1"/>
  <c r="S897" i="1"/>
  <c r="Y897" i="1" s="1"/>
  <c r="M897" i="1"/>
  <c r="W896" i="1"/>
  <c r="T896" i="1"/>
  <c r="Z896" i="1" s="1"/>
  <c r="S896" i="1"/>
  <c r="P896" i="1"/>
  <c r="V896" i="1" s="1"/>
  <c r="N896" i="1"/>
  <c r="J896" i="1"/>
  <c r="M896" i="1" s="1"/>
  <c r="O896" i="1" s="1"/>
  <c r="Y895" i="1"/>
  <c r="V895" i="1"/>
  <c r="S895" i="1"/>
  <c r="P894" i="1" s="1"/>
  <c r="M895" i="1"/>
  <c r="Z894" i="1"/>
  <c r="W894" i="1"/>
  <c r="T894" i="1"/>
  <c r="N894" i="1"/>
  <c r="L894" i="1"/>
  <c r="J894" i="1"/>
  <c r="M894" i="1" s="1"/>
  <c r="V893" i="1"/>
  <c r="S893" i="1"/>
  <c r="Y893" i="1" s="1"/>
  <c r="M893" i="1"/>
  <c r="W892" i="1"/>
  <c r="T892" i="1"/>
  <c r="Z892" i="1" s="1"/>
  <c r="S892" i="1"/>
  <c r="P892" i="1"/>
  <c r="V892" i="1" s="1"/>
  <c r="N892" i="1"/>
  <c r="J892" i="1"/>
  <c r="M892" i="1" s="1"/>
  <c r="O892" i="1" s="1"/>
  <c r="Y891" i="1"/>
  <c r="V891" i="1"/>
  <c r="S891" i="1"/>
  <c r="P890" i="1" s="1"/>
  <c r="M891" i="1"/>
  <c r="W890" i="1"/>
  <c r="T890" i="1"/>
  <c r="Z890" i="1" s="1"/>
  <c r="N890" i="1"/>
  <c r="L890" i="1"/>
  <c r="J890" i="1"/>
  <c r="M890" i="1" s="1"/>
  <c r="O890" i="1" s="1"/>
  <c r="V889" i="1"/>
  <c r="S889" i="1"/>
  <c r="Y889" i="1" s="1"/>
  <c r="M889" i="1"/>
  <c r="W888" i="1"/>
  <c r="T888" i="1"/>
  <c r="Z888" i="1" s="1"/>
  <c r="S888" i="1"/>
  <c r="P888" i="1"/>
  <c r="V888" i="1" s="1"/>
  <c r="N888" i="1"/>
  <c r="J888" i="1"/>
  <c r="M888" i="1" s="1"/>
  <c r="O888" i="1" s="1"/>
  <c r="Y887" i="1"/>
  <c r="V887" i="1"/>
  <c r="S887" i="1"/>
  <c r="P886" i="1" s="1"/>
  <c r="M887" i="1"/>
  <c r="W886" i="1"/>
  <c r="T886" i="1"/>
  <c r="Z886" i="1" s="1"/>
  <c r="N886" i="1"/>
  <c r="L886" i="1"/>
  <c r="J886" i="1"/>
  <c r="M886" i="1" s="1"/>
  <c r="O886" i="1" s="1"/>
  <c r="V885" i="1"/>
  <c r="S885" i="1"/>
  <c r="Y885" i="1" s="1"/>
  <c r="M885" i="1"/>
  <c r="W884" i="1"/>
  <c r="T884" i="1"/>
  <c r="Z884" i="1" s="1"/>
  <c r="S884" i="1"/>
  <c r="P884" i="1"/>
  <c r="V884" i="1" s="1"/>
  <c r="N884" i="1"/>
  <c r="J884" i="1"/>
  <c r="M884" i="1" s="1"/>
  <c r="O884" i="1" s="1"/>
  <c r="Y883" i="1"/>
  <c r="V883" i="1"/>
  <c r="S883" i="1"/>
  <c r="P882" i="1" s="1"/>
  <c r="M883" i="1"/>
  <c r="W882" i="1"/>
  <c r="T882" i="1"/>
  <c r="Z882" i="1" s="1"/>
  <c r="N882" i="1"/>
  <c r="L882" i="1"/>
  <c r="J882" i="1"/>
  <c r="M882" i="1" s="1"/>
  <c r="V881" i="1"/>
  <c r="S881" i="1"/>
  <c r="Y881" i="1" s="1"/>
  <c r="M881" i="1"/>
  <c r="W880" i="1"/>
  <c r="T880" i="1"/>
  <c r="Z880" i="1" s="1"/>
  <c r="S880" i="1"/>
  <c r="P880" i="1"/>
  <c r="V880" i="1" s="1"/>
  <c r="N880" i="1"/>
  <c r="J880" i="1"/>
  <c r="M880" i="1" s="1"/>
  <c r="O880" i="1" s="1"/>
  <c r="Y879" i="1"/>
  <c r="V879" i="1"/>
  <c r="S879" i="1"/>
  <c r="P878" i="1" s="1"/>
  <c r="M879" i="1"/>
  <c r="W878" i="1"/>
  <c r="T878" i="1"/>
  <c r="Z878" i="1" s="1"/>
  <c r="N878" i="1"/>
  <c r="L878" i="1"/>
  <c r="J878" i="1"/>
  <c r="M878" i="1" s="1"/>
  <c r="V877" i="1"/>
  <c r="S877" i="1"/>
  <c r="Y877" i="1" s="1"/>
  <c r="M877" i="1"/>
  <c r="W876" i="1"/>
  <c r="T876" i="1"/>
  <c r="Z876" i="1" s="1"/>
  <c r="S876" i="1"/>
  <c r="P876" i="1"/>
  <c r="V876" i="1" s="1"/>
  <c r="N876" i="1"/>
  <c r="J876" i="1"/>
  <c r="M876" i="1" s="1"/>
  <c r="O876" i="1" s="1"/>
  <c r="Y875" i="1"/>
  <c r="V875" i="1"/>
  <c r="S875" i="1"/>
  <c r="P874" i="1" s="1"/>
  <c r="M875" i="1"/>
  <c r="W874" i="1"/>
  <c r="T874" i="1"/>
  <c r="Z874" i="1" s="1"/>
  <c r="N874" i="1"/>
  <c r="L874" i="1"/>
  <c r="J874" i="1"/>
  <c r="M874" i="1" s="1"/>
  <c r="V873" i="1"/>
  <c r="S873" i="1"/>
  <c r="Y873" i="1" s="1"/>
  <c r="M873" i="1"/>
  <c r="W872" i="1"/>
  <c r="T872" i="1"/>
  <c r="Z872" i="1" s="1"/>
  <c r="S872" i="1"/>
  <c r="P872" i="1"/>
  <c r="V872" i="1" s="1"/>
  <c r="N872" i="1"/>
  <c r="J872" i="1"/>
  <c r="M872" i="1" s="1"/>
  <c r="O872" i="1" s="1"/>
  <c r="Y871" i="1"/>
  <c r="V871" i="1"/>
  <c r="S871" i="1"/>
  <c r="P870" i="1" s="1"/>
  <c r="M871" i="1"/>
  <c r="W870" i="1"/>
  <c r="T870" i="1"/>
  <c r="Z870" i="1" s="1"/>
  <c r="N870" i="1"/>
  <c r="L870" i="1"/>
  <c r="J870" i="1"/>
  <c r="M870" i="1" s="1"/>
  <c r="O870" i="1" s="1"/>
  <c r="V869" i="1"/>
  <c r="S869" i="1"/>
  <c r="Y869" i="1" s="1"/>
  <c r="M869" i="1"/>
  <c r="W868" i="1"/>
  <c r="T868" i="1"/>
  <c r="Z868" i="1" s="1"/>
  <c r="S868" i="1"/>
  <c r="P868" i="1"/>
  <c r="V868" i="1" s="1"/>
  <c r="N868" i="1"/>
  <c r="J868" i="1"/>
  <c r="M868" i="1" s="1"/>
  <c r="O868" i="1" s="1"/>
  <c r="Y867" i="1"/>
  <c r="V867" i="1"/>
  <c r="S867" i="1"/>
  <c r="P866" i="1" s="1"/>
  <c r="M867" i="1"/>
  <c r="W866" i="1"/>
  <c r="T866" i="1"/>
  <c r="Z866" i="1" s="1"/>
  <c r="N866" i="1"/>
  <c r="L866" i="1"/>
  <c r="J866" i="1"/>
  <c r="M866" i="1" s="1"/>
  <c r="V865" i="1"/>
  <c r="S865" i="1"/>
  <c r="Y865" i="1" s="1"/>
  <c r="M865" i="1"/>
  <c r="W864" i="1"/>
  <c r="T864" i="1"/>
  <c r="Z864" i="1" s="1"/>
  <c r="S864" i="1"/>
  <c r="P864" i="1"/>
  <c r="V864" i="1" s="1"/>
  <c r="N864" i="1"/>
  <c r="J864" i="1"/>
  <c r="M864" i="1" s="1"/>
  <c r="O864" i="1" s="1"/>
  <c r="Y863" i="1"/>
  <c r="V863" i="1"/>
  <c r="S863" i="1"/>
  <c r="P862" i="1" s="1"/>
  <c r="M863" i="1"/>
  <c r="W862" i="1"/>
  <c r="T862" i="1"/>
  <c r="Z862" i="1" s="1"/>
  <c r="N862" i="1"/>
  <c r="N861" i="1" s="1"/>
  <c r="L862" i="1"/>
  <c r="J862" i="1"/>
  <c r="M862" i="1" s="1"/>
  <c r="T861" i="1"/>
  <c r="X860" i="1"/>
  <c r="W860" i="1"/>
  <c r="T860" i="1"/>
  <c r="Z860" i="1" s="1"/>
  <c r="AA860" i="1" s="1"/>
  <c r="R860" i="1"/>
  <c r="O860" i="1"/>
  <c r="N860" i="1"/>
  <c r="L860" i="1"/>
  <c r="Y859" i="1"/>
  <c r="V859" i="1"/>
  <c r="S859" i="1"/>
  <c r="M859" i="1"/>
  <c r="Y858" i="1"/>
  <c r="V858" i="1"/>
  <c r="S858" i="1"/>
  <c r="M858" i="1"/>
  <c r="Y857" i="1"/>
  <c r="V857" i="1"/>
  <c r="S857" i="1"/>
  <c r="M857" i="1"/>
  <c r="V856" i="1"/>
  <c r="S856" i="1"/>
  <c r="Y856" i="1" s="1"/>
  <c r="M856" i="1"/>
  <c r="Y855" i="1"/>
  <c r="V855" i="1"/>
  <c r="S855" i="1"/>
  <c r="M855" i="1"/>
  <c r="V854" i="1"/>
  <c r="S854" i="1"/>
  <c r="Y854" i="1" s="1"/>
  <c r="M854" i="1"/>
  <c r="Y853" i="1"/>
  <c r="V853" i="1"/>
  <c r="S853" i="1"/>
  <c r="M853" i="1"/>
  <c r="V852" i="1"/>
  <c r="S852" i="1"/>
  <c r="Y852" i="1" s="1"/>
  <c r="M852" i="1"/>
  <c r="Y851" i="1"/>
  <c r="V851" i="1"/>
  <c r="S851" i="1"/>
  <c r="M851" i="1"/>
  <c r="V850" i="1"/>
  <c r="S850" i="1"/>
  <c r="Y850" i="1" s="1"/>
  <c r="M850" i="1"/>
  <c r="V849" i="1"/>
  <c r="S849" i="1"/>
  <c r="Y849" i="1" s="1"/>
  <c r="M849" i="1"/>
  <c r="W848" i="1"/>
  <c r="V848" i="1"/>
  <c r="T848" i="1"/>
  <c r="Z848" i="1" s="1"/>
  <c r="P848" i="1"/>
  <c r="S848" i="1" s="1"/>
  <c r="N848" i="1"/>
  <c r="M848" i="1"/>
  <c r="O848" i="1" s="1"/>
  <c r="J848" i="1"/>
  <c r="L848" i="1" s="1"/>
  <c r="V847" i="1"/>
  <c r="S847" i="1"/>
  <c r="Y847" i="1" s="1"/>
  <c r="M847" i="1"/>
  <c r="Y846" i="1"/>
  <c r="V846" i="1"/>
  <c r="S846" i="1"/>
  <c r="M846" i="1"/>
  <c r="V845" i="1"/>
  <c r="S845" i="1"/>
  <c r="Y845" i="1" s="1"/>
  <c r="M845" i="1"/>
  <c r="V844" i="1"/>
  <c r="S844" i="1"/>
  <c r="Y844" i="1" s="1"/>
  <c r="M844" i="1"/>
  <c r="V843" i="1"/>
  <c r="S843" i="1"/>
  <c r="Y843" i="1" s="1"/>
  <c r="M843" i="1"/>
  <c r="V842" i="1"/>
  <c r="S842" i="1"/>
  <c r="Y842" i="1" s="1"/>
  <c r="M842" i="1"/>
  <c r="V841" i="1"/>
  <c r="S841" i="1"/>
  <c r="Y841" i="1" s="1"/>
  <c r="M841" i="1"/>
  <c r="V840" i="1"/>
  <c r="S840" i="1"/>
  <c r="Y840" i="1" s="1"/>
  <c r="M840" i="1"/>
  <c r="V839" i="1"/>
  <c r="S839" i="1"/>
  <c r="Y839" i="1" s="1"/>
  <c r="M839" i="1"/>
  <c r="V838" i="1"/>
  <c r="S838" i="1"/>
  <c r="Y838" i="1" s="1"/>
  <c r="M838" i="1"/>
  <c r="J836" i="1" s="1"/>
  <c r="V837" i="1"/>
  <c r="S837" i="1"/>
  <c r="Y837" i="1" s="1"/>
  <c r="M837" i="1"/>
  <c r="Z836" i="1"/>
  <c r="W836" i="1"/>
  <c r="T836" i="1"/>
  <c r="N836" i="1"/>
  <c r="V835" i="1"/>
  <c r="S835" i="1"/>
  <c r="Y835" i="1" s="1"/>
  <c r="M835" i="1"/>
  <c r="V834" i="1"/>
  <c r="S834" i="1"/>
  <c r="Y834" i="1" s="1"/>
  <c r="M834" i="1"/>
  <c r="V833" i="1"/>
  <c r="S833" i="1"/>
  <c r="Y833" i="1" s="1"/>
  <c r="M833" i="1"/>
  <c r="V832" i="1"/>
  <c r="S832" i="1"/>
  <c r="Y832" i="1" s="1"/>
  <c r="M832" i="1"/>
  <c r="V831" i="1"/>
  <c r="S831" i="1"/>
  <c r="Y831" i="1" s="1"/>
  <c r="M831" i="1"/>
  <c r="V830" i="1"/>
  <c r="S830" i="1"/>
  <c r="Y830" i="1" s="1"/>
  <c r="M830" i="1"/>
  <c r="V829" i="1"/>
  <c r="S829" i="1"/>
  <c r="Y829" i="1" s="1"/>
  <c r="M829" i="1"/>
  <c r="V828" i="1"/>
  <c r="S828" i="1"/>
  <c r="Y828" i="1" s="1"/>
  <c r="M828" i="1"/>
  <c r="V827" i="1"/>
  <c r="S827" i="1"/>
  <c r="Y827" i="1" s="1"/>
  <c r="M827" i="1"/>
  <c r="V826" i="1"/>
  <c r="S826" i="1"/>
  <c r="Y826" i="1" s="1"/>
  <c r="M826" i="1"/>
  <c r="V825" i="1"/>
  <c r="S825" i="1"/>
  <c r="Y825" i="1" s="1"/>
  <c r="M825" i="1"/>
  <c r="V824" i="1"/>
  <c r="S824" i="1"/>
  <c r="Y824" i="1" s="1"/>
  <c r="M824" i="1"/>
  <c r="Z823" i="1"/>
  <c r="X823" i="1"/>
  <c r="W823" i="1"/>
  <c r="T823" i="1"/>
  <c r="R823" i="1"/>
  <c r="P823" i="1"/>
  <c r="N823" i="1"/>
  <c r="V822" i="1"/>
  <c r="S822" i="1"/>
  <c r="Y822" i="1" s="1"/>
  <c r="M822" i="1"/>
  <c r="V821" i="1"/>
  <c r="S821" i="1"/>
  <c r="Y821" i="1" s="1"/>
  <c r="M821" i="1"/>
  <c r="V820" i="1"/>
  <c r="S820" i="1"/>
  <c r="Y820" i="1" s="1"/>
  <c r="M820" i="1"/>
  <c r="V819" i="1"/>
  <c r="S819" i="1"/>
  <c r="Y819" i="1" s="1"/>
  <c r="M819" i="1"/>
  <c r="V818" i="1"/>
  <c r="S818" i="1"/>
  <c r="Y818" i="1" s="1"/>
  <c r="M818" i="1"/>
  <c r="V817" i="1"/>
  <c r="S817" i="1"/>
  <c r="Y817" i="1" s="1"/>
  <c r="M817" i="1"/>
  <c r="V816" i="1"/>
  <c r="S816" i="1"/>
  <c r="Y816" i="1" s="1"/>
  <c r="M816" i="1"/>
  <c r="V815" i="1"/>
  <c r="S815" i="1"/>
  <c r="Y815" i="1" s="1"/>
  <c r="M815" i="1"/>
  <c r="V814" i="1"/>
  <c r="S814" i="1"/>
  <c r="Y814" i="1" s="1"/>
  <c r="M814" i="1"/>
  <c r="V813" i="1"/>
  <c r="S813" i="1"/>
  <c r="Y813" i="1" s="1"/>
  <c r="M813" i="1"/>
  <c r="V812" i="1"/>
  <c r="S812" i="1"/>
  <c r="Y812" i="1" s="1"/>
  <c r="M812" i="1"/>
  <c r="V811" i="1"/>
  <c r="S811" i="1"/>
  <c r="Y811" i="1" s="1"/>
  <c r="M811" i="1"/>
  <c r="V810" i="1"/>
  <c r="S810" i="1"/>
  <c r="Y810" i="1" s="1"/>
  <c r="M810" i="1"/>
  <c r="J809" i="1" s="1"/>
  <c r="W809" i="1"/>
  <c r="T809" i="1"/>
  <c r="Z809" i="1" s="1"/>
  <c r="N809" i="1"/>
  <c r="V808" i="1"/>
  <c r="S808" i="1"/>
  <c r="M808" i="1"/>
  <c r="W807" i="1"/>
  <c r="T807" i="1"/>
  <c r="Z807" i="1" s="1"/>
  <c r="N807" i="1"/>
  <c r="M807" i="1"/>
  <c r="O807" i="1" s="1"/>
  <c r="J807" i="1"/>
  <c r="L807" i="1" s="1"/>
  <c r="V806" i="1"/>
  <c r="S806" i="1"/>
  <c r="Y806" i="1" s="1"/>
  <c r="M806" i="1"/>
  <c r="W805" i="1"/>
  <c r="T805" i="1"/>
  <c r="Z805" i="1" s="1"/>
  <c r="N805" i="1"/>
  <c r="J805" i="1"/>
  <c r="V804" i="1"/>
  <c r="S804" i="1"/>
  <c r="Y804" i="1" s="1"/>
  <c r="M804" i="1"/>
  <c r="Z803" i="1"/>
  <c r="W803" i="1"/>
  <c r="V803" i="1"/>
  <c r="T803" i="1"/>
  <c r="P803" i="1"/>
  <c r="S803" i="1" s="1"/>
  <c r="Y803" i="1" s="1"/>
  <c r="AA803" i="1" s="1"/>
  <c r="O803" i="1"/>
  <c r="N803" i="1"/>
  <c r="M803" i="1"/>
  <c r="L803" i="1"/>
  <c r="J803" i="1"/>
  <c r="V802" i="1"/>
  <c r="S802" i="1"/>
  <c r="Y802" i="1" s="1"/>
  <c r="M802" i="1"/>
  <c r="J801" i="1" s="1"/>
  <c r="L801" i="1" s="1"/>
  <c r="Z801" i="1"/>
  <c r="W801" i="1"/>
  <c r="T801" i="1"/>
  <c r="R801" i="1"/>
  <c r="X801" i="1" s="1"/>
  <c r="P801" i="1"/>
  <c r="S801" i="1" s="1"/>
  <c r="Y801" i="1" s="1"/>
  <c r="AA801" i="1" s="1"/>
  <c r="N801" i="1"/>
  <c r="M801" i="1"/>
  <c r="O801" i="1" s="1"/>
  <c r="V800" i="1"/>
  <c r="S800" i="1"/>
  <c r="Y800" i="1" s="1"/>
  <c r="M800" i="1"/>
  <c r="W799" i="1"/>
  <c r="T799" i="1"/>
  <c r="Z799" i="1" s="1"/>
  <c r="P799" i="1"/>
  <c r="N799" i="1"/>
  <c r="L799" i="1"/>
  <c r="J799" i="1"/>
  <c r="M799" i="1" s="1"/>
  <c r="O799" i="1" s="1"/>
  <c r="V798" i="1"/>
  <c r="S798" i="1"/>
  <c r="M798" i="1"/>
  <c r="W797" i="1"/>
  <c r="T797" i="1"/>
  <c r="Z797" i="1" s="1"/>
  <c r="O797" i="1"/>
  <c r="N797" i="1"/>
  <c r="M797" i="1"/>
  <c r="L797" i="1"/>
  <c r="J797" i="1"/>
  <c r="V796" i="1"/>
  <c r="S796" i="1"/>
  <c r="Y796" i="1" s="1"/>
  <c r="M796" i="1"/>
  <c r="W795" i="1"/>
  <c r="T795" i="1"/>
  <c r="Z795" i="1" s="1"/>
  <c r="P795" i="1"/>
  <c r="N795" i="1"/>
  <c r="L795" i="1"/>
  <c r="J795" i="1"/>
  <c r="M795" i="1" s="1"/>
  <c r="O795" i="1" s="1"/>
  <c r="V794" i="1"/>
  <c r="S794" i="1"/>
  <c r="M794" i="1"/>
  <c r="W793" i="1"/>
  <c r="T793" i="1"/>
  <c r="Z793" i="1" s="1"/>
  <c r="O793" i="1"/>
  <c r="N793" i="1"/>
  <c r="M793" i="1"/>
  <c r="L793" i="1"/>
  <c r="J793" i="1"/>
  <c r="V792" i="1"/>
  <c r="S792" i="1"/>
  <c r="Y792" i="1" s="1"/>
  <c r="M792" i="1"/>
  <c r="W791" i="1"/>
  <c r="T791" i="1"/>
  <c r="Z791" i="1" s="1"/>
  <c r="P791" i="1"/>
  <c r="N791" i="1"/>
  <c r="L791" i="1"/>
  <c r="J791" i="1"/>
  <c r="M791" i="1" s="1"/>
  <c r="O791" i="1" s="1"/>
  <c r="V790" i="1"/>
  <c r="S790" i="1"/>
  <c r="M790" i="1"/>
  <c r="W789" i="1"/>
  <c r="T789" i="1"/>
  <c r="Z789" i="1" s="1"/>
  <c r="O789" i="1"/>
  <c r="N789" i="1"/>
  <c r="M789" i="1"/>
  <c r="L789" i="1"/>
  <c r="J789" i="1"/>
  <c r="N788" i="1"/>
  <c r="V787" i="1"/>
  <c r="S787" i="1"/>
  <c r="Y787" i="1" s="1"/>
  <c r="M787" i="1"/>
  <c r="Y786" i="1"/>
  <c r="V786" i="1"/>
  <c r="S786" i="1"/>
  <c r="M786" i="1"/>
  <c r="Z785" i="1"/>
  <c r="W785" i="1"/>
  <c r="V785" i="1"/>
  <c r="T785" i="1"/>
  <c r="P785" i="1"/>
  <c r="S785" i="1" s="1"/>
  <c r="N785" i="1"/>
  <c r="M785" i="1"/>
  <c r="O785" i="1" s="1"/>
  <c r="J785" i="1"/>
  <c r="L785" i="1" s="1"/>
  <c r="V784" i="1"/>
  <c r="S784" i="1"/>
  <c r="Y784" i="1" s="1"/>
  <c r="M784" i="1"/>
  <c r="Y783" i="1"/>
  <c r="V783" i="1"/>
  <c r="S783" i="1"/>
  <c r="M783" i="1"/>
  <c r="Z782" i="1"/>
  <c r="W782" i="1"/>
  <c r="V782" i="1"/>
  <c r="T782" i="1"/>
  <c r="P782" i="1"/>
  <c r="S782" i="1" s="1"/>
  <c r="N782" i="1"/>
  <c r="M782" i="1"/>
  <c r="O782" i="1" s="1"/>
  <c r="J782" i="1"/>
  <c r="L782" i="1" s="1"/>
  <c r="V781" i="1"/>
  <c r="S781" i="1"/>
  <c r="Y781" i="1" s="1"/>
  <c r="M781" i="1"/>
  <c r="Y780" i="1"/>
  <c r="V780" i="1"/>
  <c r="S780" i="1"/>
  <c r="M780" i="1"/>
  <c r="Z779" i="1"/>
  <c r="W779" i="1"/>
  <c r="V779" i="1"/>
  <c r="T779" i="1"/>
  <c r="P779" i="1"/>
  <c r="S779" i="1" s="1"/>
  <c r="N779" i="1"/>
  <c r="M779" i="1"/>
  <c r="O779" i="1" s="1"/>
  <c r="J779" i="1"/>
  <c r="L779" i="1" s="1"/>
  <c r="V778" i="1"/>
  <c r="S778" i="1"/>
  <c r="Y778" i="1" s="1"/>
  <c r="M778" i="1"/>
  <c r="Y777" i="1"/>
  <c r="V777" i="1"/>
  <c r="S777" i="1"/>
  <c r="M777" i="1"/>
  <c r="Z776" i="1"/>
  <c r="W776" i="1"/>
  <c r="V776" i="1"/>
  <c r="T776" i="1"/>
  <c r="P776" i="1"/>
  <c r="S776" i="1" s="1"/>
  <c r="N776" i="1"/>
  <c r="M776" i="1"/>
  <c r="O776" i="1" s="1"/>
  <c r="J776" i="1"/>
  <c r="L776" i="1" s="1"/>
  <c r="V775" i="1"/>
  <c r="S775" i="1"/>
  <c r="Y775" i="1" s="1"/>
  <c r="M775" i="1"/>
  <c r="Y774" i="1"/>
  <c r="V774" i="1"/>
  <c r="S774" i="1"/>
  <c r="M774" i="1"/>
  <c r="Z773" i="1"/>
  <c r="W773" i="1"/>
  <c r="V773" i="1"/>
  <c r="T773" i="1"/>
  <c r="P773" i="1"/>
  <c r="S773" i="1" s="1"/>
  <c r="N773" i="1"/>
  <c r="M773" i="1"/>
  <c r="O773" i="1" s="1"/>
  <c r="J773" i="1"/>
  <c r="L773" i="1" s="1"/>
  <c r="V772" i="1"/>
  <c r="S772" i="1"/>
  <c r="Y772" i="1" s="1"/>
  <c r="M772" i="1"/>
  <c r="Y771" i="1"/>
  <c r="V771" i="1"/>
  <c r="S771" i="1"/>
  <c r="M771" i="1"/>
  <c r="Z770" i="1"/>
  <c r="W770" i="1"/>
  <c r="V770" i="1"/>
  <c r="T770" i="1"/>
  <c r="P770" i="1"/>
  <c r="S770" i="1" s="1"/>
  <c r="N770" i="1"/>
  <c r="M770" i="1"/>
  <c r="O770" i="1" s="1"/>
  <c r="J770" i="1"/>
  <c r="L770" i="1" s="1"/>
  <c r="V769" i="1"/>
  <c r="S769" i="1"/>
  <c r="Y769" i="1" s="1"/>
  <c r="M769" i="1"/>
  <c r="Y768" i="1"/>
  <c r="V768" i="1"/>
  <c r="S768" i="1"/>
  <c r="M768" i="1"/>
  <c r="Z767" i="1"/>
  <c r="W767" i="1"/>
  <c r="V767" i="1"/>
  <c r="T767" i="1"/>
  <c r="P767" i="1"/>
  <c r="S767" i="1" s="1"/>
  <c r="N767" i="1"/>
  <c r="M767" i="1"/>
  <c r="O767" i="1" s="1"/>
  <c r="J767" i="1"/>
  <c r="L767" i="1" s="1"/>
  <c r="V766" i="1"/>
  <c r="S766" i="1"/>
  <c r="Y766" i="1" s="1"/>
  <c r="M766" i="1"/>
  <c r="Y765" i="1"/>
  <c r="V765" i="1"/>
  <c r="S765" i="1"/>
  <c r="M765" i="1"/>
  <c r="Z764" i="1"/>
  <c r="W764" i="1"/>
  <c r="V764" i="1"/>
  <c r="T764" i="1"/>
  <c r="P764" i="1"/>
  <c r="S764" i="1" s="1"/>
  <c r="N764" i="1"/>
  <c r="M764" i="1"/>
  <c r="O764" i="1" s="1"/>
  <c r="J764" i="1"/>
  <c r="L764" i="1" s="1"/>
  <c r="V763" i="1"/>
  <c r="S763" i="1"/>
  <c r="Y763" i="1" s="1"/>
  <c r="M763" i="1"/>
  <c r="Y762" i="1"/>
  <c r="V762" i="1"/>
  <c r="S762" i="1"/>
  <c r="M762" i="1"/>
  <c r="Z761" i="1"/>
  <c r="W761" i="1"/>
  <c r="V761" i="1"/>
  <c r="T761" i="1"/>
  <c r="P761" i="1"/>
  <c r="S761" i="1" s="1"/>
  <c r="N761" i="1"/>
  <c r="M761" i="1"/>
  <c r="O761" i="1" s="1"/>
  <c r="J761" i="1"/>
  <c r="L761" i="1" s="1"/>
  <c r="V760" i="1"/>
  <c r="S760" i="1"/>
  <c r="Y760" i="1" s="1"/>
  <c r="M760" i="1"/>
  <c r="Y759" i="1"/>
  <c r="V759" i="1"/>
  <c r="S759" i="1"/>
  <c r="M759" i="1"/>
  <c r="Z758" i="1"/>
  <c r="W758" i="1"/>
  <c r="V758" i="1"/>
  <c r="T758" i="1"/>
  <c r="P758" i="1"/>
  <c r="S758" i="1" s="1"/>
  <c r="N758" i="1"/>
  <c r="M758" i="1"/>
  <c r="O758" i="1" s="1"/>
  <c r="J758" i="1"/>
  <c r="L758" i="1" s="1"/>
  <c r="V757" i="1"/>
  <c r="S757" i="1"/>
  <c r="Y757" i="1" s="1"/>
  <c r="M757" i="1"/>
  <c r="Y756" i="1"/>
  <c r="V756" i="1"/>
  <c r="S756" i="1"/>
  <c r="M756" i="1"/>
  <c r="Z755" i="1"/>
  <c r="W755" i="1"/>
  <c r="V755" i="1"/>
  <c r="T755" i="1"/>
  <c r="P755" i="1"/>
  <c r="S755" i="1" s="1"/>
  <c r="N755" i="1"/>
  <c r="M755" i="1"/>
  <c r="O755" i="1" s="1"/>
  <c r="J755" i="1"/>
  <c r="L755" i="1" s="1"/>
  <c r="V754" i="1"/>
  <c r="S754" i="1"/>
  <c r="Y754" i="1" s="1"/>
  <c r="M754" i="1"/>
  <c r="Y753" i="1"/>
  <c r="V753" i="1"/>
  <c r="S753" i="1"/>
  <c r="M753" i="1"/>
  <c r="Z752" i="1"/>
  <c r="W752" i="1"/>
  <c r="V752" i="1"/>
  <c r="T752" i="1"/>
  <c r="P752" i="1"/>
  <c r="S752" i="1" s="1"/>
  <c r="N752" i="1"/>
  <c r="M752" i="1"/>
  <c r="O752" i="1" s="1"/>
  <c r="J752" i="1"/>
  <c r="L752" i="1" s="1"/>
  <c r="V751" i="1"/>
  <c r="S751" i="1"/>
  <c r="Y751" i="1" s="1"/>
  <c r="M751" i="1"/>
  <c r="Y750" i="1"/>
  <c r="V750" i="1"/>
  <c r="S750" i="1"/>
  <c r="M750" i="1"/>
  <c r="Z749" i="1"/>
  <c r="W749" i="1"/>
  <c r="V749" i="1"/>
  <c r="T749" i="1"/>
  <c r="P749" i="1"/>
  <c r="S749" i="1" s="1"/>
  <c r="N749" i="1"/>
  <c r="M749" i="1"/>
  <c r="O749" i="1" s="1"/>
  <c r="J749" i="1"/>
  <c r="L749" i="1" s="1"/>
  <c r="V748" i="1"/>
  <c r="S748" i="1"/>
  <c r="Y748" i="1" s="1"/>
  <c r="M748" i="1"/>
  <c r="Y747" i="1"/>
  <c r="V747" i="1"/>
  <c r="S747" i="1"/>
  <c r="M747" i="1"/>
  <c r="Z746" i="1"/>
  <c r="W746" i="1"/>
  <c r="V746" i="1"/>
  <c r="T746" i="1"/>
  <c r="P746" i="1"/>
  <c r="S746" i="1" s="1"/>
  <c r="N746" i="1"/>
  <c r="M746" i="1"/>
  <c r="O746" i="1" s="1"/>
  <c r="J746" i="1"/>
  <c r="L746" i="1" s="1"/>
  <c r="V745" i="1"/>
  <c r="S745" i="1"/>
  <c r="Y745" i="1" s="1"/>
  <c r="M745" i="1"/>
  <c r="Y744" i="1"/>
  <c r="V744" i="1"/>
  <c r="S744" i="1"/>
  <c r="M744" i="1"/>
  <c r="Z743" i="1"/>
  <c r="W743" i="1"/>
  <c r="V743" i="1"/>
  <c r="T743" i="1"/>
  <c r="P743" i="1"/>
  <c r="S743" i="1" s="1"/>
  <c r="N743" i="1"/>
  <c r="M743" i="1"/>
  <c r="O743" i="1" s="1"/>
  <c r="J743" i="1"/>
  <c r="L743" i="1" s="1"/>
  <c r="V742" i="1"/>
  <c r="S742" i="1"/>
  <c r="Y742" i="1" s="1"/>
  <c r="M742" i="1"/>
  <c r="Y741" i="1"/>
  <c r="V741" i="1"/>
  <c r="S741" i="1"/>
  <c r="M741" i="1"/>
  <c r="Z740" i="1"/>
  <c r="W740" i="1"/>
  <c r="V740" i="1"/>
  <c r="T740" i="1"/>
  <c r="P740" i="1"/>
  <c r="S740" i="1" s="1"/>
  <c r="N740" i="1"/>
  <c r="M740" i="1"/>
  <c r="O740" i="1" s="1"/>
  <c r="J740" i="1"/>
  <c r="L740" i="1" s="1"/>
  <c r="V739" i="1"/>
  <c r="S739" i="1"/>
  <c r="Y739" i="1" s="1"/>
  <c r="M739" i="1"/>
  <c r="Y738" i="1"/>
  <c r="V738" i="1"/>
  <c r="S738" i="1"/>
  <c r="M738" i="1"/>
  <c r="Z737" i="1"/>
  <c r="W737" i="1"/>
  <c r="V737" i="1"/>
  <c r="T737" i="1"/>
  <c r="P737" i="1"/>
  <c r="S737" i="1" s="1"/>
  <c r="N737" i="1"/>
  <c r="M737" i="1"/>
  <c r="O737" i="1" s="1"/>
  <c r="J737" i="1"/>
  <c r="L737" i="1" s="1"/>
  <c r="V736" i="1"/>
  <c r="S736" i="1"/>
  <c r="Y736" i="1" s="1"/>
  <c r="M736" i="1"/>
  <c r="Y735" i="1"/>
  <c r="V735" i="1"/>
  <c r="S735" i="1"/>
  <c r="M735" i="1"/>
  <c r="Z734" i="1"/>
  <c r="W734" i="1"/>
  <c r="V734" i="1"/>
  <c r="T734" i="1"/>
  <c r="P734" i="1"/>
  <c r="S734" i="1" s="1"/>
  <c r="N734" i="1"/>
  <c r="M734" i="1"/>
  <c r="O734" i="1" s="1"/>
  <c r="J734" i="1"/>
  <c r="L734" i="1" s="1"/>
  <c r="V733" i="1"/>
  <c r="S733" i="1"/>
  <c r="Y733" i="1" s="1"/>
  <c r="M733" i="1"/>
  <c r="Y732" i="1"/>
  <c r="V732" i="1"/>
  <c r="S732" i="1"/>
  <c r="M732" i="1"/>
  <c r="Z731" i="1"/>
  <c r="W731" i="1"/>
  <c r="V731" i="1"/>
  <c r="T731" i="1"/>
  <c r="P731" i="1"/>
  <c r="S731" i="1" s="1"/>
  <c r="N731" i="1"/>
  <c r="M731" i="1"/>
  <c r="O731" i="1" s="1"/>
  <c r="J731" i="1"/>
  <c r="L731" i="1" s="1"/>
  <c r="V730" i="1"/>
  <c r="S730" i="1"/>
  <c r="Y730" i="1" s="1"/>
  <c r="M730" i="1"/>
  <c r="Y729" i="1"/>
  <c r="V729" i="1"/>
  <c r="S729" i="1"/>
  <c r="M729" i="1"/>
  <c r="Z728" i="1"/>
  <c r="W728" i="1"/>
  <c r="V728" i="1"/>
  <c r="T728" i="1"/>
  <c r="P728" i="1"/>
  <c r="S728" i="1" s="1"/>
  <c r="N728" i="1"/>
  <c r="M728" i="1"/>
  <c r="O728" i="1" s="1"/>
  <c r="J728" i="1"/>
  <c r="L728" i="1" s="1"/>
  <c r="V727" i="1"/>
  <c r="S727" i="1"/>
  <c r="Y727" i="1" s="1"/>
  <c r="M727" i="1"/>
  <c r="Y726" i="1"/>
  <c r="V726" i="1"/>
  <c r="S726" i="1"/>
  <c r="M726" i="1"/>
  <c r="Z725" i="1"/>
  <c r="W725" i="1"/>
  <c r="V725" i="1"/>
  <c r="T725" i="1"/>
  <c r="P725" i="1"/>
  <c r="S725" i="1" s="1"/>
  <c r="N725" i="1"/>
  <c r="M725" i="1"/>
  <c r="O725" i="1" s="1"/>
  <c r="J725" i="1"/>
  <c r="L725" i="1" s="1"/>
  <c r="V724" i="1"/>
  <c r="S724" i="1"/>
  <c r="Y724" i="1" s="1"/>
  <c r="M724" i="1"/>
  <c r="Y723" i="1"/>
  <c r="V723" i="1"/>
  <c r="S723" i="1"/>
  <c r="M723" i="1"/>
  <c r="Z722" i="1"/>
  <c r="W722" i="1"/>
  <c r="V722" i="1"/>
  <c r="T722" i="1"/>
  <c r="P722" i="1"/>
  <c r="S722" i="1" s="1"/>
  <c r="N722" i="1"/>
  <c r="M722" i="1"/>
  <c r="O722" i="1" s="1"/>
  <c r="J722" i="1"/>
  <c r="L722" i="1" s="1"/>
  <c r="V721" i="1"/>
  <c r="S721" i="1"/>
  <c r="Y721" i="1" s="1"/>
  <c r="M721" i="1"/>
  <c r="Y720" i="1"/>
  <c r="V720" i="1"/>
  <c r="S720" i="1"/>
  <c r="M720" i="1"/>
  <c r="Z719" i="1"/>
  <c r="W719" i="1"/>
  <c r="T719" i="1"/>
  <c r="P719" i="1"/>
  <c r="N719" i="1"/>
  <c r="M719" i="1"/>
  <c r="O719" i="1" s="1"/>
  <c r="J719" i="1"/>
  <c r="L719" i="1" s="1"/>
  <c r="V718" i="1"/>
  <c r="S718" i="1"/>
  <c r="Y718" i="1" s="1"/>
  <c r="M718" i="1"/>
  <c r="Y717" i="1"/>
  <c r="V717" i="1"/>
  <c r="S717" i="1"/>
  <c r="M717" i="1"/>
  <c r="Z716" i="1"/>
  <c r="W716" i="1"/>
  <c r="T716" i="1"/>
  <c r="P716" i="1"/>
  <c r="N716" i="1"/>
  <c r="M716" i="1"/>
  <c r="O716" i="1" s="1"/>
  <c r="J716" i="1"/>
  <c r="L716" i="1" s="1"/>
  <c r="V715" i="1"/>
  <c r="S715" i="1"/>
  <c r="Y715" i="1" s="1"/>
  <c r="M715" i="1"/>
  <c r="Y714" i="1"/>
  <c r="V714" i="1"/>
  <c r="S714" i="1"/>
  <c r="M714" i="1"/>
  <c r="Z713" i="1"/>
  <c r="W713" i="1"/>
  <c r="T713" i="1"/>
  <c r="P713" i="1"/>
  <c r="N713" i="1"/>
  <c r="M713" i="1"/>
  <c r="O713" i="1" s="1"/>
  <c r="J713" i="1"/>
  <c r="L713" i="1" s="1"/>
  <c r="V712" i="1"/>
  <c r="S712" i="1"/>
  <c r="Y712" i="1" s="1"/>
  <c r="M712" i="1"/>
  <c r="Y711" i="1"/>
  <c r="V711" i="1"/>
  <c r="S711" i="1"/>
  <c r="M711" i="1"/>
  <c r="Z710" i="1"/>
  <c r="W710" i="1"/>
  <c r="T710" i="1"/>
  <c r="P710" i="1"/>
  <c r="N710" i="1"/>
  <c r="M710" i="1"/>
  <c r="O710" i="1" s="1"/>
  <c r="J710" i="1"/>
  <c r="L710" i="1" s="1"/>
  <c r="V709" i="1"/>
  <c r="S709" i="1"/>
  <c r="Y709" i="1" s="1"/>
  <c r="M709" i="1"/>
  <c r="Y708" i="1"/>
  <c r="V708" i="1"/>
  <c r="S708" i="1"/>
  <c r="M708" i="1"/>
  <c r="Z707" i="1"/>
  <c r="W707" i="1"/>
  <c r="T707" i="1"/>
  <c r="N707" i="1"/>
  <c r="M707" i="1"/>
  <c r="O707" i="1" s="1"/>
  <c r="J707" i="1"/>
  <c r="L707" i="1" s="1"/>
  <c r="V706" i="1"/>
  <c r="S706" i="1"/>
  <c r="Y706" i="1" s="1"/>
  <c r="M706" i="1"/>
  <c r="Y705" i="1"/>
  <c r="V705" i="1"/>
  <c r="S705" i="1"/>
  <c r="M705" i="1"/>
  <c r="Z704" i="1"/>
  <c r="Y704" i="1"/>
  <c r="AA704" i="1" s="1"/>
  <c r="W704" i="1"/>
  <c r="V704" i="1"/>
  <c r="T704" i="1"/>
  <c r="P704" i="1"/>
  <c r="S704" i="1" s="1"/>
  <c r="U704" i="1" s="1"/>
  <c r="N704" i="1"/>
  <c r="M704" i="1"/>
  <c r="O704" i="1" s="1"/>
  <c r="J704" i="1"/>
  <c r="L704" i="1" s="1"/>
  <c r="V703" i="1"/>
  <c r="S703" i="1"/>
  <c r="Y703" i="1" s="1"/>
  <c r="M703" i="1"/>
  <c r="Y702" i="1"/>
  <c r="V702" i="1"/>
  <c r="S702" i="1"/>
  <c r="M702" i="1"/>
  <c r="Z701" i="1"/>
  <c r="W701" i="1"/>
  <c r="T701" i="1"/>
  <c r="N701" i="1"/>
  <c r="M701" i="1"/>
  <c r="O701" i="1" s="1"/>
  <c r="J701" i="1"/>
  <c r="L701" i="1" s="1"/>
  <c r="V700" i="1"/>
  <c r="S700" i="1"/>
  <c r="M700" i="1"/>
  <c r="Y699" i="1"/>
  <c r="V699" i="1"/>
  <c r="S699" i="1"/>
  <c r="M699" i="1"/>
  <c r="Z698" i="1"/>
  <c r="W698" i="1"/>
  <c r="T698" i="1"/>
  <c r="N698" i="1"/>
  <c r="M698" i="1"/>
  <c r="O698" i="1" s="1"/>
  <c r="J698" i="1"/>
  <c r="L698" i="1" s="1"/>
  <c r="V697" i="1"/>
  <c r="S697" i="1"/>
  <c r="Y697" i="1" s="1"/>
  <c r="M697" i="1"/>
  <c r="Y696" i="1"/>
  <c r="V696" i="1"/>
  <c r="S696" i="1"/>
  <c r="M696" i="1"/>
  <c r="Z695" i="1"/>
  <c r="Y695" i="1"/>
  <c r="AA695" i="1" s="1"/>
  <c r="W695" i="1"/>
  <c r="T695" i="1"/>
  <c r="P695" i="1"/>
  <c r="S695" i="1" s="1"/>
  <c r="U695" i="1" s="1"/>
  <c r="N695" i="1"/>
  <c r="M695" i="1"/>
  <c r="O695" i="1" s="1"/>
  <c r="J695" i="1"/>
  <c r="L695" i="1" s="1"/>
  <c r="V694" i="1"/>
  <c r="S694" i="1"/>
  <c r="Y694" i="1" s="1"/>
  <c r="M694" i="1"/>
  <c r="Y693" i="1"/>
  <c r="V693" i="1"/>
  <c r="S693" i="1"/>
  <c r="M693" i="1"/>
  <c r="Z692" i="1"/>
  <c r="W692" i="1"/>
  <c r="T692" i="1"/>
  <c r="N692" i="1"/>
  <c r="M692" i="1"/>
  <c r="O692" i="1" s="1"/>
  <c r="J692" i="1"/>
  <c r="L692" i="1" s="1"/>
  <c r="V691" i="1"/>
  <c r="S691" i="1"/>
  <c r="Y691" i="1" s="1"/>
  <c r="M691" i="1"/>
  <c r="Y690" i="1"/>
  <c r="V690" i="1"/>
  <c r="S690" i="1"/>
  <c r="M690" i="1"/>
  <c r="Z689" i="1"/>
  <c r="W689" i="1"/>
  <c r="T689" i="1"/>
  <c r="P689" i="1"/>
  <c r="S689" i="1" s="1"/>
  <c r="U689" i="1" s="1"/>
  <c r="N689" i="1"/>
  <c r="M689" i="1"/>
  <c r="O689" i="1" s="1"/>
  <c r="J689" i="1"/>
  <c r="L689" i="1" s="1"/>
  <c r="V688" i="1"/>
  <c r="S688" i="1"/>
  <c r="Y688" i="1" s="1"/>
  <c r="M688" i="1"/>
  <c r="Y687" i="1"/>
  <c r="V687" i="1"/>
  <c r="S687" i="1"/>
  <c r="M687" i="1"/>
  <c r="Z686" i="1"/>
  <c r="W686" i="1"/>
  <c r="T686" i="1"/>
  <c r="P686" i="1"/>
  <c r="N686" i="1"/>
  <c r="M686" i="1"/>
  <c r="O686" i="1" s="1"/>
  <c r="J686" i="1"/>
  <c r="L686" i="1" s="1"/>
  <c r="V685" i="1"/>
  <c r="S685" i="1"/>
  <c r="Y685" i="1" s="1"/>
  <c r="M685" i="1"/>
  <c r="Y684" i="1"/>
  <c r="V684" i="1"/>
  <c r="S684" i="1"/>
  <c r="M684" i="1"/>
  <c r="Z683" i="1"/>
  <c r="W683" i="1"/>
  <c r="T683" i="1"/>
  <c r="N683" i="1"/>
  <c r="M683" i="1"/>
  <c r="O683" i="1" s="1"/>
  <c r="J683" i="1"/>
  <c r="L683" i="1" s="1"/>
  <c r="V682" i="1"/>
  <c r="S682" i="1"/>
  <c r="Y682" i="1" s="1"/>
  <c r="M682" i="1"/>
  <c r="Y681" i="1"/>
  <c r="V681" i="1"/>
  <c r="S681" i="1"/>
  <c r="M681" i="1"/>
  <c r="V680" i="1"/>
  <c r="S680" i="1"/>
  <c r="Y680" i="1" s="1"/>
  <c r="M680" i="1"/>
  <c r="Y679" i="1"/>
  <c r="V679" i="1"/>
  <c r="S679" i="1"/>
  <c r="M679" i="1"/>
  <c r="Z678" i="1"/>
  <c r="X678" i="1"/>
  <c r="W678" i="1"/>
  <c r="W677" i="1"/>
  <c r="T677" i="1"/>
  <c r="Z677" i="1" s="1"/>
  <c r="P677" i="1"/>
  <c r="N677" i="1"/>
  <c r="J677" i="1"/>
  <c r="M677" i="1" s="1"/>
  <c r="O677" i="1" s="1"/>
  <c r="V676" i="1"/>
  <c r="S676" i="1"/>
  <c r="Y676" i="1" s="1"/>
  <c r="M676" i="1"/>
  <c r="V675" i="1"/>
  <c r="S675" i="1"/>
  <c r="Y675" i="1" s="1"/>
  <c r="M675" i="1"/>
  <c r="V674" i="1"/>
  <c r="S674" i="1"/>
  <c r="Y674" i="1" s="1"/>
  <c r="M674" i="1"/>
  <c r="Y673" i="1"/>
  <c r="V673" i="1"/>
  <c r="S673" i="1"/>
  <c r="M673" i="1"/>
  <c r="Z672" i="1"/>
  <c r="X672" i="1"/>
  <c r="W672" i="1"/>
  <c r="W671" i="1"/>
  <c r="T671" i="1"/>
  <c r="Z671" i="1" s="1"/>
  <c r="N671" i="1"/>
  <c r="J671" i="1"/>
  <c r="Y670" i="1"/>
  <c r="V670" i="1"/>
  <c r="S670" i="1"/>
  <c r="M670" i="1"/>
  <c r="Y669" i="1"/>
  <c r="V669" i="1"/>
  <c r="S669" i="1"/>
  <c r="M669" i="1"/>
  <c r="Y668" i="1"/>
  <c r="V668" i="1"/>
  <c r="S668" i="1"/>
  <c r="M668" i="1"/>
  <c r="Y667" i="1"/>
  <c r="V667" i="1"/>
  <c r="S667" i="1"/>
  <c r="P665" i="1" s="1"/>
  <c r="V665" i="1" s="1"/>
  <c r="M667" i="1"/>
  <c r="J665" i="1" s="1"/>
  <c r="M665" i="1" s="1"/>
  <c r="Z666" i="1"/>
  <c r="X666" i="1"/>
  <c r="W666" i="1"/>
  <c r="Z665" i="1"/>
  <c r="AA665" i="1" s="1"/>
  <c r="W665" i="1"/>
  <c r="T665" i="1"/>
  <c r="S665" i="1"/>
  <c r="Y665" i="1" s="1"/>
  <c r="R665" i="1"/>
  <c r="X665" i="1" s="1"/>
  <c r="N665" i="1"/>
  <c r="Y664" i="1"/>
  <c r="V664" i="1"/>
  <c r="S664" i="1"/>
  <c r="M664" i="1"/>
  <c r="V663" i="1"/>
  <c r="S663" i="1"/>
  <c r="Y663" i="1" s="1"/>
  <c r="M663" i="1"/>
  <c r="Y662" i="1"/>
  <c r="V662" i="1"/>
  <c r="S662" i="1"/>
  <c r="M662" i="1"/>
  <c r="V661" i="1"/>
  <c r="S661" i="1"/>
  <c r="M661" i="1"/>
  <c r="Z660" i="1"/>
  <c r="X660" i="1"/>
  <c r="W660" i="1"/>
  <c r="Z659" i="1"/>
  <c r="W659" i="1"/>
  <c r="T659" i="1"/>
  <c r="N659" i="1"/>
  <c r="M659" i="1"/>
  <c r="O659" i="1" s="1"/>
  <c r="L659" i="1"/>
  <c r="J659" i="1"/>
  <c r="Y658" i="1"/>
  <c r="V658" i="1"/>
  <c r="S658" i="1"/>
  <c r="M658" i="1"/>
  <c r="V657" i="1"/>
  <c r="S657" i="1"/>
  <c r="Y657" i="1" s="1"/>
  <c r="M657" i="1"/>
  <c r="Y656" i="1"/>
  <c r="V656" i="1"/>
  <c r="S656" i="1"/>
  <c r="M656" i="1"/>
  <c r="V655" i="1"/>
  <c r="S655" i="1"/>
  <c r="Y655" i="1" s="1"/>
  <c r="M655" i="1"/>
  <c r="Z654" i="1"/>
  <c r="X654" i="1"/>
  <c r="W654" i="1"/>
  <c r="W653" i="1"/>
  <c r="T653" i="1"/>
  <c r="Z653" i="1" s="1"/>
  <c r="O653" i="1"/>
  <c r="N653" i="1"/>
  <c r="M653" i="1"/>
  <c r="L653" i="1"/>
  <c r="J653" i="1"/>
  <c r="Y652" i="1"/>
  <c r="V652" i="1"/>
  <c r="S652" i="1"/>
  <c r="M652" i="1"/>
  <c r="V651" i="1"/>
  <c r="S651" i="1"/>
  <c r="Y651" i="1" s="1"/>
  <c r="M651" i="1"/>
  <c r="V650" i="1"/>
  <c r="S650" i="1"/>
  <c r="Y650" i="1" s="1"/>
  <c r="M650" i="1"/>
  <c r="V649" i="1"/>
  <c r="S649" i="1"/>
  <c r="M649" i="1"/>
  <c r="Z648" i="1"/>
  <c r="X648" i="1"/>
  <c r="W648" i="1"/>
  <c r="W647" i="1"/>
  <c r="T647" i="1"/>
  <c r="Z647" i="1" s="1"/>
  <c r="N647" i="1"/>
  <c r="M647" i="1"/>
  <c r="O647" i="1" s="1"/>
  <c r="J647" i="1"/>
  <c r="L647" i="1" s="1"/>
  <c r="Y646" i="1"/>
  <c r="V646" i="1"/>
  <c r="S646" i="1"/>
  <c r="M646" i="1"/>
  <c r="Y645" i="1"/>
  <c r="V645" i="1"/>
  <c r="S645" i="1"/>
  <c r="M645" i="1"/>
  <c r="Y644" i="1"/>
  <c r="V644" i="1"/>
  <c r="S644" i="1"/>
  <c r="M644" i="1"/>
  <c r="Y643" i="1"/>
  <c r="V643" i="1"/>
  <c r="S643" i="1"/>
  <c r="M643" i="1"/>
  <c r="J641" i="1" s="1"/>
  <c r="Z642" i="1"/>
  <c r="X642" i="1"/>
  <c r="W642" i="1"/>
  <c r="W641" i="1"/>
  <c r="V641" i="1"/>
  <c r="T641" i="1"/>
  <c r="Z641" i="1" s="1"/>
  <c r="S641" i="1"/>
  <c r="U641" i="1" s="1"/>
  <c r="P641" i="1"/>
  <c r="R641" i="1" s="1"/>
  <c r="X641" i="1" s="1"/>
  <c r="N641" i="1"/>
  <c r="Y640" i="1"/>
  <c r="V640" i="1"/>
  <c r="S640" i="1"/>
  <c r="M640" i="1"/>
  <c r="Y639" i="1"/>
  <c r="V639" i="1"/>
  <c r="S639" i="1"/>
  <c r="M639" i="1"/>
  <c r="Y638" i="1"/>
  <c r="V638" i="1"/>
  <c r="S638" i="1"/>
  <c r="M638" i="1"/>
  <c r="Y637" i="1"/>
  <c r="V637" i="1"/>
  <c r="S637" i="1"/>
  <c r="M637" i="1"/>
  <c r="Z636" i="1"/>
  <c r="X636" i="1"/>
  <c r="W636" i="1"/>
  <c r="Z635" i="1"/>
  <c r="Z634" i="1" s="1"/>
  <c r="W635" i="1"/>
  <c r="T635" i="1"/>
  <c r="P635" i="1"/>
  <c r="N635" i="1"/>
  <c r="M635" i="1"/>
  <c r="J635" i="1"/>
  <c r="L635" i="1" s="1"/>
  <c r="T634" i="1"/>
  <c r="N634" i="1"/>
  <c r="Y633" i="1"/>
  <c r="V633" i="1"/>
  <c r="S633" i="1"/>
  <c r="M633" i="1"/>
  <c r="J631" i="1" s="1"/>
  <c r="M631" i="1" s="1"/>
  <c r="V632" i="1"/>
  <c r="S632" i="1"/>
  <c r="P631" i="1" s="1"/>
  <c r="V631" i="1" s="1"/>
  <c r="M632" i="1"/>
  <c r="Z631" i="1"/>
  <c r="W631" i="1"/>
  <c r="T631" i="1"/>
  <c r="S631" i="1"/>
  <c r="Y631" i="1" s="1"/>
  <c r="AA631" i="1" s="1"/>
  <c r="R631" i="1"/>
  <c r="X631" i="1" s="1"/>
  <c r="O631" i="1"/>
  <c r="N631" i="1"/>
  <c r="L631" i="1"/>
  <c r="Y630" i="1"/>
  <c r="V630" i="1"/>
  <c r="S630" i="1"/>
  <c r="M630" i="1"/>
  <c r="J628" i="1" s="1"/>
  <c r="M628" i="1" s="1"/>
  <c r="O628" i="1" s="1"/>
  <c r="Y629" i="1"/>
  <c r="V629" i="1"/>
  <c r="S629" i="1"/>
  <c r="P628" i="1" s="1"/>
  <c r="V628" i="1" s="1"/>
  <c r="M629" i="1"/>
  <c r="Z628" i="1"/>
  <c r="W628" i="1"/>
  <c r="U628" i="1"/>
  <c r="T628" i="1"/>
  <c r="S628" i="1"/>
  <c r="Y628" i="1" s="1"/>
  <c r="AA628" i="1" s="1"/>
  <c r="N628" i="1"/>
  <c r="Y627" i="1"/>
  <c r="V627" i="1"/>
  <c r="S627" i="1"/>
  <c r="M627" i="1"/>
  <c r="J625" i="1" s="1"/>
  <c r="M625" i="1" s="1"/>
  <c r="V626" i="1"/>
  <c r="S626" i="1"/>
  <c r="P625" i="1" s="1"/>
  <c r="V625" i="1" s="1"/>
  <c r="M626" i="1"/>
  <c r="Z625" i="1"/>
  <c r="W625" i="1"/>
  <c r="T625" i="1"/>
  <c r="S625" i="1"/>
  <c r="Y625" i="1" s="1"/>
  <c r="N625" i="1"/>
  <c r="O625" i="1" s="1"/>
  <c r="Y624" i="1"/>
  <c r="V624" i="1"/>
  <c r="S624" i="1"/>
  <c r="M624" i="1"/>
  <c r="J622" i="1" s="1"/>
  <c r="L622" i="1" s="1"/>
  <c r="V623" i="1"/>
  <c r="S623" i="1"/>
  <c r="M623" i="1"/>
  <c r="Z622" i="1"/>
  <c r="W622" i="1"/>
  <c r="T622" i="1"/>
  <c r="N622" i="1"/>
  <c r="M622" i="1"/>
  <c r="O622" i="1" s="1"/>
  <c r="Y621" i="1"/>
  <c r="V621" i="1"/>
  <c r="S621" i="1"/>
  <c r="M621" i="1"/>
  <c r="V620" i="1"/>
  <c r="S620" i="1"/>
  <c r="Y620" i="1" s="1"/>
  <c r="M620" i="1"/>
  <c r="Y619" i="1"/>
  <c r="V619" i="1"/>
  <c r="S619" i="1"/>
  <c r="M619" i="1"/>
  <c r="V618" i="1"/>
  <c r="S618" i="1"/>
  <c r="Y618" i="1" s="1"/>
  <c r="M618" i="1"/>
  <c r="J616" i="1" s="1"/>
  <c r="Z617" i="1"/>
  <c r="X617" i="1"/>
  <c r="W617" i="1"/>
  <c r="Z616" i="1"/>
  <c r="W616" i="1"/>
  <c r="T616" i="1"/>
  <c r="N616" i="1"/>
  <c r="M616" i="1"/>
  <c r="O616" i="1" s="1"/>
  <c r="L616" i="1"/>
  <c r="T615" i="1"/>
  <c r="M615" i="1"/>
  <c r="T614" i="1"/>
  <c r="Y613" i="1"/>
  <c r="V613" i="1"/>
  <c r="S613" i="1"/>
  <c r="M613" i="1"/>
  <c r="Y612" i="1"/>
  <c r="AA612" i="1" s="1"/>
  <c r="W612" i="1"/>
  <c r="V612" i="1"/>
  <c r="T612" i="1"/>
  <c r="Z612" i="1" s="1"/>
  <c r="S612" i="1"/>
  <c r="U612" i="1" s="1"/>
  <c r="P612" i="1"/>
  <c r="R612" i="1" s="1"/>
  <c r="X612" i="1" s="1"/>
  <c r="N612" i="1"/>
  <c r="J612" i="1"/>
  <c r="L612" i="1" s="1"/>
  <c r="Y611" i="1"/>
  <c r="V611" i="1"/>
  <c r="S611" i="1"/>
  <c r="P610" i="1" s="1"/>
  <c r="V610" i="1" s="1"/>
  <c r="M611" i="1"/>
  <c r="Z610" i="1"/>
  <c r="Z609" i="1" s="1"/>
  <c r="W610" i="1"/>
  <c r="U610" i="1"/>
  <c r="U609" i="1" s="1"/>
  <c r="T610" i="1"/>
  <c r="T609" i="1" s="1"/>
  <c r="S610" i="1"/>
  <c r="N610" i="1"/>
  <c r="J610" i="1"/>
  <c r="M610" i="1" s="1"/>
  <c r="O610" i="1" s="1"/>
  <c r="N609" i="1"/>
  <c r="Y608" i="1"/>
  <c r="V608" i="1"/>
  <c r="S608" i="1"/>
  <c r="M608" i="1"/>
  <c r="V607" i="1"/>
  <c r="S607" i="1"/>
  <c r="Y607" i="1" s="1"/>
  <c r="M607" i="1"/>
  <c r="V606" i="1"/>
  <c r="S606" i="1"/>
  <c r="M606" i="1"/>
  <c r="V605" i="1"/>
  <c r="S605" i="1"/>
  <c r="Y605" i="1" s="1"/>
  <c r="M605" i="1"/>
  <c r="V604" i="1"/>
  <c r="S604" i="1"/>
  <c r="Y604" i="1" s="1"/>
  <c r="M604" i="1"/>
  <c r="V603" i="1"/>
  <c r="S603" i="1"/>
  <c r="Y603" i="1" s="1"/>
  <c r="M603" i="1"/>
  <c r="Y602" i="1"/>
  <c r="V602" i="1"/>
  <c r="S602" i="1"/>
  <c r="M602" i="1"/>
  <c r="J601" i="1" s="1"/>
  <c r="Z601" i="1"/>
  <c r="W601" i="1"/>
  <c r="T601" i="1"/>
  <c r="N601" i="1"/>
  <c r="V600" i="1"/>
  <c r="S600" i="1"/>
  <c r="Y600" i="1" s="1"/>
  <c r="M600" i="1"/>
  <c r="Y599" i="1"/>
  <c r="V599" i="1"/>
  <c r="S599" i="1"/>
  <c r="M599" i="1"/>
  <c r="V598" i="1"/>
  <c r="S598" i="1"/>
  <c r="Y598" i="1" s="1"/>
  <c r="M598" i="1"/>
  <c r="V597" i="1"/>
  <c r="S597" i="1"/>
  <c r="M597" i="1"/>
  <c r="W596" i="1"/>
  <c r="T596" i="1"/>
  <c r="Z596" i="1" s="1"/>
  <c r="N596" i="1"/>
  <c r="J596" i="1"/>
  <c r="M596" i="1" s="1"/>
  <c r="O596" i="1" s="1"/>
  <c r="V595" i="1"/>
  <c r="S595" i="1"/>
  <c r="Y595" i="1" s="1"/>
  <c r="M595" i="1"/>
  <c r="Y594" i="1"/>
  <c r="V594" i="1"/>
  <c r="S594" i="1"/>
  <c r="M594" i="1"/>
  <c r="V593" i="1"/>
  <c r="S593" i="1"/>
  <c r="Y593" i="1" s="1"/>
  <c r="M593" i="1"/>
  <c r="W592" i="1"/>
  <c r="T592" i="1"/>
  <c r="Z592" i="1" s="1"/>
  <c r="P592" i="1"/>
  <c r="N592" i="1"/>
  <c r="V591" i="1"/>
  <c r="S591" i="1"/>
  <c r="Y591" i="1" s="1"/>
  <c r="M591" i="1"/>
  <c r="V590" i="1"/>
  <c r="S590" i="1"/>
  <c r="Y590" i="1" s="1"/>
  <c r="M590" i="1"/>
  <c r="V589" i="1"/>
  <c r="S589" i="1"/>
  <c r="Y589" i="1" s="1"/>
  <c r="M589" i="1"/>
  <c r="J587" i="1" s="1"/>
  <c r="M587" i="1" s="1"/>
  <c r="O587" i="1" s="1"/>
  <c r="V588" i="1"/>
  <c r="S588" i="1"/>
  <c r="Y588" i="1" s="1"/>
  <c r="M588" i="1"/>
  <c r="W587" i="1"/>
  <c r="T587" i="1"/>
  <c r="Z587" i="1" s="1"/>
  <c r="N587" i="1"/>
  <c r="L587" i="1"/>
  <c r="Y586" i="1"/>
  <c r="V586" i="1"/>
  <c r="S586" i="1"/>
  <c r="M586" i="1"/>
  <c r="V585" i="1"/>
  <c r="S585" i="1"/>
  <c r="Y585" i="1" s="1"/>
  <c r="M585" i="1"/>
  <c r="J582" i="1" s="1"/>
  <c r="Y584" i="1"/>
  <c r="V584" i="1"/>
  <c r="S584" i="1"/>
  <c r="M584" i="1"/>
  <c r="V583" i="1"/>
  <c r="S583" i="1"/>
  <c r="Y583" i="1" s="1"/>
  <c r="M583" i="1"/>
  <c r="W582" i="1"/>
  <c r="T582" i="1"/>
  <c r="Z582" i="1" s="1"/>
  <c r="N582" i="1"/>
  <c r="Y581" i="1"/>
  <c r="V581" i="1"/>
  <c r="S581" i="1"/>
  <c r="M581" i="1"/>
  <c r="V580" i="1"/>
  <c r="S580" i="1"/>
  <c r="Y580" i="1" s="1"/>
  <c r="M580" i="1"/>
  <c r="Y579" i="1"/>
  <c r="V579" i="1"/>
  <c r="S579" i="1"/>
  <c r="M579" i="1"/>
  <c r="V578" i="1"/>
  <c r="S578" i="1"/>
  <c r="Y578" i="1" s="1"/>
  <c r="M578" i="1"/>
  <c r="Z577" i="1"/>
  <c r="W577" i="1"/>
  <c r="T577" i="1"/>
  <c r="P577" i="1"/>
  <c r="N577" i="1"/>
  <c r="J577" i="1"/>
  <c r="M577" i="1" s="1"/>
  <c r="O577" i="1" s="1"/>
  <c r="V576" i="1"/>
  <c r="S576" i="1"/>
  <c r="Y576" i="1" s="1"/>
  <c r="M576" i="1"/>
  <c r="Y575" i="1"/>
  <c r="V575" i="1"/>
  <c r="S575" i="1"/>
  <c r="M575" i="1"/>
  <c r="V574" i="1"/>
  <c r="S574" i="1"/>
  <c r="Y574" i="1" s="1"/>
  <c r="M574" i="1"/>
  <c r="Y573" i="1"/>
  <c r="V573" i="1"/>
  <c r="S573" i="1"/>
  <c r="M573" i="1"/>
  <c r="V572" i="1"/>
  <c r="S572" i="1"/>
  <c r="Y572" i="1" s="1"/>
  <c r="M572" i="1"/>
  <c r="Y571" i="1"/>
  <c r="V571" i="1"/>
  <c r="S571" i="1"/>
  <c r="M571" i="1"/>
  <c r="Z570" i="1"/>
  <c r="X570" i="1"/>
  <c r="W570" i="1"/>
  <c r="W569" i="1"/>
  <c r="T569" i="1"/>
  <c r="S569" i="1"/>
  <c r="Y569" i="1" s="1"/>
  <c r="R569" i="1"/>
  <c r="X569" i="1" s="1"/>
  <c r="P569" i="1"/>
  <c r="V569" i="1" s="1"/>
  <c r="N569" i="1"/>
  <c r="J569" i="1"/>
  <c r="Y568" i="1"/>
  <c r="V568" i="1"/>
  <c r="S568" i="1"/>
  <c r="M568" i="1"/>
  <c r="V567" i="1"/>
  <c r="S567" i="1"/>
  <c r="Y567" i="1" s="1"/>
  <c r="M567" i="1"/>
  <c r="J565" i="1" s="1"/>
  <c r="Y566" i="1"/>
  <c r="V566" i="1"/>
  <c r="S566" i="1"/>
  <c r="M566" i="1"/>
  <c r="W565" i="1"/>
  <c r="T565" i="1"/>
  <c r="Z565" i="1" s="1"/>
  <c r="P565" i="1"/>
  <c r="S565" i="1" s="1"/>
  <c r="N565" i="1"/>
  <c r="V564" i="1"/>
  <c r="S564" i="1"/>
  <c r="Y564" i="1" s="1"/>
  <c r="M564" i="1"/>
  <c r="J561" i="1" s="1"/>
  <c r="Y563" i="1"/>
  <c r="V563" i="1"/>
  <c r="S563" i="1"/>
  <c r="M563" i="1"/>
  <c r="V562" i="1"/>
  <c r="S562" i="1"/>
  <c r="P561" i="1" s="1"/>
  <c r="M562" i="1"/>
  <c r="W561" i="1"/>
  <c r="T561" i="1"/>
  <c r="Z561" i="1" s="1"/>
  <c r="N561" i="1"/>
  <c r="Y560" i="1"/>
  <c r="V560" i="1"/>
  <c r="S560" i="1"/>
  <c r="M560" i="1"/>
  <c r="V559" i="1"/>
  <c r="S559" i="1"/>
  <c r="Y559" i="1" s="1"/>
  <c r="M559" i="1"/>
  <c r="Y558" i="1"/>
  <c r="V558" i="1"/>
  <c r="S558" i="1"/>
  <c r="M558" i="1"/>
  <c r="V557" i="1"/>
  <c r="S557" i="1"/>
  <c r="Y557" i="1" s="1"/>
  <c r="M557" i="1"/>
  <c r="Y556" i="1"/>
  <c r="V556" i="1"/>
  <c r="S556" i="1"/>
  <c r="M556" i="1"/>
  <c r="V555" i="1"/>
  <c r="S555" i="1"/>
  <c r="Y555" i="1" s="1"/>
  <c r="M555" i="1"/>
  <c r="Y554" i="1"/>
  <c r="V554" i="1"/>
  <c r="S554" i="1"/>
  <c r="M554" i="1"/>
  <c r="V553" i="1"/>
  <c r="S553" i="1"/>
  <c r="Y553" i="1" s="1"/>
  <c r="M553" i="1"/>
  <c r="Z552" i="1"/>
  <c r="X552" i="1"/>
  <c r="W552" i="1"/>
  <c r="Z551" i="1"/>
  <c r="W551" i="1"/>
  <c r="T551" i="1"/>
  <c r="N551" i="1"/>
  <c r="Y550" i="1"/>
  <c r="V550" i="1"/>
  <c r="S550" i="1"/>
  <c r="M550" i="1"/>
  <c r="J548" i="1" s="1"/>
  <c r="Y549" i="1"/>
  <c r="V549" i="1"/>
  <c r="S549" i="1"/>
  <c r="P548" i="1" s="1"/>
  <c r="M549" i="1"/>
  <c r="Z548" i="1"/>
  <c r="W548" i="1"/>
  <c r="T548" i="1"/>
  <c r="N548" i="1"/>
  <c r="Y547" i="1"/>
  <c r="V547" i="1"/>
  <c r="S547" i="1"/>
  <c r="M547" i="1"/>
  <c r="Y546" i="1"/>
  <c r="V546" i="1"/>
  <c r="S546" i="1"/>
  <c r="M546" i="1"/>
  <c r="Y545" i="1"/>
  <c r="V545" i="1"/>
  <c r="S545" i="1"/>
  <c r="M545" i="1"/>
  <c r="Y544" i="1"/>
  <c r="V544" i="1"/>
  <c r="S544" i="1"/>
  <c r="P542" i="1" s="1"/>
  <c r="M544" i="1"/>
  <c r="J542" i="1" s="1"/>
  <c r="Z543" i="1"/>
  <c r="X543" i="1"/>
  <c r="W543" i="1"/>
  <c r="Z542" i="1"/>
  <c r="W542" i="1"/>
  <c r="T542" i="1"/>
  <c r="R542" i="1"/>
  <c r="X542" i="1" s="1"/>
  <c r="N542" i="1"/>
  <c r="Y541" i="1"/>
  <c r="V541" i="1"/>
  <c r="S541" i="1"/>
  <c r="M541" i="1"/>
  <c r="J539" i="1" s="1"/>
  <c r="V540" i="1"/>
  <c r="S540" i="1"/>
  <c r="Y540" i="1" s="1"/>
  <c r="M540" i="1"/>
  <c r="Z539" i="1"/>
  <c r="W539" i="1"/>
  <c r="T539" i="1"/>
  <c r="N539" i="1"/>
  <c r="Y538" i="1"/>
  <c r="V538" i="1"/>
  <c r="S538" i="1"/>
  <c r="M538" i="1"/>
  <c r="V537" i="1"/>
  <c r="S537" i="1"/>
  <c r="Y537" i="1" s="1"/>
  <c r="M537" i="1"/>
  <c r="Y536" i="1"/>
  <c r="V536" i="1"/>
  <c r="S536" i="1"/>
  <c r="M536" i="1"/>
  <c r="W535" i="1"/>
  <c r="V535" i="1"/>
  <c r="T535" i="1"/>
  <c r="Z535" i="1" s="1"/>
  <c r="P535" i="1"/>
  <c r="S535" i="1" s="1"/>
  <c r="N535" i="1"/>
  <c r="M535" i="1"/>
  <c r="O535" i="1" s="1"/>
  <c r="J535" i="1"/>
  <c r="L535" i="1" s="1"/>
  <c r="V534" i="1"/>
  <c r="S534" i="1"/>
  <c r="Y534" i="1" s="1"/>
  <c r="M534" i="1"/>
  <c r="Y533" i="1"/>
  <c r="V533" i="1"/>
  <c r="S533" i="1"/>
  <c r="M533" i="1"/>
  <c r="V532" i="1"/>
  <c r="S532" i="1"/>
  <c r="Y532" i="1" s="1"/>
  <c r="M532" i="1"/>
  <c r="Y531" i="1"/>
  <c r="V531" i="1"/>
  <c r="S531" i="1"/>
  <c r="M531" i="1"/>
  <c r="V530" i="1"/>
  <c r="S530" i="1"/>
  <c r="Y530" i="1" s="1"/>
  <c r="M530" i="1"/>
  <c r="Y529" i="1"/>
  <c r="V529" i="1"/>
  <c r="S529" i="1"/>
  <c r="M529" i="1"/>
  <c r="Z528" i="1"/>
  <c r="X528" i="1"/>
  <c r="W528" i="1"/>
  <c r="Z527" i="1"/>
  <c r="W527" i="1"/>
  <c r="T527" i="1"/>
  <c r="P527" i="1"/>
  <c r="N527" i="1"/>
  <c r="J527" i="1"/>
  <c r="M527" i="1" s="1"/>
  <c r="O527" i="1" s="1"/>
  <c r="V526" i="1"/>
  <c r="S526" i="1"/>
  <c r="Y526" i="1" s="1"/>
  <c r="M526" i="1"/>
  <c r="Y525" i="1"/>
  <c r="V525" i="1"/>
  <c r="S525" i="1"/>
  <c r="M525" i="1"/>
  <c r="V524" i="1"/>
  <c r="S524" i="1"/>
  <c r="Y524" i="1" s="1"/>
  <c r="M524" i="1"/>
  <c r="Y523" i="1"/>
  <c r="V523" i="1"/>
  <c r="S523" i="1"/>
  <c r="M523" i="1"/>
  <c r="V522" i="1"/>
  <c r="S522" i="1"/>
  <c r="Y522" i="1" s="1"/>
  <c r="M522" i="1"/>
  <c r="Y521" i="1"/>
  <c r="V521" i="1"/>
  <c r="S521" i="1"/>
  <c r="M521" i="1"/>
  <c r="Z520" i="1"/>
  <c r="X520" i="1"/>
  <c r="W520" i="1"/>
  <c r="W519" i="1"/>
  <c r="T519" i="1"/>
  <c r="S519" i="1"/>
  <c r="Y519" i="1" s="1"/>
  <c r="R519" i="1"/>
  <c r="X519" i="1" s="1"/>
  <c r="P519" i="1"/>
  <c r="V519" i="1" s="1"/>
  <c r="N519" i="1"/>
  <c r="J519" i="1"/>
  <c r="Y518" i="1"/>
  <c r="V518" i="1"/>
  <c r="S518" i="1"/>
  <c r="M518" i="1"/>
  <c r="V517" i="1"/>
  <c r="S517" i="1"/>
  <c r="Y517" i="1" s="1"/>
  <c r="M517" i="1"/>
  <c r="Y516" i="1"/>
  <c r="V516" i="1"/>
  <c r="S516" i="1"/>
  <c r="M516" i="1"/>
  <c r="V515" i="1"/>
  <c r="S515" i="1"/>
  <c r="Y515" i="1" s="1"/>
  <c r="M515" i="1"/>
  <c r="Y514" i="1"/>
  <c r="V514" i="1"/>
  <c r="S514" i="1"/>
  <c r="M514" i="1"/>
  <c r="V513" i="1"/>
  <c r="S513" i="1"/>
  <c r="Y513" i="1" s="1"/>
  <c r="M513" i="1"/>
  <c r="J511" i="1" s="1"/>
  <c r="Z512" i="1"/>
  <c r="X512" i="1"/>
  <c r="W512" i="1"/>
  <c r="Z511" i="1"/>
  <c r="W511" i="1"/>
  <c r="T511" i="1"/>
  <c r="N511" i="1"/>
  <c r="T510" i="1"/>
  <c r="V509" i="1"/>
  <c r="S509" i="1"/>
  <c r="Y509" i="1" s="1"/>
  <c r="M509" i="1"/>
  <c r="V508" i="1"/>
  <c r="S508" i="1"/>
  <c r="Y508" i="1" s="1"/>
  <c r="M508" i="1"/>
  <c r="V507" i="1"/>
  <c r="S507" i="1"/>
  <c r="Y507" i="1" s="1"/>
  <c r="M507" i="1"/>
  <c r="V506" i="1"/>
  <c r="S506" i="1"/>
  <c r="Y506" i="1" s="1"/>
  <c r="M506" i="1"/>
  <c r="W505" i="1"/>
  <c r="T505" i="1"/>
  <c r="Z505" i="1" s="1"/>
  <c r="P505" i="1"/>
  <c r="S505" i="1" s="1"/>
  <c r="N505" i="1"/>
  <c r="V504" i="1"/>
  <c r="S504" i="1"/>
  <c r="Y504" i="1" s="1"/>
  <c r="M504" i="1"/>
  <c r="V503" i="1"/>
  <c r="S503" i="1"/>
  <c r="Y503" i="1" s="1"/>
  <c r="M503" i="1"/>
  <c r="V502" i="1"/>
  <c r="S502" i="1"/>
  <c r="Y502" i="1" s="1"/>
  <c r="M502" i="1"/>
  <c r="V501" i="1"/>
  <c r="S501" i="1"/>
  <c r="Y501" i="1" s="1"/>
  <c r="M501" i="1"/>
  <c r="W500" i="1"/>
  <c r="T500" i="1"/>
  <c r="Z500" i="1" s="1"/>
  <c r="P500" i="1"/>
  <c r="S500" i="1" s="1"/>
  <c r="N500" i="1"/>
  <c r="V499" i="1"/>
  <c r="S499" i="1"/>
  <c r="Y499" i="1" s="1"/>
  <c r="M499" i="1"/>
  <c r="V498" i="1"/>
  <c r="S498" i="1"/>
  <c r="Y498" i="1" s="1"/>
  <c r="M498" i="1"/>
  <c r="V497" i="1"/>
  <c r="S497" i="1"/>
  <c r="Y497" i="1" s="1"/>
  <c r="M497" i="1"/>
  <c r="V496" i="1"/>
  <c r="S496" i="1"/>
  <c r="Y496" i="1" s="1"/>
  <c r="M496" i="1"/>
  <c r="V495" i="1"/>
  <c r="S495" i="1"/>
  <c r="P494" i="1" s="1"/>
  <c r="M495" i="1"/>
  <c r="J494" i="1" s="1"/>
  <c r="W494" i="1"/>
  <c r="T494" i="1"/>
  <c r="Z494" i="1" s="1"/>
  <c r="N494" i="1"/>
  <c r="V493" i="1"/>
  <c r="S493" i="1"/>
  <c r="Y493" i="1" s="1"/>
  <c r="M493" i="1"/>
  <c r="V492" i="1"/>
  <c r="S492" i="1"/>
  <c r="Y492" i="1" s="1"/>
  <c r="M492" i="1"/>
  <c r="V491" i="1"/>
  <c r="S491" i="1"/>
  <c r="Y491" i="1" s="1"/>
  <c r="M491" i="1"/>
  <c r="V490" i="1"/>
  <c r="S490" i="1"/>
  <c r="P489" i="1" s="1"/>
  <c r="M490" i="1"/>
  <c r="J489" i="1" s="1"/>
  <c r="W489" i="1"/>
  <c r="T489" i="1"/>
  <c r="Z489" i="1" s="1"/>
  <c r="N489" i="1"/>
  <c r="V488" i="1"/>
  <c r="S488" i="1"/>
  <c r="Y488" i="1" s="1"/>
  <c r="M488" i="1"/>
  <c r="V487" i="1"/>
  <c r="S487" i="1"/>
  <c r="Y487" i="1" s="1"/>
  <c r="M487" i="1"/>
  <c r="V486" i="1"/>
  <c r="S486" i="1"/>
  <c r="Y486" i="1" s="1"/>
  <c r="M486" i="1"/>
  <c r="V485" i="1"/>
  <c r="S485" i="1"/>
  <c r="P484" i="1" s="1"/>
  <c r="M485" i="1"/>
  <c r="W484" i="1"/>
  <c r="T484" i="1"/>
  <c r="Z484" i="1" s="1"/>
  <c r="N484" i="1"/>
  <c r="V483" i="1"/>
  <c r="S483" i="1"/>
  <c r="Y483" i="1" s="1"/>
  <c r="M483" i="1"/>
  <c r="V482" i="1"/>
  <c r="S482" i="1"/>
  <c r="Y482" i="1" s="1"/>
  <c r="M482" i="1"/>
  <c r="V481" i="1"/>
  <c r="S481" i="1"/>
  <c r="Y481" i="1" s="1"/>
  <c r="M481" i="1"/>
  <c r="V480" i="1"/>
  <c r="S480" i="1"/>
  <c r="P479" i="1" s="1"/>
  <c r="M480" i="1"/>
  <c r="W479" i="1"/>
  <c r="T479" i="1"/>
  <c r="Z479" i="1" s="1"/>
  <c r="N479" i="1"/>
  <c r="V478" i="1"/>
  <c r="S478" i="1"/>
  <c r="Y478" i="1" s="1"/>
  <c r="M478" i="1"/>
  <c r="V477" i="1"/>
  <c r="S477" i="1"/>
  <c r="Y477" i="1" s="1"/>
  <c r="M477" i="1"/>
  <c r="V476" i="1"/>
  <c r="S476" i="1"/>
  <c r="Y476" i="1" s="1"/>
  <c r="M476" i="1"/>
  <c r="V475" i="1"/>
  <c r="S475" i="1"/>
  <c r="P474" i="1" s="1"/>
  <c r="M475" i="1"/>
  <c r="J474" i="1" s="1"/>
  <c r="W474" i="1"/>
  <c r="T474" i="1"/>
  <c r="Z474" i="1" s="1"/>
  <c r="N474" i="1"/>
  <c r="V473" i="1"/>
  <c r="S473" i="1"/>
  <c r="Y473" i="1" s="1"/>
  <c r="M473" i="1"/>
  <c r="V472" i="1"/>
  <c r="S472" i="1"/>
  <c r="Y472" i="1" s="1"/>
  <c r="M472" i="1"/>
  <c r="V471" i="1"/>
  <c r="S471" i="1"/>
  <c r="Y471" i="1" s="1"/>
  <c r="M471" i="1"/>
  <c r="V470" i="1"/>
  <c r="S470" i="1"/>
  <c r="P469" i="1" s="1"/>
  <c r="M470" i="1"/>
  <c r="J469" i="1" s="1"/>
  <c r="W469" i="1"/>
  <c r="T469" i="1"/>
  <c r="Z469" i="1" s="1"/>
  <c r="N469" i="1"/>
  <c r="V468" i="1"/>
  <c r="S468" i="1"/>
  <c r="Y468" i="1" s="1"/>
  <c r="M468" i="1"/>
  <c r="V467" i="1"/>
  <c r="S467" i="1"/>
  <c r="Y467" i="1" s="1"/>
  <c r="M467" i="1"/>
  <c r="V466" i="1"/>
  <c r="S466" i="1"/>
  <c r="Y466" i="1" s="1"/>
  <c r="M466" i="1"/>
  <c r="V465" i="1"/>
  <c r="S465" i="1"/>
  <c r="Y465" i="1" s="1"/>
  <c r="M465" i="1"/>
  <c r="J463" i="1" s="1"/>
  <c r="V464" i="1"/>
  <c r="S464" i="1"/>
  <c r="Y464" i="1" s="1"/>
  <c r="M464" i="1"/>
  <c r="W463" i="1"/>
  <c r="T463" i="1"/>
  <c r="Z463" i="1" s="1"/>
  <c r="P463" i="1"/>
  <c r="N463" i="1"/>
  <c r="V462" i="1"/>
  <c r="S462" i="1"/>
  <c r="Y462" i="1" s="1"/>
  <c r="M462" i="1"/>
  <c r="V461" i="1"/>
  <c r="S461" i="1"/>
  <c r="Y461" i="1" s="1"/>
  <c r="M461" i="1"/>
  <c r="V460" i="1"/>
  <c r="S460" i="1"/>
  <c r="Y460" i="1" s="1"/>
  <c r="M460" i="1"/>
  <c r="J457" i="1" s="1"/>
  <c r="V459" i="1"/>
  <c r="S459" i="1"/>
  <c r="Y459" i="1" s="1"/>
  <c r="M459" i="1"/>
  <c r="V458" i="1"/>
  <c r="S458" i="1"/>
  <c r="M458" i="1"/>
  <c r="W457" i="1"/>
  <c r="T457" i="1"/>
  <c r="Z457" i="1" s="1"/>
  <c r="N457" i="1"/>
  <c r="V456" i="1"/>
  <c r="S456" i="1"/>
  <c r="Y456" i="1" s="1"/>
  <c r="M456" i="1"/>
  <c r="V455" i="1"/>
  <c r="S455" i="1"/>
  <c r="Y455" i="1" s="1"/>
  <c r="M455" i="1"/>
  <c r="J453" i="1" s="1"/>
  <c r="V454" i="1"/>
  <c r="S454" i="1"/>
  <c r="Y454" i="1" s="1"/>
  <c r="M454" i="1"/>
  <c r="W453" i="1"/>
  <c r="T453" i="1"/>
  <c r="Z453" i="1" s="1"/>
  <c r="P453" i="1"/>
  <c r="N453" i="1"/>
  <c r="V452" i="1"/>
  <c r="S452" i="1"/>
  <c r="Y452" i="1" s="1"/>
  <c r="M452" i="1"/>
  <c r="V451" i="1"/>
  <c r="S451" i="1"/>
  <c r="Y451" i="1" s="1"/>
  <c r="M451" i="1"/>
  <c r="V450" i="1"/>
  <c r="S450" i="1"/>
  <c r="Y450" i="1" s="1"/>
  <c r="M450" i="1"/>
  <c r="J448" i="1" s="1"/>
  <c r="V449" i="1"/>
  <c r="S449" i="1"/>
  <c r="Y449" i="1" s="1"/>
  <c r="M449" i="1"/>
  <c r="W448" i="1"/>
  <c r="T448" i="1"/>
  <c r="Z448" i="1" s="1"/>
  <c r="P448" i="1"/>
  <c r="N448" i="1"/>
  <c r="V447" i="1"/>
  <c r="S447" i="1"/>
  <c r="Y447" i="1" s="1"/>
  <c r="M447" i="1"/>
  <c r="V446" i="1"/>
  <c r="S446" i="1"/>
  <c r="Y446" i="1" s="1"/>
  <c r="M446" i="1"/>
  <c r="V445" i="1"/>
  <c r="S445" i="1"/>
  <c r="M445" i="1"/>
  <c r="J444" i="1" s="1"/>
  <c r="M444" i="1" s="1"/>
  <c r="O444" i="1" s="1"/>
  <c r="W444" i="1"/>
  <c r="T444" i="1"/>
  <c r="Z444" i="1" s="1"/>
  <c r="N444" i="1"/>
  <c r="V443" i="1"/>
  <c r="S443" i="1"/>
  <c r="Y443" i="1" s="1"/>
  <c r="M443" i="1"/>
  <c r="V442" i="1"/>
  <c r="S442" i="1"/>
  <c r="Y442" i="1" s="1"/>
  <c r="M442" i="1"/>
  <c r="V441" i="1"/>
  <c r="S441" i="1"/>
  <c r="Y441" i="1" s="1"/>
  <c r="M441" i="1"/>
  <c r="V440" i="1"/>
  <c r="S440" i="1"/>
  <c r="M440" i="1"/>
  <c r="J439" i="1" s="1"/>
  <c r="W439" i="1"/>
  <c r="T439" i="1"/>
  <c r="Z439" i="1" s="1"/>
  <c r="N439" i="1"/>
  <c r="V438" i="1"/>
  <c r="S438" i="1"/>
  <c r="Y438" i="1" s="1"/>
  <c r="M438" i="1"/>
  <c r="V437" i="1"/>
  <c r="S437" i="1"/>
  <c r="Y437" i="1" s="1"/>
  <c r="M437" i="1"/>
  <c r="V436" i="1"/>
  <c r="S436" i="1"/>
  <c r="Y436" i="1" s="1"/>
  <c r="M436" i="1"/>
  <c r="V435" i="1"/>
  <c r="S435" i="1"/>
  <c r="M435" i="1"/>
  <c r="W434" i="1"/>
  <c r="T434" i="1"/>
  <c r="Z434" i="1" s="1"/>
  <c r="N434" i="1"/>
  <c r="J434" i="1"/>
  <c r="M434" i="1" s="1"/>
  <c r="O434" i="1" s="1"/>
  <c r="V433" i="1"/>
  <c r="S433" i="1"/>
  <c r="Y433" i="1" s="1"/>
  <c r="M433" i="1"/>
  <c r="V432" i="1"/>
  <c r="S432" i="1"/>
  <c r="Y432" i="1" s="1"/>
  <c r="M432" i="1"/>
  <c r="V431" i="1"/>
  <c r="S431" i="1"/>
  <c r="Y431" i="1" s="1"/>
  <c r="M431" i="1"/>
  <c r="V430" i="1"/>
  <c r="S430" i="1"/>
  <c r="M430" i="1"/>
  <c r="W429" i="1"/>
  <c r="T429" i="1"/>
  <c r="Z429" i="1" s="1"/>
  <c r="N429" i="1"/>
  <c r="J429" i="1"/>
  <c r="M429" i="1" s="1"/>
  <c r="O429" i="1" s="1"/>
  <c r="V428" i="1"/>
  <c r="S428" i="1"/>
  <c r="Y428" i="1" s="1"/>
  <c r="M428" i="1"/>
  <c r="V427" i="1"/>
  <c r="S427" i="1"/>
  <c r="M427" i="1"/>
  <c r="J426" i="1" s="1"/>
  <c r="W426" i="1"/>
  <c r="T426" i="1"/>
  <c r="Z426" i="1" s="1"/>
  <c r="N426" i="1"/>
  <c r="V425" i="1"/>
  <c r="S425" i="1"/>
  <c r="Y425" i="1" s="1"/>
  <c r="M425" i="1"/>
  <c r="V424" i="1"/>
  <c r="S424" i="1"/>
  <c r="M424" i="1"/>
  <c r="W423" i="1"/>
  <c r="T423" i="1"/>
  <c r="Z423" i="1" s="1"/>
  <c r="N423" i="1"/>
  <c r="J423" i="1"/>
  <c r="M423" i="1" s="1"/>
  <c r="O423" i="1" s="1"/>
  <c r="V422" i="1"/>
  <c r="S422" i="1"/>
  <c r="Y422" i="1" s="1"/>
  <c r="M422" i="1"/>
  <c r="V421" i="1"/>
  <c r="S421" i="1"/>
  <c r="Y421" i="1" s="1"/>
  <c r="M421" i="1"/>
  <c r="W420" i="1"/>
  <c r="T420" i="1"/>
  <c r="Z420" i="1" s="1"/>
  <c r="N420" i="1"/>
  <c r="J420" i="1"/>
  <c r="M420" i="1" s="1"/>
  <c r="O420" i="1" s="1"/>
  <c r="V419" i="1"/>
  <c r="S419" i="1"/>
  <c r="Y419" i="1" s="1"/>
  <c r="M419" i="1"/>
  <c r="V418" i="1"/>
  <c r="S418" i="1"/>
  <c r="Y418" i="1" s="1"/>
  <c r="M418" i="1"/>
  <c r="W417" i="1"/>
  <c r="T417" i="1"/>
  <c r="Z417" i="1" s="1"/>
  <c r="P417" i="1"/>
  <c r="N417" i="1"/>
  <c r="J417" i="1"/>
  <c r="M417" i="1" s="1"/>
  <c r="O417" i="1" s="1"/>
  <c r="V416" i="1"/>
  <c r="S416" i="1"/>
  <c r="Y416" i="1" s="1"/>
  <c r="M416" i="1"/>
  <c r="V415" i="1"/>
  <c r="S415" i="1"/>
  <c r="M415" i="1"/>
  <c r="W414" i="1"/>
  <c r="T414" i="1"/>
  <c r="Z414" i="1" s="1"/>
  <c r="N414" i="1"/>
  <c r="L414" i="1"/>
  <c r="J414" i="1"/>
  <c r="M414" i="1" s="1"/>
  <c r="O414" i="1" s="1"/>
  <c r="V413" i="1"/>
  <c r="S413" i="1"/>
  <c r="Y413" i="1" s="1"/>
  <c r="M413" i="1"/>
  <c r="V412" i="1"/>
  <c r="S412" i="1"/>
  <c r="Y412" i="1" s="1"/>
  <c r="M412" i="1"/>
  <c r="J411" i="1" s="1"/>
  <c r="Z411" i="1"/>
  <c r="W411" i="1"/>
  <c r="T411" i="1"/>
  <c r="P411" i="1"/>
  <c r="N411" i="1"/>
  <c r="V410" i="1"/>
  <c r="S410" i="1"/>
  <c r="Y410" i="1" s="1"/>
  <c r="M410" i="1"/>
  <c r="V409" i="1"/>
  <c r="S409" i="1"/>
  <c r="M409" i="1"/>
  <c r="W408" i="1"/>
  <c r="T408" i="1"/>
  <c r="Z408" i="1" s="1"/>
  <c r="N408" i="1"/>
  <c r="J408" i="1"/>
  <c r="M408" i="1" s="1"/>
  <c r="O408" i="1" s="1"/>
  <c r="V407" i="1"/>
  <c r="S407" i="1"/>
  <c r="Y407" i="1" s="1"/>
  <c r="M407" i="1"/>
  <c r="J405" i="1" s="1"/>
  <c r="V406" i="1"/>
  <c r="S406" i="1"/>
  <c r="Y406" i="1" s="1"/>
  <c r="M406" i="1"/>
  <c r="Z405" i="1"/>
  <c r="W405" i="1"/>
  <c r="T405" i="1"/>
  <c r="N405" i="1"/>
  <c r="V404" i="1"/>
  <c r="S404" i="1"/>
  <c r="Y404" i="1" s="1"/>
  <c r="M404" i="1"/>
  <c r="V403" i="1"/>
  <c r="S403" i="1"/>
  <c r="Y403" i="1" s="1"/>
  <c r="M403" i="1"/>
  <c r="Z402" i="1"/>
  <c r="W402" i="1"/>
  <c r="T402" i="1"/>
  <c r="N402" i="1"/>
  <c r="J402" i="1"/>
  <c r="M402" i="1" s="1"/>
  <c r="O402" i="1" s="1"/>
  <c r="V401" i="1"/>
  <c r="S401" i="1"/>
  <c r="Y401" i="1" s="1"/>
  <c r="M401" i="1"/>
  <c r="Y400" i="1"/>
  <c r="V400" i="1"/>
  <c r="S400" i="1"/>
  <c r="M400" i="1"/>
  <c r="Z399" i="1"/>
  <c r="W399" i="1"/>
  <c r="T399" i="1"/>
  <c r="N399" i="1"/>
  <c r="J399" i="1"/>
  <c r="V398" i="1"/>
  <c r="S398" i="1"/>
  <c r="Y398" i="1" s="1"/>
  <c r="M398" i="1"/>
  <c r="Y397" i="1"/>
  <c r="V397" i="1"/>
  <c r="S397" i="1"/>
  <c r="M397" i="1"/>
  <c r="Z396" i="1"/>
  <c r="W396" i="1"/>
  <c r="T396" i="1"/>
  <c r="P396" i="1"/>
  <c r="N396" i="1"/>
  <c r="J396" i="1"/>
  <c r="M396" i="1" s="1"/>
  <c r="O396" i="1" s="1"/>
  <c r="V395" i="1"/>
  <c r="S395" i="1"/>
  <c r="Y395" i="1" s="1"/>
  <c r="M395" i="1"/>
  <c r="V394" i="1"/>
  <c r="S394" i="1"/>
  <c r="Y394" i="1" s="1"/>
  <c r="M394" i="1"/>
  <c r="Z393" i="1"/>
  <c r="W393" i="1"/>
  <c r="T393" i="1"/>
  <c r="P393" i="1"/>
  <c r="S393" i="1" s="1"/>
  <c r="Y393" i="1" s="1"/>
  <c r="AA393" i="1" s="1"/>
  <c r="N393" i="1"/>
  <c r="V392" i="1"/>
  <c r="S392" i="1"/>
  <c r="Y392" i="1" s="1"/>
  <c r="M392" i="1"/>
  <c r="J390" i="1" s="1"/>
  <c r="V391" i="1"/>
  <c r="S391" i="1"/>
  <c r="M391" i="1"/>
  <c r="W390" i="1"/>
  <c r="T390" i="1"/>
  <c r="Z390" i="1" s="1"/>
  <c r="N390" i="1"/>
  <c r="V389" i="1"/>
  <c r="S389" i="1"/>
  <c r="Y389" i="1" s="1"/>
  <c r="M389" i="1"/>
  <c r="V388" i="1"/>
  <c r="S388" i="1"/>
  <c r="Y388" i="1" s="1"/>
  <c r="M388" i="1"/>
  <c r="W387" i="1"/>
  <c r="T387" i="1"/>
  <c r="Z387" i="1" s="1"/>
  <c r="N387" i="1"/>
  <c r="J387" i="1"/>
  <c r="L387" i="1" s="1"/>
  <c r="V386" i="1"/>
  <c r="S386" i="1"/>
  <c r="Y386" i="1" s="1"/>
  <c r="M386" i="1"/>
  <c r="Y385" i="1"/>
  <c r="V385" i="1"/>
  <c r="S385" i="1"/>
  <c r="M385" i="1"/>
  <c r="J384" i="1" s="1"/>
  <c r="M384" i="1" s="1"/>
  <c r="O384" i="1" s="1"/>
  <c r="Z384" i="1"/>
  <c r="Y384" i="1"/>
  <c r="AA384" i="1" s="1"/>
  <c r="W384" i="1"/>
  <c r="V384" i="1"/>
  <c r="T384" i="1"/>
  <c r="P384" i="1"/>
  <c r="S384" i="1" s="1"/>
  <c r="U384" i="1" s="1"/>
  <c r="N384" i="1"/>
  <c r="L384" i="1"/>
  <c r="V383" i="1"/>
  <c r="S383" i="1"/>
  <c r="Y383" i="1" s="1"/>
  <c r="M383" i="1"/>
  <c r="Y382" i="1"/>
  <c r="V382" i="1"/>
  <c r="S382" i="1"/>
  <c r="P381" i="1" s="1"/>
  <c r="M382" i="1"/>
  <c r="J381" i="1" s="1"/>
  <c r="W381" i="1"/>
  <c r="T381" i="1"/>
  <c r="Z381" i="1" s="1"/>
  <c r="R381" i="1"/>
  <c r="X381" i="1" s="1"/>
  <c r="N381" i="1"/>
  <c r="V380" i="1"/>
  <c r="S380" i="1"/>
  <c r="Y380" i="1" s="1"/>
  <c r="M380" i="1"/>
  <c r="V379" i="1"/>
  <c r="S379" i="1"/>
  <c r="M379" i="1"/>
  <c r="J378" i="1" s="1"/>
  <c r="W378" i="1"/>
  <c r="T378" i="1"/>
  <c r="Z378" i="1" s="1"/>
  <c r="N378" i="1"/>
  <c r="V377" i="1"/>
  <c r="S377" i="1"/>
  <c r="Y377" i="1" s="1"/>
  <c r="M377" i="1"/>
  <c r="Y376" i="1"/>
  <c r="V376" i="1"/>
  <c r="S376" i="1"/>
  <c r="M376" i="1"/>
  <c r="Z375" i="1"/>
  <c r="W375" i="1"/>
  <c r="T375" i="1"/>
  <c r="N375" i="1"/>
  <c r="J375" i="1"/>
  <c r="V374" i="1"/>
  <c r="S374" i="1"/>
  <c r="Y374" i="1" s="1"/>
  <c r="M374" i="1"/>
  <c r="Y373" i="1"/>
  <c r="V373" i="1"/>
  <c r="S373" i="1"/>
  <c r="M373" i="1"/>
  <c r="Z372" i="1"/>
  <c r="W372" i="1"/>
  <c r="T372" i="1"/>
  <c r="P372" i="1"/>
  <c r="N372" i="1"/>
  <c r="J372" i="1"/>
  <c r="M372" i="1" s="1"/>
  <c r="O372" i="1" s="1"/>
  <c r="V371" i="1"/>
  <c r="S371" i="1"/>
  <c r="Y371" i="1" s="1"/>
  <c r="M371" i="1"/>
  <c r="V370" i="1"/>
  <c r="S370" i="1"/>
  <c r="Y370" i="1" s="1"/>
  <c r="M370" i="1"/>
  <c r="Z369" i="1"/>
  <c r="W369" i="1"/>
  <c r="T369" i="1"/>
  <c r="P369" i="1"/>
  <c r="S369" i="1" s="1"/>
  <c r="Y369" i="1" s="1"/>
  <c r="AA369" i="1" s="1"/>
  <c r="N369" i="1"/>
  <c r="V368" i="1"/>
  <c r="S368" i="1"/>
  <c r="Y368" i="1" s="1"/>
  <c r="M368" i="1"/>
  <c r="J366" i="1" s="1"/>
  <c r="V367" i="1"/>
  <c r="S367" i="1"/>
  <c r="M367" i="1"/>
  <c r="W366" i="1"/>
  <c r="T366" i="1"/>
  <c r="Z366" i="1" s="1"/>
  <c r="N366" i="1"/>
  <c r="Y365" i="1"/>
  <c r="V365" i="1"/>
  <c r="S365" i="1"/>
  <c r="M365" i="1"/>
  <c r="Y364" i="1"/>
  <c r="V364" i="1"/>
  <c r="S364" i="1"/>
  <c r="M364" i="1"/>
  <c r="W363" i="1"/>
  <c r="V363" i="1"/>
  <c r="T363" i="1"/>
  <c r="Z363" i="1" s="1"/>
  <c r="S363" i="1"/>
  <c r="P363" i="1"/>
  <c r="R363" i="1" s="1"/>
  <c r="X363" i="1" s="1"/>
  <c r="N363" i="1"/>
  <c r="M363" i="1"/>
  <c r="O363" i="1" s="1"/>
  <c r="J363" i="1"/>
  <c r="L363" i="1" s="1"/>
  <c r="Y362" i="1"/>
  <c r="V362" i="1"/>
  <c r="S362" i="1"/>
  <c r="M362" i="1"/>
  <c r="Y361" i="1"/>
  <c r="V361" i="1"/>
  <c r="S361" i="1"/>
  <c r="M361" i="1"/>
  <c r="Y360" i="1"/>
  <c r="V360" i="1"/>
  <c r="S360" i="1"/>
  <c r="M360" i="1"/>
  <c r="Y359" i="1"/>
  <c r="V359" i="1"/>
  <c r="S359" i="1"/>
  <c r="M359" i="1"/>
  <c r="J357" i="1" s="1"/>
  <c r="L357" i="1" s="1"/>
  <c r="Z358" i="1"/>
  <c r="X358" i="1"/>
  <c r="W358" i="1"/>
  <c r="Z357" i="1"/>
  <c r="W357" i="1"/>
  <c r="V357" i="1"/>
  <c r="T357" i="1"/>
  <c r="P357" i="1"/>
  <c r="S357" i="1" s="1"/>
  <c r="N357" i="1"/>
  <c r="M357" i="1"/>
  <c r="O357" i="1" s="1"/>
  <c r="V356" i="1"/>
  <c r="S356" i="1"/>
  <c r="Y356" i="1" s="1"/>
  <c r="M356" i="1"/>
  <c r="Y355" i="1"/>
  <c r="V355" i="1"/>
  <c r="S355" i="1"/>
  <c r="M355" i="1"/>
  <c r="V354" i="1"/>
  <c r="S354" i="1"/>
  <c r="Y354" i="1" s="1"/>
  <c r="M354" i="1"/>
  <c r="Y353" i="1"/>
  <c r="V353" i="1"/>
  <c r="S353" i="1"/>
  <c r="M353" i="1"/>
  <c r="Z352" i="1"/>
  <c r="X352" i="1"/>
  <c r="W352" i="1"/>
  <c r="W351" i="1"/>
  <c r="T351" i="1"/>
  <c r="Z351" i="1" s="1"/>
  <c r="P351" i="1"/>
  <c r="N351" i="1"/>
  <c r="J351" i="1"/>
  <c r="M351" i="1" s="1"/>
  <c r="O351" i="1" s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V347" i="1"/>
  <c r="S347" i="1"/>
  <c r="P345" i="1" s="1"/>
  <c r="M347" i="1"/>
  <c r="Z346" i="1"/>
  <c r="X346" i="1"/>
  <c r="W346" i="1"/>
  <c r="W345" i="1"/>
  <c r="T345" i="1"/>
  <c r="N345" i="1"/>
  <c r="J345" i="1"/>
  <c r="V344" i="1"/>
  <c r="S344" i="1"/>
  <c r="Y344" i="1" s="1"/>
  <c r="M344" i="1"/>
  <c r="Y343" i="1"/>
  <c r="V343" i="1"/>
  <c r="S343" i="1"/>
  <c r="M343" i="1"/>
  <c r="V342" i="1"/>
  <c r="S342" i="1"/>
  <c r="Y342" i="1" s="1"/>
  <c r="M342" i="1"/>
  <c r="Y341" i="1"/>
  <c r="V341" i="1"/>
  <c r="S341" i="1"/>
  <c r="P339" i="1" s="1"/>
  <c r="M341" i="1"/>
  <c r="J339" i="1" s="1"/>
  <c r="Z340" i="1"/>
  <c r="X340" i="1"/>
  <c r="W340" i="1"/>
  <c r="Z339" i="1"/>
  <c r="W339" i="1"/>
  <c r="T339" i="1"/>
  <c r="N339" i="1"/>
  <c r="Y338" i="1"/>
  <c r="V338" i="1"/>
  <c r="S338" i="1"/>
  <c r="M338" i="1"/>
  <c r="Y337" i="1"/>
  <c r="V337" i="1"/>
  <c r="S337" i="1"/>
  <c r="M337" i="1"/>
  <c r="Y336" i="1"/>
  <c r="V336" i="1"/>
  <c r="S336" i="1"/>
  <c r="M336" i="1"/>
  <c r="Y335" i="1"/>
  <c r="V335" i="1"/>
  <c r="S335" i="1"/>
  <c r="P333" i="1" s="1"/>
  <c r="M335" i="1"/>
  <c r="J333" i="1" s="1"/>
  <c r="Z334" i="1"/>
  <c r="X334" i="1"/>
  <c r="W334" i="1"/>
  <c r="Z333" i="1"/>
  <c r="W333" i="1"/>
  <c r="T333" i="1"/>
  <c r="R333" i="1"/>
  <c r="X333" i="1" s="1"/>
  <c r="N333" i="1"/>
  <c r="Y332" i="1"/>
  <c r="V332" i="1"/>
  <c r="S332" i="1"/>
  <c r="M332" i="1"/>
  <c r="V331" i="1"/>
  <c r="S331" i="1"/>
  <c r="Y331" i="1" s="1"/>
  <c r="M331" i="1"/>
  <c r="Y330" i="1"/>
  <c r="V330" i="1"/>
  <c r="S330" i="1"/>
  <c r="M330" i="1"/>
  <c r="V329" i="1"/>
  <c r="S329" i="1"/>
  <c r="Y329" i="1" s="1"/>
  <c r="M329" i="1"/>
  <c r="Z328" i="1"/>
  <c r="X328" i="1"/>
  <c r="W328" i="1"/>
  <c r="Z327" i="1"/>
  <c r="W327" i="1"/>
  <c r="T327" i="1"/>
  <c r="O327" i="1"/>
  <c r="N327" i="1"/>
  <c r="M327" i="1"/>
  <c r="L327" i="1"/>
  <c r="J327" i="1"/>
  <c r="V326" i="1"/>
  <c r="S326" i="1"/>
  <c r="Y326" i="1" s="1"/>
  <c r="M326" i="1"/>
  <c r="V325" i="1"/>
  <c r="S325" i="1"/>
  <c r="Y325" i="1" s="1"/>
  <c r="M325" i="1"/>
  <c r="V324" i="1"/>
  <c r="S324" i="1"/>
  <c r="Y324" i="1" s="1"/>
  <c r="M324" i="1"/>
  <c r="V323" i="1"/>
  <c r="S323" i="1"/>
  <c r="M323" i="1"/>
  <c r="Z322" i="1"/>
  <c r="X322" i="1"/>
  <c r="W322" i="1"/>
  <c r="W321" i="1"/>
  <c r="T321" i="1"/>
  <c r="Z321" i="1" s="1"/>
  <c r="N321" i="1"/>
  <c r="J321" i="1"/>
  <c r="L321" i="1" s="1"/>
  <c r="Y320" i="1"/>
  <c r="V320" i="1"/>
  <c r="S320" i="1"/>
  <c r="M320" i="1"/>
  <c r="V319" i="1"/>
  <c r="S319" i="1"/>
  <c r="Y319" i="1" s="1"/>
  <c r="M319" i="1"/>
  <c r="Y318" i="1"/>
  <c r="V318" i="1"/>
  <c r="S318" i="1"/>
  <c r="M318" i="1"/>
  <c r="V317" i="1"/>
  <c r="S317" i="1"/>
  <c r="Y317" i="1" s="1"/>
  <c r="M317" i="1"/>
  <c r="Y316" i="1"/>
  <c r="V316" i="1"/>
  <c r="S316" i="1"/>
  <c r="M316" i="1"/>
  <c r="V315" i="1"/>
  <c r="S315" i="1"/>
  <c r="Y315" i="1" s="1"/>
  <c r="M315" i="1"/>
  <c r="Y314" i="1"/>
  <c r="V314" i="1"/>
  <c r="S314" i="1"/>
  <c r="M314" i="1"/>
  <c r="V313" i="1"/>
  <c r="S313" i="1"/>
  <c r="Y313" i="1" s="1"/>
  <c r="M313" i="1"/>
  <c r="Y312" i="1"/>
  <c r="V312" i="1"/>
  <c r="S312" i="1"/>
  <c r="M312" i="1"/>
  <c r="V311" i="1"/>
  <c r="S311" i="1"/>
  <c r="Y311" i="1" s="1"/>
  <c r="M311" i="1"/>
  <c r="J309" i="1" s="1"/>
  <c r="Z310" i="1"/>
  <c r="X310" i="1"/>
  <c r="W310" i="1"/>
  <c r="W309" i="1"/>
  <c r="T309" i="1"/>
  <c r="Z309" i="1" s="1"/>
  <c r="N309" i="1"/>
  <c r="Y308" i="1"/>
  <c r="V308" i="1"/>
  <c r="S308" i="1"/>
  <c r="M308" i="1"/>
  <c r="Y307" i="1"/>
  <c r="V307" i="1"/>
  <c r="S307" i="1"/>
  <c r="M307" i="1"/>
  <c r="Y306" i="1"/>
  <c r="V306" i="1"/>
  <c r="S306" i="1"/>
  <c r="M306" i="1"/>
  <c r="Y305" i="1"/>
  <c r="V305" i="1"/>
  <c r="S305" i="1"/>
  <c r="M305" i="1"/>
  <c r="Y304" i="1"/>
  <c r="V304" i="1"/>
  <c r="S304" i="1"/>
  <c r="M304" i="1"/>
  <c r="Y303" i="1"/>
  <c r="V303" i="1"/>
  <c r="S303" i="1"/>
  <c r="M303" i="1"/>
  <c r="Y302" i="1"/>
  <c r="V302" i="1"/>
  <c r="S302" i="1"/>
  <c r="M302" i="1"/>
  <c r="Y301" i="1"/>
  <c r="V301" i="1"/>
  <c r="S301" i="1"/>
  <c r="M301" i="1"/>
  <c r="Y300" i="1"/>
  <c r="V300" i="1"/>
  <c r="S300" i="1"/>
  <c r="M300" i="1"/>
  <c r="Y299" i="1"/>
  <c r="V299" i="1"/>
  <c r="S299" i="1"/>
  <c r="M299" i="1"/>
  <c r="J297" i="1" s="1"/>
  <c r="L297" i="1" s="1"/>
  <c r="Z298" i="1"/>
  <c r="X298" i="1"/>
  <c r="W298" i="1"/>
  <c r="Z297" i="1"/>
  <c r="W297" i="1"/>
  <c r="V297" i="1"/>
  <c r="T297" i="1"/>
  <c r="P297" i="1"/>
  <c r="S297" i="1" s="1"/>
  <c r="N297" i="1"/>
  <c r="N296" i="1" s="1"/>
  <c r="M297" i="1"/>
  <c r="Y295" i="1"/>
  <c r="V295" i="1"/>
  <c r="S295" i="1"/>
  <c r="M295" i="1"/>
  <c r="Y294" i="1"/>
  <c r="V294" i="1"/>
  <c r="S294" i="1"/>
  <c r="M294" i="1"/>
  <c r="Y293" i="1"/>
  <c r="V293" i="1"/>
  <c r="S293" i="1"/>
  <c r="M293" i="1"/>
  <c r="W292" i="1"/>
  <c r="V292" i="1"/>
  <c r="T292" i="1"/>
  <c r="Z292" i="1" s="1"/>
  <c r="S292" i="1"/>
  <c r="P292" i="1"/>
  <c r="R292" i="1" s="1"/>
  <c r="X292" i="1" s="1"/>
  <c r="N292" i="1"/>
  <c r="M292" i="1"/>
  <c r="O292" i="1" s="1"/>
  <c r="J292" i="1"/>
  <c r="L292" i="1" s="1"/>
  <c r="Y291" i="1"/>
  <c r="V291" i="1"/>
  <c r="S291" i="1"/>
  <c r="M291" i="1"/>
  <c r="Y290" i="1"/>
  <c r="V290" i="1"/>
  <c r="S290" i="1"/>
  <c r="M290" i="1"/>
  <c r="Y289" i="1"/>
  <c r="V289" i="1"/>
  <c r="S289" i="1"/>
  <c r="P288" i="1" s="1"/>
  <c r="M289" i="1"/>
  <c r="Z288" i="1"/>
  <c r="W288" i="1"/>
  <c r="T288" i="1"/>
  <c r="N288" i="1"/>
  <c r="J288" i="1"/>
  <c r="M288" i="1" s="1"/>
  <c r="O288" i="1" s="1"/>
  <c r="Y287" i="1"/>
  <c r="V287" i="1"/>
  <c r="S287" i="1"/>
  <c r="M287" i="1"/>
  <c r="Y286" i="1"/>
  <c r="V286" i="1"/>
  <c r="S286" i="1"/>
  <c r="M286" i="1"/>
  <c r="Y285" i="1"/>
  <c r="V285" i="1"/>
  <c r="S285" i="1"/>
  <c r="M285" i="1"/>
  <c r="W284" i="1"/>
  <c r="V284" i="1"/>
  <c r="T284" i="1"/>
  <c r="Z284" i="1" s="1"/>
  <c r="S284" i="1"/>
  <c r="P284" i="1"/>
  <c r="R284" i="1" s="1"/>
  <c r="X284" i="1" s="1"/>
  <c r="N284" i="1"/>
  <c r="M284" i="1"/>
  <c r="O284" i="1" s="1"/>
  <c r="J284" i="1"/>
  <c r="L284" i="1" s="1"/>
  <c r="Y283" i="1"/>
  <c r="V283" i="1"/>
  <c r="S283" i="1"/>
  <c r="M283" i="1"/>
  <c r="Y282" i="1"/>
  <c r="V282" i="1"/>
  <c r="S282" i="1"/>
  <c r="M282" i="1"/>
  <c r="Y281" i="1"/>
  <c r="V281" i="1"/>
  <c r="S281" i="1"/>
  <c r="P280" i="1" s="1"/>
  <c r="M281" i="1"/>
  <c r="Z280" i="1"/>
  <c r="W280" i="1"/>
  <c r="T280" i="1"/>
  <c r="N280" i="1"/>
  <c r="J280" i="1"/>
  <c r="M280" i="1" s="1"/>
  <c r="O280" i="1" s="1"/>
  <c r="Y279" i="1"/>
  <c r="V279" i="1"/>
  <c r="S279" i="1"/>
  <c r="M279" i="1"/>
  <c r="Y278" i="1"/>
  <c r="V278" i="1"/>
  <c r="S278" i="1"/>
  <c r="M278" i="1"/>
  <c r="Y277" i="1"/>
  <c r="V277" i="1"/>
  <c r="S277" i="1"/>
  <c r="M277" i="1"/>
  <c r="Y276" i="1"/>
  <c r="V276" i="1"/>
  <c r="S276" i="1"/>
  <c r="P275" i="1" s="1"/>
  <c r="M276" i="1"/>
  <c r="Z275" i="1"/>
  <c r="W275" i="1"/>
  <c r="T275" i="1"/>
  <c r="N275" i="1"/>
  <c r="J275" i="1"/>
  <c r="M275" i="1" s="1"/>
  <c r="Y274" i="1"/>
  <c r="V274" i="1"/>
  <c r="S274" i="1"/>
  <c r="M274" i="1"/>
  <c r="Y273" i="1"/>
  <c r="V273" i="1"/>
  <c r="S273" i="1"/>
  <c r="M273" i="1"/>
  <c r="Y272" i="1"/>
  <c r="V272" i="1"/>
  <c r="S272" i="1"/>
  <c r="M272" i="1"/>
  <c r="Y271" i="1"/>
  <c r="V271" i="1"/>
  <c r="S271" i="1"/>
  <c r="P270" i="1" s="1"/>
  <c r="M271" i="1"/>
  <c r="Z270" i="1"/>
  <c r="W270" i="1"/>
  <c r="T270" i="1"/>
  <c r="N270" i="1"/>
  <c r="J270" i="1"/>
  <c r="M270" i="1" s="1"/>
  <c r="O270" i="1" s="1"/>
  <c r="Y269" i="1"/>
  <c r="V269" i="1"/>
  <c r="S269" i="1"/>
  <c r="M269" i="1"/>
  <c r="Y268" i="1"/>
  <c r="V268" i="1"/>
  <c r="S268" i="1"/>
  <c r="M268" i="1"/>
  <c r="Y267" i="1"/>
  <c r="V267" i="1"/>
  <c r="S267" i="1"/>
  <c r="M267" i="1"/>
  <c r="Y266" i="1"/>
  <c r="V266" i="1"/>
  <c r="S266" i="1"/>
  <c r="P265" i="1" s="1"/>
  <c r="M266" i="1"/>
  <c r="Z265" i="1"/>
  <c r="W265" i="1"/>
  <c r="T265" i="1"/>
  <c r="N265" i="1"/>
  <c r="J265" i="1"/>
  <c r="M265" i="1" s="1"/>
  <c r="O265" i="1" s="1"/>
  <c r="Y264" i="1"/>
  <c r="V264" i="1"/>
  <c r="S264" i="1"/>
  <c r="M264" i="1"/>
  <c r="Y263" i="1"/>
  <c r="V263" i="1"/>
  <c r="S263" i="1"/>
  <c r="M263" i="1"/>
  <c r="Y262" i="1"/>
  <c r="V262" i="1"/>
  <c r="S262" i="1"/>
  <c r="M262" i="1"/>
  <c r="Y261" i="1"/>
  <c r="V261" i="1"/>
  <c r="S261" i="1"/>
  <c r="P260" i="1" s="1"/>
  <c r="M261" i="1"/>
  <c r="Z260" i="1"/>
  <c r="W260" i="1"/>
  <c r="T260" i="1"/>
  <c r="N260" i="1"/>
  <c r="J260" i="1"/>
  <c r="M260" i="1" s="1"/>
  <c r="O260" i="1" s="1"/>
  <c r="Y259" i="1"/>
  <c r="V259" i="1"/>
  <c r="S259" i="1"/>
  <c r="M259" i="1"/>
  <c r="Y258" i="1"/>
  <c r="V258" i="1"/>
  <c r="S258" i="1"/>
  <c r="M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Y254" i="1"/>
  <c r="V254" i="1"/>
  <c r="S254" i="1"/>
  <c r="M254" i="1"/>
  <c r="Y253" i="1"/>
  <c r="V253" i="1"/>
  <c r="S253" i="1"/>
  <c r="M253" i="1"/>
  <c r="Y252" i="1"/>
  <c r="V252" i="1"/>
  <c r="S252" i="1"/>
  <c r="P250" i="1" s="1"/>
  <c r="M252" i="1"/>
  <c r="J250" i="1" s="1"/>
  <c r="Z251" i="1"/>
  <c r="X251" i="1"/>
  <c r="W251" i="1"/>
  <c r="Z250" i="1"/>
  <c r="W250" i="1"/>
  <c r="T250" i="1"/>
  <c r="R250" i="1"/>
  <c r="X250" i="1" s="1"/>
  <c r="N250" i="1"/>
  <c r="Y249" i="1"/>
  <c r="V249" i="1"/>
  <c r="S249" i="1"/>
  <c r="M249" i="1"/>
  <c r="J247" i="1" s="1"/>
  <c r="V248" i="1"/>
  <c r="S248" i="1"/>
  <c r="Y248" i="1" s="1"/>
  <c r="M248" i="1"/>
  <c r="Z247" i="1"/>
  <c r="W247" i="1"/>
  <c r="T247" i="1"/>
  <c r="N247" i="1"/>
  <c r="Y246" i="1"/>
  <c r="V246" i="1"/>
  <c r="S246" i="1"/>
  <c r="M246" i="1"/>
  <c r="J244" i="1" s="1"/>
  <c r="V245" i="1"/>
  <c r="S245" i="1"/>
  <c r="Y245" i="1" s="1"/>
  <c r="M245" i="1"/>
  <c r="Z244" i="1"/>
  <c r="W244" i="1"/>
  <c r="T244" i="1"/>
  <c r="N244" i="1"/>
  <c r="Y243" i="1"/>
  <c r="V243" i="1"/>
  <c r="S243" i="1"/>
  <c r="M243" i="1"/>
  <c r="V242" i="1"/>
  <c r="S242" i="1"/>
  <c r="Y242" i="1" s="1"/>
  <c r="M242" i="1"/>
  <c r="Z241" i="1"/>
  <c r="W241" i="1"/>
  <c r="T241" i="1"/>
  <c r="N241" i="1"/>
  <c r="M241" i="1"/>
  <c r="O241" i="1" s="1"/>
  <c r="L241" i="1"/>
  <c r="J241" i="1"/>
  <c r="Y240" i="1"/>
  <c r="V240" i="1"/>
  <c r="S240" i="1"/>
  <c r="M240" i="1"/>
  <c r="V239" i="1"/>
  <c r="S239" i="1"/>
  <c r="Y239" i="1" s="1"/>
  <c r="M239" i="1"/>
  <c r="Z238" i="1"/>
  <c r="W238" i="1"/>
  <c r="T238" i="1"/>
  <c r="N238" i="1"/>
  <c r="M238" i="1"/>
  <c r="O238" i="1" s="1"/>
  <c r="L238" i="1"/>
  <c r="J238" i="1"/>
  <c r="Y237" i="1"/>
  <c r="V237" i="1"/>
  <c r="S237" i="1"/>
  <c r="M237" i="1"/>
  <c r="V236" i="1"/>
  <c r="S236" i="1"/>
  <c r="Y236" i="1" s="1"/>
  <c r="M236" i="1"/>
  <c r="Y235" i="1"/>
  <c r="V235" i="1"/>
  <c r="S235" i="1"/>
  <c r="M235" i="1"/>
  <c r="V234" i="1"/>
  <c r="S234" i="1"/>
  <c r="Y234" i="1" s="1"/>
  <c r="M234" i="1"/>
  <c r="J232" i="1" s="1"/>
  <c r="M232" i="1" s="1"/>
  <c r="O232" i="1" s="1"/>
  <c r="Z233" i="1"/>
  <c r="X233" i="1"/>
  <c r="W233" i="1"/>
  <c r="Z232" i="1"/>
  <c r="W232" i="1"/>
  <c r="T232" i="1"/>
  <c r="N232" i="1"/>
  <c r="V231" i="1"/>
  <c r="S231" i="1"/>
  <c r="Y231" i="1" s="1"/>
  <c r="M231" i="1"/>
  <c r="V230" i="1"/>
  <c r="S230" i="1"/>
  <c r="Y230" i="1" s="1"/>
  <c r="M230" i="1"/>
  <c r="V229" i="1"/>
  <c r="S229" i="1"/>
  <c r="Y229" i="1" s="1"/>
  <c r="M229" i="1"/>
  <c r="V228" i="1"/>
  <c r="S228" i="1"/>
  <c r="Y228" i="1" s="1"/>
  <c r="M228" i="1"/>
  <c r="V227" i="1"/>
  <c r="S227" i="1"/>
  <c r="Y227" i="1" s="1"/>
  <c r="M227" i="1"/>
  <c r="V226" i="1"/>
  <c r="S226" i="1"/>
  <c r="Y226" i="1" s="1"/>
  <c r="M226" i="1"/>
  <c r="V225" i="1"/>
  <c r="S225" i="1"/>
  <c r="Y225" i="1" s="1"/>
  <c r="M225" i="1"/>
  <c r="V224" i="1"/>
  <c r="S224" i="1"/>
  <c r="M224" i="1"/>
  <c r="Z223" i="1"/>
  <c r="X223" i="1"/>
  <c r="W223" i="1"/>
  <c r="W222" i="1"/>
  <c r="T222" i="1"/>
  <c r="Z222" i="1" s="1"/>
  <c r="O222" i="1"/>
  <c r="N222" i="1"/>
  <c r="L222" i="1"/>
  <c r="J222" i="1"/>
  <c r="M222" i="1" s="1"/>
  <c r="Y221" i="1"/>
  <c r="V221" i="1"/>
  <c r="S221" i="1"/>
  <c r="M221" i="1"/>
  <c r="V220" i="1"/>
  <c r="S220" i="1"/>
  <c r="Y220" i="1" s="1"/>
  <c r="M220" i="1"/>
  <c r="Y219" i="1"/>
  <c r="V219" i="1"/>
  <c r="S219" i="1"/>
  <c r="M219" i="1"/>
  <c r="V218" i="1"/>
  <c r="S218" i="1"/>
  <c r="Y218" i="1" s="1"/>
  <c r="M218" i="1"/>
  <c r="Y217" i="1"/>
  <c r="V217" i="1"/>
  <c r="S217" i="1"/>
  <c r="M217" i="1"/>
  <c r="V216" i="1"/>
  <c r="S216" i="1"/>
  <c r="Y216" i="1" s="1"/>
  <c r="M216" i="1"/>
  <c r="J214" i="1" s="1"/>
  <c r="Z215" i="1"/>
  <c r="X215" i="1"/>
  <c r="W215" i="1"/>
  <c r="W214" i="1"/>
  <c r="T214" i="1"/>
  <c r="Z214" i="1" s="1"/>
  <c r="N214" i="1"/>
  <c r="Y213" i="1"/>
  <c r="V213" i="1"/>
  <c r="S213" i="1"/>
  <c r="M213" i="1"/>
  <c r="J211" i="1" s="1"/>
  <c r="Y212" i="1"/>
  <c r="V212" i="1"/>
  <c r="S212" i="1"/>
  <c r="M212" i="1"/>
  <c r="W211" i="1"/>
  <c r="V211" i="1"/>
  <c r="T211" i="1"/>
  <c r="Z211" i="1" s="1"/>
  <c r="S211" i="1"/>
  <c r="P211" i="1"/>
  <c r="R211" i="1" s="1"/>
  <c r="X211" i="1" s="1"/>
  <c r="N211" i="1"/>
  <c r="T210" i="1"/>
  <c r="V208" i="1"/>
  <c r="S208" i="1"/>
  <c r="Y208" i="1" s="1"/>
  <c r="M208" i="1"/>
  <c r="V207" i="1"/>
  <c r="S207" i="1"/>
  <c r="Y207" i="1" s="1"/>
  <c r="M207" i="1"/>
  <c r="V206" i="1"/>
  <c r="S206" i="1"/>
  <c r="Y206" i="1" s="1"/>
  <c r="M206" i="1"/>
  <c r="J204" i="1" s="1"/>
  <c r="M204" i="1" s="1"/>
  <c r="O204" i="1" s="1"/>
  <c r="V205" i="1"/>
  <c r="S205" i="1"/>
  <c r="M205" i="1"/>
  <c r="Z204" i="1"/>
  <c r="W204" i="1"/>
  <c r="T204" i="1"/>
  <c r="N204" i="1"/>
  <c r="V203" i="1"/>
  <c r="S203" i="1"/>
  <c r="Y203" i="1" s="1"/>
  <c r="M203" i="1"/>
  <c r="V202" i="1"/>
  <c r="S202" i="1"/>
  <c r="Y202" i="1" s="1"/>
  <c r="M202" i="1"/>
  <c r="V201" i="1"/>
  <c r="S201" i="1"/>
  <c r="Y201" i="1" s="1"/>
  <c r="M201" i="1"/>
  <c r="J199" i="1" s="1"/>
  <c r="M199" i="1" s="1"/>
  <c r="O199" i="1" s="1"/>
  <c r="V200" i="1"/>
  <c r="S200" i="1"/>
  <c r="M200" i="1"/>
  <c r="Z199" i="1"/>
  <c r="W199" i="1"/>
  <c r="T199" i="1"/>
  <c r="N199" i="1"/>
  <c r="L199" i="1"/>
  <c r="V198" i="1"/>
  <c r="S198" i="1"/>
  <c r="Y198" i="1" s="1"/>
  <c r="M198" i="1"/>
  <c r="V197" i="1"/>
  <c r="S197" i="1"/>
  <c r="Y197" i="1" s="1"/>
  <c r="M197" i="1"/>
  <c r="V196" i="1"/>
  <c r="S196" i="1"/>
  <c r="Y196" i="1" s="1"/>
  <c r="M196" i="1"/>
  <c r="J194" i="1" s="1"/>
  <c r="M194" i="1" s="1"/>
  <c r="O194" i="1" s="1"/>
  <c r="V195" i="1"/>
  <c r="S195" i="1"/>
  <c r="M195" i="1"/>
  <c r="Z194" i="1"/>
  <c r="W194" i="1"/>
  <c r="T194" i="1"/>
  <c r="N194" i="1"/>
  <c r="V193" i="1"/>
  <c r="S193" i="1"/>
  <c r="Y193" i="1" s="1"/>
  <c r="M193" i="1"/>
  <c r="V192" i="1"/>
  <c r="S192" i="1"/>
  <c r="Y192" i="1" s="1"/>
  <c r="M192" i="1"/>
  <c r="V191" i="1"/>
  <c r="S191" i="1"/>
  <c r="Y191" i="1" s="1"/>
  <c r="M191" i="1"/>
  <c r="J189" i="1" s="1"/>
  <c r="M189" i="1" s="1"/>
  <c r="O189" i="1" s="1"/>
  <c r="V190" i="1"/>
  <c r="S190" i="1"/>
  <c r="M190" i="1"/>
  <c r="Z189" i="1"/>
  <c r="W189" i="1"/>
  <c r="T189" i="1"/>
  <c r="N189" i="1"/>
  <c r="V188" i="1"/>
  <c r="S188" i="1"/>
  <c r="Y188" i="1" s="1"/>
  <c r="M188" i="1"/>
  <c r="V187" i="1"/>
  <c r="S187" i="1"/>
  <c r="Y187" i="1" s="1"/>
  <c r="M187" i="1"/>
  <c r="V186" i="1"/>
  <c r="S186" i="1"/>
  <c r="Y186" i="1" s="1"/>
  <c r="M186" i="1"/>
  <c r="J184" i="1" s="1"/>
  <c r="M184" i="1" s="1"/>
  <c r="O184" i="1" s="1"/>
  <c r="V185" i="1"/>
  <c r="S185" i="1"/>
  <c r="M185" i="1"/>
  <c r="Z184" i="1"/>
  <c r="W184" i="1"/>
  <c r="T184" i="1"/>
  <c r="N184" i="1"/>
  <c r="V183" i="1"/>
  <c r="S183" i="1"/>
  <c r="Y183" i="1" s="1"/>
  <c r="M183" i="1"/>
  <c r="V182" i="1"/>
  <c r="S182" i="1"/>
  <c r="Y182" i="1" s="1"/>
  <c r="M182" i="1"/>
  <c r="V181" i="1"/>
  <c r="S181" i="1"/>
  <c r="Y181" i="1" s="1"/>
  <c r="M181" i="1"/>
  <c r="J179" i="1" s="1"/>
  <c r="M179" i="1" s="1"/>
  <c r="O179" i="1" s="1"/>
  <c r="V180" i="1"/>
  <c r="S180" i="1"/>
  <c r="M180" i="1"/>
  <c r="Z179" i="1"/>
  <c r="W179" i="1"/>
  <c r="T179" i="1"/>
  <c r="N179" i="1"/>
  <c r="L179" i="1"/>
  <c r="V178" i="1"/>
  <c r="S178" i="1"/>
  <c r="Y178" i="1" s="1"/>
  <c r="M178" i="1"/>
  <c r="V177" i="1"/>
  <c r="S177" i="1"/>
  <c r="Y177" i="1" s="1"/>
  <c r="M177" i="1"/>
  <c r="V176" i="1"/>
  <c r="S176" i="1"/>
  <c r="Y176" i="1" s="1"/>
  <c r="M176" i="1"/>
  <c r="J174" i="1" s="1"/>
  <c r="M174" i="1" s="1"/>
  <c r="O174" i="1" s="1"/>
  <c r="V175" i="1"/>
  <c r="S175" i="1"/>
  <c r="M175" i="1"/>
  <c r="Z174" i="1"/>
  <c r="W174" i="1"/>
  <c r="T174" i="1"/>
  <c r="N174" i="1"/>
  <c r="V173" i="1"/>
  <c r="S173" i="1"/>
  <c r="Y173" i="1" s="1"/>
  <c r="M173" i="1"/>
  <c r="W172" i="1"/>
  <c r="T172" i="1"/>
  <c r="Z172" i="1" s="1"/>
  <c r="P172" i="1"/>
  <c r="N172" i="1"/>
  <c r="J172" i="1"/>
  <c r="M172" i="1" s="1"/>
  <c r="O172" i="1" s="1"/>
  <c r="V171" i="1"/>
  <c r="S171" i="1"/>
  <c r="M171" i="1"/>
  <c r="Z170" i="1"/>
  <c r="W170" i="1"/>
  <c r="T170" i="1"/>
  <c r="N170" i="1"/>
  <c r="L170" i="1"/>
  <c r="J170" i="1"/>
  <c r="M170" i="1" s="1"/>
  <c r="O170" i="1" s="1"/>
  <c r="V169" i="1"/>
  <c r="S169" i="1"/>
  <c r="Y169" i="1" s="1"/>
  <c r="M169" i="1"/>
  <c r="J167" i="1" s="1"/>
  <c r="M167" i="1" s="1"/>
  <c r="O167" i="1" s="1"/>
  <c r="V168" i="1"/>
  <c r="S168" i="1"/>
  <c r="M168" i="1"/>
  <c r="Z167" i="1"/>
  <c r="W167" i="1"/>
  <c r="T167" i="1"/>
  <c r="N167" i="1"/>
  <c r="L167" i="1"/>
  <c r="V166" i="1"/>
  <c r="S166" i="1"/>
  <c r="Y166" i="1" s="1"/>
  <c r="M166" i="1"/>
  <c r="V165" i="1"/>
  <c r="S165" i="1"/>
  <c r="Y165" i="1" s="1"/>
  <c r="M165" i="1"/>
  <c r="V164" i="1"/>
  <c r="S164" i="1"/>
  <c r="Y164" i="1" s="1"/>
  <c r="M164" i="1"/>
  <c r="V163" i="1"/>
  <c r="S163" i="1"/>
  <c r="M163" i="1"/>
  <c r="Z162" i="1"/>
  <c r="X162" i="1"/>
  <c r="W162" i="1"/>
  <c r="W161" i="1"/>
  <c r="T161" i="1"/>
  <c r="Z161" i="1" s="1"/>
  <c r="N161" i="1"/>
  <c r="J161" i="1"/>
  <c r="L161" i="1" s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V157" i="1"/>
  <c r="S157" i="1"/>
  <c r="Y157" i="1" s="1"/>
  <c r="M157" i="1"/>
  <c r="J155" i="1" s="1"/>
  <c r="Z156" i="1"/>
  <c r="X156" i="1"/>
  <c r="W156" i="1"/>
  <c r="Z155" i="1"/>
  <c r="W155" i="1"/>
  <c r="T155" i="1"/>
  <c r="N155" i="1"/>
  <c r="Y154" i="1"/>
  <c r="V154" i="1"/>
  <c r="S154" i="1"/>
  <c r="M154" i="1"/>
  <c r="Y153" i="1"/>
  <c r="V153" i="1"/>
  <c r="S153" i="1"/>
  <c r="M153" i="1"/>
  <c r="Y152" i="1"/>
  <c r="V152" i="1"/>
  <c r="S152" i="1"/>
  <c r="M152" i="1"/>
  <c r="Y151" i="1"/>
  <c r="V151" i="1"/>
  <c r="S151" i="1"/>
  <c r="M151" i="1"/>
  <c r="Y150" i="1"/>
  <c r="V150" i="1"/>
  <c r="S150" i="1"/>
  <c r="M150" i="1"/>
  <c r="Y149" i="1"/>
  <c r="V149" i="1"/>
  <c r="S149" i="1"/>
  <c r="M149" i="1"/>
  <c r="J147" i="1" s="1"/>
  <c r="L147" i="1" s="1"/>
  <c r="Z148" i="1"/>
  <c r="X148" i="1"/>
  <c r="W148" i="1"/>
  <c r="Z147" i="1"/>
  <c r="W147" i="1"/>
  <c r="V147" i="1"/>
  <c r="T147" i="1"/>
  <c r="S147" i="1"/>
  <c r="Y147" i="1" s="1"/>
  <c r="AA147" i="1" s="1"/>
  <c r="R147" i="1"/>
  <c r="X147" i="1" s="1"/>
  <c r="P147" i="1"/>
  <c r="N147" i="1"/>
  <c r="M147" i="1"/>
  <c r="O147" i="1" s="1"/>
  <c r="Y146" i="1"/>
  <c r="V146" i="1"/>
  <c r="S146" i="1"/>
  <c r="M146" i="1"/>
  <c r="V145" i="1"/>
  <c r="S145" i="1"/>
  <c r="Y145" i="1" s="1"/>
  <c r="M145" i="1"/>
  <c r="Y144" i="1"/>
  <c r="V144" i="1"/>
  <c r="S144" i="1"/>
  <c r="P143" i="1" s="1"/>
  <c r="S143" i="1" s="1"/>
  <c r="Y143" i="1" s="1"/>
  <c r="AA143" i="1" s="1"/>
  <c r="M144" i="1"/>
  <c r="Z143" i="1"/>
  <c r="W143" i="1"/>
  <c r="T143" i="1"/>
  <c r="N143" i="1"/>
  <c r="N119" i="1" s="1"/>
  <c r="M143" i="1"/>
  <c r="L143" i="1"/>
  <c r="J143" i="1"/>
  <c r="V142" i="1"/>
  <c r="S142" i="1"/>
  <c r="Y142" i="1" s="1"/>
  <c r="M142" i="1"/>
  <c r="V141" i="1"/>
  <c r="S141" i="1"/>
  <c r="Y141" i="1" s="1"/>
  <c r="M141" i="1"/>
  <c r="V140" i="1"/>
  <c r="S140" i="1"/>
  <c r="Y140" i="1" s="1"/>
  <c r="M140" i="1"/>
  <c r="V139" i="1"/>
  <c r="S139" i="1"/>
  <c r="Y139" i="1" s="1"/>
  <c r="M139" i="1"/>
  <c r="Z138" i="1"/>
  <c r="X138" i="1"/>
  <c r="W138" i="1"/>
  <c r="W137" i="1"/>
  <c r="T137" i="1"/>
  <c r="Z137" i="1" s="1"/>
  <c r="N137" i="1"/>
  <c r="J137" i="1"/>
  <c r="M137" i="1" s="1"/>
  <c r="O137" i="1" s="1"/>
  <c r="V136" i="1"/>
  <c r="S136" i="1"/>
  <c r="Y136" i="1" s="1"/>
  <c r="M136" i="1"/>
  <c r="V135" i="1"/>
  <c r="S135" i="1"/>
  <c r="Y135" i="1" s="1"/>
  <c r="M135" i="1"/>
  <c r="V134" i="1"/>
  <c r="S134" i="1"/>
  <c r="Y134" i="1" s="1"/>
  <c r="M134" i="1"/>
  <c r="V133" i="1"/>
  <c r="S133" i="1"/>
  <c r="Y133" i="1" s="1"/>
  <c r="M133" i="1"/>
  <c r="W132" i="1"/>
  <c r="T132" i="1"/>
  <c r="T119" i="1" s="1"/>
  <c r="N132" i="1"/>
  <c r="J132" i="1"/>
  <c r="M132" i="1" s="1"/>
  <c r="O132" i="1" s="1"/>
  <c r="V131" i="1"/>
  <c r="S131" i="1"/>
  <c r="Y131" i="1" s="1"/>
  <c r="M131" i="1"/>
  <c r="V130" i="1"/>
  <c r="S130" i="1"/>
  <c r="Y130" i="1" s="1"/>
  <c r="M130" i="1"/>
  <c r="V129" i="1"/>
  <c r="S129" i="1"/>
  <c r="Y129" i="1" s="1"/>
  <c r="M129" i="1"/>
  <c r="V128" i="1"/>
  <c r="S128" i="1"/>
  <c r="Y128" i="1" s="1"/>
  <c r="M128" i="1"/>
  <c r="V127" i="1"/>
  <c r="S127" i="1"/>
  <c r="Y127" i="1" s="1"/>
  <c r="M127" i="1"/>
  <c r="V126" i="1"/>
  <c r="S126" i="1"/>
  <c r="Y126" i="1" s="1"/>
  <c r="M126" i="1"/>
  <c r="V125" i="1"/>
  <c r="S125" i="1"/>
  <c r="Y125" i="1" s="1"/>
  <c r="M125" i="1"/>
  <c r="V124" i="1"/>
  <c r="S124" i="1"/>
  <c r="Y124" i="1" s="1"/>
  <c r="M124" i="1"/>
  <c r="V123" i="1"/>
  <c r="S123" i="1"/>
  <c r="Y123" i="1" s="1"/>
  <c r="M123" i="1"/>
  <c r="V122" i="1"/>
  <c r="S122" i="1"/>
  <c r="Y122" i="1" s="1"/>
  <c r="M122" i="1"/>
  <c r="J120" i="1" s="1"/>
  <c r="Z121" i="1"/>
  <c r="X121" i="1"/>
  <c r="W121" i="1"/>
  <c r="W120" i="1"/>
  <c r="T120" i="1"/>
  <c r="Z120" i="1" s="1"/>
  <c r="S120" i="1"/>
  <c r="P120" i="1"/>
  <c r="N120" i="1"/>
  <c r="V118" i="1"/>
  <c r="S118" i="1"/>
  <c r="Y118" i="1" s="1"/>
  <c r="M118" i="1"/>
  <c r="Z117" i="1"/>
  <c r="W117" i="1"/>
  <c r="T117" i="1"/>
  <c r="P117" i="1"/>
  <c r="S117" i="1" s="1"/>
  <c r="Y117" i="1" s="1"/>
  <c r="AA117" i="1" s="1"/>
  <c r="N117" i="1"/>
  <c r="J117" i="1"/>
  <c r="M117" i="1" s="1"/>
  <c r="O117" i="1" s="1"/>
  <c r="V116" i="1"/>
  <c r="S116" i="1"/>
  <c r="Y116" i="1" s="1"/>
  <c r="M116" i="1"/>
  <c r="Y115" i="1"/>
  <c r="V115" i="1"/>
  <c r="S115" i="1"/>
  <c r="M115" i="1"/>
  <c r="Z114" i="1"/>
  <c r="X114" i="1"/>
  <c r="W114" i="1"/>
  <c r="W113" i="1"/>
  <c r="T113" i="1"/>
  <c r="Z113" i="1" s="1"/>
  <c r="R113" i="1"/>
  <c r="X113" i="1" s="1"/>
  <c r="P113" i="1"/>
  <c r="V113" i="1" s="1"/>
  <c r="O113" i="1"/>
  <c r="N113" i="1"/>
  <c r="J113" i="1"/>
  <c r="M113" i="1" s="1"/>
  <c r="V112" i="1"/>
  <c r="S112" i="1"/>
  <c r="P111" i="1" s="1"/>
  <c r="M112" i="1"/>
  <c r="J111" i="1" s="1"/>
  <c r="W111" i="1"/>
  <c r="T111" i="1"/>
  <c r="Z111" i="1" s="1"/>
  <c r="N111" i="1"/>
  <c r="Y110" i="1"/>
  <c r="V110" i="1"/>
  <c r="S110" i="1"/>
  <c r="P109" i="1" s="1"/>
  <c r="M110" i="1"/>
  <c r="W109" i="1"/>
  <c r="T109" i="1"/>
  <c r="Z109" i="1" s="1"/>
  <c r="O109" i="1"/>
  <c r="N109" i="1"/>
  <c r="L109" i="1"/>
  <c r="J109" i="1"/>
  <c r="M109" i="1" s="1"/>
  <c r="Y108" i="1"/>
  <c r="V108" i="1"/>
  <c r="S108" i="1"/>
  <c r="M108" i="1"/>
  <c r="V107" i="1"/>
  <c r="S107" i="1"/>
  <c r="P106" i="1" s="1"/>
  <c r="M107" i="1"/>
  <c r="J106" i="1" s="1"/>
  <c r="W106" i="1"/>
  <c r="T106" i="1"/>
  <c r="Z106" i="1" s="1"/>
  <c r="Z102" i="1" s="1"/>
  <c r="N106" i="1"/>
  <c r="Y105" i="1"/>
  <c r="V105" i="1"/>
  <c r="S105" i="1"/>
  <c r="M105" i="1"/>
  <c r="V104" i="1"/>
  <c r="S104" i="1"/>
  <c r="P103" i="1" s="1"/>
  <c r="M104" i="1"/>
  <c r="Z103" i="1"/>
  <c r="W103" i="1"/>
  <c r="T103" i="1"/>
  <c r="N103" i="1"/>
  <c r="N102" i="1" s="1"/>
  <c r="M103" i="1"/>
  <c r="O103" i="1" s="1"/>
  <c r="L103" i="1"/>
  <c r="J103" i="1"/>
  <c r="Y101" i="1"/>
  <c r="V101" i="1"/>
  <c r="S101" i="1"/>
  <c r="M101" i="1"/>
  <c r="Y100" i="1"/>
  <c r="V100" i="1"/>
  <c r="S100" i="1"/>
  <c r="M100" i="1"/>
  <c r="Y99" i="1"/>
  <c r="V99" i="1"/>
  <c r="S99" i="1"/>
  <c r="M99" i="1"/>
  <c r="Y98" i="1"/>
  <c r="V98" i="1"/>
  <c r="S98" i="1"/>
  <c r="M98" i="1"/>
  <c r="J96" i="1" s="1"/>
  <c r="Y97" i="1"/>
  <c r="V97" i="1"/>
  <c r="S97" i="1"/>
  <c r="M97" i="1"/>
  <c r="Z96" i="1"/>
  <c r="X96" i="1"/>
  <c r="W96" i="1"/>
  <c r="V96" i="1"/>
  <c r="T96" i="1"/>
  <c r="S96" i="1"/>
  <c r="U96" i="1" s="1"/>
  <c r="R96" i="1"/>
  <c r="P96" i="1"/>
  <c r="N96" i="1"/>
  <c r="Y95" i="1"/>
  <c r="V95" i="1"/>
  <c r="S95" i="1"/>
  <c r="M95" i="1"/>
  <c r="Y94" i="1"/>
  <c r="V94" i="1"/>
  <c r="S94" i="1"/>
  <c r="M94" i="1"/>
  <c r="Y93" i="1"/>
  <c r="V93" i="1"/>
  <c r="S93" i="1"/>
  <c r="M93" i="1"/>
  <c r="Y92" i="1"/>
  <c r="V92" i="1"/>
  <c r="S92" i="1"/>
  <c r="M92" i="1"/>
  <c r="Y91" i="1"/>
  <c r="V91" i="1"/>
  <c r="S91" i="1"/>
  <c r="P90" i="1" s="1"/>
  <c r="M91" i="1"/>
  <c r="W90" i="1"/>
  <c r="T90" i="1"/>
  <c r="T14" i="1" s="1"/>
  <c r="N90" i="1"/>
  <c r="J90" i="1"/>
  <c r="M90" i="1" s="1"/>
  <c r="O90" i="1" s="1"/>
  <c r="Y89" i="1"/>
  <c r="V89" i="1"/>
  <c r="S89" i="1"/>
  <c r="M89" i="1"/>
  <c r="Y88" i="1"/>
  <c r="V88" i="1"/>
  <c r="S88" i="1"/>
  <c r="M88" i="1"/>
  <c r="Y87" i="1"/>
  <c r="V87" i="1"/>
  <c r="S87" i="1"/>
  <c r="M87" i="1"/>
  <c r="Y86" i="1"/>
  <c r="V86" i="1"/>
  <c r="S86" i="1"/>
  <c r="M86" i="1"/>
  <c r="Y85" i="1"/>
  <c r="V85" i="1"/>
  <c r="S85" i="1"/>
  <c r="M85" i="1"/>
  <c r="Y84" i="1"/>
  <c r="V84" i="1"/>
  <c r="S84" i="1"/>
  <c r="M84" i="1"/>
  <c r="Y83" i="1"/>
  <c r="V83" i="1"/>
  <c r="S83" i="1"/>
  <c r="M83" i="1"/>
  <c r="Y82" i="1"/>
  <c r="V82" i="1"/>
  <c r="S82" i="1"/>
  <c r="M82" i="1"/>
  <c r="Y81" i="1"/>
  <c r="V81" i="1"/>
  <c r="S81" i="1"/>
  <c r="M81" i="1"/>
  <c r="Y80" i="1"/>
  <c r="V80" i="1"/>
  <c r="S80" i="1"/>
  <c r="M80" i="1"/>
  <c r="Y79" i="1"/>
  <c r="V79" i="1"/>
  <c r="S79" i="1"/>
  <c r="M79" i="1"/>
  <c r="Y78" i="1"/>
  <c r="V78" i="1"/>
  <c r="S78" i="1"/>
  <c r="M78" i="1"/>
  <c r="Y77" i="1"/>
  <c r="V77" i="1"/>
  <c r="S77" i="1"/>
  <c r="M77" i="1"/>
  <c r="Y76" i="1"/>
  <c r="V76" i="1"/>
  <c r="S76" i="1"/>
  <c r="M76" i="1"/>
  <c r="J74" i="1" s="1"/>
  <c r="Z75" i="1"/>
  <c r="X75" i="1"/>
  <c r="W75" i="1"/>
  <c r="Z74" i="1"/>
  <c r="W74" i="1"/>
  <c r="T74" i="1"/>
  <c r="P74" i="1"/>
  <c r="V74" i="1" s="1"/>
  <c r="N74" i="1"/>
  <c r="V73" i="1"/>
  <c r="S73" i="1"/>
  <c r="Y73" i="1" s="1"/>
  <c r="M73" i="1"/>
  <c r="Y72" i="1"/>
  <c r="V72" i="1"/>
  <c r="S72" i="1"/>
  <c r="M72" i="1"/>
  <c r="V71" i="1"/>
  <c r="S71" i="1"/>
  <c r="Y71" i="1" s="1"/>
  <c r="M71" i="1"/>
  <c r="Y70" i="1"/>
  <c r="V70" i="1"/>
  <c r="S70" i="1"/>
  <c r="M70" i="1"/>
  <c r="V69" i="1"/>
  <c r="S69" i="1"/>
  <c r="P68" i="1" s="1"/>
  <c r="M69" i="1"/>
  <c r="Z68" i="1"/>
  <c r="W68" i="1"/>
  <c r="T68" i="1"/>
  <c r="N68" i="1"/>
  <c r="M68" i="1"/>
  <c r="O68" i="1" s="1"/>
  <c r="L68" i="1"/>
  <c r="J68" i="1"/>
  <c r="Y67" i="1"/>
  <c r="V67" i="1"/>
  <c r="S67" i="1"/>
  <c r="M67" i="1"/>
  <c r="V66" i="1"/>
  <c r="S66" i="1"/>
  <c r="Y66" i="1" s="1"/>
  <c r="M66" i="1"/>
  <c r="Y65" i="1"/>
  <c r="V65" i="1"/>
  <c r="S65" i="1"/>
  <c r="M65" i="1"/>
  <c r="V64" i="1"/>
  <c r="S64" i="1"/>
  <c r="Y64" i="1" s="1"/>
  <c r="M64" i="1"/>
  <c r="Y63" i="1"/>
  <c r="V63" i="1"/>
  <c r="S63" i="1"/>
  <c r="M63" i="1"/>
  <c r="Z62" i="1"/>
  <c r="W62" i="1"/>
  <c r="T62" i="1"/>
  <c r="P62" i="1"/>
  <c r="V62" i="1" s="1"/>
  <c r="N62" i="1"/>
  <c r="M62" i="1"/>
  <c r="O62" i="1" s="1"/>
  <c r="L62" i="1"/>
  <c r="J62" i="1"/>
  <c r="V61" i="1"/>
  <c r="S61" i="1"/>
  <c r="Y61" i="1" s="1"/>
  <c r="M61" i="1"/>
  <c r="Y60" i="1"/>
  <c r="V60" i="1"/>
  <c r="S60" i="1"/>
  <c r="M60" i="1"/>
  <c r="V59" i="1"/>
  <c r="S59" i="1"/>
  <c r="Y59" i="1" s="1"/>
  <c r="M59" i="1"/>
  <c r="Y58" i="1"/>
  <c r="V58" i="1"/>
  <c r="S58" i="1"/>
  <c r="M58" i="1"/>
  <c r="V57" i="1"/>
  <c r="S57" i="1"/>
  <c r="P56" i="1" s="1"/>
  <c r="M57" i="1"/>
  <c r="Z56" i="1"/>
  <c r="W56" i="1"/>
  <c r="T56" i="1"/>
  <c r="N56" i="1"/>
  <c r="M56" i="1"/>
  <c r="O56" i="1" s="1"/>
  <c r="L56" i="1"/>
  <c r="J56" i="1"/>
  <c r="Y55" i="1"/>
  <c r="V55" i="1"/>
  <c r="S55" i="1"/>
  <c r="M55" i="1"/>
  <c r="V54" i="1"/>
  <c r="S54" i="1"/>
  <c r="Y54" i="1" s="1"/>
  <c r="M54" i="1"/>
  <c r="Y53" i="1"/>
  <c r="V53" i="1"/>
  <c r="S53" i="1"/>
  <c r="M53" i="1"/>
  <c r="V52" i="1"/>
  <c r="S52" i="1"/>
  <c r="Y52" i="1" s="1"/>
  <c r="M52" i="1"/>
  <c r="Y51" i="1"/>
  <c r="V51" i="1"/>
  <c r="S51" i="1"/>
  <c r="M51" i="1"/>
  <c r="V50" i="1"/>
  <c r="S50" i="1"/>
  <c r="Y50" i="1" s="1"/>
  <c r="M50" i="1"/>
  <c r="Y49" i="1"/>
  <c r="V49" i="1"/>
  <c r="S49" i="1"/>
  <c r="M49" i="1"/>
  <c r="V48" i="1"/>
  <c r="S48" i="1"/>
  <c r="Y48" i="1" s="1"/>
  <c r="M48" i="1"/>
  <c r="Y47" i="1"/>
  <c r="V47" i="1"/>
  <c r="S47" i="1"/>
  <c r="M47" i="1"/>
  <c r="V46" i="1"/>
  <c r="S46" i="1"/>
  <c r="Y46" i="1" s="1"/>
  <c r="M46" i="1"/>
  <c r="Y45" i="1"/>
  <c r="V45" i="1"/>
  <c r="S45" i="1"/>
  <c r="M45" i="1"/>
  <c r="V44" i="1"/>
  <c r="S44" i="1"/>
  <c r="Y44" i="1" s="1"/>
  <c r="M44" i="1"/>
  <c r="Y43" i="1"/>
  <c r="V43" i="1"/>
  <c r="S43" i="1"/>
  <c r="M43" i="1"/>
  <c r="V42" i="1"/>
  <c r="S42" i="1"/>
  <c r="Y42" i="1" s="1"/>
  <c r="M42" i="1"/>
  <c r="Z41" i="1"/>
  <c r="X41" i="1"/>
  <c r="W41" i="1"/>
  <c r="W40" i="1"/>
  <c r="T40" i="1"/>
  <c r="Z40" i="1" s="1"/>
  <c r="N40" i="1"/>
  <c r="M40" i="1"/>
  <c r="O40" i="1" s="1"/>
  <c r="J40" i="1"/>
  <c r="L40" i="1" s="1"/>
  <c r="V39" i="1"/>
  <c r="S39" i="1"/>
  <c r="Y39" i="1" s="1"/>
  <c r="M39" i="1"/>
  <c r="V38" i="1"/>
  <c r="S38" i="1"/>
  <c r="Y38" i="1" s="1"/>
  <c r="M38" i="1"/>
  <c r="V37" i="1"/>
  <c r="S37" i="1"/>
  <c r="Y37" i="1" s="1"/>
  <c r="M37" i="1"/>
  <c r="V36" i="1"/>
  <c r="S36" i="1"/>
  <c r="Y36" i="1" s="1"/>
  <c r="M36" i="1"/>
  <c r="V35" i="1"/>
  <c r="S35" i="1"/>
  <c r="Y35" i="1" s="1"/>
  <c r="M35" i="1"/>
  <c r="V34" i="1"/>
  <c r="S34" i="1"/>
  <c r="Y34" i="1" s="1"/>
  <c r="M34" i="1"/>
  <c r="V33" i="1"/>
  <c r="S33" i="1"/>
  <c r="Y33" i="1" s="1"/>
  <c r="M33" i="1"/>
  <c r="V32" i="1"/>
  <c r="S32" i="1"/>
  <c r="Y32" i="1" s="1"/>
  <c r="M32" i="1"/>
  <c r="V31" i="1"/>
  <c r="S31" i="1"/>
  <c r="Y31" i="1" s="1"/>
  <c r="M31" i="1"/>
  <c r="V30" i="1"/>
  <c r="S30" i="1"/>
  <c r="Y30" i="1" s="1"/>
  <c r="M30" i="1"/>
  <c r="V29" i="1"/>
  <c r="S29" i="1"/>
  <c r="Y29" i="1" s="1"/>
  <c r="M29" i="1"/>
  <c r="V28" i="1"/>
  <c r="S28" i="1"/>
  <c r="Y28" i="1" s="1"/>
  <c r="M28" i="1"/>
  <c r="V27" i="1"/>
  <c r="S27" i="1"/>
  <c r="Y27" i="1" s="1"/>
  <c r="M27" i="1"/>
  <c r="V26" i="1"/>
  <c r="S26" i="1"/>
  <c r="Y26" i="1" s="1"/>
  <c r="M26" i="1"/>
  <c r="J24" i="1" s="1"/>
  <c r="Z25" i="1"/>
  <c r="X25" i="1"/>
  <c r="W25" i="1"/>
  <c r="W24" i="1"/>
  <c r="T24" i="1"/>
  <c r="Z24" i="1" s="1"/>
  <c r="P24" i="1"/>
  <c r="V24" i="1" s="1"/>
  <c r="N24" i="1"/>
  <c r="V23" i="1"/>
  <c r="S23" i="1"/>
  <c r="Y23" i="1" s="1"/>
  <c r="M23" i="1"/>
  <c r="W22" i="1"/>
  <c r="T22" i="1"/>
  <c r="Z22" i="1" s="1"/>
  <c r="N22" i="1"/>
  <c r="L22" i="1"/>
  <c r="J22" i="1"/>
  <c r="M22" i="1" s="1"/>
  <c r="O22" i="1" s="1"/>
  <c r="Y21" i="1"/>
  <c r="V21" i="1"/>
  <c r="S21" i="1"/>
  <c r="M21" i="1"/>
  <c r="V20" i="1"/>
  <c r="S20" i="1"/>
  <c r="P18" i="1" s="1"/>
  <c r="M20" i="1"/>
  <c r="J18" i="1" s="1"/>
  <c r="Y19" i="1"/>
  <c r="V19" i="1"/>
  <c r="S19" i="1"/>
  <c r="M19" i="1"/>
  <c r="W18" i="1"/>
  <c r="T18" i="1"/>
  <c r="Z18" i="1" s="1"/>
  <c r="N18" i="1"/>
  <c r="V17" i="1"/>
  <c r="S17" i="1"/>
  <c r="P15" i="1" s="1"/>
  <c r="M17" i="1"/>
  <c r="J15" i="1" s="1"/>
  <c r="Y16" i="1"/>
  <c r="V16" i="1"/>
  <c r="S16" i="1"/>
  <c r="M16" i="1"/>
  <c r="W15" i="1"/>
  <c r="T15" i="1"/>
  <c r="Z15" i="1" s="1"/>
  <c r="N15" i="1"/>
  <c r="N14" i="1" s="1"/>
  <c r="N13" i="1" s="1"/>
  <c r="M167" i="4" l="1"/>
  <c r="K214" i="4"/>
  <c r="J214" i="4" s="1"/>
  <c r="K231" i="4"/>
  <c r="J231" i="4" s="1"/>
  <c r="M209" i="4"/>
  <c r="V88" i="4"/>
  <c r="W88" i="4"/>
  <c r="Y88" i="4" s="1"/>
  <c r="W646" i="4"/>
  <c r="Y646" i="4" s="1"/>
  <c r="V646" i="4"/>
  <c r="W23" i="4"/>
  <c r="Y23" i="4" s="1"/>
  <c r="V23" i="4"/>
  <c r="V359" i="4"/>
  <c r="W359" i="4"/>
  <c r="Y359" i="4" s="1"/>
  <c r="T53" i="4"/>
  <c r="T109" i="4"/>
  <c r="T170" i="4"/>
  <c r="T411" i="4"/>
  <c r="V411" i="4" s="1"/>
  <c r="T451" i="4"/>
  <c r="T185" i="4"/>
  <c r="T254" i="4"/>
  <c r="V254" i="4" s="1"/>
  <c r="T284" i="4"/>
  <c r="W284" i="4" s="1"/>
  <c r="Y284" i="4" s="1"/>
  <c r="T363" i="4"/>
  <c r="V363" i="4" s="1"/>
  <c r="T474" i="4"/>
  <c r="T598" i="4"/>
  <c r="W598" i="4" s="1"/>
  <c r="Y598" i="4" s="1"/>
  <c r="T622" i="4"/>
  <c r="W622" i="4" s="1"/>
  <c r="Y622" i="4" s="1"/>
  <c r="X643" i="4"/>
  <c r="W526" i="4"/>
  <c r="Y526" i="4" s="1"/>
  <c r="T703" i="4"/>
  <c r="W703" i="4" s="1"/>
  <c r="Y703" i="4" s="1"/>
  <c r="T25" i="4"/>
  <c r="V25" i="4" s="1"/>
  <c r="W80" i="4"/>
  <c r="T95" i="4"/>
  <c r="W95" i="4" s="1"/>
  <c r="Y95" i="4" s="1"/>
  <c r="T113" i="4"/>
  <c r="T188" i="4"/>
  <c r="T209" i="4"/>
  <c r="Y302" i="4"/>
  <c r="T400" i="4"/>
  <c r="W400" i="4" s="1"/>
  <c r="Y400" i="4" s="1"/>
  <c r="T439" i="4"/>
  <c r="W439" i="4" s="1"/>
  <c r="Y439" i="4" s="1"/>
  <c r="T455" i="4"/>
  <c r="T538" i="4"/>
  <c r="V538" i="4" s="1"/>
  <c r="T562" i="4"/>
  <c r="W562" i="4" s="1"/>
  <c r="Y562" i="4" s="1"/>
  <c r="T571" i="4"/>
  <c r="V571" i="4" s="1"/>
  <c r="T640" i="4"/>
  <c r="Y648" i="4"/>
  <c r="Y656" i="4"/>
  <c r="T678" i="4"/>
  <c r="W678" i="4" s="1"/>
  <c r="Y678" i="4" s="1"/>
  <c r="X79" i="4"/>
  <c r="T287" i="4"/>
  <c r="T417" i="4"/>
  <c r="Y586" i="4"/>
  <c r="Y610" i="4"/>
  <c r="W106" i="4"/>
  <c r="Y106" i="4" s="1"/>
  <c r="T469" i="4"/>
  <c r="V469" i="4" s="1"/>
  <c r="T47" i="4"/>
  <c r="W47" i="4" s="1"/>
  <c r="Y47" i="4" s="1"/>
  <c r="T73" i="4"/>
  <c r="T101" i="4"/>
  <c r="T214" i="4"/>
  <c r="T478" i="4"/>
  <c r="T532" i="4"/>
  <c r="T556" i="4"/>
  <c r="Y658" i="4"/>
  <c r="T323" i="4"/>
  <c r="V323" i="4" s="1"/>
  <c r="T592" i="4"/>
  <c r="X15" i="4"/>
  <c r="X14" i="4" s="1"/>
  <c r="T174" i="4"/>
  <c r="T248" i="4"/>
  <c r="T311" i="4"/>
  <c r="T340" i="4"/>
  <c r="T433" i="4"/>
  <c r="V433" i="4" s="1"/>
  <c r="T613" i="4"/>
  <c r="V613" i="4" s="1"/>
  <c r="T691" i="4"/>
  <c r="T664" i="4"/>
  <c r="W650" i="4"/>
  <c r="Y650" i="4" s="1"/>
  <c r="V650" i="4"/>
  <c r="T637" i="4"/>
  <c r="T634" i="4"/>
  <c r="W631" i="4"/>
  <c r="Y631" i="4" s="1"/>
  <c r="T625" i="4"/>
  <c r="W625" i="4" s="1"/>
  <c r="Y625" i="4" s="1"/>
  <c r="T619" i="4"/>
  <c r="T616" i="4"/>
  <c r="W616" i="4" s="1"/>
  <c r="Y616" i="4" s="1"/>
  <c r="T607" i="4"/>
  <c r="W607" i="4" s="1"/>
  <c r="Y607" i="4" s="1"/>
  <c r="T601" i="4"/>
  <c r="W601" i="4" s="1"/>
  <c r="Y601" i="4" s="1"/>
  <c r="T595" i="4"/>
  <c r="T589" i="4"/>
  <c r="W589" i="4" s="1"/>
  <c r="Y589" i="4" s="1"/>
  <c r="T583" i="4"/>
  <c r="T577" i="4"/>
  <c r="W568" i="4"/>
  <c r="Y568" i="4" s="1"/>
  <c r="V568" i="4"/>
  <c r="T565" i="4"/>
  <c r="T559" i="4"/>
  <c r="T553" i="4"/>
  <c r="T547" i="4"/>
  <c r="W538" i="4"/>
  <c r="Y538" i="4" s="1"/>
  <c r="T535" i="4"/>
  <c r="T510" i="4"/>
  <c r="V510" i="4" s="1"/>
  <c r="T501" i="4"/>
  <c r="V498" i="4"/>
  <c r="T464" i="4"/>
  <c r="T447" i="4"/>
  <c r="T436" i="4"/>
  <c r="W433" i="4"/>
  <c r="Y433" i="4" s="1"/>
  <c r="T429" i="4"/>
  <c r="W425" i="4"/>
  <c r="Y425" i="4" s="1"/>
  <c r="T406" i="4"/>
  <c r="T390" i="4"/>
  <c r="T350" i="4"/>
  <c r="W350" i="4" s="1"/>
  <c r="Y350" i="4" s="1"/>
  <c r="W340" i="4"/>
  <c r="Y340" i="4" s="1"/>
  <c r="V340" i="4"/>
  <c r="T335" i="4"/>
  <c r="V335" i="4" s="1"/>
  <c r="V332" i="4"/>
  <c r="T329" i="4"/>
  <c r="W329" i="4" s="1"/>
  <c r="Y329" i="4" s="1"/>
  <c r="T326" i="4"/>
  <c r="T317" i="4"/>
  <c r="T314" i="4"/>
  <c r="W308" i="4"/>
  <c r="Y308" i="4" s="1"/>
  <c r="V302" i="4"/>
  <c r="V296" i="4"/>
  <c r="W296" i="4"/>
  <c r="Y296" i="4" s="1"/>
  <c r="W290" i="4"/>
  <c r="Y290" i="4" s="1"/>
  <c r="T281" i="4"/>
  <c r="W278" i="4"/>
  <c r="Y278" i="4" s="1"/>
  <c r="V275" i="4"/>
  <c r="W275" i="4"/>
  <c r="Y275" i="4" s="1"/>
  <c r="T272" i="4"/>
  <c r="W272" i="4" s="1"/>
  <c r="Y272" i="4" s="1"/>
  <c r="T269" i="4"/>
  <c r="V269" i="4" s="1"/>
  <c r="W266" i="4"/>
  <c r="Y266" i="4" s="1"/>
  <c r="T236" i="4"/>
  <c r="T231" i="4"/>
  <c r="W231" i="4" s="1"/>
  <c r="Y231" i="4" s="1"/>
  <c r="T227" i="4"/>
  <c r="T223" i="4"/>
  <c r="W223" i="4" s="1"/>
  <c r="Y223" i="4" s="1"/>
  <c r="T219" i="4"/>
  <c r="V219" i="4" s="1"/>
  <c r="V209" i="4"/>
  <c r="W209" i="4"/>
  <c r="Y209" i="4" s="1"/>
  <c r="T204" i="4"/>
  <c r="V204" i="4" s="1"/>
  <c r="T199" i="4"/>
  <c r="T179" i="4"/>
  <c r="V179" i="4" s="1"/>
  <c r="T160" i="4"/>
  <c r="T145" i="4"/>
  <c r="W145" i="4" s="1"/>
  <c r="Y145" i="4" s="1"/>
  <c r="T140" i="4"/>
  <c r="V140" i="4" s="1"/>
  <c r="V128" i="4"/>
  <c r="W128" i="4"/>
  <c r="Y128" i="4" s="1"/>
  <c r="T123" i="4"/>
  <c r="V123" i="4" s="1"/>
  <c r="W92" i="4"/>
  <c r="Y92" i="4" s="1"/>
  <c r="T83" i="4"/>
  <c r="W83" i="4" s="1"/>
  <c r="Y83" i="4" s="1"/>
  <c r="V67" i="4"/>
  <c r="V59" i="4"/>
  <c r="T41" i="4"/>
  <c r="W41" i="4" s="1"/>
  <c r="Y41" i="4" s="1"/>
  <c r="T33" i="4"/>
  <c r="W33" i="4" s="1"/>
  <c r="Y33" i="4" s="1"/>
  <c r="V19" i="4"/>
  <c r="T16" i="4"/>
  <c r="W16" i="4" s="1"/>
  <c r="W86" i="4"/>
  <c r="Y86" i="4" s="1"/>
  <c r="V86" i="4"/>
  <c r="W109" i="4"/>
  <c r="Y109" i="4" s="1"/>
  <c r="V109" i="4"/>
  <c r="W113" i="4"/>
  <c r="Y113" i="4" s="1"/>
  <c r="V113" i="4"/>
  <c r="W117" i="4"/>
  <c r="Y117" i="4" s="1"/>
  <c r="V117" i="4"/>
  <c r="W53" i="4"/>
  <c r="Y53" i="4" s="1"/>
  <c r="V53" i="4"/>
  <c r="W287" i="4"/>
  <c r="Y287" i="4" s="1"/>
  <c r="V287" i="4"/>
  <c r="W185" i="4"/>
  <c r="Y185" i="4" s="1"/>
  <c r="V185" i="4"/>
  <c r="V188" i="4"/>
  <c r="W188" i="4"/>
  <c r="Y188" i="4" s="1"/>
  <c r="W214" i="4"/>
  <c r="Y214" i="4" s="1"/>
  <c r="V214" i="4"/>
  <c r="W236" i="4"/>
  <c r="V236" i="4"/>
  <c r="W248" i="4"/>
  <c r="Y248" i="4" s="1"/>
  <c r="V248" i="4"/>
  <c r="W25" i="4"/>
  <c r="Y25" i="4" s="1"/>
  <c r="W90" i="4"/>
  <c r="Y90" i="4" s="1"/>
  <c r="V90" i="4"/>
  <c r="W73" i="4"/>
  <c r="Y73" i="4" s="1"/>
  <c r="V73" i="4"/>
  <c r="W101" i="4"/>
  <c r="Y101" i="4" s="1"/>
  <c r="V101" i="4"/>
  <c r="V160" i="4"/>
  <c r="W160" i="4"/>
  <c r="Y160" i="4" s="1"/>
  <c r="W170" i="4"/>
  <c r="Y170" i="4" s="1"/>
  <c r="V170" i="4"/>
  <c r="W174" i="4"/>
  <c r="Y174" i="4" s="1"/>
  <c r="V174" i="4"/>
  <c r="W126" i="4"/>
  <c r="Y126" i="4" s="1"/>
  <c r="V126" i="4"/>
  <c r="W199" i="4"/>
  <c r="Y199" i="4" s="1"/>
  <c r="V199" i="4"/>
  <c r="X235" i="4"/>
  <c r="W406" i="4"/>
  <c r="Y406" i="4" s="1"/>
  <c r="V406" i="4"/>
  <c r="W464" i="4"/>
  <c r="Y464" i="4" s="1"/>
  <c r="V464" i="4"/>
  <c r="W517" i="4"/>
  <c r="Y517" i="4" s="1"/>
  <c r="V517" i="4"/>
  <c r="W553" i="4"/>
  <c r="Y553" i="4" s="1"/>
  <c r="V553" i="4"/>
  <c r="W580" i="4"/>
  <c r="Y580" i="4" s="1"/>
  <c r="V580" i="4"/>
  <c r="W592" i="4"/>
  <c r="Y592" i="4" s="1"/>
  <c r="V592" i="4"/>
  <c r="V607" i="4"/>
  <c r="W654" i="4"/>
  <c r="Y654" i="4" s="1"/>
  <c r="V654" i="4"/>
  <c r="W204" i="4"/>
  <c r="Y204" i="4" s="1"/>
  <c r="V263" i="4"/>
  <c r="W510" i="4"/>
  <c r="Y510" i="4" s="1"/>
  <c r="W120" i="4"/>
  <c r="Y120" i="4" s="1"/>
  <c r="T135" i="4"/>
  <c r="T155" i="4"/>
  <c r="T293" i="4"/>
  <c r="V400" i="4"/>
  <c r="W474" i="4"/>
  <c r="Y474" i="4" s="1"/>
  <c r="V474" i="4"/>
  <c r="T483" i="4"/>
  <c r="W494" i="4"/>
  <c r="Y494" i="4" s="1"/>
  <c r="V494" i="4"/>
  <c r="W150" i="4"/>
  <c r="Y150" i="4" s="1"/>
  <c r="V150" i="4"/>
  <c r="V417" i="4"/>
  <c r="W417" i="4"/>
  <c r="W227" i="4"/>
  <c r="Y227" i="4" s="1"/>
  <c r="V227" i="4"/>
  <c r="W767" i="4"/>
  <c r="Y767" i="4" s="1"/>
  <c r="V767" i="4"/>
  <c r="T305" i="4"/>
  <c r="Y332" i="4"/>
  <c r="T442" i="4"/>
  <c r="V455" i="4"/>
  <c r="W455" i="4"/>
  <c r="Y455" i="4" s="1"/>
  <c r="T504" i="4"/>
  <c r="W727" i="4"/>
  <c r="Y727" i="4" s="1"/>
  <c r="V727" i="4"/>
  <c r="W269" i="4"/>
  <c r="Y269" i="4" s="1"/>
  <c r="V350" i="4"/>
  <c r="V541" i="4"/>
  <c r="W541" i="4"/>
  <c r="Y541" i="4" s="1"/>
  <c r="W123" i="4"/>
  <c r="Y123" i="4" s="1"/>
  <c r="W191" i="4"/>
  <c r="Y191" i="4" s="1"/>
  <c r="V231" i="4"/>
  <c r="W257" i="4"/>
  <c r="Y257" i="4" s="1"/>
  <c r="V257" i="4"/>
  <c r="V299" i="4"/>
  <c r="W299" i="4"/>
  <c r="Y299" i="4" s="1"/>
  <c r="W390" i="4"/>
  <c r="Y390" i="4" s="1"/>
  <c r="V390" i="4"/>
  <c r="V429" i="4"/>
  <c r="W429" i="4"/>
  <c r="Y429" i="4" s="1"/>
  <c r="W478" i="4"/>
  <c r="Y478" i="4" s="1"/>
  <c r="V478" i="4"/>
  <c r="V507" i="4"/>
  <c r="W507" i="4"/>
  <c r="Y507" i="4" s="1"/>
  <c r="V535" i="4"/>
  <c r="W535" i="4"/>
  <c r="Y535" i="4" s="1"/>
  <c r="Y80" i="4"/>
  <c r="T242" i="4"/>
  <c r="V311" i="4"/>
  <c r="W311" i="4"/>
  <c r="Y311" i="4" s="1"/>
  <c r="V329" i="4"/>
  <c r="V395" i="4"/>
  <c r="W395" i="4"/>
  <c r="Y395" i="4" s="1"/>
  <c r="W492" i="4"/>
  <c r="V492" i="4"/>
  <c r="V532" i="4"/>
  <c r="W532" i="4"/>
  <c r="Y532" i="4" s="1"/>
  <c r="V658" i="4"/>
  <c r="V678" i="4"/>
  <c r="W130" i="4"/>
  <c r="Y130" i="4" s="1"/>
  <c r="V130" i="4"/>
  <c r="W556" i="4"/>
  <c r="Y556" i="4" s="1"/>
  <c r="V556" i="4"/>
  <c r="W751" i="4"/>
  <c r="Y751" i="4" s="1"/>
  <c r="V751" i="4"/>
  <c r="W260" i="4"/>
  <c r="Y260" i="4" s="1"/>
  <c r="V260" i="4"/>
  <c r="Y498" i="4"/>
  <c r="W182" i="4"/>
  <c r="Y182" i="4" s="1"/>
  <c r="V182" i="4"/>
  <c r="W194" i="4"/>
  <c r="Y194" i="4" s="1"/>
  <c r="V194" i="4"/>
  <c r="W281" i="4"/>
  <c r="Y281" i="4" s="1"/>
  <c r="V281" i="4"/>
  <c r="T320" i="4"/>
  <c r="T345" i="4"/>
  <c r="W363" i="4"/>
  <c r="Y363" i="4" s="1"/>
  <c r="T380" i="4"/>
  <c r="W514" i="4"/>
  <c r="V514" i="4"/>
  <c r="W628" i="4"/>
  <c r="Y628" i="4" s="1"/>
  <c r="V628" i="4"/>
  <c r="T369" i="4"/>
  <c r="T385" i="4"/>
  <c r="V447" i="4"/>
  <c r="W447" i="4"/>
  <c r="Y447" i="4" s="1"/>
  <c r="X513" i="4"/>
  <c r="X496" i="4" s="1"/>
  <c r="W571" i="4"/>
  <c r="Y571" i="4" s="1"/>
  <c r="W743" i="4"/>
  <c r="Y743" i="4" s="1"/>
  <c r="V743" i="4"/>
  <c r="T354" i="4"/>
  <c r="T459" i="4"/>
  <c r="V523" i="4"/>
  <c r="W634" i="4"/>
  <c r="Y634" i="4" s="1"/>
  <c r="V634" i="4"/>
  <c r="W640" i="4"/>
  <c r="Y640" i="4" s="1"/>
  <c r="V640" i="4"/>
  <c r="W719" i="4"/>
  <c r="Y719" i="4" s="1"/>
  <c r="V719" i="4"/>
  <c r="X416" i="4"/>
  <c r="W604" i="4"/>
  <c r="Y604" i="4" s="1"/>
  <c r="V604" i="4"/>
  <c r="X716" i="4"/>
  <c r="W759" i="4"/>
  <c r="Y759" i="4" s="1"/>
  <c r="V759" i="4"/>
  <c r="V439" i="4"/>
  <c r="V451" i="4"/>
  <c r="W451" i="4"/>
  <c r="Y451" i="4" s="1"/>
  <c r="V501" i="4"/>
  <c r="W501" i="4"/>
  <c r="Y501" i="4" s="1"/>
  <c r="V520" i="4"/>
  <c r="W520" i="4"/>
  <c r="Y520" i="4" s="1"/>
  <c r="W544" i="4"/>
  <c r="Y544" i="4" s="1"/>
  <c r="V559" i="4"/>
  <c r="W559" i="4"/>
  <c r="Y559" i="4" s="1"/>
  <c r="W735" i="4"/>
  <c r="Y735" i="4" s="1"/>
  <c r="V735" i="4"/>
  <c r="W375" i="4"/>
  <c r="Y375" i="4" s="1"/>
  <c r="W421" i="4"/>
  <c r="Y421" i="4" s="1"/>
  <c r="Y644" i="4"/>
  <c r="W637" i="4"/>
  <c r="Y637" i="4" s="1"/>
  <c r="V637" i="4"/>
  <c r="V662" i="4"/>
  <c r="W664" i="4"/>
  <c r="Y664" i="4" s="1"/>
  <c r="V664" i="4"/>
  <c r="W717" i="4"/>
  <c r="W725" i="4"/>
  <c r="Y725" i="4" s="1"/>
  <c r="W733" i="4"/>
  <c r="Y733" i="4" s="1"/>
  <c r="W741" i="4"/>
  <c r="Y741" i="4" s="1"/>
  <c r="W749" i="4"/>
  <c r="Y749" i="4" s="1"/>
  <c r="W757" i="4"/>
  <c r="Y757" i="4" s="1"/>
  <c r="W765" i="4"/>
  <c r="Y765" i="4" s="1"/>
  <c r="W565" i="4"/>
  <c r="Y565" i="4" s="1"/>
  <c r="V565" i="4"/>
  <c r="W691" i="4"/>
  <c r="Y691" i="4" s="1"/>
  <c r="V691" i="4"/>
  <c r="W721" i="4"/>
  <c r="Y721" i="4" s="1"/>
  <c r="W729" i="4"/>
  <c r="Y729" i="4" s="1"/>
  <c r="W737" i="4"/>
  <c r="Y737" i="4" s="1"/>
  <c r="W745" i="4"/>
  <c r="Y745" i="4" s="1"/>
  <c r="W753" i="4"/>
  <c r="Y753" i="4" s="1"/>
  <c r="W761" i="4"/>
  <c r="Y761" i="4" s="1"/>
  <c r="W577" i="4"/>
  <c r="Y577" i="4" s="1"/>
  <c r="V577" i="4"/>
  <c r="W723" i="4"/>
  <c r="Y723" i="4" s="1"/>
  <c r="V723" i="4"/>
  <c r="W731" i="4"/>
  <c r="Y731" i="4" s="1"/>
  <c r="V731" i="4"/>
  <c r="W739" i="4"/>
  <c r="Y739" i="4" s="1"/>
  <c r="V739" i="4"/>
  <c r="W747" i="4"/>
  <c r="Y747" i="4" s="1"/>
  <c r="V747" i="4"/>
  <c r="W755" i="4"/>
  <c r="Y755" i="4" s="1"/>
  <c r="V755" i="4"/>
  <c r="W763" i="4"/>
  <c r="Y763" i="4" s="1"/>
  <c r="V763" i="4"/>
  <c r="V529" i="4"/>
  <c r="V550" i="4"/>
  <c r="V562" i="4"/>
  <c r="V574" i="4"/>
  <c r="V586" i="4"/>
  <c r="V598" i="4"/>
  <c r="V610" i="4"/>
  <c r="V622" i="4"/>
  <c r="V644" i="4"/>
  <c r="V648" i="4"/>
  <c r="V652" i="4"/>
  <c r="V656" i="4"/>
  <c r="V660" i="4"/>
  <c r="S155" i="3"/>
  <c r="R155" i="3"/>
  <c r="S160" i="3"/>
  <c r="R160" i="3"/>
  <c r="R182" i="3"/>
  <c r="S182" i="3"/>
  <c r="U182" i="3" s="1"/>
  <c r="L296" i="3"/>
  <c r="M296" i="3"/>
  <c r="O296" i="3" s="1"/>
  <c r="S317" i="3"/>
  <c r="U317" i="3" s="1"/>
  <c r="R317" i="3"/>
  <c r="S429" i="3"/>
  <c r="R429" i="3"/>
  <c r="S745" i="3"/>
  <c r="R745" i="3"/>
  <c r="L86" i="3"/>
  <c r="M86" i="3"/>
  <c r="M494" i="3"/>
  <c r="O494" i="3" s="1"/>
  <c r="L494" i="3"/>
  <c r="M743" i="3"/>
  <c r="O743" i="3" s="1"/>
  <c r="L743" i="3"/>
  <c r="R191" i="3"/>
  <c r="S191" i="3"/>
  <c r="U191" i="3" s="1"/>
  <c r="L290" i="3"/>
  <c r="M290" i="3"/>
  <c r="O290" i="3" s="1"/>
  <c r="M478" i="3"/>
  <c r="O478" i="3" s="1"/>
  <c r="L478" i="3"/>
  <c r="M640" i="3"/>
  <c r="O640" i="3" s="1"/>
  <c r="L640" i="3"/>
  <c r="M648" i="3"/>
  <c r="O648" i="3" s="1"/>
  <c r="L648" i="3"/>
  <c r="S733" i="3"/>
  <c r="U733" i="3" s="1"/>
  <c r="R733" i="3"/>
  <c r="L544" i="3"/>
  <c r="M544" i="3"/>
  <c r="O544" i="3" s="1"/>
  <c r="M601" i="3"/>
  <c r="O601" i="3" s="1"/>
  <c r="L601" i="3"/>
  <c r="S293" i="3"/>
  <c r="U293" i="3" s="1"/>
  <c r="R293" i="3"/>
  <c r="S474" i="3"/>
  <c r="U474" i="3" s="1"/>
  <c r="R474" i="3"/>
  <c r="L729" i="3"/>
  <c r="M729" i="3"/>
  <c r="O729" i="3" s="1"/>
  <c r="S753" i="3"/>
  <c r="R753" i="3"/>
  <c r="S765" i="3"/>
  <c r="R765" i="3"/>
  <c r="S101" i="3"/>
  <c r="U101" i="3" s="1"/>
  <c r="R101" i="3"/>
  <c r="S145" i="3"/>
  <c r="R145" i="3"/>
  <c r="S150" i="3"/>
  <c r="R150" i="3"/>
  <c r="M637" i="3"/>
  <c r="L637" i="3"/>
  <c r="S737" i="3"/>
  <c r="U737" i="3" s="1"/>
  <c r="R737" i="3"/>
  <c r="M747" i="3"/>
  <c r="O747" i="3" s="1"/>
  <c r="L747" i="3"/>
  <c r="M763" i="3"/>
  <c r="O763" i="3" s="1"/>
  <c r="L763" i="3"/>
  <c r="L185" i="3"/>
  <c r="M185" i="3"/>
  <c r="O185" i="3" s="1"/>
  <c r="M231" i="3"/>
  <c r="O231" i="3" s="1"/>
  <c r="L231" i="3"/>
  <c r="S311" i="3"/>
  <c r="U311" i="3" s="1"/>
  <c r="R311" i="3"/>
  <c r="M369" i="3"/>
  <c r="L369" i="3"/>
  <c r="S451" i="3"/>
  <c r="R451" i="3"/>
  <c r="M492" i="3"/>
  <c r="M491" i="3" s="1"/>
  <c r="L492" i="3"/>
  <c r="L541" i="3"/>
  <c r="M541" i="3"/>
  <c r="O541" i="3" s="1"/>
  <c r="M577" i="3"/>
  <c r="O577" i="3" s="1"/>
  <c r="L577" i="3"/>
  <c r="S757" i="3"/>
  <c r="R757" i="3"/>
  <c r="S88" i="3"/>
  <c r="U88" i="3" s="1"/>
  <c r="R88" i="3"/>
  <c r="M646" i="3"/>
  <c r="O646" i="3" s="1"/>
  <c r="L646" i="3"/>
  <c r="L650" i="3"/>
  <c r="M650" i="3"/>
  <c r="O650" i="3" s="1"/>
  <c r="M95" i="3"/>
  <c r="L95" i="3"/>
  <c r="M406" i="3"/>
  <c r="O406" i="3" s="1"/>
  <c r="L406" i="3"/>
  <c r="L433" i="3"/>
  <c r="M433" i="3"/>
  <c r="O433" i="3" s="1"/>
  <c r="S459" i="3"/>
  <c r="R459" i="3"/>
  <c r="S464" i="3"/>
  <c r="R464" i="3"/>
  <c r="L547" i="3"/>
  <c r="M547" i="3"/>
  <c r="O547" i="3" s="1"/>
  <c r="M739" i="3"/>
  <c r="O739" i="3" s="1"/>
  <c r="L739" i="3"/>
  <c r="M767" i="3"/>
  <c r="L767" i="3"/>
  <c r="P390" i="3"/>
  <c r="P436" i="3"/>
  <c r="S436" i="3" s="1"/>
  <c r="P498" i="3"/>
  <c r="S498" i="3" s="1"/>
  <c r="U498" i="3" s="1"/>
  <c r="P529" i="3"/>
  <c r="P532" i="3"/>
  <c r="S532" i="3" s="1"/>
  <c r="P541" i="3"/>
  <c r="S541" i="3" s="1"/>
  <c r="O589" i="3"/>
  <c r="P610" i="3"/>
  <c r="O625" i="3"/>
  <c r="J634" i="3"/>
  <c r="O660" i="3"/>
  <c r="M662" i="3"/>
  <c r="O662" i="3" s="1"/>
  <c r="M719" i="3"/>
  <c r="O719" i="3" s="1"/>
  <c r="S741" i="3"/>
  <c r="S761" i="3"/>
  <c r="N771" i="3"/>
  <c r="N770" i="3" s="1"/>
  <c r="N769" i="3" s="1"/>
  <c r="N15" i="3"/>
  <c r="P41" i="3"/>
  <c r="S41" i="3" s="1"/>
  <c r="R92" i="3"/>
  <c r="J135" i="3"/>
  <c r="J150" i="3"/>
  <c r="J188" i="3"/>
  <c r="L199" i="3"/>
  <c r="J257" i="3"/>
  <c r="R305" i="3"/>
  <c r="M308" i="3"/>
  <c r="O308" i="3" s="1"/>
  <c r="L411" i="3"/>
  <c r="J703" i="3"/>
  <c r="R719" i="3"/>
  <c r="L725" i="3"/>
  <c r="L727" i="3"/>
  <c r="L735" i="3"/>
  <c r="L737" i="3"/>
  <c r="R749" i="3"/>
  <c r="L755" i="3"/>
  <c r="L757" i="3"/>
  <c r="J53" i="3"/>
  <c r="M53" i="3" s="1"/>
  <c r="O53" i="3" s="1"/>
  <c r="J73" i="3"/>
  <c r="J83" i="3"/>
  <c r="M90" i="3"/>
  <c r="N94" i="3"/>
  <c r="J191" i="3"/>
  <c r="M209" i="3"/>
  <c r="O209" i="3" s="1"/>
  <c r="J242" i="3"/>
  <c r="J254" i="3"/>
  <c r="J293" i="3"/>
  <c r="M314" i="3"/>
  <c r="O314" i="3" s="1"/>
  <c r="J345" i="3"/>
  <c r="P369" i="3"/>
  <c r="J380" i="3"/>
  <c r="R421" i="3"/>
  <c r="M538" i="3"/>
  <c r="O538" i="3" s="1"/>
  <c r="P550" i="3"/>
  <c r="P634" i="3"/>
  <c r="R634" i="3" s="1"/>
  <c r="R723" i="3"/>
  <c r="L741" i="3"/>
  <c r="R751" i="3"/>
  <c r="L761" i="3"/>
  <c r="T14" i="3"/>
  <c r="J19" i="3"/>
  <c r="M19" i="3" s="1"/>
  <c r="O19" i="3" s="1"/>
  <c r="P73" i="3"/>
  <c r="O90" i="3"/>
  <c r="J130" i="3"/>
  <c r="J194" i="3"/>
  <c r="J248" i="3"/>
  <c r="J251" i="3"/>
  <c r="J269" i="3"/>
  <c r="J284" i="3"/>
  <c r="J299" i="3"/>
  <c r="J354" i="3"/>
  <c r="J400" i="3"/>
  <c r="P417" i="3"/>
  <c r="P478" i="3"/>
  <c r="S478" i="3" s="1"/>
  <c r="U478" i="3" s="1"/>
  <c r="P504" i="3"/>
  <c r="S504" i="3" s="1"/>
  <c r="U504" i="3" s="1"/>
  <c r="J586" i="3"/>
  <c r="P592" i="3"/>
  <c r="P595" i="3"/>
  <c r="S595" i="3" s="1"/>
  <c r="P622" i="3"/>
  <c r="P47" i="3"/>
  <c r="J80" i="3"/>
  <c r="J109" i="3"/>
  <c r="L109" i="3" s="1"/>
  <c r="J170" i="3"/>
  <c r="M170" i="3" s="1"/>
  <c r="O170" i="3" s="1"/>
  <c r="J204" i="3"/>
  <c r="J214" i="3"/>
  <c r="J227" i="3"/>
  <c r="J326" i="3"/>
  <c r="J335" i="3"/>
  <c r="J363" i="3"/>
  <c r="J385" i="3"/>
  <c r="M385" i="3" s="1"/>
  <c r="O385" i="3" s="1"/>
  <c r="P400" i="3"/>
  <c r="R400" i="3" s="1"/>
  <c r="P442" i="3"/>
  <c r="N497" i="3"/>
  <c r="N496" i="3" s="1"/>
  <c r="J678" i="3"/>
  <c r="R735" i="3"/>
  <c r="R755" i="3"/>
  <c r="N79" i="3"/>
  <c r="P95" i="3"/>
  <c r="S95" i="3" s="1"/>
  <c r="J155" i="3"/>
  <c r="L155" i="3" s="1"/>
  <c r="P214" i="3"/>
  <c r="R223" i="3"/>
  <c r="P227" i="3"/>
  <c r="J281" i="3"/>
  <c r="M281" i="3" s="1"/>
  <c r="O281" i="3" s="1"/>
  <c r="J311" i="3"/>
  <c r="S359" i="3"/>
  <c r="U359" i="3" s="1"/>
  <c r="P385" i="3"/>
  <c r="R385" i="3" s="1"/>
  <c r="P425" i="3"/>
  <c r="R425" i="3" s="1"/>
  <c r="J447" i="3"/>
  <c r="M716" i="3"/>
  <c r="J33" i="3"/>
  <c r="P59" i="3"/>
  <c r="O86" i="3"/>
  <c r="J113" i="3"/>
  <c r="P117" i="3"/>
  <c r="S117" i="3" s="1"/>
  <c r="P174" i="3"/>
  <c r="S174" i="3" s="1"/>
  <c r="U174" i="3" s="1"/>
  <c r="P236" i="3"/>
  <c r="R248" i="3"/>
  <c r="J260" i="3"/>
  <c r="P281" i="3"/>
  <c r="J317" i="3"/>
  <c r="J340" i="3"/>
  <c r="J390" i="3"/>
  <c r="P411" i="3"/>
  <c r="R411" i="3" s="1"/>
  <c r="J421" i="3"/>
  <c r="J436" i="3"/>
  <c r="P447" i="3"/>
  <c r="P483" i="3"/>
  <c r="R483" i="3" s="1"/>
  <c r="P535" i="3"/>
  <c r="P538" i="3"/>
  <c r="J553" i="3"/>
  <c r="M553" i="3" s="1"/>
  <c r="O553" i="3" s="1"/>
  <c r="J574" i="3"/>
  <c r="L574" i="3" s="1"/>
  <c r="P580" i="3"/>
  <c r="P583" i="3"/>
  <c r="S583" i="3" s="1"/>
  <c r="P613" i="3"/>
  <c r="O628" i="3"/>
  <c r="M644" i="3"/>
  <c r="J691" i="3"/>
  <c r="N716" i="3"/>
  <c r="O749" i="3"/>
  <c r="M25" i="3"/>
  <c r="O25" i="3" s="1"/>
  <c r="L25" i="3"/>
  <c r="L33" i="3"/>
  <c r="M33" i="3"/>
  <c r="O33" i="3" s="1"/>
  <c r="M83" i="3"/>
  <c r="O83" i="3" s="1"/>
  <c r="L83" i="3"/>
  <c r="S90" i="3"/>
  <c r="R90" i="3"/>
  <c r="S126" i="3"/>
  <c r="R126" i="3"/>
  <c r="M150" i="3"/>
  <c r="O150" i="3" s="1"/>
  <c r="L150" i="3"/>
  <c r="L19" i="3"/>
  <c r="S86" i="3"/>
  <c r="R86" i="3"/>
  <c r="M160" i="3"/>
  <c r="O160" i="3" s="1"/>
  <c r="L160" i="3"/>
  <c r="M16" i="3"/>
  <c r="L16" i="3"/>
  <c r="S16" i="3"/>
  <c r="R16" i="3"/>
  <c r="L113" i="3"/>
  <c r="M113" i="3"/>
  <c r="O113" i="3" s="1"/>
  <c r="M67" i="3"/>
  <c r="O67" i="3" s="1"/>
  <c r="L67" i="3"/>
  <c r="M80" i="3"/>
  <c r="L80" i="3"/>
  <c r="M135" i="3"/>
  <c r="O135" i="3" s="1"/>
  <c r="L135" i="3"/>
  <c r="L53" i="3"/>
  <c r="L23" i="3"/>
  <c r="M23" i="3"/>
  <c r="O23" i="3" s="1"/>
  <c r="S59" i="3"/>
  <c r="R59" i="3"/>
  <c r="L73" i="3"/>
  <c r="M73" i="3"/>
  <c r="O73" i="3" s="1"/>
  <c r="S83" i="3"/>
  <c r="R83" i="3"/>
  <c r="M88" i="3"/>
  <c r="O88" i="3" s="1"/>
  <c r="L88" i="3"/>
  <c r="M101" i="3"/>
  <c r="O101" i="3" s="1"/>
  <c r="L101" i="3"/>
  <c r="L182" i="3"/>
  <c r="M182" i="3"/>
  <c r="O182" i="3" s="1"/>
  <c r="M92" i="3"/>
  <c r="O92" i="3" s="1"/>
  <c r="L92" i="3"/>
  <c r="S23" i="3"/>
  <c r="R23" i="3"/>
  <c r="S73" i="3"/>
  <c r="R73" i="3"/>
  <c r="M128" i="3"/>
  <c r="O128" i="3" s="1"/>
  <c r="L128" i="3"/>
  <c r="M130" i="3"/>
  <c r="O130" i="3" s="1"/>
  <c r="L130" i="3"/>
  <c r="S33" i="3"/>
  <c r="R33" i="3"/>
  <c r="S106" i="3"/>
  <c r="R106" i="3"/>
  <c r="M120" i="3"/>
  <c r="O120" i="3" s="1"/>
  <c r="L120" i="3"/>
  <c r="S47" i="3"/>
  <c r="R47" i="3"/>
  <c r="M41" i="3"/>
  <c r="O41" i="3" s="1"/>
  <c r="L41" i="3"/>
  <c r="M126" i="3"/>
  <c r="O126" i="3" s="1"/>
  <c r="L126" i="3"/>
  <c r="S130" i="3"/>
  <c r="P231" i="3"/>
  <c r="P19" i="3"/>
  <c r="L117" i="3"/>
  <c r="L123" i="3"/>
  <c r="M179" i="3"/>
  <c r="O179" i="3" s="1"/>
  <c r="L179" i="3"/>
  <c r="R25" i="3"/>
  <c r="M47" i="3"/>
  <c r="O47" i="3" s="1"/>
  <c r="R53" i="3"/>
  <c r="M59" i="3"/>
  <c r="O59" i="3" s="1"/>
  <c r="R67" i="3"/>
  <c r="U92" i="3"/>
  <c r="O95" i="3"/>
  <c r="M106" i="3"/>
  <c r="O106" i="3" s="1"/>
  <c r="P109" i="3"/>
  <c r="P135" i="3"/>
  <c r="U150" i="3"/>
  <c r="M167" i="3"/>
  <c r="L167" i="3"/>
  <c r="R214" i="3"/>
  <c r="S214" i="3"/>
  <c r="M311" i="3"/>
  <c r="O311" i="3" s="1"/>
  <c r="L311" i="3"/>
  <c r="M145" i="3"/>
  <c r="O145" i="3" s="1"/>
  <c r="L145" i="3"/>
  <c r="S242" i="3"/>
  <c r="R242" i="3"/>
  <c r="S120" i="3"/>
  <c r="R227" i="3"/>
  <c r="S227" i="3"/>
  <c r="S25" i="3"/>
  <c r="S53" i="3"/>
  <c r="S67" i="3"/>
  <c r="P113" i="3"/>
  <c r="P140" i="3"/>
  <c r="U145" i="3"/>
  <c r="N166" i="3"/>
  <c r="R170" i="3"/>
  <c r="J174" i="3"/>
  <c r="P188" i="3"/>
  <c r="S128" i="3"/>
  <c r="R130" i="3"/>
  <c r="U155" i="3"/>
  <c r="P263" i="3"/>
  <c r="P123" i="3"/>
  <c r="R167" i="3"/>
  <c r="L242" i="3"/>
  <c r="M242" i="3"/>
  <c r="O242" i="3" s="1"/>
  <c r="S167" i="3"/>
  <c r="L219" i="3"/>
  <c r="M219" i="3"/>
  <c r="O219" i="3" s="1"/>
  <c r="M223" i="3"/>
  <c r="O223" i="3" s="1"/>
  <c r="L223" i="3"/>
  <c r="R375" i="3"/>
  <c r="S375" i="3"/>
  <c r="M140" i="3"/>
  <c r="O140" i="3" s="1"/>
  <c r="L140" i="3"/>
  <c r="U160" i="3"/>
  <c r="R194" i="3"/>
  <c r="S194" i="3"/>
  <c r="U170" i="3"/>
  <c r="U345" i="3"/>
  <c r="L269" i="3"/>
  <c r="M269" i="3"/>
  <c r="O269" i="3" s="1"/>
  <c r="P185" i="3"/>
  <c r="P251" i="3"/>
  <c r="S269" i="3"/>
  <c r="R269" i="3"/>
  <c r="M317" i="3"/>
  <c r="O317" i="3" s="1"/>
  <c r="L317" i="3"/>
  <c r="M329" i="3"/>
  <c r="O329" i="3" s="1"/>
  <c r="L329" i="3"/>
  <c r="L354" i="3"/>
  <c r="M354" i="3"/>
  <c r="O354" i="3" s="1"/>
  <c r="R390" i="3"/>
  <c r="S390" i="3"/>
  <c r="P204" i="3"/>
  <c r="N235" i="3"/>
  <c r="P266" i="3"/>
  <c r="M278" i="3"/>
  <c r="O278" i="3" s="1"/>
  <c r="L278" i="3"/>
  <c r="M284" i="3"/>
  <c r="O284" i="3" s="1"/>
  <c r="L284" i="3"/>
  <c r="M323" i="3"/>
  <c r="O323" i="3" s="1"/>
  <c r="L323" i="3"/>
  <c r="S335" i="3"/>
  <c r="R335" i="3"/>
  <c r="P254" i="3"/>
  <c r="M272" i="3"/>
  <c r="O272" i="3" s="1"/>
  <c r="L272" i="3"/>
  <c r="P275" i="3"/>
  <c r="S284" i="3"/>
  <c r="R284" i="3"/>
  <c r="M287" i="3"/>
  <c r="O287" i="3" s="1"/>
  <c r="L287" i="3"/>
  <c r="P380" i="3"/>
  <c r="T166" i="3"/>
  <c r="P179" i="3"/>
  <c r="P199" i="3"/>
  <c r="S219" i="3"/>
  <c r="T235" i="3"/>
  <c r="P257" i="3"/>
  <c r="M266" i="3"/>
  <c r="O266" i="3" s="1"/>
  <c r="P287" i="3"/>
  <c r="M293" i="3"/>
  <c r="O293" i="3" s="1"/>
  <c r="L293" i="3"/>
  <c r="S350" i="3"/>
  <c r="R350" i="3"/>
  <c r="U223" i="3"/>
  <c r="R260" i="3"/>
  <c r="M299" i="3"/>
  <c r="O299" i="3" s="1"/>
  <c r="L299" i="3"/>
  <c r="S209" i="3"/>
  <c r="J236" i="3"/>
  <c r="M263" i="3"/>
  <c r="O263" i="3" s="1"/>
  <c r="L263" i="3"/>
  <c r="S281" i="3"/>
  <c r="R281" i="3"/>
  <c r="M305" i="3"/>
  <c r="O305" i="3" s="1"/>
  <c r="L305" i="3"/>
  <c r="M320" i="3"/>
  <c r="O320" i="3" s="1"/>
  <c r="M326" i="3"/>
  <c r="O326" i="3" s="1"/>
  <c r="L326" i="3"/>
  <c r="M359" i="3"/>
  <c r="O359" i="3" s="1"/>
  <c r="L359" i="3"/>
  <c r="S363" i="3"/>
  <c r="O417" i="3"/>
  <c r="L474" i="3"/>
  <c r="M474" i="3"/>
  <c r="O474" i="3" s="1"/>
  <c r="P598" i="3"/>
  <c r="M375" i="3"/>
  <c r="O375" i="3" s="1"/>
  <c r="L375" i="3"/>
  <c r="R395" i="3"/>
  <c r="S395" i="3"/>
  <c r="L436" i="3"/>
  <c r="M436" i="3"/>
  <c r="O436" i="3" s="1"/>
  <c r="L447" i="3"/>
  <c r="M447" i="3"/>
  <c r="O447" i="3" s="1"/>
  <c r="R535" i="3"/>
  <c r="S535" i="3"/>
  <c r="P290" i="3"/>
  <c r="P296" i="3"/>
  <c r="P302" i="3"/>
  <c r="P308" i="3"/>
  <c r="P314" i="3"/>
  <c r="P320" i="3"/>
  <c r="M350" i="3"/>
  <c r="O350" i="3" s="1"/>
  <c r="L350" i="3"/>
  <c r="P354" i="3"/>
  <c r="O369" i="3"/>
  <c r="M400" i="3"/>
  <c r="O400" i="3" s="1"/>
  <c r="L400" i="3"/>
  <c r="P406" i="3"/>
  <c r="T416" i="3"/>
  <c r="M429" i="3"/>
  <c r="O429" i="3" s="1"/>
  <c r="L429" i="3"/>
  <c r="M501" i="3"/>
  <c r="O501" i="3" s="1"/>
  <c r="L501" i="3"/>
  <c r="M340" i="3"/>
  <c r="O340" i="3" s="1"/>
  <c r="L340" i="3"/>
  <c r="M395" i="3"/>
  <c r="O395" i="3" s="1"/>
  <c r="L395" i="3"/>
  <c r="L425" i="3"/>
  <c r="M425" i="3"/>
  <c r="O425" i="3" s="1"/>
  <c r="L439" i="3"/>
  <c r="M439" i="3"/>
  <c r="O439" i="3" s="1"/>
  <c r="U501" i="3"/>
  <c r="P323" i="3"/>
  <c r="R326" i="3"/>
  <c r="P340" i="3"/>
  <c r="M390" i="3"/>
  <c r="O390" i="3" s="1"/>
  <c r="L390" i="3"/>
  <c r="S439" i="3"/>
  <c r="R439" i="3"/>
  <c r="M498" i="3"/>
  <c r="L498" i="3"/>
  <c r="M504" i="3"/>
  <c r="O504" i="3" s="1"/>
  <c r="L504" i="3"/>
  <c r="R272" i="3"/>
  <c r="L275" i="3"/>
  <c r="S326" i="3"/>
  <c r="M332" i="3"/>
  <c r="O332" i="3" s="1"/>
  <c r="L332" i="3"/>
  <c r="S417" i="3"/>
  <c r="R417" i="3"/>
  <c r="U459" i="3"/>
  <c r="P278" i="3"/>
  <c r="S329" i="3"/>
  <c r="R345" i="3"/>
  <c r="M380" i="3"/>
  <c r="O380" i="3" s="1"/>
  <c r="L380" i="3"/>
  <c r="M345" i="3"/>
  <c r="O345" i="3" s="1"/>
  <c r="L345" i="3"/>
  <c r="U421" i="3"/>
  <c r="S447" i="3"/>
  <c r="R447" i="3"/>
  <c r="M507" i="3"/>
  <c r="O507" i="3" s="1"/>
  <c r="L507" i="3"/>
  <c r="P586" i="3"/>
  <c r="M464" i="3"/>
  <c r="O464" i="3" s="1"/>
  <c r="L464" i="3"/>
  <c r="P574" i="3"/>
  <c r="M335" i="3"/>
  <c r="O335" i="3" s="1"/>
  <c r="L335" i="3"/>
  <c r="M363" i="3"/>
  <c r="O363" i="3" s="1"/>
  <c r="L363" i="3"/>
  <c r="J459" i="3"/>
  <c r="M469" i="3"/>
  <c r="O469" i="3" s="1"/>
  <c r="L469" i="3"/>
  <c r="P469" i="3"/>
  <c r="U514" i="3"/>
  <c r="M421" i="3"/>
  <c r="O421" i="3" s="1"/>
  <c r="L421" i="3"/>
  <c r="U451" i="3"/>
  <c r="S332" i="3"/>
  <c r="U429" i="3"/>
  <c r="S442" i="3"/>
  <c r="R442" i="3"/>
  <c r="S455" i="3"/>
  <c r="R455" i="3"/>
  <c r="J483" i="3"/>
  <c r="S433" i="3"/>
  <c r="R433" i="3"/>
  <c r="U526" i="3"/>
  <c r="M442" i="3"/>
  <c r="O442" i="3" s="1"/>
  <c r="M451" i="3"/>
  <c r="O451" i="3" s="1"/>
  <c r="L451" i="3"/>
  <c r="M455" i="3"/>
  <c r="O455" i="3" s="1"/>
  <c r="U464" i="3"/>
  <c r="P650" i="3"/>
  <c r="R517" i="3"/>
  <c r="U520" i="3"/>
  <c r="P691" i="3"/>
  <c r="P494" i="3"/>
  <c r="M517" i="3"/>
  <c r="O517" i="3" s="1"/>
  <c r="L517" i="3"/>
  <c r="R532" i="3"/>
  <c r="R547" i="3"/>
  <c r="R550" i="3"/>
  <c r="S550" i="3"/>
  <c r="R523" i="3"/>
  <c r="R544" i="3"/>
  <c r="R556" i="3"/>
  <c r="S556" i="3"/>
  <c r="M559" i="3"/>
  <c r="O559" i="3" s="1"/>
  <c r="L559" i="3"/>
  <c r="U725" i="3"/>
  <c r="S731" i="3"/>
  <c r="R731" i="3"/>
  <c r="S492" i="3"/>
  <c r="R492" i="3"/>
  <c r="P510" i="3"/>
  <c r="R514" i="3"/>
  <c r="S517" i="3"/>
  <c r="R541" i="3"/>
  <c r="U547" i="3"/>
  <c r="R562" i="3"/>
  <c r="S562" i="3"/>
  <c r="M565" i="3"/>
  <c r="O565" i="3" s="1"/>
  <c r="L565" i="3"/>
  <c r="S644" i="3"/>
  <c r="R644" i="3"/>
  <c r="M652" i="3"/>
  <c r="O652" i="3" s="1"/>
  <c r="L652" i="3"/>
  <c r="S678" i="3"/>
  <c r="R678" i="3"/>
  <c r="T496" i="3"/>
  <c r="M514" i="3"/>
  <c r="L514" i="3"/>
  <c r="R529" i="3"/>
  <c r="U532" i="3"/>
  <c r="R538" i="3"/>
  <c r="U544" i="3"/>
  <c r="S483" i="3"/>
  <c r="S507" i="3"/>
  <c r="R507" i="3"/>
  <c r="L510" i="3"/>
  <c r="R520" i="3"/>
  <c r="U523" i="3"/>
  <c r="U541" i="3"/>
  <c r="M568" i="3"/>
  <c r="O568" i="3" s="1"/>
  <c r="L568" i="3"/>
  <c r="M574" i="3"/>
  <c r="O574" i="3" s="1"/>
  <c r="M580" i="3"/>
  <c r="O580" i="3" s="1"/>
  <c r="L580" i="3"/>
  <c r="M586" i="3"/>
  <c r="O586" i="3" s="1"/>
  <c r="L586" i="3"/>
  <c r="M592" i="3"/>
  <c r="O592" i="3" s="1"/>
  <c r="L592" i="3"/>
  <c r="M598" i="3"/>
  <c r="O598" i="3" s="1"/>
  <c r="L598" i="3"/>
  <c r="R501" i="3"/>
  <c r="T513" i="3"/>
  <c r="R526" i="3"/>
  <c r="S529" i="3"/>
  <c r="S538" i="3"/>
  <c r="R553" i="3"/>
  <c r="R559" i="3"/>
  <c r="R565" i="3"/>
  <c r="U571" i="3"/>
  <c r="U583" i="3"/>
  <c r="U595" i="3"/>
  <c r="O631" i="3"/>
  <c r="P652" i="3"/>
  <c r="S656" i="3"/>
  <c r="R656" i="3"/>
  <c r="L664" i="3"/>
  <c r="S743" i="3"/>
  <c r="R743" i="3"/>
  <c r="L520" i="3"/>
  <c r="L523" i="3"/>
  <c r="L526" i="3"/>
  <c r="L529" i="3"/>
  <c r="L532" i="3"/>
  <c r="L535" i="3"/>
  <c r="L550" i="3"/>
  <c r="S553" i="3"/>
  <c r="L556" i="3"/>
  <c r="S559" i="3"/>
  <c r="L562" i="3"/>
  <c r="S565" i="3"/>
  <c r="R577" i="3"/>
  <c r="R589" i="3"/>
  <c r="R601" i="3"/>
  <c r="L604" i="3"/>
  <c r="S604" i="3"/>
  <c r="R604" i="3"/>
  <c r="L607" i="3"/>
  <c r="S607" i="3"/>
  <c r="R607" i="3"/>
  <c r="L610" i="3"/>
  <c r="S610" i="3"/>
  <c r="R610" i="3"/>
  <c r="L613" i="3"/>
  <c r="S613" i="3"/>
  <c r="R613" i="3"/>
  <c r="L616" i="3"/>
  <c r="S616" i="3"/>
  <c r="R616" i="3"/>
  <c r="L619" i="3"/>
  <c r="S619" i="3"/>
  <c r="R619" i="3"/>
  <c r="L622" i="3"/>
  <c r="S622" i="3"/>
  <c r="R622" i="3"/>
  <c r="L625" i="3"/>
  <c r="S625" i="3"/>
  <c r="R625" i="3"/>
  <c r="L628" i="3"/>
  <c r="S628" i="3"/>
  <c r="R628" i="3"/>
  <c r="L631" i="3"/>
  <c r="U745" i="3"/>
  <c r="S763" i="3"/>
  <c r="R763" i="3"/>
  <c r="M654" i="3"/>
  <c r="O654" i="3" s="1"/>
  <c r="L654" i="3"/>
  <c r="R568" i="3"/>
  <c r="L571" i="3"/>
  <c r="R580" i="3"/>
  <c r="L583" i="3"/>
  <c r="R592" i="3"/>
  <c r="L595" i="3"/>
  <c r="P664" i="3"/>
  <c r="S568" i="3"/>
  <c r="U577" i="3"/>
  <c r="S580" i="3"/>
  <c r="U589" i="3"/>
  <c r="S592" i="3"/>
  <c r="U601" i="3"/>
  <c r="P637" i="3"/>
  <c r="S654" i="3"/>
  <c r="M678" i="3"/>
  <c r="O678" i="3" s="1"/>
  <c r="L678" i="3"/>
  <c r="R571" i="3"/>
  <c r="R583" i="3"/>
  <c r="R595" i="3"/>
  <c r="S634" i="3"/>
  <c r="S640" i="3"/>
  <c r="O644" i="3"/>
  <c r="O717" i="3"/>
  <c r="U757" i="3"/>
  <c r="P631" i="3"/>
  <c r="M658" i="3"/>
  <c r="O658" i="3" s="1"/>
  <c r="L658" i="3"/>
  <c r="M691" i="3"/>
  <c r="O691" i="3" s="1"/>
  <c r="L691" i="3"/>
  <c r="P658" i="3"/>
  <c r="O723" i="3"/>
  <c r="O725" i="3"/>
  <c r="O751" i="3"/>
  <c r="U751" i="3"/>
  <c r="U765" i="3"/>
  <c r="U772" i="3"/>
  <c r="U771" i="3" s="1"/>
  <c r="U770" i="3" s="1"/>
  <c r="U769" i="3" s="1"/>
  <c r="U739" i="3"/>
  <c r="U753" i="3"/>
  <c r="R660" i="3"/>
  <c r="R721" i="3"/>
  <c r="R729" i="3"/>
  <c r="U741" i="3"/>
  <c r="U759" i="3"/>
  <c r="T643" i="3"/>
  <c r="R646" i="3"/>
  <c r="P648" i="3"/>
  <c r="L656" i="3"/>
  <c r="R662" i="3"/>
  <c r="P703" i="3"/>
  <c r="S721" i="3"/>
  <c r="R725" i="3"/>
  <c r="R727" i="3"/>
  <c r="S729" i="3"/>
  <c r="R739" i="3"/>
  <c r="U747" i="3"/>
  <c r="U761" i="3"/>
  <c r="O637" i="3"/>
  <c r="U719" i="3"/>
  <c r="O735" i="3"/>
  <c r="U735" i="3"/>
  <c r="U749" i="3"/>
  <c r="R759" i="3"/>
  <c r="O767" i="3"/>
  <c r="U767" i="3"/>
  <c r="U727" i="3"/>
  <c r="O755" i="3"/>
  <c r="U755" i="3"/>
  <c r="R103" i="1"/>
  <c r="X103" i="1" s="1"/>
  <c r="S103" i="1"/>
  <c r="V103" i="1"/>
  <c r="L111" i="1"/>
  <c r="M111" i="1"/>
  <c r="O111" i="1" s="1"/>
  <c r="M15" i="1"/>
  <c r="L15" i="1"/>
  <c r="M24" i="1"/>
  <c r="O24" i="1" s="1"/>
  <c r="L24" i="1"/>
  <c r="R111" i="1"/>
  <c r="X111" i="1" s="1"/>
  <c r="S111" i="1"/>
  <c r="V111" i="1"/>
  <c r="S15" i="1"/>
  <c r="V15" i="1"/>
  <c r="R15" i="1"/>
  <c r="X15" i="1" s="1"/>
  <c r="M18" i="1"/>
  <c r="O18" i="1" s="1"/>
  <c r="L18" i="1"/>
  <c r="M96" i="1"/>
  <c r="O96" i="1" s="1"/>
  <c r="L96" i="1"/>
  <c r="S18" i="1"/>
  <c r="V18" i="1"/>
  <c r="R18" i="1"/>
  <c r="X18" i="1" s="1"/>
  <c r="R56" i="1"/>
  <c r="X56" i="1" s="1"/>
  <c r="S56" i="1"/>
  <c r="V56" i="1"/>
  <c r="M106" i="1"/>
  <c r="L106" i="1"/>
  <c r="V109" i="1"/>
  <c r="S109" i="1"/>
  <c r="R109" i="1"/>
  <c r="X109" i="1" s="1"/>
  <c r="S90" i="1"/>
  <c r="R90" i="1"/>
  <c r="X90" i="1" s="1"/>
  <c r="V90" i="1"/>
  <c r="V106" i="1"/>
  <c r="S106" i="1"/>
  <c r="R106" i="1"/>
  <c r="X106" i="1" s="1"/>
  <c r="M120" i="1"/>
  <c r="L120" i="1"/>
  <c r="M74" i="1"/>
  <c r="O74" i="1" s="1"/>
  <c r="L74" i="1"/>
  <c r="R68" i="1"/>
  <c r="X68" i="1" s="1"/>
  <c r="S68" i="1"/>
  <c r="V68" i="1"/>
  <c r="P174" i="1"/>
  <c r="Y175" i="1"/>
  <c r="P194" i="1"/>
  <c r="Y195" i="1"/>
  <c r="S280" i="1"/>
  <c r="R280" i="1"/>
  <c r="X280" i="1" s="1"/>
  <c r="V280" i="1"/>
  <c r="M345" i="1"/>
  <c r="O345" i="1" s="1"/>
  <c r="L345" i="1"/>
  <c r="V345" i="1"/>
  <c r="S345" i="1"/>
  <c r="R345" i="1"/>
  <c r="X345" i="1" s="1"/>
  <c r="U363" i="1"/>
  <c r="Y363" i="1"/>
  <c r="AA363" i="1" s="1"/>
  <c r="M378" i="1"/>
  <c r="O378" i="1" s="1"/>
  <c r="L378" i="1"/>
  <c r="Y391" i="1"/>
  <c r="P390" i="1"/>
  <c r="Y409" i="1"/>
  <c r="P408" i="1"/>
  <c r="M439" i="1"/>
  <c r="O439" i="1" s="1"/>
  <c r="L439" i="1"/>
  <c r="L448" i="1"/>
  <c r="M448" i="1"/>
  <c r="O448" i="1" s="1"/>
  <c r="R24" i="1"/>
  <c r="X24" i="1" s="1"/>
  <c r="L90" i="1"/>
  <c r="Y96" i="1"/>
  <c r="AA96" i="1" s="1"/>
  <c r="S113" i="1"/>
  <c r="R117" i="1"/>
  <c r="X117" i="1" s="1"/>
  <c r="Z119" i="1"/>
  <c r="L132" i="1"/>
  <c r="L137" i="1"/>
  <c r="R143" i="1"/>
  <c r="X143" i="1" s="1"/>
  <c r="P167" i="1"/>
  <c r="Y168" i="1"/>
  <c r="L174" i="1"/>
  <c r="L194" i="1"/>
  <c r="L232" i="1"/>
  <c r="S265" i="1"/>
  <c r="R265" i="1"/>
  <c r="X265" i="1" s="1"/>
  <c r="V265" i="1"/>
  <c r="Y297" i="1"/>
  <c r="U297" i="1"/>
  <c r="M309" i="1"/>
  <c r="O309" i="1" s="1"/>
  <c r="L309" i="1"/>
  <c r="Y367" i="1"/>
  <c r="P366" i="1"/>
  <c r="P378" i="1"/>
  <c r="S463" i="1"/>
  <c r="R463" i="1"/>
  <c r="X463" i="1" s="1"/>
  <c r="V463" i="1"/>
  <c r="Y20" i="1"/>
  <c r="S24" i="1"/>
  <c r="Y224" i="1"/>
  <c r="P222" i="1"/>
  <c r="M381" i="1"/>
  <c r="O381" i="1" s="1"/>
  <c r="L381" i="1"/>
  <c r="M561" i="1"/>
  <c r="O561" i="1" s="1"/>
  <c r="L561" i="1"/>
  <c r="P40" i="1"/>
  <c r="R62" i="1"/>
  <c r="X62" i="1" s="1"/>
  <c r="R74" i="1"/>
  <c r="X74" i="1" s="1"/>
  <c r="U117" i="1"/>
  <c r="Z132" i="1"/>
  <c r="U143" i="1"/>
  <c r="N210" i="1"/>
  <c r="S275" i="1"/>
  <c r="R275" i="1"/>
  <c r="X275" i="1" s="1"/>
  <c r="V275" i="1"/>
  <c r="M333" i="1"/>
  <c r="O333" i="1" s="1"/>
  <c r="L333" i="1"/>
  <c r="S339" i="1"/>
  <c r="R339" i="1"/>
  <c r="X339" i="1" s="1"/>
  <c r="V339" i="1"/>
  <c r="M366" i="1"/>
  <c r="O366" i="1" s="1"/>
  <c r="L366" i="1"/>
  <c r="S381" i="1"/>
  <c r="V381" i="1"/>
  <c r="J393" i="1"/>
  <c r="S396" i="1"/>
  <c r="V396" i="1"/>
  <c r="R396" i="1"/>
  <c r="X396" i="1" s="1"/>
  <c r="M411" i="1"/>
  <c r="O411" i="1" s="1"/>
  <c r="L411" i="1"/>
  <c r="M489" i="1"/>
  <c r="O489" i="1" s="1"/>
  <c r="L489" i="1"/>
  <c r="Y17" i="1"/>
  <c r="Y107" i="1"/>
  <c r="Y112" i="1"/>
  <c r="U120" i="1"/>
  <c r="M214" i="1"/>
  <c r="O214" i="1" s="1"/>
  <c r="L214" i="1"/>
  <c r="M247" i="1"/>
  <c r="O247" i="1" s="1"/>
  <c r="L247" i="1"/>
  <c r="M339" i="1"/>
  <c r="O339" i="1" s="1"/>
  <c r="L339" i="1"/>
  <c r="P457" i="1"/>
  <c r="Y458" i="1"/>
  <c r="P22" i="1"/>
  <c r="Y57" i="1"/>
  <c r="S62" i="1"/>
  <c r="Y69" i="1"/>
  <c r="S74" i="1"/>
  <c r="T102" i="1"/>
  <c r="T13" i="1" s="1"/>
  <c r="T12" i="1" s="1"/>
  <c r="T11" i="1" s="1"/>
  <c r="T10" i="1" s="1"/>
  <c r="T9" i="1" s="1"/>
  <c r="T8" i="1" s="1"/>
  <c r="T918" i="1" s="1"/>
  <c r="Y104" i="1"/>
  <c r="L113" i="1"/>
  <c r="L117" i="1"/>
  <c r="V117" i="1"/>
  <c r="P132" i="1"/>
  <c r="P137" i="1"/>
  <c r="V143" i="1"/>
  <c r="P184" i="1"/>
  <c r="Y185" i="1"/>
  <c r="P204" i="1"/>
  <c r="Y205" i="1"/>
  <c r="S260" i="1"/>
  <c r="R260" i="1"/>
  <c r="X260" i="1" s="1"/>
  <c r="V260" i="1"/>
  <c r="V333" i="1"/>
  <c r="S333" i="1"/>
  <c r="Y357" i="1"/>
  <c r="AA357" i="1" s="1"/>
  <c r="U357" i="1"/>
  <c r="J369" i="1"/>
  <c r="S372" i="1"/>
  <c r="V372" i="1"/>
  <c r="R372" i="1"/>
  <c r="X372" i="1" s="1"/>
  <c r="L444" i="1"/>
  <c r="J484" i="1"/>
  <c r="Y606" i="1"/>
  <c r="P601" i="1"/>
  <c r="P199" i="1"/>
  <c r="Y200" i="1"/>
  <c r="T296" i="1"/>
  <c r="T209" i="1" s="1"/>
  <c r="Z345" i="1"/>
  <c r="Z296" i="1" s="1"/>
  <c r="M390" i="1"/>
  <c r="O390" i="1" s="1"/>
  <c r="L390" i="1"/>
  <c r="P429" i="1"/>
  <c r="Y430" i="1"/>
  <c r="S448" i="1"/>
  <c r="R448" i="1"/>
  <c r="X448" i="1" s="1"/>
  <c r="V448" i="1"/>
  <c r="M494" i="1"/>
  <c r="O494" i="1" s="1"/>
  <c r="L494" i="1"/>
  <c r="M190" i="2"/>
  <c r="O190" i="2" s="1"/>
  <c r="L190" i="2"/>
  <c r="V736" i="2"/>
  <c r="S736" i="2"/>
  <c r="R736" i="2"/>
  <c r="X736" i="2" s="1"/>
  <c r="Y120" i="1"/>
  <c r="L184" i="1"/>
  <c r="L204" i="1"/>
  <c r="U211" i="1"/>
  <c r="Y211" i="1"/>
  <c r="O275" i="1"/>
  <c r="U292" i="1"/>
  <c r="Y292" i="1"/>
  <c r="AA292" i="1" s="1"/>
  <c r="V351" i="1"/>
  <c r="S351" i="1"/>
  <c r="R351" i="1"/>
  <c r="X351" i="1" s="1"/>
  <c r="J479" i="1"/>
  <c r="V172" i="1"/>
  <c r="S172" i="1"/>
  <c r="R172" i="1"/>
  <c r="X172" i="1" s="1"/>
  <c r="P179" i="1"/>
  <c r="Y180" i="1"/>
  <c r="S636" i="2"/>
  <c r="V636" i="2"/>
  <c r="R636" i="2"/>
  <c r="X636" i="2" s="1"/>
  <c r="Z90" i="1"/>
  <c r="Z14" i="1" s="1"/>
  <c r="Z13" i="1" s="1"/>
  <c r="P170" i="1"/>
  <c r="Y171" i="1"/>
  <c r="P189" i="1"/>
  <c r="Y190" i="1"/>
  <c r="Z210" i="1"/>
  <c r="M211" i="1"/>
  <c r="L211" i="1"/>
  <c r="M244" i="1"/>
  <c r="O244" i="1" s="1"/>
  <c r="L244" i="1"/>
  <c r="M250" i="1"/>
  <c r="O250" i="1" s="1"/>
  <c r="L250" i="1"/>
  <c r="S270" i="1"/>
  <c r="R270" i="1"/>
  <c r="X270" i="1" s="1"/>
  <c r="V270" i="1"/>
  <c r="S288" i="1"/>
  <c r="R288" i="1"/>
  <c r="X288" i="1" s="1"/>
  <c r="V288" i="1"/>
  <c r="Y323" i="1"/>
  <c r="P321" i="1"/>
  <c r="M399" i="1"/>
  <c r="O399" i="1" s="1"/>
  <c r="L399" i="1"/>
  <c r="V417" i="1"/>
  <c r="S417" i="1"/>
  <c r="R417" i="1"/>
  <c r="X417" i="1" s="1"/>
  <c r="M474" i="1"/>
  <c r="O474" i="1" s="1"/>
  <c r="L474" i="1"/>
  <c r="R120" i="1"/>
  <c r="X120" i="1" s="1"/>
  <c r="V120" i="1"/>
  <c r="O143" i="1"/>
  <c r="M155" i="1"/>
  <c r="O155" i="1" s="1"/>
  <c r="L155" i="1"/>
  <c r="Y163" i="1"/>
  <c r="P161" i="1"/>
  <c r="L189" i="1"/>
  <c r="V250" i="1"/>
  <c r="S250" i="1"/>
  <c r="U284" i="1"/>
  <c r="Y284" i="1"/>
  <c r="AA284" i="1" s="1"/>
  <c r="O297" i="1"/>
  <c r="M375" i="1"/>
  <c r="O375" i="1" s="1"/>
  <c r="L375" i="1"/>
  <c r="M405" i="1"/>
  <c r="O405" i="1" s="1"/>
  <c r="L405" i="1"/>
  <c r="Y415" i="1"/>
  <c r="P414" i="1"/>
  <c r="P423" i="1"/>
  <c r="Y424" i="1"/>
  <c r="M426" i="1"/>
  <c r="O426" i="1" s="1"/>
  <c r="L426" i="1"/>
  <c r="M457" i="1"/>
  <c r="O457" i="1" s="1"/>
  <c r="L457" i="1"/>
  <c r="L463" i="1"/>
  <c r="M463" i="1"/>
  <c r="O463" i="1" s="1"/>
  <c r="M469" i="1"/>
  <c r="O469" i="1" s="1"/>
  <c r="L469" i="1"/>
  <c r="P155" i="1"/>
  <c r="M161" i="1"/>
  <c r="O161" i="1" s="1"/>
  <c r="P214" i="1"/>
  <c r="L260" i="1"/>
  <c r="L265" i="1"/>
  <c r="L270" i="1"/>
  <c r="L275" i="1"/>
  <c r="L280" i="1"/>
  <c r="L288" i="1"/>
  <c r="P309" i="1"/>
  <c r="M321" i="1"/>
  <c r="O321" i="1" s="1"/>
  <c r="Y347" i="1"/>
  <c r="U369" i="1"/>
  <c r="Y379" i="1"/>
  <c r="M387" i="1"/>
  <c r="O387" i="1" s="1"/>
  <c r="U393" i="1"/>
  <c r="L402" i="1"/>
  <c r="L417" i="1"/>
  <c r="P420" i="1"/>
  <c r="P444" i="1"/>
  <c r="Y445" i="1"/>
  <c r="N510" i="1"/>
  <c r="AA519" i="1"/>
  <c r="M542" i="1"/>
  <c r="O542" i="1" s="1"/>
  <c r="L542" i="1"/>
  <c r="M548" i="1"/>
  <c r="O548" i="1" s="1"/>
  <c r="L548" i="1"/>
  <c r="O615" i="1"/>
  <c r="U147" i="1"/>
  <c r="P238" i="1"/>
  <c r="P241" i="1"/>
  <c r="P244" i="1"/>
  <c r="P247" i="1"/>
  <c r="V369" i="1"/>
  <c r="V393" i="1"/>
  <c r="U519" i="1"/>
  <c r="Z519" i="1"/>
  <c r="V542" i="1"/>
  <c r="S542" i="1"/>
  <c r="S635" i="1"/>
  <c r="V635" i="1"/>
  <c r="R635" i="1"/>
  <c r="X635" i="1" s="1"/>
  <c r="L641" i="1"/>
  <c r="M641" i="1"/>
  <c r="O641" i="1" s="1"/>
  <c r="S719" i="1"/>
  <c r="R719" i="1"/>
  <c r="X719" i="1" s="1"/>
  <c r="V719" i="1"/>
  <c r="P387" i="1"/>
  <c r="V411" i="1"/>
  <c r="S411" i="1"/>
  <c r="J551" i="1"/>
  <c r="U569" i="1"/>
  <c r="Z569" i="1"/>
  <c r="AA569" i="1" s="1"/>
  <c r="J592" i="1"/>
  <c r="Y597" i="1"/>
  <c r="P596" i="1"/>
  <c r="S716" i="1"/>
  <c r="R716" i="1"/>
  <c r="X716" i="1" s="1"/>
  <c r="V716" i="1"/>
  <c r="P402" i="1"/>
  <c r="R411" i="1"/>
  <c r="X411" i="1" s="1"/>
  <c r="L423" i="1"/>
  <c r="L429" i="1"/>
  <c r="P434" i="1"/>
  <c r="Y435" i="1"/>
  <c r="J500" i="1"/>
  <c r="M519" i="1"/>
  <c r="O519" i="1" s="1"/>
  <c r="L519" i="1"/>
  <c r="M539" i="1"/>
  <c r="O539" i="1" s="1"/>
  <c r="L539" i="1"/>
  <c r="V561" i="1"/>
  <c r="S561" i="1"/>
  <c r="R561" i="1"/>
  <c r="X561" i="1" s="1"/>
  <c r="M601" i="1"/>
  <c r="O601" i="1" s="1"/>
  <c r="L601" i="1"/>
  <c r="P659" i="1"/>
  <c r="Y661" i="1"/>
  <c r="S453" i="1"/>
  <c r="R453" i="1"/>
  <c r="X453" i="1" s="1"/>
  <c r="V453" i="1"/>
  <c r="L453" i="1"/>
  <c r="M453" i="1"/>
  <c r="O453" i="1" s="1"/>
  <c r="V469" i="1"/>
  <c r="S469" i="1"/>
  <c r="R469" i="1"/>
  <c r="X469" i="1" s="1"/>
  <c r="V474" i="1"/>
  <c r="S474" i="1"/>
  <c r="R474" i="1"/>
  <c r="X474" i="1" s="1"/>
  <c r="V479" i="1"/>
  <c r="S479" i="1"/>
  <c r="R479" i="1"/>
  <c r="X479" i="1" s="1"/>
  <c r="V484" i="1"/>
  <c r="S484" i="1"/>
  <c r="R484" i="1"/>
  <c r="X484" i="1" s="1"/>
  <c r="V489" i="1"/>
  <c r="S489" i="1"/>
  <c r="R489" i="1"/>
  <c r="X489" i="1" s="1"/>
  <c r="V494" i="1"/>
  <c r="S494" i="1"/>
  <c r="R494" i="1"/>
  <c r="X494" i="1" s="1"/>
  <c r="U500" i="1"/>
  <c r="Y500" i="1"/>
  <c r="AA500" i="1" s="1"/>
  <c r="V527" i="1"/>
  <c r="S527" i="1"/>
  <c r="R527" i="1"/>
  <c r="X527" i="1" s="1"/>
  <c r="Y535" i="1"/>
  <c r="AA535" i="1" s="1"/>
  <c r="U535" i="1"/>
  <c r="S548" i="1"/>
  <c r="R548" i="1"/>
  <c r="X548" i="1" s="1"/>
  <c r="V548" i="1"/>
  <c r="P622" i="1"/>
  <c r="Y623" i="1"/>
  <c r="S713" i="1"/>
  <c r="R713" i="1"/>
  <c r="X713" i="1" s="1"/>
  <c r="V713" i="1"/>
  <c r="L172" i="1"/>
  <c r="P232" i="1"/>
  <c r="R297" i="1"/>
  <c r="X297" i="1" s="1"/>
  <c r="P327" i="1"/>
  <c r="L351" i="1"/>
  <c r="R357" i="1"/>
  <c r="X357" i="1" s="1"/>
  <c r="R369" i="1"/>
  <c r="X369" i="1" s="1"/>
  <c r="L372" i="1"/>
  <c r="R393" i="1"/>
  <c r="X393" i="1" s="1"/>
  <c r="L396" i="1"/>
  <c r="L408" i="1"/>
  <c r="L420" i="1"/>
  <c r="P426" i="1"/>
  <c r="Y427" i="1"/>
  <c r="L434" i="1"/>
  <c r="P439" i="1"/>
  <c r="Y440" i="1"/>
  <c r="J505" i="1"/>
  <c r="M569" i="1"/>
  <c r="O569" i="1" s="1"/>
  <c r="L569" i="1"/>
  <c r="M582" i="1"/>
  <c r="O582" i="1" s="1"/>
  <c r="L582" i="1"/>
  <c r="S686" i="1"/>
  <c r="V686" i="1"/>
  <c r="R686" i="1"/>
  <c r="X686" i="1" s="1"/>
  <c r="Y700" i="1"/>
  <c r="P698" i="1"/>
  <c r="P375" i="1"/>
  <c r="R384" i="1"/>
  <c r="X384" i="1" s="1"/>
  <c r="P399" i="1"/>
  <c r="P405" i="1"/>
  <c r="U505" i="1"/>
  <c r="Y505" i="1"/>
  <c r="AA505" i="1" s="1"/>
  <c r="M511" i="1"/>
  <c r="L511" i="1"/>
  <c r="U565" i="1"/>
  <c r="Y565" i="1"/>
  <c r="AA565" i="1" s="1"/>
  <c r="L565" i="1"/>
  <c r="M565" i="1"/>
  <c r="O565" i="1" s="1"/>
  <c r="V577" i="1"/>
  <c r="S577" i="1"/>
  <c r="R577" i="1"/>
  <c r="X577" i="1" s="1"/>
  <c r="R592" i="1"/>
  <c r="X592" i="1" s="1"/>
  <c r="V592" i="1"/>
  <c r="S592" i="1"/>
  <c r="AA625" i="1"/>
  <c r="Z615" i="1"/>
  <c r="Z614" i="1" s="1"/>
  <c r="S710" i="1"/>
  <c r="R710" i="1"/>
  <c r="X710" i="1" s="1"/>
  <c r="V710" i="1"/>
  <c r="Y722" i="1"/>
  <c r="AA722" i="1" s="1"/>
  <c r="U722" i="1"/>
  <c r="Y746" i="1"/>
  <c r="AA746" i="1" s="1"/>
  <c r="U746" i="1"/>
  <c r="Y770" i="1"/>
  <c r="AA770" i="1" s="1"/>
  <c r="U770" i="1"/>
  <c r="V500" i="1"/>
  <c r="V505" i="1"/>
  <c r="V565" i="1"/>
  <c r="P582" i="1"/>
  <c r="Y610" i="1"/>
  <c r="S609" i="1"/>
  <c r="M634" i="1"/>
  <c r="M614" i="1" s="1"/>
  <c r="O635" i="1"/>
  <c r="V677" i="1"/>
  <c r="S677" i="1"/>
  <c r="R677" i="1"/>
  <c r="X677" i="1" s="1"/>
  <c r="Y689" i="1"/>
  <c r="AA689" i="1" s="1"/>
  <c r="V695" i="1"/>
  <c r="Y728" i="1"/>
  <c r="AA728" i="1" s="1"/>
  <c r="U728" i="1"/>
  <c r="Y752" i="1"/>
  <c r="AA752" i="1" s="1"/>
  <c r="U752" i="1"/>
  <c r="Y776" i="1"/>
  <c r="AA776" i="1" s="1"/>
  <c r="U776" i="1"/>
  <c r="Z788" i="1"/>
  <c r="M18" i="2"/>
  <c r="O18" i="2" s="1"/>
  <c r="L18" i="2"/>
  <c r="P539" i="1"/>
  <c r="L625" i="1"/>
  <c r="P653" i="1"/>
  <c r="L665" i="1"/>
  <c r="P671" i="1"/>
  <c r="P683" i="1"/>
  <c r="R704" i="1"/>
  <c r="X704" i="1" s="1"/>
  <c r="P707" i="1"/>
  <c r="Y725" i="1"/>
  <c r="AA725" i="1" s="1"/>
  <c r="U725" i="1"/>
  <c r="Y749" i="1"/>
  <c r="AA749" i="1" s="1"/>
  <c r="U749" i="1"/>
  <c r="Y773" i="1"/>
  <c r="AA773" i="1" s="1"/>
  <c r="U773" i="1"/>
  <c r="V791" i="1"/>
  <c r="S791" i="1"/>
  <c r="R791" i="1"/>
  <c r="X791" i="1" s="1"/>
  <c r="P793" i="1"/>
  <c r="Y794" i="1"/>
  <c r="M805" i="1"/>
  <c r="O805" i="1" s="1"/>
  <c r="L805" i="1"/>
  <c r="Y743" i="1"/>
  <c r="AA743" i="1" s="1"/>
  <c r="U743" i="1"/>
  <c r="Y767" i="1"/>
  <c r="AA767" i="1" s="1"/>
  <c r="U767" i="1"/>
  <c r="V799" i="1"/>
  <c r="S799" i="1"/>
  <c r="R799" i="1"/>
  <c r="X799" i="1" s="1"/>
  <c r="L72" i="2"/>
  <c r="M72" i="2"/>
  <c r="O72" i="2" s="1"/>
  <c r="R500" i="1"/>
  <c r="X500" i="1" s="1"/>
  <c r="R505" i="1"/>
  <c r="X505" i="1" s="1"/>
  <c r="P511" i="1"/>
  <c r="P551" i="1"/>
  <c r="R565" i="1"/>
  <c r="X565" i="1" s="1"/>
  <c r="L610" i="1"/>
  <c r="M612" i="1"/>
  <c r="O612" i="1" s="1"/>
  <c r="O609" i="1" s="1"/>
  <c r="N615" i="1"/>
  <c r="N614" i="1" s="1"/>
  <c r="R625" i="1"/>
  <c r="X625" i="1" s="1"/>
  <c r="L628" i="1"/>
  <c r="Y641" i="1"/>
  <c r="AA641" i="1" s="1"/>
  <c r="R689" i="1"/>
  <c r="X689" i="1" s="1"/>
  <c r="P692" i="1"/>
  <c r="Y740" i="1"/>
  <c r="AA740" i="1" s="1"/>
  <c r="U740" i="1"/>
  <c r="Y764" i="1"/>
  <c r="AA764" i="1" s="1"/>
  <c r="U764" i="1"/>
  <c r="P789" i="1"/>
  <c r="Y790" i="1"/>
  <c r="J823" i="1"/>
  <c r="S878" i="1"/>
  <c r="R878" i="1"/>
  <c r="X878" i="1" s="1"/>
  <c r="V878" i="1"/>
  <c r="Y470" i="1"/>
  <c r="Y475" i="1"/>
  <c r="Y480" i="1"/>
  <c r="Y485" i="1"/>
  <c r="Y490" i="1"/>
  <c r="Y495" i="1"/>
  <c r="Y562" i="1"/>
  <c r="U631" i="1"/>
  <c r="Y632" i="1"/>
  <c r="O665" i="1"/>
  <c r="M671" i="1"/>
  <c r="O671" i="1" s="1"/>
  <c r="L671" i="1"/>
  <c r="Y737" i="1"/>
  <c r="AA737" i="1" s="1"/>
  <c r="U737" i="1"/>
  <c r="Y761" i="1"/>
  <c r="AA761" i="1" s="1"/>
  <c r="U761" i="1"/>
  <c r="Y785" i="1"/>
  <c r="AA785" i="1" s="1"/>
  <c r="U785" i="1"/>
  <c r="M809" i="1"/>
  <c r="O809" i="1" s="1"/>
  <c r="L809" i="1"/>
  <c r="L527" i="1"/>
  <c r="R535" i="1"/>
  <c r="X535" i="1" s="1"/>
  <c r="L577" i="1"/>
  <c r="P587" i="1"/>
  <c r="L596" i="1"/>
  <c r="P616" i="1"/>
  <c r="U665" i="1"/>
  <c r="L677" i="1"/>
  <c r="V689" i="1"/>
  <c r="R695" i="1"/>
  <c r="X695" i="1" s="1"/>
  <c r="Y734" i="1"/>
  <c r="AA734" i="1" s="1"/>
  <c r="U734" i="1"/>
  <c r="Y758" i="1"/>
  <c r="AA758" i="1" s="1"/>
  <c r="U758" i="1"/>
  <c r="Y782" i="1"/>
  <c r="AA782" i="1" s="1"/>
  <c r="U782" i="1"/>
  <c r="V795" i="1"/>
  <c r="S795" i="1"/>
  <c r="R795" i="1"/>
  <c r="X795" i="1" s="1"/>
  <c r="P797" i="1"/>
  <c r="Y798" i="1"/>
  <c r="U872" i="1"/>
  <c r="Y872" i="1"/>
  <c r="AA872" i="1" s="1"/>
  <c r="R610" i="1"/>
  <c r="X610" i="1" s="1"/>
  <c r="U625" i="1"/>
  <c r="Y626" i="1"/>
  <c r="R628" i="1"/>
  <c r="X628" i="1" s="1"/>
  <c r="Y649" i="1"/>
  <c r="P647" i="1"/>
  <c r="P701" i="1"/>
  <c r="Y731" i="1"/>
  <c r="AA731" i="1" s="1"/>
  <c r="U731" i="1"/>
  <c r="Y755" i="1"/>
  <c r="AA755" i="1" s="1"/>
  <c r="U755" i="1"/>
  <c r="Y779" i="1"/>
  <c r="AA779" i="1" s="1"/>
  <c r="U779" i="1"/>
  <c r="Y808" i="1"/>
  <c r="P807" i="1"/>
  <c r="U801" i="1"/>
  <c r="M861" i="1"/>
  <c r="O862" i="1"/>
  <c r="U880" i="1"/>
  <c r="Y880" i="1"/>
  <c r="AA880" i="1" s="1"/>
  <c r="S886" i="1"/>
  <c r="R886" i="1"/>
  <c r="X886" i="1" s="1"/>
  <c r="V886" i="1"/>
  <c r="O894" i="1"/>
  <c r="O902" i="1"/>
  <c r="O910" i="1"/>
  <c r="V801" i="1"/>
  <c r="U803" i="1"/>
  <c r="P809" i="1"/>
  <c r="S866" i="1"/>
  <c r="R866" i="1"/>
  <c r="X866" i="1" s="1"/>
  <c r="V866" i="1"/>
  <c r="O874" i="1"/>
  <c r="U892" i="1"/>
  <c r="Y892" i="1"/>
  <c r="AA892" i="1" s="1"/>
  <c r="U900" i="1"/>
  <c r="Y900" i="1"/>
  <c r="AA900" i="1" s="1"/>
  <c r="U908" i="1"/>
  <c r="Y908" i="1"/>
  <c r="AA908" i="1" s="1"/>
  <c r="M40" i="2"/>
  <c r="O40" i="2" s="1"/>
  <c r="L40" i="2"/>
  <c r="M836" i="1"/>
  <c r="O836" i="1" s="1"/>
  <c r="L836" i="1"/>
  <c r="Z861" i="1"/>
  <c r="O866" i="1"/>
  <c r="U884" i="1"/>
  <c r="Y884" i="1"/>
  <c r="AA884" i="1" s="1"/>
  <c r="S890" i="1"/>
  <c r="R890" i="1"/>
  <c r="X890" i="1" s="1"/>
  <c r="V890" i="1"/>
  <c r="S898" i="1"/>
  <c r="R898" i="1"/>
  <c r="X898" i="1" s="1"/>
  <c r="V898" i="1"/>
  <c r="S906" i="1"/>
  <c r="R906" i="1"/>
  <c r="X906" i="1" s="1"/>
  <c r="V906" i="1"/>
  <c r="N13" i="2"/>
  <c r="T165" i="2"/>
  <c r="Z173" i="2"/>
  <c r="Z165" i="2" s="1"/>
  <c r="Z164" i="2" s="1"/>
  <c r="M178" i="2"/>
  <c r="O178" i="2" s="1"/>
  <c r="L178" i="2"/>
  <c r="V181" i="2"/>
  <c r="S181" i="2"/>
  <c r="R181" i="2"/>
  <c r="X181" i="2" s="1"/>
  <c r="T788" i="1"/>
  <c r="U864" i="1"/>
  <c r="Y864" i="1"/>
  <c r="AA864" i="1" s="1"/>
  <c r="S870" i="1"/>
  <c r="R870" i="1"/>
  <c r="X870" i="1" s="1"/>
  <c r="V870" i="1"/>
  <c r="O878" i="1"/>
  <c r="O898" i="1"/>
  <c r="O906" i="1"/>
  <c r="AA917" i="1"/>
  <c r="AA916" i="1" s="1"/>
  <c r="AA915" i="1" s="1"/>
  <c r="AA914" i="1" s="1"/>
  <c r="Z916" i="1"/>
  <c r="Z915" i="1" s="1"/>
  <c r="Z914" i="1" s="1"/>
  <c r="Y22" i="2"/>
  <c r="AA22" i="2" s="1"/>
  <c r="U22" i="2"/>
  <c r="M24" i="2"/>
  <c r="O24" i="2" s="1"/>
  <c r="L24" i="2"/>
  <c r="Y32" i="2"/>
  <c r="AA32" i="2" s="1"/>
  <c r="U32" i="2"/>
  <c r="M173" i="2"/>
  <c r="O173" i="2" s="1"/>
  <c r="L173" i="2"/>
  <c r="M193" i="2"/>
  <c r="O193" i="2" s="1"/>
  <c r="L193" i="2"/>
  <c r="M198" i="2"/>
  <c r="O198" i="2" s="1"/>
  <c r="L198" i="2"/>
  <c r="V823" i="1"/>
  <c r="S823" i="1"/>
  <c r="Y848" i="1"/>
  <c r="AA848" i="1" s="1"/>
  <c r="U848" i="1"/>
  <c r="U876" i="1"/>
  <c r="Y876" i="1"/>
  <c r="AA876" i="1" s="1"/>
  <c r="S882" i="1"/>
  <c r="R882" i="1"/>
  <c r="X882" i="1" s="1"/>
  <c r="V882" i="1"/>
  <c r="U896" i="1"/>
  <c r="Y896" i="1"/>
  <c r="AA896" i="1" s="1"/>
  <c r="U904" i="1"/>
  <c r="Y904" i="1"/>
  <c r="AA904" i="1" s="1"/>
  <c r="U912" i="1"/>
  <c r="Y912" i="1"/>
  <c r="AA912" i="1" s="1"/>
  <c r="M265" i="2"/>
  <c r="O265" i="2" s="1"/>
  <c r="L265" i="2"/>
  <c r="M283" i="2"/>
  <c r="O283" i="2" s="1"/>
  <c r="L283" i="2"/>
  <c r="R722" i="1"/>
  <c r="X722" i="1" s="1"/>
  <c r="R725" i="1"/>
  <c r="X725" i="1" s="1"/>
  <c r="R728" i="1"/>
  <c r="X728" i="1" s="1"/>
  <c r="R731" i="1"/>
  <c r="X731" i="1" s="1"/>
  <c r="R734" i="1"/>
  <c r="X734" i="1" s="1"/>
  <c r="R737" i="1"/>
  <c r="X737" i="1" s="1"/>
  <c r="R740" i="1"/>
  <c r="X740" i="1" s="1"/>
  <c r="R743" i="1"/>
  <c r="X743" i="1" s="1"/>
  <c r="R746" i="1"/>
  <c r="X746" i="1" s="1"/>
  <c r="R749" i="1"/>
  <c r="X749" i="1" s="1"/>
  <c r="R752" i="1"/>
  <c r="X752" i="1" s="1"/>
  <c r="R755" i="1"/>
  <c r="X755" i="1" s="1"/>
  <c r="R758" i="1"/>
  <c r="X758" i="1" s="1"/>
  <c r="R761" i="1"/>
  <c r="X761" i="1" s="1"/>
  <c r="R764" i="1"/>
  <c r="X764" i="1" s="1"/>
  <c r="R767" i="1"/>
  <c r="X767" i="1" s="1"/>
  <c r="R770" i="1"/>
  <c r="X770" i="1" s="1"/>
  <c r="R773" i="1"/>
  <c r="X773" i="1" s="1"/>
  <c r="R776" i="1"/>
  <c r="X776" i="1" s="1"/>
  <c r="R779" i="1"/>
  <c r="X779" i="1" s="1"/>
  <c r="R782" i="1"/>
  <c r="X782" i="1" s="1"/>
  <c r="R785" i="1"/>
  <c r="X785" i="1" s="1"/>
  <c r="S862" i="1"/>
  <c r="R862" i="1"/>
  <c r="X862" i="1" s="1"/>
  <c r="V862" i="1"/>
  <c r="U888" i="1"/>
  <c r="Y888" i="1"/>
  <c r="AA888" i="1" s="1"/>
  <c r="M15" i="2"/>
  <c r="L15" i="2"/>
  <c r="S213" i="2"/>
  <c r="V213" i="2"/>
  <c r="R213" i="2"/>
  <c r="X213" i="2" s="1"/>
  <c r="R803" i="1"/>
  <c r="X803" i="1" s="1"/>
  <c r="P805" i="1"/>
  <c r="U868" i="1"/>
  <c r="Y868" i="1"/>
  <c r="AA868" i="1" s="1"/>
  <c r="S874" i="1"/>
  <c r="R874" i="1"/>
  <c r="X874" i="1" s="1"/>
  <c r="V874" i="1"/>
  <c r="O882" i="1"/>
  <c r="S894" i="1"/>
  <c r="R894" i="1"/>
  <c r="X894" i="1" s="1"/>
  <c r="V894" i="1"/>
  <c r="S902" i="1"/>
  <c r="R902" i="1"/>
  <c r="X902" i="1" s="1"/>
  <c r="V902" i="1"/>
  <c r="S910" i="1"/>
  <c r="R910" i="1"/>
  <c r="X910" i="1" s="1"/>
  <c r="V910" i="1"/>
  <c r="M46" i="2"/>
  <c r="O46" i="2" s="1"/>
  <c r="J58" i="2"/>
  <c r="U166" i="2"/>
  <c r="Y166" i="2"/>
  <c r="P52" i="2"/>
  <c r="L66" i="2"/>
  <c r="M66" i="2"/>
  <c r="O66" i="2" s="1"/>
  <c r="Y82" i="2"/>
  <c r="AA82" i="2" s="1"/>
  <c r="U82" i="2"/>
  <c r="U169" i="2"/>
  <c r="Y169" i="2"/>
  <c r="AA169" i="2" s="1"/>
  <c r="M184" i="2"/>
  <c r="O184" i="2" s="1"/>
  <c r="L184" i="2"/>
  <c r="V187" i="2"/>
  <c r="S187" i="2"/>
  <c r="R187" i="2"/>
  <c r="X187" i="2" s="1"/>
  <c r="V198" i="2"/>
  <c r="S198" i="2"/>
  <c r="R198" i="2"/>
  <c r="X198" i="2" s="1"/>
  <c r="M259" i="2"/>
  <c r="O259" i="2" s="1"/>
  <c r="L259" i="2"/>
  <c r="V295" i="2"/>
  <c r="S295" i="2"/>
  <c r="R295" i="2"/>
  <c r="X295" i="2" s="1"/>
  <c r="M325" i="2"/>
  <c r="O325" i="2" s="1"/>
  <c r="L325" i="2"/>
  <c r="P836" i="1"/>
  <c r="U860" i="1"/>
  <c r="R864" i="1"/>
  <c r="X864" i="1" s="1"/>
  <c r="R868" i="1"/>
  <c r="X868" i="1" s="1"/>
  <c r="R872" i="1"/>
  <c r="X872" i="1" s="1"/>
  <c r="R876" i="1"/>
  <c r="X876" i="1" s="1"/>
  <c r="R880" i="1"/>
  <c r="X880" i="1" s="1"/>
  <c r="R884" i="1"/>
  <c r="X884" i="1" s="1"/>
  <c r="R888" i="1"/>
  <c r="X888" i="1" s="1"/>
  <c r="R892" i="1"/>
  <c r="X892" i="1" s="1"/>
  <c r="R896" i="1"/>
  <c r="X896" i="1" s="1"/>
  <c r="R900" i="1"/>
  <c r="X900" i="1" s="1"/>
  <c r="R904" i="1"/>
  <c r="X904" i="1" s="1"/>
  <c r="R908" i="1"/>
  <c r="X908" i="1" s="1"/>
  <c r="R912" i="1"/>
  <c r="X912" i="1" s="1"/>
  <c r="P15" i="2"/>
  <c r="P18" i="2"/>
  <c r="P24" i="2"/>
  <c r="P40" i="2"/>
  <c r="S72" i="2"/>
  <c r="M79" i="2"/>
  <c r="M82" i="2"/>
  <c r="O82" i="2" s="1"/>
  <c r="L82" i="2"/>
  <c r="S94" i="2"/>
  <c r="R94" i="2"/>
  <c r="X94" i="2" s="1"/>
  <c r="L169" i="2"/>
  <c r="M169" i="2"/>
  <c r="O169" i="2" s="1"/>
  <c r="V259" i="2"/>
  <c r="S259" i="2"/>
  <c r="R259" i="2"/>
  <c r="X259" i="2" s="1"/>
  <c r="M262" i="2"/>
  <c r="O262" i="2" s="1"/>
  <c r="L262" i="2"/>
  <c r="J52" i="2"/>
  <c r="Y79" i="2"/>
  <c r="U79" i="2"/>
  <c r="M93" i="2"/>
  <c r="O94" i="2"/>
  <c r="O93" i="2" s="1"/>
  <c r="S127" i="2"/>
  <c r="R127" i="2"/>
  <c r="X127" i="2" s="1"/>
  <c r="L166" i="2"/>
  <c r="M166" i="2"/>
  <c r="M187" i="2"/>
  <c r="O187" i="2" s="1"/>
  <c r="L187" i="2"/>
  <c r="V190" i="2"/>
  <c r="S190" i="2"/>
  <c r="R190" i="2"/>
  <c r="X190" i="2" s="1"/>
  <c r="M247" i="2"/>
  <c r="O247" i="2" s="1"/>
  <c r="L247" i="2"/>
  <c r="V283" i="2"/>
  <c r="S283" i="2"/>
  <c r="R283" i="2"/>
  <c r="X283" i="2" s="1"/>
  <c r="M286" i="2"/>
  <c r="O286" i="2" s="1"/>
  <c r="L286" i="2"/>
  <c r="L864" i="1"/>
  <c r="L868" i="1"/>
  <c r="L872" i="1"/>
  <c r="L876" i="1"/>
  <c r="L880" i="1"/>
  <c r="L884" i="1"/>
  <c r="L888" i="1"/>
  <c r="L892" i="1"/>
  <c r="L896" i="1"/>
  <c r="L900" i="1"/>
  <c r="L904" i="1"/>
  <c r="L908" i="1"/>
  <c r="L912" i="1"/>
  <c r="P46" i="2"/>
  <c r="P58" i="2"/>
  <c r="Y59" i="2"/>
  <c r="O89" i="2"/>
  <c r="V247" i="2"/>
  <c r="S247" i="2"/>
  <c r="R247" i="2"/>
  <c r="X247" i="2" s="1"/>
  <c r="M250" i="2"/>
  <c r="O250" i="2" s="1"/>
  <c r="L250" i="2"/>
  <c r="M289" i="2"/>
  <c r="O289" i="2" s="1"/>
  <c r="L289" i="2"/>
  <c r="Y315" i="2"/>
  <c r="P313" i="2"/>
  <c r="S66" i="2"/>
  <c r="V66" i="2"/>
  <c r="Z93" i="2"/>
  <c r="Z13" i="2" s="1"/>
  <c r="S112" i="2"/>
  <c r="R112" i="2"/>
  <c r="X112" i="2" s="1"/>
  <c r="V173" i="2"/>
  <c r="S173" i="2"/>
  <c r="R173" i="2"/>
  <c r="X173" i="2" s="1"/>
  <c r="M181" i="2"/>
  <c r="O181" i="2" s="1"/>
  <c r="L181" i="2"/>
  <c r="V184" i="2"/>
  <c r="S184" i="2"/>
  <c r="R184" i="2"/>
  <c r="X184" i="2" s="1"/>
  <c r="M203" i="2"/>
  <c r="O203" i="2" s="1"/>
  <c r="L203" i="2"/>
  <c r="M208" i="2"/>
  <c r="O208" i="2" s="1"/>
  <c r="L208" i="2"/>
  <c r="M253" i="2"/>
  <c r="O253" i="2" s="1"/>
  <c r="L253" i="2"/>
  <c r="M271" i="2"/>
  <c r="O271" i="2" s="1"/>
  <c r="L271" i="2"/>
  <c r="L438" i="2"/>
  <c r="M438" i="2"/>
  <c r="O438" i="2" s="1"/>
  <c r="R848" i="1"/>
  <c r="X848" i="1" s="1"/>
  <c r="R22" i="2"/>
  <c r="X22" i="2" s="1"/>
  <c r="R32" i="2"/>
  <c r="X32" i="2" s="1"/>
  <c r="R66" i="2"/>
  <c r="X66" i="2" s="1"/>
  <c r="Y89" i="2"/>
  <c r="AA89" i="2" s="1"/>
  <c r="U89" i="2"/>
  <c r="V193" i="2"/>
  <c r="S193" i="2"/>
  <c r="R193" i="2"/>
  <c r="X193" i="2" s="1"/>
  <c r="M235" i="2"/>
  <c r="L235" i="2"/>
  <c r="U241" i="2"/>
  <c r="Y241" i="2"/>
  <c r="AA241" i="2" s="1"/>
  <c r="V271" i="2"/>
  <c r="S271" i="2"/>
  <c r="R271" i="2"/>
  <c r="X271" i="2" s="1"/>
  <c r="M274" i="2"/>
  <c r="O274" i="2" s="1"/>
  <c r="L274" i="2"/>
  <c r="M349" i="2"/>
  <c r="O349" i="2" s="1"/>
  <c r="L349" i="2"/>
  <c r="Y85" i="2"/>
  <c r="AA85" i="2" s="1"/>
  <c r="U85" i="2"/>
  <c r="V178" i="2"/>
  <c r="S178" i="2"/>
  <c r="R178" i="2"/>
  <c r="X178" i="2" s="1"/>
  <c r="V235" i="2"/>
  <c r="S235" i="2"/>
  <c r="R235" i="2"/>
  <c r="X235" i="2" s="1"/>
  <c r="M277" i="2"/>
  <c r="O277" i="2" s="1"/>
  <c r="L277" i="2"/>
  <c r="M295" i="2"/>
  <c r="O295" i="2" s="1"/>
  <c r="L295" i="2"/>
  <c r="P87" i="2"/>
  <c r="P91" i="2"/>
  <c r="V166" i="2"/>
  <c r="V169" i="2"/>
  <c r="M218" i="2"/>
  <c r="O218" i="2" s="1"/>
  <c r="V256" i="2"/>
  <c r="S256" i="2"/>
  <c r="R256" i="2"/>
  <c r="X256" i="2" s="1"/>
  <c r="V268" i="2"/>
  <c r="S268" i="2"/>
  <c r="R268" i="2"/>
  <c r="X268" i="2" s="1"/>
  <c r="V280" i="2"/>
  <c r="S280" i="2"/>
  <c r="R280" i="2"/>
  <c r="X280" i="2" s="1"/>
  <c r="V292" i="2"/>
  <c r="S292" i="2"/>
  <c r="R292" i="2"/>
  <c r="X292" i="2" s="1"/>
  <c r="M298" i="2"/>
  <c r="O298" i="2" s="1"/>
  <c r="L298" i="2"/>
  <c r="M316" i="2"/>
  <c r="O316" i="2" s="1"/>
  <c r="L316" i="2"/>
  <c r="M399" i="2"/>
  <c r="O399" i="2" s="1"/>
  <c r="L399" i="2"/>
  <c r="Y405" i="2"/>
  <c r="AA405" i="2" s="1"/>
  <c r="U405" i="2"/>
  <c r="Y119" i="2"/>
  <c r="AA119" i="2" s="1"/>
  <c r="Y122" i="2"/>
  <c r="AA122" i="2" s="1"/>
  <c r="Y125" i="2"/>
  <c r="AA125" i="2" s="1"/>
  <c r="Y129" i="2"/>
  <c r="AA129" i="2" s="1"/>
  <c r="Y134" i="2"/>
  <c r="AA134" i="2" s="1"/>
  <c r="Y139" i="2"/>
  <c r="AA139" i="2" s="1"/>
  <c r="Y144" i="2"/>
  <c r="AA144" i="2" s="1"/>
  <c r="Y149" i="2"/>
  <c r="AA149" i="2" s="1"/>
  <c r="Y154" i="2"/>
  <c r="AA154" i="2" s="1"/>
  <c r="Y159" i="2"/>
  <c r="AA159" i="2" s="1"/>
  <c r="P208" i="2"/>
  <c r="P218" i="2"/>
  <c r="Y219" i="2"/>
  <c r="L241" i="2"/>
  <c r="M241" i="2"/>
  <c r="O241" i="2" s="1"/>
  <c r="L313" i="2"/>
  <c r="M313" i="2"/>
  <c r="O313" i="2" s="1"/>
  <c r="Y317" i="2"/>
  <c r="P316" i="2"/>
  <c r="V319" i="2"/>
  <c r="R319" i="2"/>
  <c r="X319" i="2" s="1"/>
  <c r="S319" i="2"/>
  <c r="M344" i="2"/>
  <c r="O344" i="2" s="1"/>
  <c r="L344" i="2"/>
  <c r="M463" i="2"/>
  <c r="O463" i="2" s="1"/>
  <c r="L463" i="2"/>
  <c r="Y95" i="2"/>
  <c r="S100" i="2"/>
  <c r="S105" i="2"/>
  <c r="S108" i="2"/>
  <c r="Y113" i="2"/>
  <c r="S116" i="2"/>
  <c r="P226" i="2"/>
  <c r="Y227" i="2"/>
  <c r="M256" i="2"/>
  <c r="O256" i="2" s="1"/>
  <c r="L256" i="2"/>
  <c r="M268" i="2"/>
  <c r="O268" i="2" s="1"/>
  <c r="L268" i="2"/>
  <c r="M280" i="2"/>
  <c r="O280" i="2" s="1"/>
  <c r="L280" i="2"/>
  <c r="M292" i="2"/>
  <c r="O292" i="2" s="1"/>
  <c r="L292" i="2"/>
  <c r="M301" i="2"/>
  <c r="O301" i="2" s="1"/>
  <c r="L301" i="2"/>
  <c r="M322" i="2"/>
  <c r="O322" i="2" s="1"/>
  <c r="L322" i="2"/>
  <c r="J334" i="2"/>
  <c r="L552" i="2"/>
  <c r="M552" i="2"/>
  <c r="O552" i="2" s="1"/>
  <c r="Y556" i="2"/>
  <c r="P555" i="2"/>
  <c r="R166" i="2"/>
  <c r="X166" i="2" s="1"/>
  <c r="R169" i="2"/>
  <c r="X169" i="2" s="1"/>
  <c r="P222" i="2"/>
  <c r="L226" i="2"/>
  <c r="V250" i="2"/>
  <c r="S250" i="2"/>
  <c r="R250" i="2"/>
  <c r="X250" i="2" s="1"/>
  <c r="V262" i="2"/>
  <c r="S262" i="2"/>
  <c r="R262" i="2"/>
  <c r="X262" i="2" s="1"/>
  <c r="V274" i="2"/>
  <c r="S274" i="2"/>
  <c r="R274" i="2"/>
  <c r="X274" i="2" s="1"/>
  <c r="V286" i="2"/>
  <c r="S286" i="2"/>
  <c r="R286" i="2"/>
  <c r="X286" i="2" s="1"/>
  <c r="Y73" i="2"/>
  <c r="R79" i="2"/>
  <c r="X79" i="2" s="1"/>
  <c r="R82" i="2"/>
  <c r="X82" i="2" s="1"/>
  <c r="R85" i="2"/>
  <c r="X85" i="2" s="1"/>
  <c r="R89" i="2"/>
  <c r="X89" i="2" s="1"/>
  <c r="L100" i="2"/>
  <c r="L105" i="2"/>
  <c r="L108" i="2"/>
  <c r="L116" i="2"/>
  <c r="L119" i="2"/>
  <c r="L122" i="2"/>
  <c r="L125" i="2"/>
  <c r="L129" i="2"/>
  <c r="Y174" i="2"/>
  <c r="Y179" i="2"/>
  <c r="Y182" i="2"/>
  <c r="Y185" i="2"/>
  <c r="Y188" i="2"/>
  <c r="Y191" i="2"/>
  <c r="Y194" i="2"/>
  <c r="Y199" i="2"/>
  <c r="V298" i="2"/>
  <c r="S298" i="2"/>
  <c r="R298" i="2"/>
  <c r="X298" i="2" s="1"/>
  <c r="M310" i="2"/>
  <c r="O310" i="2" s="1"/>
  <c r="L310" i="2"/>
  <c r="M328" i="2"/>
  <c r="O328" i="2" s="1"/>
  <c r="L328" i="2"/>
  <c r="L477" i="2"/>
  <c r="M477" i="2"/>
  <c r="O477" i="2" s="1"/>
  <c r="P230" i="2"/>
  <c r="V253" i="2"/>
  <c r="S253" i="2"/>
  <c r="R253" i="2"/>
  <c r="X253" i="2" s="1"/>
  <c r="V265" i="2"/>
  <c r="S265" i="2"/>
  <c r="R265" i="2"/>
  <c r="X265" i="2" s="1"/>
  <c r="V277" i="2"/>
  <c r="S277" i="2"/>
  <c r="R277" i="2"/>
  <c r="X277" i="2" s="1"/>
  <c r="V289" i="2"/>
  <c r="S289" i="2"/>
  <c r="R289" i="2"/>
  <c r="X289" i="2" s="1"/>
  <c r="Y305" i="2"/>
  <c r="P304" i="2"/>
  <c r="Y329" i="2"/>
  <c r="P328" i="2"/>
  <c r="M339" i="2"/>
  <c r="O339" i="2" s="1"/>
  <c r="L339" i="2"/>
  <c r="AA416" i="2"/>
  <c r="L416" i="2"/>
  <c r="M416" i="2"/>
  <c r="P203" i="2"/>
  <c r="T234" i="2"/>
  <c r="Z235" i="2"/>
  <c r="Z234" i="2" s="1"/>
  <c r="M331" i="2"/>
  <c r="O331" i="2" s="1"/>
  <c r="L331" i="2"/>
  <c r="T415" i="2"/>
  <c r="Z463" i="2"/>
  <c r="M468" i="2"/>
  <c r="O468" i="2" s="1"/>
  <c r="V241" i="2"/>
  <c r="M435" i="2"/>
  <c r="O435" i="2" s="1"/>
  <c r="L473" i="2"/>
  <c r="M473" i="2"/>
  <c r="O473" i="2" s="1"/>
  <c r="L319" i="2"/>
  <c r="Y326" i="2"/>
  <c r="P325" i="2"/>
  <c r="Y353" i="2"/>
  <c r="AA353" i="2" s="1"/>
  <c r="U353" i="2"/>
  <c r="O368" i="2"/>
  <c r="V420" i="2"/>
  <c r="S420" i="2"/>
  <c r="M432" i="2"/>
  <c r="O432" i="2" s="1"/>
  <c r="AA441" i="2"/>
  <c r="Y332" i="2"/>
  <c r="P331" i="2"/>
  <c r="Y368" i="2"/>
  <c r="AA368" i="2" s="1"/>
  <c r="U368" i="2"/>
  <c r="Z415" i="2"/>
  <c r="M519" i="2"/>
  <c r="O519" i="2" s="1"/>
  <c r="L519" i="2"/>
  <c r="S522" i="2"/>
  <c r="R522" i="2"/>
  <c r="X522" i="2" s="1"/>
  <c r="V522" i="2"/>
  <c r="S537" i="2"/>
  <c r="R537" i="2"/>
  <c r="X537" i="2" s="1"/>
  <c r="V537" i="2"/>
  <c r="S543" i="2"/>
  <c r="R543" i="2"/>
  <c r="X543" i="2" s="1"/>
  <c r="V543" i="2"/>
  <c r="S549" i="2"/>
  <c r="R549" i="2"/>
  <c r="X549" i="2" s="1"/>
  <c r="V549" i="2"/>
  <c r="L582" i="2"/>
  <c r="M582" i="2"/>
  <c r="O582" i="2" s="1"/>
  <c r="L594" i="2"/>
  <c r="M594" i="2"/>
  <c r="O594" i="2" s="1"/>
  <c r="L606" i="2"/>
  <c r="M606" i="2"/>
  <c r="O606" i="2" s="1"/>
  <c r="L618" i="2"/>
  <c r="M618" i="2"/>
  <c r="O618" i="2" s="1"/>
  <c r="R241" i="2"/>
  <c r="X241" i="2" s="1"/>
  <c r="P310" i="2"/>
  <c r="Y335" i="2"/>
  <c r="P334" i="2"/>
  <c r="Y358" i="2"/>
  <c r="AA358" i="2" s="1"/>
  <c r="U358" i="2"/>
  <c r="M389" i="2"/>
  <c r="O389" i="2" s="1"/>
  <c r="L389" i="2"/>
  <c r="V473" i="2"/>
  <c r="S473" i="2"/>
  <c r="R473" i="2"/>
  <c r="X473" i="2" s="1"/>
  <c r="L506" i="2"/>
  <c r="M506" i="2"/>
  <c r="O506" i="2" s="1"/>
  <c r="Y236" i="2"/>
  <c r="Y248" i="2"/>
  <c r="Y251" i="2"/>
  <c r="Y254" i="2"/>
  <c r="Y257" i="2"/>
  <c r="Y260" i="2"/>
  <c r="Y263" i="2"/>
  <c r="Y266" i="2"/>
  <c r="Y269" i="2"/>
  <c r="Y272" i="2"/>
  <c r="Y275" i="2"/>
  <c r="Y278" i="2"/>
  <c r="Y281" i="2"/>
  <c r="Y284" i="2"/>
  <c r="Y287" i="2"/>
  <c r="Y290" i="2"/>
  <c r="Y293" i="2"/>
  <c r="Y296" i="2"/>
  <c r="Y299" i="2"/>
  <c r="P307" i="2"/>
  <c r="Y410" i="2"/>
  <c r="AA410" i="2" s="1"/>
  <c r="U410" i="2"/>
  <c r="M446" i="2"/>
  <c r="O446" i="2" s="1"/>
  <c r="V428" i="2"/>
  <c r="S428" i="2"/>
  <c r="P301" i="2"/>
  <c r="P322" i="2"/>
  <c r="O353" i="2"/>
  <c r="M394" i="2"/>
  <c r="O394" i="2" s="1"/>
  <c r="L394" i="2"/>
  <c r="AA424" i="2"/>
  <c r="V450" i="2"/>
  <c r="S450" i="2"/>
  <c r="P493" i="2"/>
  <c r="Y494" i="2"/>
  <c r="M570" i="2"/>
  <c r="O570" i="2" s="1"/>
  <c r="L570" i="2"/>
  <c r="P339" i="2"/>
  <c r="P344" i="2"/>
  <c r="P349" i="2"/>
  <c r="L353" i="2"/>
  <c r="L358" i="2"/>
  <c r="P362" i="2"/>
  <c r="L368" i="2"/>
  <c r="P374" i="2"/>
  <c r="P379" i="2"/>
  <c r="P384" i="2"/>
  <c r="P389" i="2"/>
  <c r="P394" i="2"/>
  <c r="P399" i="2"/>
  <c r="L405" i="2"/>
  <c r="L410" i="2"/>
  <c r="U491" i="2"/>
  <c r="P506" i="2"/>
  <c r="L509" i="2"/>
  <c r="M509" i="2"/>
  <c r="O509" i="2" s="1"/>
  <c r="M525" i="2"/>
  <c r="O525" i="2" s="1"/>
  <c r="L525" i="2"/>
  <c r="S528" i="2"/>
  <c r="R528" i="2"/>
  <c r="X528" i="2" s="1"/>
  <c r="V528" i="2"/>
  <c r="M561" i="2"/>
  <c r="O561" i="2" s="1"/>
  <c r="L561" i="2"/>
  <c r="P567" i="2"/>
  <c r="L573" i="2"/>
  <c r="L591" i="2"/>
  <c r="M591" i="2"/>
  <c r="O591" i="2" s="1"/>
  <c r="L603" i="2"/>
  <c r="M603" i="2"/>
  <c r="O603" i="2" s="1"/>
  <c r="L615" i="2"/>
  <c r="M615" i="2"/>
  <c r="O615" i="2" s="1"/>
  <c r="V353" i="2"/>
  <c r="V358" i="2"/>
  <c r="V368" i="2"/>
  <c r="V405" i="2"/>
  <c r="V410" i="2"/>
  <c r="U416" i="2"/>
  <c r="U424" i="2"/>
  <c r="U432" i="2"/>
  <c r="U435" i="2"/>
  <c r="U438" i="2"/>
  <c r="U441" i="2"/>
  <c r="U446" i="2"/>
  <c r="U454" i="2"/>
  <c r="P458" i="2"/>
  <c r="S477" i="2"/>
  <c r="R477" i="2"/>
  <c r="X477" i="2" s="1"/>
  <c r="J482" i="2"/>
  <c r="P503" i="2"/>
  <c r="S513" i="2"/>
  <c r="R513" i="2"/>
  <c r="X513" i="2" s="1"/>
  <c r="V513" i="2"/>
  <c r="M534" i="2"/>
  <c r="O534" i="2" s="1"/>
  <c r="L534" i="2"/>
  <c r="M540" i="2"/>
  <c r="O540" i="2" s="1"/>
  <c r="L540" i="2"/>
  <c r="M546" i="2"/>
  <c r="O546" i="2" s="1"/>
  <c r="L546" i="2"/>
  <c r="S500" i="2"/>
  <c r="R500" i="2"/>
  <c r="X500" i="2" s="1"/>
  <c r="V500" i="2"/>
  <c r="L503" i="2"/>
  <c r="M503" i="2"/>
  <c r="O503" i="2" s="1"/>
  <c r="M528" i="2"/>
  <c r="O528" i="2" s="1"/>
  <c r="L528" i="2"/>
  <c r="S531" i="2"/>
  <c r="R531" i="2"/>
  <c r="X531" i="2" s="1"/>
  <c r="V531" i="2"/>
  <c r="M579" i="2"/>
  <c r="O579" i="2" s="1"/>
  <c r="L579" i="2"/>
  <c r="M647" i="2"/>
  <c r="O647" i="2" s="1"/>
  <c r="L647" i="2"/>
  <c r="Y669" i="2"/>
  <c r="P663" i="2"/>
  <c r="L362" i="2"/>
  <c r="L374" i="2"/>
  <c r="L379" i="2"/>
  <c r="L384" i="2"/>
  <c r="L500" i="2"/>
  <c r="M500" i="2"/>
  <c r="O500" i="2" s="1"/>
  <c r="N512" i="2"/>
  <c r="N495" i="2" s="1"/>
  <c r="M513" i="2"/>
  <c r="L513" i="2"/>
  <c r="S516" i="2"/>
  <c r="R516" i="2"/>
  <c r="X516" i="2" s="1"/>
  <c r="V516" i="2"/>
  <c r="S561" i="2"/>
  <c r="V561" i="2"/>
  <c r="R561" i="2"/>
  <c r="X561" i="2" s="1"/>
  <c r="Y580" i="2"/>
  <c r="P579" i="2"/>
  <c r="L585" i="2"/>
  <c r="M585" i="2"/>
  <c r="O585" i="2" s="1"/>
  <c r="L597" i="2"/>
  <c r="M597" i="2"/>
  <c r="O597" i="2" s="1"/>
  <c r="L609" i="2"/>
  <c r="M609" i="2"/>
  <c r="O609" i="2" s="1"/>
  <c r="L621" i="2"/>
  <c r="M621" i="2"/>
  <c r="O621" i="2" s="1"/>
  <c r="M645" i="2"/>
  <c r="O645" i="2" s="1"/>
  <c r="L645" i="2"/>
  <c r="R353" i="2"/>
  <c r="X353" i="2" s="1"/>
  <c r="R358" i="2"/>
  <c r="X358" i="2" s="1"/>
  <c r="R368" i="2"/>
  <c r="X368" i="2" s="1"/>
  <c r="R405" i="2"/>
  <c r="X405" i="2" s="1"/>
  <c r="R410" i="2"/>
  <c r="X410" i="2" s="1"/>
  <c r="L420" i="2"/>
  <c r="L428" i="2"/>
  <c r="L450" i="2"/>
  <c r="L458" i="2"/>
  <c r="P468" i="2"/>
  <c r="V477" i="2"/>
  <c r="N490" i="2"/>
  <c r="N164" i="2" s="1"/>
  <c r="P497" i="2"/>
  <c r="M522" i="2"/>
  <c r="O522" i="2" s="1"/>
  <c r="L522" i="2"/>
  <c r="S525" i="2"/>
  <c r="R525" i="2"/>
  <c r="X525" i="2" s="1"/>
  <c r="V525" i="2"/>
  <c r="M537" i="2"/>
  <c r="O537" i="2" s="1"/>
  <c r="L537" i="2"/>
  <c r="M543" i="2"/>
  <c r="O543" i="2" s="1"/>
  <c r="L543" i="2"/>
  <c r="M549" i="2"/>
  <c r="O549" i="2" s="1"/>
  <c r="L549" i="2"/>
  <c r="S564" i="2"/>
  <c r="V564" i="2"/>
  <c r="R564" i="2"/>
  <c r="X564" i="2" s="1"/>
  <c r="L576" i="2"/>
  <c r="M576" i="2"/>
  <c r="O576" i="2" s="1"/>
  <c r="S482" i="2"/>
  <c r="R482" i="2"/>
  <c r="X482" i="2" s="1"/>
  <c r="M490" i="2"/>
  <c r="Z496" i="2"/>
  <c r="L497" i="2"/>
  <c r="M497" i="2"/>
  <c r="M531" i="2"/>
  <c r="O531" i="2" s="1"/>
  <c r="L531" i="2"/>
  <c r="S534" i="2"/>
  <c r="R534" i="2"/>
  <c r="X534" i="2" s="1"/>
  <c r="V534" i="2"/>
  <c r="S540" i="2"/>
  <c r="R540" i="2"/>
  <c r="X540" i="2" s="1"/>
  <c r="V540" i="2"/>
  <c r="S546" i="2"/>
  <c r="R546" i="2"/>
  <c r="X546" i="2" s="1"/>
  <c r="V546" i="2"/>
  <c r="S573" i="2"/>
  <c r="R573" i="2"/>
  <c r="X573" i="2" s="1"/>
  <c r="L588" i="2"/>
  <c r="M588" i="2"/>
  <c r="O588" i="2" s="1"/>
  <c r="L600" i="2"/>
  <c r="M600" i="2"/>
  <c r="O600" i="2" s="1"/>
  <c r="L612" i="2"/>
  <c r="M612" i="2"/>
  <c r="O612" i="2" s="1"/>
  <c r="L624" i="2"/>
  <c r="M624" i="2"/>
  <c r="O624" i="2" s="1"/>
  <c r="P463" i="2"/>
  <c r="S509" i="2"/>
  <c r="R509" i="2"/>
  <c r="X509" i="2" s="1"/>
  <c r="V509" i="2"/>
  <c r="M516" i="2"/>
  <c r="O516" i="2" s="1"/>
  <c r="L516" i="2"/>
  <c r="S519" i="2"/>
  <c r="R519" i="2"/>
  <c r="X519" i="2" s="1"/>
  <c r="V519" i="2"/>
  <c r="Z512" i="2"/>
  <c r="M558" i="2"/>
  <c r="O558" i="2" s="1"/>
  <c r="M564" i="2"/>
  <c r="O564" i="2" s="1"/>
  <c r="L564" i="2"/>
  <c r="M567" i="2"/>
  <c r="O567" i="2" s="1"/>
  <c r="L567" i="2"/>
  <c r="V643" i="2"/>
  <c r="S643" i="2"/>
  <c r="R643" i="2"/>
  <c r="X643" i="2" s="1"/>
  <c r="V655" i="2"/>
  <c r="S655" i="2"/>
  <c r="R655" i="2"/>
  <c r="X655" i="2" s="1"/>
  <c r="P570" i="2"/>
  <c r="S585" i="2"/>
  <c r="R585" i="2"/>
  <c r="X585" i="2" s="1"/>
  <c r="S588" i="2"/>
  <c r="R588" i="2"/>
  <c r="X588" i="2" s="1"/>
  <c r="S591" i="2"/>
  <c r="R591" i="2"/>
  <c r="X591" i="2" s="1"/>
  <c r="S594" i="2"/>
  <c r="R594" i="2"/>
  <c r="X594" i="2" s="1"/>
  <c r="S597" i="2"/>
  <c r="R597" i="2"/>
  <c r="X597" i="2" s="1"/>
  <c r="S600" i="2"/>
  <c r="R600" i="2"/>
  <c r="X600" i="2" s="1"/>
  <c r="S603" i="2"/>
  <c r="R603" i="2"/>
  <c r="X603" i="2" s="1"/>
  <c r="S606" i="2"/>
  <c r="R606" i="2"/>
  <c r="X606" i="2" s="1"/>
  <c r="S609" i="2"/>
  <c r="R609" i="2"/>
  <c r="X609" i="2" s="1"/>
  <c r="S612" i="2"/>
  <c r="R612" i="2"/>
  <c r="X612" i="2" s="1"/>
  <c r="S615" i="2"/>
  <c r="R615" i="2"/>
  <c r="X615" i="2" s="1"/>
  <c r="S618" i="2"/>
  <c r="R618" i="2"/>
  <c r="X618" i="2" s="1"/>
  <c r="S621" i="2"/>
  <c r="R621" i="2"/>
  <c r="X621" i="2" s="1"/>
  <c r="S624" i="2"/>
  <c r="R624" i="2"/>
  <c r="X624" i="2" s="1"/>
  <c r="V659" i="2"/>
  <c r="S659" i="2"/>
  <c r="R659" i="2"/>
  <c r="X659" i="2" s="1"/>
  <c r="P576" i="2"/>
  <c r="V585" i="2"/>
  <c r="V588" i="2"/>
  <c r="V591" i="2"/>
  <c r="V594" i="2"/>
  <c r="V597" i="2"/>
  <c r="V600" i="2"/>
  <c r="V603" i="2"/>
  <c r="V606" i="2"/>
  <c r="V609" i="2"/>
  <c r="V612" i="2"/>
  <c r="V615" i="2"/>
  <c r="V618" i="2"/>
  <c r="V621" i="2"/>
  <c r="V624" i="2"/>
  <c r="P653" i="2"/>
  <c r="Y654" i="2"/>
  <c r="U734" i="2"/>
  <c r="Y734" i="2"/>
  <c r="AA734" i="2" s="1"/>
  <c r="R552" i="2"/>
  <c r="X552" i="2" s="1"/>
  <c r="L555" i="2"/>
  <c r="M643" i="2"/>
  <c r="L643" i="2"/>
  <c r="P558" i="2"/>
  <c r="P582" i="2"/>
  <c r="AA627" i="2"/>
  <c r="M663" i="2"/>
  <c r="O663" i="2" s="1"/>
  <c r="L663" i="2"/>
  <c r="M627" i="2"/>
  <c r="O627" i="2" s="1"/>
  <c r="V552" i="2"/>
  <c r="P630" i="2"/>
  <c r="Y640" i="2"/>
  <c r="P639" i="2"/>
  <c r="V633" i="2"/>
  <c r="T642" i="2"/>
  <c r="Z643" i="2"/>
  <c r="Z642" i="2" s="1"/>
  <c r="P645" i="2"/>
  <c r="Y646" i="2"/>
  <c r="M651" i="2"/>
  <c r="O651" i="2" s="1"/>
  <c r="L651" i="2"/>
  <c r="P661" i="2"/>
  <c r="Y662" i="2"/>
  <c r="P702" i="2"/>
  <c r="U722" i="2"/>
  <c r="Y722" i="2"/>
  <c r="AA722" i="2" s="1"/>
  <c r="V724" i="2"/>
  <c r="S724" i="2"/>
  <c r="U754" i="2"/>
  <c r="Y754" i="2"/>
  <c r="AA754" i="2" s="1"/>
  <c r="V756" i="2"/>
  <c r="S756" i="2"/>
  <c r="U742" i="2"/>
  <c r="Y742" i="2"/>
  <c r="AA742" i="2" s="1"/>
  <c r="V744" i="2"/>
  <c r="S744" i="2"/>
  <c r="U766" i="2"/>
  <c r="Y766" i="2"/>
  <c r="AA766" i="2" s="1"/>
  <c r="U730" i="2"/>
  <c r="Y730" i="2"/>
  <c r="AA730" i="2" s="1"/>
  <c r="V732" i="2"/>
  <c r="S732" i="2"/>
  <c r="U762" i="2"/>
  <c r="Y762" i="2"/>
  <c r="AA762" i="2" s="1"/>
  <c r="V651" i="2"/>
  <c r="S651" i="2"/>
  <c r="R651" i="2"/>
  <c r="X651" i="2" s="1"/>
  <c r="U718" i="2"/>
  <c r="Y718" i="2"/>
  <c r="AA718" i="2" s="1"/>
  <c r="V720" i="2"/>
  <c r="S720" i="2"/>
  <c r="U750" i="2"/>
  <c r="Y750" i="2"/>
  <c r="AA750" i="2" s="1"/>
  <c r="V752" i="2"/>
  <c r="S752" i="2"/>
  <c r="U738" i="2"/>
  <c r="Y738" i="2"/>
  <c r="AA738" i="2" s="1"/>
  <c r="V740" i="2"/>
  <c r="S740" i="2"/>
  <c r="V764" i="2"/>
  <c r="S764" i="2"/>
  <c r="R633" i="2"/>
  <c r="X633" i="2" s="1"/>
  <c r="O636" i="2"/>
  <c r="V647" i="2"/>
  <c r="S647" i="2"/>
  <c r="R647" i="2"/>
  <c r="X647" i="2" s="1"/>
  <c r="P677" i="2"/>
  <c r="Y678" i="2"/>
  <c r="U726" i="2"/>
  <c r="Y726" i="2"/>
  <c r="AA726" i="2" s="1"/>
  <c r="V728" i="2"/>
  <c r="S728" i="2"/>
  <c r="R732" i="2"/>
  <c r="X732" i="2" s="1"/>
  <c r="U758" i="2"/>
  <c r="Y758" i="2"/>
  <c r="AA758" i="2" s="1"/>
  <c r="V760" i="2"/>
  <c r="S760" i="2"/>
  <c r="AA771" i="2"/>
  <c r="AA770" i="2" s="1"/>
  <c r="AA769" i="2" s="1"/>
  <c r="AA768" i="2" s="1"/>
  <c r="Z770" i="2"/>
  <c r="Z769" i="2" s="1"/>
  <c r="Z768" i="2" s="1"/>
  <c r="P649" i="2"/>
  <c r="Y650" i="2"/>
  <c r="P657" i="2"/>
  <c r="Y658" i="2"/>
  <c r="P690" i="2"/>
  <c r="Y691" i="2"/>
  <c r="O716" i="2"/>
  <c r="O715" i="2" s="1"/>
  <c r="M715" i="2"/>
  <c r="V716" i="2"/>
  <c r="S716" i="2"/>
  <c r="U746" i="2"/>
  <c r="Y746" i="2"/>
  <c r="AA746" i="2" s="1"/>
  <c r="V748" i="2"/>
  <c r="S748" i="2"/>
  <c r="U771" i="2"/>
  <c r="U770" i="2" s="1"/>
  <c r="U769" i="2" s="1"/>
  <c r="U768" i="2" s="1"/>
  <c r="L655" i="2"/>
  <c r="L659" i="2"/>
  <c r="L702" i="2"/>
  <c r="U714" i="2"/>
  <c r="R718" i="2"/>
  <c r="X718" i="2" s="1"/>
  <c r="R722" i="2"/>
  <c r="X722" i="2" s="1"/>
  <c r="R726" i="2"/>
  <c r="X726" i="2" s="1"/>
  <c r="R730" i="2"/>
  <c r="X730" i="2" s="1"/>
  <c r="R734" i="2"/>
  <c r="X734" i="2" s="1"/>
  <c r="R738" i="2"/>
  <c r="X738" i="2" s="1"/>
  <c r="R742" i="2"/>
  <c r="X742" i="2" s="1"/>
  <c r="R746" i="2"/>
  <c r="X746" i="2" s="1"/>
  <c r="R750" i="2"/>
  <c r="X750" i="2" s="1"/>
  <c r="R754" i="2"/>
  <c r="X754" i="2" s="1"/>
  <c r="R758" i="2"/>
  <c r="X758" i="2" s="1"/>
  <c r="R762" i="2"/>
  <c r="X762" i="2" s="1"/>
  <c r="R766" i="2"/>
  <c r="X766" i="2" s="1"/>
  <c r="Y717" i="2"/>
  <c r="Y721" i="2"/>
  <c r="Y725" i="2"/>
  <c r="Y729" i="2"/>
  <c r="Y733" i="2"/>
  <c r="Y737" i="2"/>
  <c r="Y741" i="2"/>
  <c r="Y745" i="2"/>
  <c r="Y749" i="2"/>
  <c r="Y753" i="2"/>
  <c r="Y757" i="2"/>
  <c r="Y761" i="2"/>
  <c r="Y765" i="2"/>
  <c r="N770" i="2"/>
  <c r="N769" i="2" s="1"/>
  <c r="N768" i="2" s="1"/>
  <c r="W411" i="4" l="1"/>
  <c r="Y411" i="4" s="1"/>
  <c r="M774" i="4"/>
  <c r="T774" i="4" s="1"/>
  <c r="V95" i="4"/>
  <c r="W219" i="4"/>
  <c r="Y219" i="4" s="1"/>
  <c r="W613" i="4"/>
  <c r="Y613" i="4" s="1"/>
  <c r="V223" i="4"/>
  <c r="X165" i="4"/>
  <c r="V33" i="4"/>
  <c r="W323" i="4"/>
  <c r="Y323" i="4" s="1"/>
  <c r="V589" i="4"/>
  <c r="W335" i="4"/>
  <c r="Y335" i="4" s="1"/>
  <c r="V703" i="4"/>
  <c r="W469" i="4"/>
  <c r="Y469" i="4" s="1"/>
  <c r="V284" i="4"/>
  <c r="V145" i="4"/>
  <c r="V47" i="4"/>
  <c r="W254" i="4"/>
  <c r="Y254" i="4" s="1"/>
  <c r="V616" i="4"/>
  <c r="V625" i="4"/>
  <c r="V619" i="4"/>
  <c r="W619" i="4"/>
  <c r="Y619" i="4" s="1"/>
  <c r="V601" i="4"/>
  <c r="V595" i="4"/>
  <c r="W595" i="4"/>
  <c r="Y595" i="4" s="1"/>
  <c r="V583" i="4"/>
  <c r="W583" i="4"/>
  <c r="Y583" i="4" s="1"/>
  <c r="V547" i="4"/>
  <c r="W547" i="4"/>
  <c r="Y547" i="4" s="1"/>
  <c r="V436" i="4"/>
  <c r="W436" i="4"/>
  <c r="Y436" i="4" s="1"/>
  <c r="W326" i="4"/>
  <c r="Y326" i="4" s="1"/>
  <c r="V326" i="4"/>
  <c r="W317" i="4"/>
  <c r="Y317" i="4" s="1"/>
  <c r="V317" i="4"/>
  <c r="W314" i="4"/>
  <c r="Y314" i="4" s="1"/>
  <c r="V314" i="4"/>
  <c r="V272" i="4"/>
  <c r="W179" i="4"/>
  <c r="Y179" i="4" s="1"/>
  <c r="Y166" i="4"/>
  <c r="W140" i="4"/>
  <c r="Y140" i="4" s="1"/>
  <c r="V83" i="4"/>
  <c r="V41" i="4"/>
  <c r="V16" i="4"/>
  <c r="X13" i="4"/>
  <c r="X12" i="4" s="1"/>
  <c r="X11" i="4" s="1"/>
  <c r="X10" i="4" s="1"/>
  <c r="X9" i="4" s="1"/>
  <c r="X773" i="4" s="1"/>
  <c r="W643" i="4"/>
  <c r="W504" i="4"/>
  <c r="Y504" i="4" s="1"/>
  <c r="Y497" i="4" s="1"/>
  <c r="V504" i="4"/>
  <c r="Y417" i="4"/>
  <c r="Y236" i="4"/>
  <c r="V155" i="4"/>
  <c r="W155" i="4"/>
  <c r="Y155" i="4" s="1"/>
  <c r="W79" i="4"/>
  <c r="W716" i="4"/>
  <c r="Y717" i="4"/>
  <c r="Y716" i="4" s="1"/>
  <c r="W293" i="4"/>
  <c r="Y293" i="4" s="1"/>
  <c r="V293" i="4"/>
  <c r="V354" i="4"/>
  <c r="W354" i="4"/>
  <c r="Y354" i="4" s="1"/>
  <c r="W497" i="4"/>
  <c r="W320" i="4"/>
  <c r="Y320" i="4" s="1"/>
  <c r="V320" i="4"/>
  <c r="V385" i="4"/>
  <c r="W385" i="4"/>
  <c r="Y385" i="4" s="1"/>
  <c r="V369" i="4"/>
  <c r="W369" i="4"/>
  <c r="Y369" i="4" s="1"/>
  <c r="W380" i="4"/>
  <c r="Y380" i="4" s="1"/>
  <c r="V380" i="4"/>
  <c r="Y492" i="4"/>
  <c r="Y491" i="4" s="1"/>
  <c r="W491" i="4"/>
  <c r="W442" i="4"/>
  <c r="Y442" i="4" s="1"/>
  <c r="V442" i="4"/>
  <c r="V135" i="4"/>
  <c r="W135" i="4"/>
  <c r="Y135" i="4" s="1"/>
  <c r="Y94" i="4" s="1"/>
  <c r="V459" i="4"/>
  <c r="W459" i="4"/>
  <c r="Y459" i="4" s="1"/>
  <c r="Y514" i="4"/>
  <c r="V242" i="4"/>
  <c r="W242" i="4"/>
  <c r="Y242" i="4" s="1"/>
  <c r="V483" i="4"/>
  <c r="W483" i="4"/>
  <c r="Y483" i="4" s="1"/>
  <c r="Y643" i="4"/>
  <c r="V345" i="4"/>
  <c r="W345" i="4"/>
  <c r="Y345" i="4" s="1"/>
  <c r="Y79" i="4"/>
  <c r="W305" i="4"/>
  <c r="Y305" i="4" s="1"/>
  <c r="V305" i="4"/>
  <c r="Y16" i="4"/>
  <c r="Y15" i="4" s="1"/>
  <c r="W15" i="4"/>
  <c r="L191" i="3"/>
  <c r="M191" i="3"/>
  <c r="O191" i="3" s="1"/>
  <c r="S411" i="3"/>
  <c r="S425" i="3"/>
  <c r="M109" i="3"/>
  <c r="O109" i="3" s="1"/>
  <c r="M155" i="3"/>
  <c r="O155" i="3" s="1"/>
  <c r="O94" i="3" s="1"/>
  <c r="S236" i="3"/>
  <c r="U236" i="3" s="1"/>
  <c r="R236" i="3"/>
  <c r="L204" i="3"/>
  <c r="M204" i="3"/>
  <c r="O204" i="3" s="1"/>
  <c r="M703" i="3"/>
  <c r="O703" i="3" s="1"/>
  <c r="L703" i="3"/>
  <c r="L248" i="3"/>
  <c r="M248" i="3"/>
  <c r="O248" i="3" s="1"/>
  <c r="L634" i="3"/>
  <c r="M634" i="3"/>
  <c r="O634" i="3" s="1"/>
  <c r="R478" i="3"/>
  <c r="L385" i="3"/>
  <c r="R95" i="3"/>
  <c r="L170" i="3"/>
  <c r="R41" i="3"/>
  <c r="M194" i="3"/>
  <c r="O194" i="3" s="1"/>
  <c r="L194" i="3"/>
  <c r="R369" i="3"/>
  <c r="S369" i="3"/>
  <c r="U369" i="3" s="1"/>
  <c r="N14" i="3"/>
  <c r="L281" i="3"/>
  <c r="S400" i="3"/>
  <c r="M257" i="3"/>
  <c r="O257" i="3" s="1"/>
  <c r="L257" i="3"/>
  <c r="L251" i="3"/>
  <c r="M251" i="3"/>
  <c r="O251" i="3" s="1"/>
  <c r="R504" i="3"/>
  <c r="L553" i="3"/>
  <c r="R436" i="3"/>
  <c r="S385" i="3"/>
  <c r="R174" i="3"/>
  <c r="R117" i="3"/>
  <c r="O492" i="3"/>
  <c r="O491" i="3" s="1"/>
  <c r="M260" i="3"/>
  <c r="O260" i="3" s="1"/>
  <c r="L260" i="3"/>
  <c r="L227" i="3"/>
  <c r="M227" i="3"/>
  <c r="O227" i="3" s="1"/>
  <c r="L188" i="3"/>
  <c r="M188" i="3"/>
  <c r="O188" i="3" s="1"/>
  <c r="R498" i="3"/>
  <c r="L214" i="3"/>
  <c r="M214" i="3"/>
  <c r="O214" i="3" s="1"/>
  <c r="L254" i="3"/>
  <c r="M254" i="3"/>
  <c r="O254" i="3" s="1"/>
  <c r="U678" i="3"/>
  <c r="U628" i="3"/>
  <c r="U622" i="3"/>
  <c r="U616" i="3"/>
  <c r="U610" i="3"/>
  <c r="U529" i="3"/>
  <c r="U507" i="3"/>
  <c r="U731" i="3"/>
  <c r="U433" i="3"/>
  <c r="U442" i="3"/>
  <c r="U411" i="3"/>
  <c r="S278" i="3"/>
  <c r="R278" i="3"/>
  <c r="U417" i="3"/>
  <c r="U439" i="3"/>
  <c r="S323" i="3"/>
  <c r="R323" i="3"/>
  <c r="U350" i="3"/>
  <c r="S380" i="3"/>
  <c r="R380" i="3"/>
  <c r="S275" i="3"/>
  <c r="R275" i="3"/>
  <c r="U128" i="3"/>
  <c r="U67" i="3"/>
  <c r="S231" i="3"/>
  <c r="R231" i="3"/>
  <c r="S79" i="3"/>
  <c r="U83" i="3"/>
  <c r="M15" i="3"/>
  <c r="O16" i="3"/>
  <c r="O15" i="3" s="1"/>
  <c r="S703" i="3"/>
  <c r="R703" i="3"/>
  <c r="O716" i="3"/>
  <c r="U592" i="3"/>
  <c r="U483" i="3"/>
  <c r="M459" i="3"/>
  <c r="O459" i="3" s="1"/>
  <c r="L459" i="3"/>
  <c r="R574" i="3"/>
  <c r="S574" i="3"/>
  <c r="U447" i="3"/>
  <c r="S302" i="3"/>
  <c r="R302" i="3"/>
  <c r="U390" i="3"/>
  <c r="U167" i="3"/>
  <c r="U400" i="3"/>
  <c r="N165" i="3"/>
  <c r="U227" i="3"/>
  <c r="U73" i="3"/>
  <c r="U41" i="3"/>
  <c r="S658" i="3"/>
  <c r="R658" i="3"/>
  <c r="U538" i="3"/>
  <c r="U562" i="3"/>
  <c r="R354" i="3"/>
  <c r="S354" i="3"/>
  <c r="O80" i="3"/>
  <c r="O79" i="3" s="1"/>
  <c r="M79" i="3"/>
  <c r="R185" i="3"/>
  <c r="S185" i="3"/>
  <c r="U375" i="3"/>
  <c r="S123" i="3"/>
  <c r="R123" i="3"/>
  <c r="U53" i="3"/>
  <c r="O167" i="3"/>
  <c r="U130" i="3"/>
  <c r="U126" i="3"/>
  <c r="M643" i="3"/>
  <c r="U580" i="3"/>
  <c r="S652" i="3"/>
  <c r="R652" i="3"/>
  <c r="O514" i="3"/>
  <c r="M513" i="3"/>
  <c r="S494" i="3"/>
  <c r="R494" i="3"/>
  <c r="U332" i="3"/>
  <c r="U436" i="3"/>
  <c r="S340" i="3"/>
  <c r="R340" i="3"/>
  <c r="S320" i="3"/>
  <c r="R320" i="3"/>
  <c r="S296" i="3"/>
  <c r="R296" i="3"/>
  <c r="R598" i="3"/>
  <c r="S598" i="3"/>
  <c r="U219" i="3"/>
  <c r="R204" i="3"/>
  <c r="S204" i="3"/>
  <c r="U194" i="3"/>
  <c r="U106" i="3"/>
  <c r="S266" i="3"/>
  <c r="R266" i="3"/>
  <c r="S109" i="3"/>
  <c r="R109" i="3"/>
  <c r="U95" i="3"/>
  <c r="U604" i="3"/>
  <c r="U559" i="3"/>
  <c r="S497" i="3"/>
  <c r="S631" i="3"/>
  <c r="R631" i="3"/>
  <c r="U613" i="3"/>
  <c r="U607" i="3"/>
  <c r="U553" i="3"/>
  <c r="U644" i="3"/>
  <c r="U492" i="3"/>
  <c r="S491" i="3"/>
  <c r="S650" i="3"/>
  <c r="R650" i="3"/>
  <c r="L483" i="3"/>
  <c r="M483" i="3"/>
  <c r="O483" i="3" s="1"/>
  <c r="O416" i="3" s="1"/>
  <c r="U281" i="3"/>
  <c r="R199" i="3"/>
  <c r="S199" i="3"/>
  <c r="S254" i="3"/>
  <c r="R254" i="3"/>
  <c r="S263" i="3"/>
  <c r="R263" i="3"/>
  <c r="S140" i="3"/>
  <c r="R140" i="3"/>
  <c r="M94" i="3"/>
  <c r="U23" i="3"/>
  <c r="U86" i="3"/>
  <c r="U90" i="3"/>
  <c r="S637" i="3"/>
  <c r="R637" i="3"/>
  <c r="U326" i="3"/>
  <c r="U284" i="3"/>
  <c r="U721" i="3"/>
  <c r="S716" i="3"/>
  <c r="O643" i="3"/>
  <c r="U763" i="3"/>
  <c r="U656" i="3"/>
  <c r="S510" i="3"/>
  <c r="R510" i="3"/>
  <c r="U363" i="3"/>
  <c r="U209" i="3"/>
  <c r="U619" i="3"/>
  <c r="U729" i="3"/>
  <c r="U640" i="3"/>
  <c r="U568" i="3"/>
  <c r="U556" i="3"/>
  <c r="R586" i="3"/>
  <c r="S586" i="3"/>
  <c r="U425" i="3"/>
  <c r="O498" i="3"/>
  <c r="O497" i="3" s="1"/>
  <c r="M497" i="3"/>
  <c r="M496" i="3" s="1"/>
  <c r="S314" i="3"/>
  <c r="R314" i="3"/>
  <c r="S290" i="3"/>
  <c r="R290" i="3"/>
  <c r="U395" i="3"/>
  <c r="U385" i="3"/>
  <c r="S287" i="3"/>
  <c r="R287" i="3"/>
  <c r="R179" i="3"/>
  <c r="S179" i="3"/>
  <c r="U269" i="3"/>
  <c r="R188" i="3"/>
  <c r="S188" i="3"/>
  <c r="S113" i="3"/>
  <c r="R113" i="3"/>
  <c r="U120" i="3"/>
  <c r="U214" i="3"/>
  <c r="S135" i="3"/>
  <c r="R135" i="3"/>
  <c r="U16" i="3"/>
  <c r="U550" i="3"/>
  <c r="S308" i="3"/>
  <c r="R308" i="3"/>
  <c r="M236" i="3"/>
  <c r="L236" i="3"/>
  <c r="S257" i="3"/>
  <c r="R257" i="3"/>
  <c r="U335" i="3"/>
  <c r="U242" i="3"/>
  <c r="U33" i="3"/>
  <c r="U565" i="3"/>
  <c r="S406" i="3"/>
  <c r="R406" i="3"/>
  <c r="S648" i="3"/>
  <c r="R648" i="3"/>
  <c r="U625" i="3"/>
  <c r="U634" i="3"/>
  <c r="U654" i="3"/>
  <c r="S664" i="3"/>
  <c r="R664" i="3"/>
  <c r="U743" i="3"/>
  <c r="U517" i="3"/>
  <c r="S691" i="3"/>
  <c r="R691" i="3"/>
  <c r="U455" i="3"/>
  <c r="S469" i="3"/>
  <c r="S416" i="3" s="1"/>
  <c r="R469" i="3"/>
  <c r="U329" i="3"/>
  <c r="U535" i="3"/>
  <c r="T165" i="3"/>
  <c r="T13" i="3" s="1"/>
  <c r="T12" i="3" s="1"/>
  <c r="T11" i="3" s="1"/>
  <c r="T10" i="3" s="1"/>
  <c r="T9" i="3" s="1"/>
  <c r="T773" i="3" s="1"/>
  <c r="S251" i="3"/>
  <c r="R251" i="3"/>
  <c r="L174" i="3"/>
  <c r="M174" i="3"/>
  <c r="O174" i="3" s="1"/>
  <c r="U25" i="3"/>
  <c r="S19" i="3"/>
  <c r="S15" i="3" s="1"/>
  <c r="R19" i="3"/>
  <c r="U47" i="3"/>
  <c r="U117" i="3"/>
  <c r="U59" i="3"/>
  <c r="V702" i="2"/>
  <c r="S702" i="2"/>
  <c r="R702" i="2"/>
  <c r="X702" i="2" s="1"/>
  <c r="V349" i="2"/>
  <c r="R349" i="2"/>
  <c r="X349" i="2" s="1"/>
  <c r="S349" i="2"/>
  <c r="Y193" i="2"/>
  <c r="AA193" i="2" s="1"/>
  <c r="U193" i="2"/>
  <c r="V539" i="1"/>
  <c r="S539" i="1"/>
  <c r="R539" i="1"/>
  <c r="X539" i="1" s="1"/>
  <c r="V405" i="1"/>
  <c r="S405" i="1"/>
  <c r="R405" i="1"/>
  <c r="X405" i="1" s="1"/>
  <c r="U686" i="1"/>
  <c r="Y686" i="1"/>
  <c r="AA686" i="1" s="1"/>
  <c r="Y548" i="1"/>
  <c r="AA548" i="1" s="1"/>
  <c r="U548" i="1"/>
  <c r="Y469" i="1"/>
  <c r="AA469" i="1" s="1"/>
  <c r="U469" i="1"/>
  <c r="S659" i="1"/>
  <c r="R659" i="1"/>
  <c r="X659" i="1" s="1"/>
  <c r="V659" i="1"/>
  <c r="V402" i="1"/>
  <c r="S402" i="1"/>
  <c r="R402" i="1"/>
  <c r="X402" i="1" s="1"/>
  <c r="O614" i="1"/>
  <c r="V444" i="1"/>
  <c r="S444" i="1"/>
  <c r="R444" i="1"/>
  <c r="X444" i="1" s="1"/>
  <c r="U250" i="1"/>
  <c r="Y250" i="1"/>
  <c r="AA250" i="1" s="1"/>
  <c r="Y270" i="1"/>
  <c r="AA270" i="1" s="1"/>
  <c r="U270" i="1"/>
  <c r="V137" i="1"/>
  <c r="S137" i="1"/>
  <c r="R137" i="1"/>
  <c r="X137" i="1" s="1"/>
  <c r="S222" i="1"/>
  <c r="R222" i="1"/>
  <c r="X222" i="1" s="1"/>
  <c r="V222" i="1"/>
  <c r="S378" i="1"/>
  <c r="R378" i="1"/>
  <c r="X378" i="1" s="1"/>
  <c r="V378" i="1"/>
  <c r="U109" i="1"/>
  <c r="Y109" i="1"/>
  <c r="AA109" i="1" s="1"/>
  <c r="O15" i="1"/>
  <c r="O14" i="1" s="1"/>
  <c r="M14" i="1"/>
  <c r="Y752" i="2"/>
  <c r="AA752" i="2" s="1"/>
  <c r="U752" i="2"/>
  <c r="U621" i="2"/>
  <c r="Y621" i="2"/>
  <c r="AA621" i="2" s="1"/>
  <c r="U609" i="2"/>
  <c r="Y609" i="2"/>
  <c r="AA609" i="2" s="1"/>
  <c r="U597" i="2"/>
  <c r="Y597" i="2"/>
  <c r="AA597" i="2" s="1"/>
  <c r="U585" i="2"/>
  <c r="Y585" i="2"/>
  <c r="AA585" i="2" s="1"/>
  <c r="Y519" i="2"/>
  <c r="AA519" i="2" s="1"/>
  <c r="U519" i="2"/>
  <c r="Y573" i="2"/>
  <c r="AA573" i="2" s="1"/>
  <c r="U573" i="2"/>
  <c r="Y516" i="2"/>
  <c r="AA516" i="2" s="1"/>
  <c r="U516" i="2"/>
  <c r="V458" i="2"/>
  <c r="S458" i="2"/>
  <c r="R458" i="2"/>
  <c r="X458" i="2" s="1"/>
  <c r="V384" i="2"/>
  <c r="R384" i="2"/>
  <c r="X384" i="2" s="1"/>
  <c r="S384" i="2"/>
  <c r="V344" i="2"/>
  <c r="R344" i="2"/>
  <c r="X344" i="2" s="1"/>
  <c r="S344" i="2"/>
  <c r="V334" i="2"/>
  <c r="R334" i="2"/>
  <c r="X334" i="2" s="1"/>
  <c r="S334" i="2"/>
  <c r="Y289" i="2"/>
  <c r="AA289" i="2" s="1"/>
  <c r="U289" i="2"/>
  <c r="U105" i="2"/>
  <c r="Y105" i="2"/>
  <c r="AA105" i="2" s="1"/>
  <c r="Y271" i="2"/>
  <c r="AA271" i="2" s="1"/>
  <c r="U271" i="2"/>
  <c r="Y190" i="2"/>
  <c r="AA190" i="2" s="1"/>
  <c r="U190" i="2"/>
  <c r="Y259" i="2"/>
  <c r="AA259" i="2" s="1"/>
  <c r="U259" i="2"/>
  <c r="M78" i="2"/>
  <c r="O79" i="2"/>
  <c r="O78" i="2" s="1"/>
  <c r="Y295" i="2"/>
  <c r="AA295" i="2" s="1"/>
  <c r="U295" i="2"/>
  <c r="Y187" i="2"/>
  <c r="AA187" i="2" s="1"/>
  <c r="U187" i="2"/>
  <c r="S805" i="1"/>
  <c r="V805" i="1"/>
  <c r="R805" i="1"/>
  <c r="X805" i="1" s="1"/>
  <c r="Y870" i="1"/>
  <c r="AA870" i="1" s="1"/>
  <c r="U870" i="1"/>
  <c r="Y886" i="1"/>
  <c r="AA886" i="1" s="1"/>
  <c r="U886" i="1"/>
  <c r="R797" i="1"/>
  <c r="X797" i="1" s="1"/>
  <c r="V797" i="1"/>
  <c r="S797" i="1"/>
  <c r="R587" i="1"/>
  <c r="X587" i="1" s="1"/>
  <c r="S587" i="1"/>
  <c r="V587" i="1"/>
  <c r="U791" i="1"/>
  <c r="Y791" i="1"/>
  <c r="AA791" i="1" s="1"/>
  <c r="S707" i="1"/>
  <c r="V707" i="1"/>
  <c r="R707" i="1"/>
  <c r="X707" i="1" s="1"/>
  <c r="S399" i="1"/>
  <c r="V399" i="1"/>
  <c r="R399" i="1"/>
  <c r="X399" i="1" s="1"/>
  <c r="U713" i="1"/>
  <c r="Y713" i="1"/>
  <c r="AA713" i="1" s="1"/>
  <c r="Y494" i="1"/>
  <c r="AA494" i="1" s="1"/>
  <c r="U494" i="1"/>
  <c r="M551" i="1"/>
  <c r="O551" i="1" s="1"/>
  <c r="L551" i="1"/>
  <c r="V420" i="1"/>
  <c r="S420" i="1"/>
  <c r="R420" i="1"/>
  <c r="X420" i="1" s="1"/>
  <c r="V214" i="1"/>
  <c r="R214" i="1"/>
  <c r="X214" i="1" s="1"/>
  <c r="S214" i="1"/>
  <c r="S321" i="1"/>
  <c r="R321" i="1"/>
  <c r="X321" i="1" s="1"/>
  <c r="V321" i="1"/>
  <c r="R189" i="1"/>
  <c r="X189" i="1" s="1"/>
  <c r="V189" i="1"/>
  <c r="S189" i="1"/>
  <c r="R179" i="1"/>
  <c r="X179" i="1" s="1"/>
  <c r="V179" i="1"/>
  <c r="S179" i="1"/>
  <c r="AA120" i="1"/>
  <c r="V132" i="1"/>
  <c r="S132" i="1"/>
  <c r="R132" i="1"/>
  <c r="X132" i="1" s="1"/>
  <c r="U62" i="1"/>
  <c r="Y62" i="1"/>
  <c r="AA62" i="1" s="1"/>
  <c r="U381" i="1"/>
  <c r="Y381" i="1"/>
  <c r="AA381" i="1" s="1"/>
  <c r="S366" i="1"/>
  <c r="V366" i="1"/>
  <c r="R366" i="1"/>
  <c r="X366" i="1" s="1"/>
  <c r="Y265" i="1"/>
  <c r="AA265" i="1" s="1"/>
  <c r="U265" i="1"/>
  <c r="Y106" i="1"/>
  <c r="AA106" i="1" s="1"/>
  <c r="U106" i="1"/>
  <c r="Y15" i="1"/>
  <c r="U15" i="1"/>
  <c r="V389" i="2"/>
  <c r="R389" i="2"/>
  <c r="X389" i="2" s="1"/>
  <c r="S389" i="2"/>
  <c r="U319" i="2"/>
  <c r="Y319" i="2"/>
  <c r="AA319" i="2" s="1"/>
  <c r="Y173" i="2"/>
  <c r="AA173" i="2" s="1"/>
  <c r="U173" i="2"/>
  <c r="S570" i="2"/>
  <c r="V570" i="2"/>
  <c r="R570" i="2"/>
  <c r="X570" i="2" s="1"/>
  <c r="Y534" i="2"/>
  <c r="AA534" i="2" s="1"/>
  <c r="U534" i="2"/>
  <c r="U500" i="2"/>
  <c r="Y500" i="2"/>
  <c r="AA500" i="2" s="1"/>
  <c r="U100" i="2"/>
  <c r="Y100" i="2"/>
  <c r="AA100" i="2" s="1"/>
  <c r="U592" i="1"/>
  <c r="Y592" i="1"/>
  <c r="AA592" i="1" s="1"/>
  <c r="L500" i="1"/>
  <c r="M500" i="1"/>
  <c r="O500" i="1" s="1"/>
  <c r="S653" i="2"/>
  <c r="R653" i="2"/>
  <c r="X653" i="2" s="1"/>
  <c r="V653" i="2"/>
  <c r="U618" i="2"/>
  <c r="Y618" i="2"/>
  <c r="AA618" i="2" s="1"/>
  <c r="U606" i="2"/>
  <c r="Y606" i="2"/>
  <c r="AA606" i="2" s="1"/>
  <c r="U594" i="2"/>
  <c r="Y594" i="2"/>
  <c r="AA594" i="2" s="1"/>
  <c r="S497" i="2"/>
  <c r="R497" i="2"/>
  <c r="X497" i="2" s="1"/>
  <c r="V497" i="2"/>
  <c r="M512" i="2"/>
  <c r="O513" i="2"/>
  <c r="O512" i="2" s="1"/>
  <c r="V663" i="2"/>
  <c r="S663" i="2"/>
  <c r="R663" i="2"/>
  <c r="X663" i="2" s="1"/>
  <c r="Y531" i="2"/>
  <c r="AA531" i="2" s="1"/>
  <c r="U531" i="2"/>
  <c r="Y528" i="2"/>
  <c r="AA528" i="2" s="1"/>
  <c r="U528" i="2"/>
  <c r="V374" i="2"/>
  <c r="R374" i="2"/>
  <c r="X374" i="2" s="1"/>
  <c r="S374" i="2"/>
  <c r="U473" i="2"/>
  <c r="Y473" i="2"/>
  <c r="AA473" i="2" s="1"/>
  <c r="S310" i="2"/>
  <c r="R310" i="2"/>
  <c r="X310" i="2" s="1"/>
  <c r="V310" i="2"/>
  <c r="S555" i="2"/>
  <c r="V555" i="2"/>
  <c r="R555" i="2"/>
  <c r="X555" i="2" s="1"/>
  <c r="V316" i="2"/>
  <c r="R316" i="2"/>
  <c r="X316" i="2" s="1"/>
  <c r="S316" i="2"/>
  <c r="S208" i="2"/>
  <c r="V208" i="2"/>
  <c r="R208" i="2"/>
  <c r="X208" i="2" s="1"/>
  <c r="Y184" i="2"/>
  <c r="AA184" i="2" s="1"/>
  <c r="U184" i="2"/>
  <c r="Y112" i="2"/>
  <c r="AA112" i="2" s="1"/>
  <c r="U112" i="2"/>
  <c r="R46" i="2"/>
  <c r="X46" i="2" s="1"/>
  <c r="S46" i="2"/>
  <c r="V46" i="2"/>
  <c r="V40" i="2"/>
  <c r="S40" i="2"/>
  <c r="R40" i="2"/>
  <c r="X40" i="2" s="1"/>
  <c r="T164" i="2"/>
  <c r="T12" i="2" s="1"/>
  <c r="T11" i="2" s="1"/>
  <c r="T10" i="2" s="1"/>
  <c r="T9" i="2" s="1"/>
  <c r="T8" i="2" s="1"/>
  <c r="T772" i="2" s="1"/>
  <c r="U795" i="1"/>
  <c r="Y795" i="1"/>
  <c r="AA795" i="1" s="1"/>
  <c r="S683" i="1"/>
  <c r="V683" i="1"/>
  <c r="R683" i="1"/>
  <c r="X683" i="1" s="1"/>
  <c r="V582" i="1"/>
  <c r="R582" i="1"/>
  <c r="X582" i="1" s="1"/>
  <c r="S582" i="1"/>
  <c r="S375" i="1"/>
  <c r="V375" i="1"/>
  <c r="R375" i="1"/>
  <c r="X375" i="1" s="1"/>
  <c r="R327" i="1"/>
  <c r="X327" i="1" s="1"/>
  <c r="V327" i="1"/>
  <c r="S327" i="1"/>
  <c r="V622" i="1"/>
  <c r="S622" i="1"/>
  <c r="R622" i="1"/>
  <c r="X622" i="1" s="1"/>
  <c r="U716" i="1"/>
  <c r="Y716" i="1"/>
  <c r="AA716" i="1" s="1"/>
  <c r="V247" i="1"/>
  <c r="S247" i="1"/>
  <c r="R247" i="1"/>
  <c r="X247" i="1" s="1"/>
  <c r="V155" i="1"/>
  <c r="R155" i="1"/>
  <c r="X155" i="1" s="1"/>
  <c r="S155" i="1"/>
  <c r="S161" i="1"/>
  <c r="R161" i="1"/>
  <c r="X161" i="1" s="1"/>
  <c r="V161" i="1"/>
  <c r="R170" i="1"/>
  <c r="X170" i="1" s="1"/>
  <c r="V170" i="1"/>
  <c r="S170" i="1"/>
  <c r="U172" i="1"/>
  <c r="Y172" i="1"/>
  <c r="AA172" i="1" s="1"/>
  <c r="Y736" i="2"/>
  <c r="AA736" i="2" s="1"/>
  <c r="U736" i="2"/>
  <c r="U448" i="1"/>
  <c r="Y448" i="1"/>
  <c r="AA448" i="1" s="1"/>
  <c r="R199" i="1"/>
  <c r="X199" i="1" s="1"/>
  <c r="V199" i="1"/>
  <c r="S199" i="1"/>
  <c r="L369" i="1"/>
  <c r="M369" i="1"/>
  <c r="O369" i="1" s="1"/>
  <c r="O296" i="1" s="1"/>
  <c r="S22" i="1"/>
  <c r="S14" i="1" s="1"/>
  <c r="R22" i="1"/>
  <c r="X22" i="1" s="1"/>
  <c r="V22" i="1"/>
  <c r="S40" i="1"/>
  <c r="V40" i="1"/>
  <c r="R40" i="1"/>
  <c r="X40" i="1" s="1"/>
  <c r="Y280" i="1"/>
  <c r="AA280" i="1" s="1"/>
  <c r="U280" i="1"/>
  <c r="Y111" i="1"/>
  <c r="AA111" i="1" s="1"/>
  <c r="U111" i="1"/>
  <c r="S506" i="2"/>
  <c r="R506" i="2"/>
  <c r="X506" i="2" s="1"/>
  <c r="V506" i="2"/>
  <c r="Y522" i="2"/>
  <c r="AA522" i="2" s="1"/>
  <c r="U522" i="2"/>
  <c r="U108" i="2"/>
  <c r="Y108" i="2"/>
  <c r="AA108" i="2" s="1"/>
  <c r="Y127" i="2"/>
  <c r="AA127" i="2" s="1"/>
  <c r="U127" i="2"/>
  <c r="U651" i="2"/>
  <c r="Y651" i="2"/>
  <c r="AA651" i="2" s="1"/>
  <c r="S582" i="2"/>
  <c r="R582" i="2"/>
  <c r="X582" i="2" s="1"/>
  <c r="V582" i="2"/>
  <c r="Y543" i="2"/>
  <c r="AA543" i="2" s="1"/>
  <c r="U543" i="2"/>
  <c r="Y609" i="1"/>
  <c r="AA610" i="1"/>
  <c r="AA609" i="1" s="1"/>
  <c r="V426" i="1"/>
  <c r="S426" i="1"/>
  <c r="R426" i="1"/>
  <c r="X426" i="1" s="1"/>
  <c r="V309" i="1"/>
  <c r="R309" i="1"/>
  <c r="X309" i="1" s="1"/>
  <c r="S309" i="1"/>
  <c r="Y760" i="2"/>
  <c r="AA760" i="2" s="1"/>
  <c r="U760" i="2"/>
  <c r="S690" i="2"/>
  <c r="R690" i="2"/>
  <c r="X690" i="2" s="1"/>
  <c r="V690" i="2"/>
  <c r="Y744" i="2"/>
  <c r="AA744" i="2" s="1"/>
  <c r="U744" i="2"/>
  <c r="Y546" i="2"/>
  <c r="AA546" i="2" s="1"/>
  <c r="U546" i="2"/>
  <c r="Y513" i="2"/>
  <c r="U513" i="2"/>
  <c r="S307" i="2"/>
  <c r="R307" i="2"/>
  <c r="X307" i="2" s="1"/>
  <c r="V307" i="2"/>
  <c r="V328" i="2"/>
  <c r="R328" i="2"/>
  <c r="X328" i="2" s="1"/>
  <c r="S328" i="2"/>
  <c r="Y277" i="2"/>
  <c r="AA277" i="2" s="1"/>
  <c r="U277" i="2"/>
  <c r="V230" i="2"/>
  <c r="S230" i="2"/>
  <c r="R230" i="2"/>
  <c r="X230" i="2" s="1"/>
  <c r="Y298" i="2"/>
  <c r="AA298" i="2" s="1"/>
  <c r="U298" i="2"/>
  <c r="Y286" i="2"/>
  <c r="AA286" i="2" s="1"/>
  <c r="U286" i="2"/>
  <c r="Y235" i="2"/>
  <c r="U235" i="2"/>
  <c r="Y283" i="2"/>
  <c r="AA283" i="2" s="1"/>
  <c r="U283" i="2"/>
  <c r="AA79" i="2"/>
  <c r="V24" i="2"/>
  <c r="S24" i="2"/>
  <c r="R24" i="2"/>
  <c r="X24" i="2" s="1"/>
  <c r="S52" i="2"/>
  <c r="V52" i="2"/>
  <c r="R52" i="2"/>
  <c r="X52" i="2" s="1"/>
  <c r="Y910" i="1"/>
  <c r="AA910" i="1" s="1"/>
  <c r="U910" i="1"/>
  <c r="Y862" i="1"/>
  <c r="S861" i="1"/>
  <c r="U862" i="1"/>
  <c r="Y823" i="1"/>
  <c r="AA823" i="1" s="1"/>
  <c r="U823" i="1"/>
  <c r="N12" i="2"/>
  <c r="N11" i="2" s="1"/>
  <c r="N10" i="2" s="1"/>
  <c r="N9" i="2" s="1"/>
  <c r="N8" i="2" s="1"/>
  <c r="N772" i="2" s="1"/>
  <c r="O861" i="1"/>
  <c r="Y878" i="1"/>
  <c r="AA878" i="1" s="1"/>
  <c r="U878" i="1"/>
  <c r="S692" i="1"/>
  <c r="V692" i="1"/>
  <c r="R692" i="1"/>
  <c r="X692" i="1" s="1"/>
  <c r="M609" i="1"/>
  <c r="V671" i="1"/>
  <c r="S671" i="1"/>
  <c r="R671" i="1"/>
  <c r="X671" i="1" s="1"/>
  <c r="S698" i="1"/>
  <c r="R698" i="1"/>
  <c r="X698" i="1" s="1"/>
  <c r="V698" i="1"/>
  <c r="U527" i="1"/>
  <c r="Y527" i="1"/>
  <c r="AA527" i="1" s="1"/>
  <c r="Y489" i="1"/>
  <c r="AA489" i="1" s="1"/>
  <c r="U489" i="1"/>
  <c r="Y561" i="1"/>
  <c r="AA561" i="1" s="1"/>
  <c r="U561" i="1"/>
  <c r="V434" i="1"/>
  <c r="S434" i="1"/>
  <c r="R434" i="1"/>
  <c r="X434" i="1" s="1"/>
  <c r="V596" i="1"/>
  <c r="S596" i="1"/>
  <c r="R596" i="1"/>
  <c r="X596" i="1" s="1"/>
  <c r="S387" i="1"/>
  <c r="V387" i="1"/>
  <c r="R387" i="1"/>
  <c r="X387" i="1" s="1"/>
  <c r="U635" i="1"/>
  <c r="Y635" i="1"/>
  <c r="V244" i="1"/>
  <c r="S244" i="1"/>
  <c r="R244" i="1"/>
  <c r="X244" i="1" s="1"/>
  <c r="AA211" i="1"/>
  <c r="V601" i="1"/>
  <c r="S601" i="1"/>
  <c r="R601" i="1"/>
  <c r="X601" i="1" s="1"/>
  <c r="R204" i="1"/>
  <c r="X204" i="1" s="1"/>
  <c r="V204" i="1"/>
  <c r="S204" i="1"/>
  <c r="Y275" i="1"/>
  <c r="AA275" i="1" s="1"/>
  <c r="U275" i="1"/>
  <c r="Y113" i="1"/>
  <c r="AA113" i="1" s="1"/>
  <c r="U113" i="1"/>
  <c r="V408" i="1"/>
  <c r="S408" i="1"/>
  <c r="R408" i="1"/>
  <c r="X408" i="1" s="1"/>
  <c r="O106" i="1"/>
  <c r="O102" i="1" s="1"/>
  <c r="M102" i="1"/>
  <c r="S809" i="1"/>
  <c r="V809" i="1"/>
  <c r="R809" i="1"/>
  <c r="X809" i="1" s="1"/>
  <c r="S639" i="2"/>
  <c r="V639" i="2"/>
  <c r="R639" i="2"/>
  <c r="X639" i="2" s="1"/>
  <c r="S579" i="2"/>
  <c r="V579" i="2"/>
  <c r="R579" i="2"/>
  <c r="X579" i="2" s="1"/>
  <c r="V339" i="2"/>
  <c r="R339" i="2"/>
  <c r="X339" i="2" s="1"/>
  <c r="S339" i="2"/>
  <c r="U420" i="2"/>
  <c r="Y420" i="2"/>
  <c r="Y253" i="2"/>
  <c r="AA253" i="2" s="1"/>
  <c r="U253" i="2"/>
  <c r="Y280" i="2"/>
  <c r="AA280" i="2" s="1"/>
  <c r="U280" i="2"/>
  <c r="Y479" i="1"/>
  <c r="AA479" i="1" s="1"/>
  <c r="U479" i="1"/>
  <c r="U411" i="1"/>
  <c r="Y411" i="1"/>
  <c r="AA411" i="1" s="1"/>
  <c r="Y260" i="1"/>
  <c r="AA260" i="1" s="1"/>
  <c r="U260" i="1"/>
  <c r="Y24" i="1"/>
  <c r="AA24" i="1" s="1"/>
  <c r="U24" i="1"/>
  <c r="Y68" i="1"/>
  <c r="AA68" i="1" s="1"/>
  <c r="U68" i="1"/>
  <c r="Y18" i="1"/>
  <c r="AA18" i="1" s="1"/>
  <c r="U18" i="1"/>
  <c r="S558" i="2"/>
  <c r="R558" i="2"/>
  <c r="X558" i="2" s="1"/>
  <c r="V558" i="2"/>
  <c r="Y724" i="2"/>
  <c r="AA724" i="2" s="1"/>
  <c r="U724" i="2"/>
  <c r="U655" i="2"/>
  <c r="Y655" i="2"/>
  <c r="AA655" i="2" s="1"/>
  <c r="S677" i="2"/>
  <c r="R677" i="2"/>
  <c r="X677" i="2" s="1"/>
  <c r="V677" i="2"/>
  <c r="Y740" i="2"/>
  <c r="AA740" i="2" s="1"/>
  <c r="U740" i="2"/>
  <c r="Y720" i="2"/>
  <c r="AA720" i="2" s="1"/>
  <c r="U720" i="2"/>
  <c r="M642" i="2"/>
  <c r="O643" i="2"/>
  <c r="O642" i="2" s="1"/>
  <c r="U615" i="2"/>
  <c r="Y615" i="2"/>
  <c r="AA615" i="2" s="1"/>
  <c r="U603" i="2"/>
  <c r="Y603" i="2"/>
  <c r="AA603" i="2" s="1"/>
  <c r="U591" i="2"/>
  <c r="Y591" i="2"/>
  <c r="AA591" i="2" s="1"/>
  <c r="M496" i="2"/>
  <c r="O497" i="2"/>
  <c r="O496" i="2" s="1"/>
  <c r="O495" i="2" s="1"/>
  <c r="S503" i="2"/>
  <c r="R503" i="2"/>
  <c r="X503" i="2" s="1"/>
  <c r="V503" i="2"/>
  <c r="V362" i="2"/>
  <c r="R362" i="2"/>
  <c r="X362" i="2" s="1"/>
  <c r="S362" i="2"/>
  <c r="V322" i="2"/>
  <c r="R322" i="2"/>
  <c r="X322" i="2" s="1"/>
  <c r="S322" i="2"/>
  <c r="Y537" i="2"/>
  <c r="AA537" i="2" s="1"/>
  <c r="U537" i="2"/>
  <c r="S203" i="2"/>
  <c r="V203" i="2"/>
  <c r="R203" i="2"/>
  <c r="X203" i="2" s="1"/>
  <c r="Y250" i="2"/>
  <c r="AA250" i="2" s="1"/>
  <c r="U250" i="2"/>
  <c r="R226" i="2"/>
  <c r="X226" i="2" s="1"/>
  <c r="V226" i="2"/>
  <c r="S226" i="2"/>
  <c r="Y268" i="2"/>
  <c r="AA268" i="2" s="1"/>
  <c r="U268" i="2"/>
  <c r="V91" i="2"/>
  <c r="R91" i="2"/>
  <c r="X91" i="2" s="1"/>
  <c r="S91" i="2"/>
  <c r="M165" i="2"/>
  <c r="O166" i="2"/>
  <c r="O165" i="2" s="1"/>
  <c r="M52" i="2"/>
  <c r="O52" i="2" s="1"/>
  <c r="L52" i="2"/>
  <c r="V18" i="2"/>
  <c r="S18" i="2"/>
  <c r="R18" i="2"/>
  <c r="X18" i="2" s="1"/>
  <c r="V836" i="1"/>
  <c r="S836" i="1"/>
  <c r="R836" i="1"/>
  <c r="X836" i="1" s="1"/>
  <c r="S165" i="2"/>
  <c r="U213" i="2"/>
  <c r="Y213" i="2"/>
  <c r="AA213" i="2" s="1"/>
  <c r="Y890" i="1"/>
  <c r="AA890" i="1" s="1"/>
  <c r="U890" i="1"/>
  <c r="M823" i="1"/>
  <c r="L823" i="1"/>
  <c r="U799" i="1"/>
  <c r="Y799" i="1"/>
  <c r="AA799" i="1" s="1"/>
  <c r="Y677" i="1"/>
  <c r="AA677" i="1" s="1"/>
  <c r="U677" i="1"/>
  <c r="O511" i="1"/>
  <c r="L505" i="1"/>
  <c r="M505" i="1"/>
  <c r="O505" i="1" s="1"/>
  <c r="R232" i="1"/>
  <c r="X232" i="1" s="1"/>
  <c r="V232" i="1"/>
  <c r="S232" i="1"/>
  <c r="Y474" i="1"/>
  <c r="AA474" i="1" s="1"/>
  <c r="U474" i="1"/>
  <c r="U542" i="1"/>
  <c r="Y542" i="1"/>
  <c r="AA542" i="1" s="1"/>
  <c r="V241" i="1"/>
  <c r="S241" i="1"/>
  <c r="R241" i="1"/>
  <c r="X241" i="1" s="1"/>
  <c r="V423" i="1"/>
  <c r="S423" i="1"/>
  <c r="R423" i="1"/>
  <c r="X423" i="1" s="1"/>
  <c r="Y417" i="1"/>
  <c r="AA417" i="1" s="1"/>
  <c r="U417" i="1"/>
  <c r="Y288" i="1"/>
  <c r="AA288" i="1" s="1"/>
  <c r="U288" i="1"/>
  <c r="M479" i="1"/>
  <c r="O479" i="1" s="1"/>
  <c r="L479" i="1"/>
  <c r="V429" i="1"/>
  <c r="S429" i="1"/>
  <c r="R429" i="1"/>
  <c r="X429" i="1" s="1"/>
  <c r="V457" i="1"/>
  <c r="S457" i="1"/>
  <c r="R457" i="1"/>
  <c r="X457" i="1" s="1"/>
  <c r="N209" i="1"/>
  <c r="N12" i="1" s="1"/>
  <c r="N11" i="1" s="1"/>
  <c r="N10" i="1" s="1"/>
  <c r="N9" i="1" s="1"/>
  <c r="N8" i="1" s="1"/>
  <c r="N918" i="1" s="1"/>
  <c r="Y345" i="1"/>
  <c r="AA345" i="1" s="1"/>
  <c r="U345" i="1"/>
  <c r="R194" i="1"/>
  <c r="X194" i="1" s="1"/>
  <c r="V194" i="1"/>
  <c r="S194" i="1"/>
  <c r="S649" i="2"/>
  <c r="R649" i="2"/>
  <c r="X649" i="2" s="1"/>
  <c r="V649" i="2"/>
  <c r="Y756" i="2"/>
  <c r="AA756" i="2" s="1"/>
  <c r="U756" i="2"/>
  <c r="Y525" i="2"/>
  <c r="AA525" i="2" s="1"/>
  <c r="U525" i="2"/>
  <c r="R647" i="1"/>
  <c r="X647" i="1" s="1"/>
  <c r="V647" i="1"/>
  <c r="S647" i="1"/>
  <c r="S661" i="2"/>
  <c r="R661" i="2"/>
  <c r="X661" i="2" s="1"/>
  <c r="V661" i="2"/>
  <c r="V379" i="2"/>
  <c r="R379" i="2"/>
  <c r="X379" i="2" s="1"/>
  <c r="S379" i="2"/>
  <c r="Y262" i="2"/>
  <c r="AA262" i="2" s="1"/>
  <c r="U262" i="2"/>
  <c r="S218" i="2"/>
  <c r="V218" i="2"/>
  <c r="R218" i="2"/>
  <c r="X218" i="2" s="1"/>
  <c r="R58" i="2"/>
  <c r="X58" i="2" s="1"/>
  <c r="S58" i="2"/>
  <c r="V58" i="2"/>
  <c r="Y72" i="2"/>
  <c r="AA72" i="2" s="1"/>
  <c r="U72" i="2"/>
  <c r="Y894" i="1"/>
  <c r="AA894" i="1" s="1"/>
  <c r="U894" i="1"/>
  <c r="U372" i="1"/>
  <c r="Y372" i="1"/>
  <c r="AA372" i="1" s="1"/>
  <c r="S630" i="2"/>
  <c r="V630" i="2"/>
  <c r="R630" i="2"/>
  <c r="X630" i="2" s="1"/>
  <c r="U659" i="2"/>
  <c r="Y659" i="2"/>
  <c r="AA659" i="2" s="1"/>
  <c r="S657" i="2"/>
  <c r="R657" i="2"/>
  <c r="X657" i="2" s="1"/>
  <c r="V657" i="2"/>
  <c r="Y732" i="2"/>
  <c r="AA732" i="2" s="1"/>
  <c r="U732" i="2"/>
  <c r="S645" i="2"/>
  <c r="R645" i="2"/>
  <c r="X645" i="2" s="1"/>
  <c r="V645" i="2"/>
  <c r="U509" i="2"/>
  <c r="Y509" i="2"/>
  <c r="AA509" i="2" s="1"/>
  <c r="S468" i="2"/>
  <c r="R468" i="2"/>
  <c r="X468" i="2" s="1"/>
  <c r="V468" i="2"/>
  <c r="U561" i="2"/>
  <c r="Y561" i="2"/>
  <c r="AA561" i="2" s="1"/>
  <c r="L482" i="2"/>
  <c r="M482" i="2"/>
  <c r="O482" i="2" s="1"/>
  <c r="S567" i="2"/>
  <c r="R567" i="2"/>
  <c r="X567" i="2" s="1"/>
  <c r="V567" i="2"/>
  <c r="V399" i="2"/>
  <c r="R399" i="2"/>
  <c r="X399" i="2" s="1"/>
  <c r="S399" i="2"/>
  <c r="S493" i="2"/>
  <c r="R493" i="2"/>
  <c r="X493" i="2" s="1"/>
  <c r="V493" i="2"/>
  <c r="V301" i="2"/>
  <c r="S301" i="2"/>
  <c r="R301" i="2"/>
  <c r="X301" i="2" s="1"/>
  <c r="V331" i="2"/>
  <c r="R331" i="2"/>
  <c r="X331" i="2" s="1"/>
  <c r="S331" i="2"/>
  <c r="M415" i="2"/>
  <c r="O416" i="2"/>
  <c r="R304" i="2"/>
  <c r="X304" i="2" s="1"/>
  <c r="V304" i="2"/>
  <c r="S304" i="2"/>
  <c r="U116" i="2"/>
  <c r="Y116" i="2"/>
  <c r="AA116" i="2" s="1"/>
  <c r="V87" i="2"/>
  <c r="R87" i="2"/>
  <c r="X87" i="2" s="1"/>
  <c r="S87" i="2"/>
  <c r="O235" i="2"/>
  <c r="M234" i="2"/>
  <c r="U66" i="2"/>
  <c r="Y66" i="2"/>
  <c r="AA66" i="2" s="1"/>
  <c r="Y247" i="2"/>
  <c r="AA247" i="2" s="1"/>
  <c r="U247" i="2"/>
  <c r="Y94" i="2"/>
  <c r="U94" i="2"/>
  <c r="S93" i="2"/>
  <c r="V15" i="2"/>
  <c r="S15" i="2"/>
  <c r="R15" i="2"/>
  <c r="X15" i="2" s="1"/>
  <c r="Y198" i="2"/>
  <c r="AA198" i="2" s="1"/>
  <c r="U198" i="2"/>
  <c r="AA166" i="2"/>
  <c r="Y874" i="1"/>
  <c r="AA874" i="1" s="1"/>
  <c r="U874" i="1"/>
  <c r="Y181" i="2"/>
  <c r="AA181" i="2" s="1"/>
  <c r="U181" i="2"/>
  <c r="S551" i="1"/>
  <c r="R551" i="1"/>
  <c r="X551" i="1" s="1"/>
  <c r="V551" i="1"/>
  <c r="R653" i="1"/>
  <c r="X653" i="1" s="1"/>
  <c r="V653" i="1"/>
  <c r="S653" i="1"/>
  <c r="U577" i="1"/>
  <c r="Y577" i="1"/>
  <c r="AA577" i="1" s="1"/>
  <c r="U453" i="1"/>
  <c r="Y453" i="1"/>
  <c r="AA453" i="1" s="1"/>
  <c r="M592" i="1"/>
  <c r="O592" i="1" s="1"/>
  <c r="L592" i="1"/>
  <c r="V238" i="1"/>
  <c r="S238" i="1"/>
  <c r="R238" i="1"/>
  <c r="X238" i="1" s="1"/>
  <c r="V414" i="1"/>
  <c r="S414" i="1"/>
  <c r="R414" i="1"/>
  <c r="X414" i="1" s="1"/>
  <c r="O211" i="1"/>
  <c r="O210" i="1" s="1"/>
  <c r="M210" i="1"/>
  <c r="M484" i="1"/>
  <c r="O484" i="1" s="1"/>
  <c r="L484" i="1"/>
  <c r="U333" i="1"/>
  <c r="Y333" i="1"/>
  <c r="AA333" i="1" s="1"/>
  <c r="R184" i="1"/>
  <c r="X184" i="1" s="1"/>
  <c r="V184" i="1"/>
  <c r="S184" i="1"/>
  <c r="U396" i="1"/>
  <c r="Y396" i="1"/>
  <c r="AA396" i="1" s="1"/>
  <c r="Y339" i="1"/>
  <c r="AA339" i="1" s="1"/>
  <c r="U339" i="1"/>
  <c r="AA297" i="1"/>
  <c r="R167" i="1"/>
  <c r="X167" i="1" s="1"/>
  <c r="V167" i="1"/>
  <c r="S167" i="1"/>
  <c r="S390" i="1"/>
  <c r="V390" i="1"/>
  <c r="R390" i="1"/>
  <c r="X390" i="1" s="1"/>
  <c r="Y90" i="1"/>
  <c r="AA90" i="1" s="1"/>
  <c r="U90" i="1"/>
  <c r="Y56" i="1"/>
  <c r="AA56" i="1" s="1"/>
  <c r="U56" i="1"/>
  <c r="U103" i="1"/>
  <c r="Y103" i="1"/>
  <c r="S102" i="1"/>
  <c r="Y728" i="2"/>
  <c r="AA728" i="2" s="1"/>
  <c r="U728" i="2"/>
  <c r="Y477" i="2"/>
  <c r="AA477" i="2" s="1"/>
  <c r="U477" i="2"/>
  <c r="S222" i="2"/>
  <c r="V222" i="2"/>
  <c r="R222" i="2"/>
  <c r="X222" i="2" s="1"/>
  <c r="Y256" i="2"/>
  <c r="AA256" i="2" s="1"/>
  <c r="U256" i="2"/>
  <c r="M58" i="2"/>
  <c r="O58" i="2" s="1"/>
  <c r="L58" i="2"/>
  <c r="S576" i="2"/>
  <c r="V576" i="2"/>
  <c r="R576" i="2"/>
  <c r="X576" i="2" s="1"/>
  <c r="Y482" i="2"/>
  <c r="AA482" i="2" s="1"/>
  <c r="U482" i="2"/>
  <c r="Y898" i="1"/>
  <c r="AA898" i="1" s="1"/>
  <c r="U898" i="1"/>
  <c r="Y748" i="2"/>
  <c r="AA748" i="2" s="1"/>
  <c r="U748" i="2"/>
  <c r="Y764" i="2"/>
  <c r="AA764" i="2" s="1"/>
  <c r="U764" i="2"/>
  <c r="Y716" i="2"/>
  <c r="S715" i="2"/>
  <c r="U716" i="2"/>
  <c r="U647" i="2"/>
  <c r="Y647" i="2"/>
  <c r="AA647" i="2" s="1"/>
  <c r="U624" i="2"/>
  <c r="Y624" i="2"/>
  <c r="AA624" i="2" s="1"/>
  <c r="U612" i="2"/>
  <c r="Y612" i="2"/>
  <c r="AA612" i="2" s="1"/>
  <c r="U600" i="2"/>
  <c r="Y600" i="2"/>
  <c r="AA600" i="2" s="1"/>
  <c r="U588" i="2"/>
  <c r="Y588" i="2"/>
  <c r="AA588" i="2" s="1"/>
  <c r="S642" i="2"/>
  <c r="U643" i="2"/>
  <c r="Y643" i="2"/>
  <c r="V463" i="2"/>
  <c r="S463" i="2"/>
  <c r="R463" i="2"/>
  <c r="X463" i="2" s="1"/>
  <c r="Y540" i="2"/>
  <c r="AA540" i="2" s="1"/>
  <c r="U540" i="2"/>
  <c r="Z495" i="2"/>
  <c r="Z12" i="2" s="1"/>
  <c r="Z11" i="2" s="1"/>
  <c r="Z10" i="2" s="1"/>
  <c r="Z9" i="2" s="1"/>
  <c r="Z8" i="2" s="1"/>
  <c r="Z772" i="2" s="1"/>
  <c r="Y564" i="2"/>
  <c r="AA564" i="2" s="1"/>
  <c r="U564" i="2"/>
  <c r="V394" i="2"/>
  <c r="R394" i="2"/>
  <c r="X394" i="2" s="1"/>
  <c r="S394" i="2"/>
  <c r="U450" i="2"/>
  <c r="Y450" i="2"/>
  <c r="AA450" i="2" s="1"/>
  <c r="U428" i="2"/>
  <c r="Y428" i="2"/>
  <c r="AA428" i="2" s="1"/>
  <c r="Y549" i="2"/>
  <c r="AA549" i="2" s="1"/>
  <c r="U549" i="2"/>
  <c r="V325" i="2"/>
  <c r="R325" i="2"/>
  <c r="X325" i="2" s="1"/>
  <c r="S325" i="2"/>
  <c r="Y265" i="2"/>
  <c r="AA265" i="2" s="1"/>
  <c r="U265" i="2"/>
  <c r="Y274" i="2"/>
  <c r="AA274" i="2" s="1"/>
  <c r="U274" i="2"/>
  <c r="M334" i="2"/>
  <c r="O334" i="2" s="1"/>
  <c r="L334" i="2"/>
  <c r="Y292" i="2"/>
  <c r="AA292" i="2" s="1"/>
  <c r="U292" i="2"/>
  <c r="Y178" i="2"/>
  <c r="AA178" i="2" s="1"/>
  <c r="U178" i="2"/>
  <c r="S313" i="2"/>
  <c r="R313" i="2"/>
  <c r="X313" i="2" s="1"/>
  <c r="V313" i="2"/>
  <c r="Y902" i="1"/>
  <c r="AA902" i="1" s="1"/>
  <c r="U902" i="1"/>
  <c r="O15" i="2"/>
  <c r="Y882" i="1"/>
  <c r="AA882" i="1" s="1"/>
  <c r="U882" i="1"/>
  <c r="Y906" i="1"/>
  <c r="AA906" i="1" s="1"/>
  <c r="U906" i="1"/>
  <c r="Y866" i="1"/>
  <c r="AA866" i="1" s="1"/>
  <c r="U866" i="1"/>
  <c r="S807" i="1"/>
  <c r="V807" i="1"/>
  <c r="R807" i="1"/>
  <c r="X807" i="1" s="1"/>
  <c r="S701" i="1"/>
  <c r="R701" i="1"/>
  <c r="X701" i="1" s="1"/>
  <c r="V701" i="1"/>
  <c r="R616" i="1"/>
  <c r="X616" i="1" s="1"/>
  <c r="V616" i="1"/>
  <c r="S616" i="1"/>
  <c r="R789" i="1"/>
  <c r="X789" i="1" s="1"/>
  <c r="V789" i="1"/>
  <c r="S789" i="1"/>
  <c r="S511" i="1"/>
  <c r="R511" i="1"/>
  <c r="X511" i="1" s="1"/>
  <c r="V511" i="1"/>
  <c r="R793" i="1"/>
  <c r="X793" i="1" s="1"/>
  <c r="V793" i="1"/>
  <c r="S793" i="1"/>
  <c r="O634" i="1"/>
  <c r="U710" i="1"/>
  <c r="Y710" i="1"/>
  <c r="AA710" i="1" s="1"/>
  <c r="V439" i="1"/>
  <c r="S439" i="1"/>
  <c r="R439" i="1"/>
  <c r="X439" i="1" s="1"/>
  <c r="Y484" i="1"/>
  <c r="AA484" i="1" s="1"/>
  <c r="U484" i="1"/>
  <c r="U719" i="1"/>
  <c r="Y719" i="1"/>
  <c r="AA719" i="1" s="1"/>
  <c r="Z510" i="1"/>
  <c r="Z209" i="1"/>
  <c r="Z12" i="1" s="1"/>
  <c r="Z11" i="1" s="1"/>
  <c r="Z10" i="1" s="1"/>
  <c r="Z9" i="1" s="1"/>
  <c r="Z8" i="1" s="1"/>
  <c r="Z918" i="1" s="1"/>
  <c r="Y636" i="2"/>
  <c r="AA636" i="2" s="1"/>
  <c r="U636" i="2"/>
  <c r="U351" i="1"/>
  <c r="Y351" i="1"/>
  <c r="AA351" i="1" s="1"/>
  <c r="Y74" i="1"/>
  <c r="AA74" i="1" s="1"/>
  <c r="U74" i="1"/>
  <c r="L393" i="1"/>
  <c r="M393" i="1"/>
  <c r="O393" i="1" s="1"/>
  <c r="U463" i="1"/>
  <c r="Y463" i="1"/>
  <c r="AA463" i="1" s="1"/>
  <c r="R174" i="1"/>
  <c r="X174" i="1" s="1"/>
  <c r="V174" i="1"/>
  <c r="S174" i="1"/>
  <c r="O120" i="1"/>
  <c r="O119" i="1" s="1"/>
  <c r="M119" i="1"/>
  <c r="W513" i="4" l="1"/>
  <c r="W496" i="4" s="1"/>
  <c r="Y513" i="4"/>
  <c r="Y496" i="4" s="1"/>
  <c r="Y235" i="4"/>
  <c r="W235" i="4"/>
  <c r="W166" i="4"/>
  <c r="Y416" i="4"/>
  <c r="W416" i="4"/>
  <c r="W94" i="4"/>
  <c r="W14" i="4" s="1"/>
  <c r="Y14" i="4"/>
  <c r="M416" i="3"/>
  <c r="O496" i="3"/>
  <c r="O166" i="3"/>
  <c r="U716" i="3"/>
  <c r="O513" i="3"/>
  <c r="N13" i="3"/>
  <c r="N12" i="3" s="1"/>
  <c r="N11" i="3" s="1"/>
  <c r="N10" i="3" s="1"/>
  <c r="N9" i="3" s="1"/>
  <c r="N773" i="3" s="1"/>
  <c r="U257" i="3"/>
  <c r="U637" i="3"/>
  <c r="U574" i="3"/>
  <c r="U691" i="3"/>
  <c r="S235" i="3"/>
  <c r="U15" i="3"/>
  <c r="U598" i="3"/>
  <c r="U320" i="3"/>
  <c r="M235" i="3"/>
  <c r="O236" i="3"/>
  <c r="O235" i="3" s="1"/>
  <c r="U179" i="3"/>
  <c r="U314" i="3"/>
  <c r="U510" i="3"/>
  <c r="U497" i="3" s="1"/>
  <c r="U491" i="3"/>
  <c r="U652" i="3"/>
  <c r="M166" i="3"/>
  <c r="U354" i="3"/>
  <c r="U79" i="3"/>
  <c r="U416" i="3"/>
  <c r="U263" i="3"/>
  <c r="U648" i="3"/>
  <c r="U251" i="3"/>
  <c r="U406" i="3"/>
  <c r="U658" i="3"/>
  <c r="U469" i="3"/>
  <c r="U113" i="3"/>
  <c r="U204" i="3"/>
  <c r="U494" i="3"/>
  <c r="U664" i="3"/>
  <c r="U123" i="3"/>
  <c r="M14" i="3"/>
  <c r="U254" i="3"/>
  <c r="S643" i="3"/>
  <c r="U109" i="3"/>
  <c r="U340" i="3"/>
  <c r="U308" i="3"/>
  <c r="U135" i="3"/>
  <c r="U94" i="3" s="1"/>
  <c r="U140" i="3"/>
  <c r="U302" i="3"/>
  <c r="U231" i="3"/>
  <c r="U275" i="3"/>
  <c r="U323" i="3"/>
  <c r="U278" i="3"/>
  <c r="U19" i="3"/>
  <c r="U185" i="3"/>
  <c r="U166" i="3" s="1"/>
  <c r="U188" i="3"/>
  <c r="U199" i="3"/>
  <c r="U650" i="3"/>
  <c r="U631" i="3"/>
  <c r="S94" i="3"/>
  <c r="S14" i="3" s="1"/>
  <c r="U266" i="3"/>
  <c r="U296" i="3"/>
  <c r="S166" i="3"/>
  <c r="S165" i="3" s="1"/>
  <c r="U703" i="3"/>
  <c r="S513" i="3"/>
  <c r="S496" i="3" s="1"/>
  <c r="U287" i="3"/>
  <c r="U290" i="3"/>
  <c r="U586" i="3"/>
  <c r="O14" i="3"/>
  <c r="U380" i="3"/>
  <c r="Y630" i="2"/>
  <c r="AA630" i="2" s="1"/>
  <c r="U630" i="2"/>
  <c r="Y226" i="2"/>
  <c r="AA226" i="2" s="1"/>
  <c r="U226" i="2"/>
  <c r="U137" i="1"/>
  <c r="Y137" i="1"/>
  <c r="AA137" i="1" s="1"/>
  <c r="Y715" i="2"/>
  <c r="AA716" i="2"/>
  <c r="AA715" i="2" s="1"/>
  <c r="O234" i="2"/>
  <c r="AA635" i="1"/>
  <c r="U52" i="2"/>
  <c r="Y52" i="2"/>
  <c r="AA52" i="2" s="1"/>
  <c r="U570" i="2"/>
  <c r="Y570" i="2"/>
  <c r="AA570" i="2" s="1"/>
  <c r="Y174" i="1"/>
  <c r="AA174" i="1" s="1"/>
  <c r="U174" i="1"/>
  <c r="Y325" i="2"/>
  <c r="AA325" i="2" s="1"/>
  <c r="U325" i="2"/>
  <c r="Y645" i="2"/>
  <c r="AA645" i="2" s="1"/>
  <c r="U645" i="2"/>
  <c r="Y649" i="2"/>
  <c r="AA649" i="2" s="1"/>
  <c r="U649" i="2"/>
  <c r="U642" i="2" s="1"/>
  <c r="Y232" i="1"/>
  <c r="AA232" i="1" s="1"/>
  <c r="U232" i="1"/>
  <c r="U339" i="2"/>
  <c r="Y339" i="2"/>
  <c r="AA339" i="2" s="1"/>
  <c r="U639" i="2"/>
  <c r="Y639" i="2"/>
  <c r="AA639" i="2" s="1"/>
  <c r="U244" i="1"/>
  <c r="Y244" i="1"/>
  <c r="AA244" i="1" s="1"/>
  <c r="Y671" i="1"/>
  <c r="AA671" i="1" s="1"/>
  <c r="U671" i="1"/>
  <c r="U506" i="2"/>
  <c r="Y506" i="2"/>
  <c r="AA506" i="2" s="1"/>
  <c r="U247" i="1"/>
  <c r="Y247" i="1"/>
  <c r="AA247" i="1" s="1"/>
  <c r="U389" i="2"/>
  <c r="Y389" i="2"/>
  <c r="AA389" i="2" s="1"/>
  <c r="U707" i="1"/>
  <c r="Y707" i="1"/>
  <c r="AA707" i="1" s="1"/>
  <c r="O13" i="1"/>
  <c r="U222" i="1"/>
  <c r="Y222" i="1"/>
  <c r="AA222" i="1" s="1"/>
  <c r="U349" i="2"/>
  <c r="Y349" i="2"/>
  <c r="AA349" i="2" s="1"/>
  <c r="Y58" i="2"/>
  <c r="AA58" i="2" s="1"/>
  <c r="U58" i="2"/>
  <c r="U601" i="1"/>
  <c r="Y601" i="1"/>
  <c r="AA601" i="1" s="1"/>
  <c r="Y420" i="1"/>
  <c r="AA420" i="1" s="1"/>
  <c r="U420" i="1"/>
  <c r="Y439" i="1"/>
  <c r="AA439" i="1" s="1"/>
  <c r="U439" i="1"/>
  <c r="U394" i="2"/>
  <c r="Y394" i="2"/>
  <c r="AA394" i="2" s="1"/>
  <c r="U715" i="2"/>
  <c r="S14" i="2"/>
  <c r="U15" i="2"/>
  <c r="Y15" i="2"/>
  <c r="Y304" i="2"/>
  <c r="AA304" i="2" s="1"/>
  <c r="U304" i="2"/>
  <c r="U379" i="2"/>
  <c r="Y379" i="2"/>
  <c r="AA379" i="2" s="1"/>
  <c r="Y194" i="1"/>
  <c r="AA194" i="1" s="1"/>
  <c r="U194" i="1"/>
  <c r="Y457" i="1"/>
  <c r="AA457" i="1" s="1"/>
  <c r="U457" i="1"/>
  <c r="Y203" i="2"/>
  <c r="AA203" i="2" s="1"/>
  <c r="U203" i="2"/>
  <c r="Y596" i="1"/>
  <c r="AA596" i="1" s="1"/>
  <c r="U596" i="1"/>
  <c r="U309" i="1"/>
  <c r="Y309" i="1"/>
  <c r="S296" i="1"/>
  <c r="Y555" i="2"/>
  <c r="AA555" i="2" s="1"/>
  <c r="U555" i="2"/>
  <c r="Y189" i="1"/>
  <c r="AA189" i="1" s="1"/>
  <c r="U189" i="1"/>
  <c r="Y334" i="2"/>
  <c r="AA334" i="2" s="1"/>
  <c r="U334" i="2"/>
  <c r="Y444" i="1"/>
  <c r="AA444" i="1" s="1"/>
  <c r="U444" i="1"/>
  <c r="Y659" i="1"/>
  <c r="AA659" i="1" s="1"/>
  <c r="U659" i="1"/>
  <c r="Y405" i="1"/>
  <c r="AA405" i="1" s="1"/>
  <c r="U405" i="1"/>
  <c r="Y463" i="2"/>
  <c r="AA463" i="2" s="1"/>
  <c r="U463" i="2"/>
  <c r="Y301" i="2"/>
  <c r="AA301" i="2" s="1"/>
  <c r="U301" i="2"/>
  <c r="U234" i="2" s="1"/>
  <c r="U132" i="1"/>
  <c r="Y132" i="1"/>
  <c r="S119" i="1"/>
  <c r="S13" i="1" s="1"/>
  <c r="S12" i="1" s="1"/>
  <c r="S11" i="1" s="1"/>
  <c r="S10" i="1" s="1"/>
  <c r="S9" i="1" s="1"/>
  <c r="S8" i="1" s="1"/>
  <c r="S918" i="1" s="1"/>
  <c r="U918" i="1" s="1"/>
  <c r="Y468" i="2"/>
  <c r="AA468" i="2" s="1"/>
  <c r="U468" i="2"/>
  <c r="U161" i="1"/>
  <c r="Y161" i="1"/>
  <c r="AA161" i="1" s="1"/>
  <c r="U208" i="2"/>
  <c r="Y208" i="2"/>
  <c r="AA208" i="2" s="1"/>
  <c r="Y789" i="1"/>
  <c r="S788" i="1"/>
  <c r="U789" i="1"/>
  <c r="U701" i="1"/>
  <c r="Y701" i="1"/>
  <c r="AA701" i="1" s="1"/>
  <c r="AA643" i="2"/>
  <c r="U102" i="1"/>
  <c r="Y167" i="1"/>
  <c r="AA167" i="1" s="1"/>
  <c r="U167" i="1"/>
  <c r="U93" i="2"/>
  <c r="U87" i="2"/>
  <c r="Y87" i="2"/>
  <c r="S78" i="2"/>
  <c r="O415" i="2"/>
  <c r="O164" i="2" s="1"/>
  <c r="U567" i="2"/>
  <c r="Y567" i="2"/>
  <c r="AA567" i="2" s="1"/>
  <c r="Y429" i="1"/>
  <c r="AA429" i="1" s="1"/>
  <c r="U429" i="1"/>
  <c r="U836" i="1"/>
  <c r="Y836" i="1"/>
  <c r="AA836" i="1" s="1"/>
  <c r="M164" i="2"/>
  <c r="Y322" i="2"/>
  <c r="AA322" i="2" s="1"/>
  <c r="U322" i="2"/>
  <c r="U503" i="2"/>
  <c r="Y503" i="2"/>
  <c r="AA503" i="2" s="1"/>
  <c r="Y558" i="2"/>
  <c r="AA558" i="2" s="1"/>
  <c r="U558" i="2"/>
  <c r="U512" i="2" s="1"/>
  <c r="Y434" i="1"/>
  <c r="AA434" i="1" s="1"/>
  <c r="U434" i="1"/>
  <c r="U861" i="1"/>
  <c r="S234" i="2"/>
  <c r="Y307" i="2"/>
  <c r="AA307" i="2" s="1"/>
  <c r="U307" i="2"/>
  <c r="U155" i="1"/>
  <c r="Y155" i="1"/>
  <c r="AA155" i="1" s="1"/>
  <c r="Y375" i="1"/>
  <c r="AA375" i="1" s="1"/>
  <c r="U375" i="1"/>
  <c r="Y316" i="2"/>
  <c r="AA316" i="2" s="1"/>
  <c r="U316" i="2"/>
  <c r="Y310" i="2"/>
  <c r="AA310" i="2" s="1"/>
  <c r="U310" i="2"/>
  <c r="Y366" i="1"/>
  <c r="AA366" i="1" s="1"/>
  <c r="U366" i="1"/>
  <c r="Y587" i="1"/>
  <c r="AA587" i="1" s="1"/>
  <c r="U587" i="1"/>
  <c r="U344" i="2"/>
  <c r="Y344" i="2"/>
  <c r="AA344" i="2" s="1"/>
  <c r="U539" i="1"/>
  <c r="Y539" i="1"/>
  <c r="AA539" i="1" s="1"/>
  <c r="U702" i="2"/>
  <c r="Y702" i="2"/>
  <c r="AA702" i="2" s="1"/>
  <c r="Y22" i="1"/>
  <c r="AA22" i="1" s="1"/>
  <c r="U22" i="1"/>
  <c r="U14" i="1" s="1"/>
  <c r="Y102" i="1"/>
  <c r="AA103" i="1"/>
  <c r="AA102" i="1" s="1"/>
  <c r="U46" i="2"/>
  <c r="Y46" i="2"/>
  <c r="AA46" i="2" s="1"/>
  <c r="U222" i="2"/>
  <c r="Y222" i="2"/>
  <c r="AA222" i="2" s="1"/>
  <c r="Y184" i="1"/>
  <c r="AA184" i="1" s="1"/>
  <c r="U184" i="1"/>
  <c r="O209" i="1"/>
  <c r="AA165" i="2"/>
  <c r="AA94" i="2"/>
  <c r="AA93" i="2" s="1"/>
  <c r="Y93" i="2"/>
  <c r="Y657" i="2"/>
  <c r="AA657" i="2" s="1"/>
  <c r="U657" i="2"/>
  <c r="M296" i="1"/>
  <c r="M209" i="1" s="1"/>
  <c r="O510" i="1"/>
  <c r="O823" i="1"/>
  <c r="O788" i="1" s="1"/>
  <c r="M788" i="1"/>
  <c r="U91" i="2"/>
  <c r="Y91" i="2"/>
  <c r="AA91" i="2" s="1"/>
  <c r="Y677" i="2"/>
  <c r="AA677" i="2" s="1"/>
  <c r="U677" i="2"/>
  <c r="S415" i="2"/>
  <c r="Y579" i="2"/>
  <c r="AA579" i="2" s="1"/>
  <c r="U579" i="2"/>
  <c r="U692" i="1"/>
  <c r="Y692" i="1"/>
  <c r="AA692" i="1" s="1"/>
  <c r="U24" i="2"/>
  <c r="Y24" i="2"/>
  <c r="AA24" i="2" s="1"/>
  <c r="AA235" i="2"/>
  <c r="Y426" i="1"/>
  <c r="AA426" i="1" s="1"/>
  <c r="U426" i="1"/>
  <c r="Y582" i="2"/>
  <c r="AA582" i="2" s="1"/>
  <c r="U582" i="2"/>
  <c r="Y199" i="1"/>
  <c r="AA199" i="1" s="1"/>
  <c r="U199" i="1"/>
  <c r="Y622" i="1"/>
  <c r="AA622" i="1" s="1"/>
  <c r="U622" i="1"/>
  <c r="U582" i="1"/>
  <c r="Y582" i="1"/>
  <c r="AA582" i="1" s="1"/>
  <c r="U497" i="2"/>
  <c r="U496" i="2" s="1"/>
  <c r="S496" i="2"/>
  <c r="Y497" i="2"/>
  <c r="Y14" i="1"/>
  <c r="AA15" i="1"/>
  <c r="Y399" i="1"/>
  <c r="AA399" i="1" s="1"/>
  <c r="U399" i="1"/>
  <c r="U458" i="2"/>
  <c r="U415" i="2" s="1"/>
  <c r="Y458" i="2"/>
  <c r="AA458" i="2" s="1"/>
  <c r="U378" i="1"/>
  <c r="Y378" i="1"/>
  <c r="AA378" i="1" s="1"/>
  <c r="U402" i="1"/>
  <c r="Y402" i="1"/>
  <c r="AA402" i="1" s="1"/>
  <c r="Y653" i="1"/>
  <c r="AA653" i="1" s="1"/>
  <c r="U653" i="1"/>
  <c r="U241" i="1"/>
  <c r="Y241" i="1"/>
  <c r="AA241" i="1" s="1"/>
  <c r="S634" i="1"/>
  <c r="U683" i="1"/>
  <c r="Y683" i="1"/>
  <c r="AA683" i="1" s="1"/>
  <c r="Y511" i="1"/>
  <c r="S510" i="1"/>
  <c r="U511" i="1"/>
  <c r="Y390" i="1"/>
  <c r="AA390" i="1" s="1"/>
  <c r="U390" i="1"/>
  <c r="Y793" i="1"/>
  <c r="AA793" i="1" s="1"/>
  <c r="U793" i="1"/>
  <c r="O14" i="2"/>
  <c r="O13" i="2" s="1"/>
  <c r="U576" i="2"/>
  <c r="Y576" i="2"/>
  <c r="AA576" i="2" s="1"/>
  <c r="Y331" i="2"/>
  <c r="AA331" i="2" s="1"/>
  <c r="U331" i="2"/>
  <c r="Y493" i="2"/>
  <c r="U493" i="2"/>
  <c r="U490" i="2" s="1"/>
  <c r="S490" i="2"/>
  <c r="S164" i="2" s="1"/>
  <c r="Y218" i="2"/>
  <c r="AA218" i="2" s="1"/>
  <c r="U218" i="2"/>
  <c r="Y661" i="2"/>
  <c r="AA661" i="2" s="1"/>
  <c r="U661" i="2"/>
  <c r="M510" i="1"/>
  <c r="M495" i="2"/>
  <c r="AA420" i="2"/>
  <c r="AA415" i="2" s="1"/>
  <c r="Y415" i="2"/>
  <c r="Y204" i="1"/>
  <c r="AA204" i="1" s="1"/>
  <c r="U204" i="1"/>
  <c r="U698" i="1"/>
  <c r="Y698" i="1"/>
  <c r="AA698" i="1" s="1"/>
  <c r="AA862" i="1"/>
  <c r="AA861" i="1" s="1"/>
  <c r="Y861" i="1"/>
  <c r="S512" i="2"/>
  <c r="Y690" i="2"/>
  <c r="AA690" i="2" s="1"/>
  <c r="U690" i="2"/>
  <c r="Y170" i="1"/>
  <c r="AA170" i="1" s="1"/>
  <c r="U170" i="1"/>
  <c r="Y653" i="2"/>
  <c r="AA653" i="2" s="1"/>
  <c r="U653" i="2"/>
  <c r="Y179" i="1"/>
  <c r="AA179" i="1" s="1"/>
  <c r="U179" i="1"/>
  <c r="U321" i="1"/>
  <c r="Y321" i="1"/>
  <c r="AA321" i="1" s="1"/>
  <c r="Y797" i="1"/>
  <c r="AA797" i="1" s="1"/>
  <c r="U797" i="1"/>
  <c r="U238" i="1"/>
  <c r="Y238" i="1"/>
  <c r="AA238" i="1" s="1"/>
  <c r="U809" i="1"/>
  <c r="Y809" i="1"/>
  <c r="AA809" i="1" s="1"/>
  <c r="U230" i="2"/>
  <c r="Y230" i="2"/>
  <c r="AA230" i="2" s="1"/>
  <c r="U313" i="2"/>
  <c r="Y313" i="2"/>
  <c r="AA313" i="2" s="1"/>
  <c r="Y616" i="1"/>
  <c r="S615" i="1"/>
  <c r="S614" i="1" s="1"/>
  <c r="U616" i="1"/>
  <c r="U615" i="1" s="1"/>
  <c r="Y807" i="1"/>
  <c r="AA807" i="1" s="1"/>
  <c r="U807" i="1"/>
  <c r="M14" i="2"/>
  <c r="M13" i="2" s="1"/>
  <c r="M12" i="2" s="1"/>
  <c r="M11" i="2" s="1"/>
  <c r="M10" i="2" s="1"/>
  <c r="M9" i="2" s="1"/>
  <c r="M8" i="2" s="1"/>
  <c r="M772" i="2" s="1"/>
  <c r="O772" i="2" s="1"/>
  <c r="U414" i="1"/>
  <c r="Y414" i="1"/>
  <c r="AA414" i="1" s="1"/>
  <c r="Y551" i="1"/>
  <c r="AA551" i="1" s="1"/>
  <c r="U551" i="1"/>
  <c r="U399" i="2"/>
  <c r="Y399" i="2"/>
  <c r="AA399" i="2" s="1"/>
  <c r="U647" i="1"/>
  <c r="U634" i="1" s="1"/>
  <c r="Y647" i="1"/>
  <c r="AA647" i="1" s="1"/>
  <c r="Y423" i="1"/>
  <c r="AA423" i="1" s="1"/>
  <c r="U423" i="1"/>
  <c r="U18" i="2"/>
  <c r="Y18" i="2"/>
  <c r="AA18" i="2" s="1"/>
  <c r="U362" i="2"/>
  <c r="Y362" i="2"/>
  <c r="AA362" i="2" s="1"/>
  <c r="Y408" i="1"/>
  <c r="AA408" i="1" s="1"/>
  <c r="U408" i="1"/>
  <c r="U387" i="1"/>
  <c r="Y387" i="1"/>
  <c r="AA387" i="1" s="1"/>
  <c r="Y328" i="2"/>
  <c r="AA328" i="2" s="1"/>
  <c r="U328" i="2"/>
  <c r="AA513" i="2"/>
  <c r="U40" i="1"/>
  <c r="Y40" i="1"/>
  <c r="AA40" i="1" s="1"/>
  <c r="Y327" i="1"/>
  <c r="AA327" i="1" s="1"/>
  <c r="U327" i="1"/>
  <c r="U40" i="2"/>
  <c r="Y40" i="2"/>
  <c r="AA40" i="2" s="1"/>
  <c r="U374" i="2"/>
  <c r="Y374" i="2"/>
  <c r="AA374" i="2" s="1"/>
  <c r="U663" i="2"/>
  <c r="Y663" i="2"/>
  <c r="AA663" i="2" s="1"/>
  <c r="U214" i="1"/>
  <c r="Y214" i="1"/>
  <c r="S210" i="1"/>
  <c r="S209" i="1" s="1"/>
  <c r="Y805" i="1"/>
  <c r="AA805" i="1" s="1"/>
  <c r="U805" i="1"/>
  <c r="U384" i="2"/>
  <c r="Y384" i="2"/>
  <c r="AA384" i="2" s="1"/>
  <c r="M13" i="1"/>
  <c r="Y165" i="4" l="1"/>
  <c r="Y13" i="4" s="1"/>
  <c r="Y12" i="4" s="1"/>
  <c r="Y11" i="4" s="1"/>
  <c r="Y10" i="4" s="1"/>
  <c r="Y9" i="4" s="1"/>
  <c r="W165" i="4"/>
  <c r="W13" i="4" s="1"/>
  <c r="W12" i="4" s="1"/>
  <c r="W11" i="4" s="1"/>
  <c r="W10" i="4" s="1"/>
  <c r="W9" i="4" s="1"/>
  <c r="W773" i="4" s="1"/>
  <c r="Y773" i="4" s="1"/>
  <c r="Y774" i="4" s="1"/>
  <c r="O165" i="3"/>
  <c r="O13" i="3" s="1"/>
  <c r="O12" i="3" s="1"/>
  <c r="O11" i="3" s="1"/>
  <c r="O10" i="3" s="1"/>
  <c r="O9" i="3" s="1"/>
  <c r="U643" i="3"/>
  <c r="M165" i="3"/>
  <c r="M13" i="3" s="1"/>
  <c r="M12" i="3" s="1"/>
  <c r="M11" i="3" s="1"/>
  <c r="M10" i="3" s="1"/>
  <c r="M9" i="3" s="1"/>
  <c r="M773" i="3" s="1"/>
  <c r="O773" i="3" s="1"/>
  <c r="S13" i="3"/>
  <c r="S12" i="3" s="1"/>
  <c r="S11" i="3" s="1"/>
  <c r="S10" i="3" s="1"/>
  <c r="S9" i="3" s="1"/>
  <c r="S773" i="3" s="1"/>
  <c r="U773" i="3" s="1"/>
  <c r="U14" i="3"/>
  <c r="U235" i="3"/>
  <c r="U165" i="3" s="1"/>
  <c r="U513" i="3"/>
  <c r="U496" i="3" s="1"/>
  <c r="U14" i="2"/>
  <c r="AA214" i="1"/>
  <c r="AA210" i="1" s="1"/>
  <c r="Y210" i="1"/>
  <c r="Y165" i="2"/>
  <c r="AA309" i="1"/>
  <c r="AA296" i="1" s="1"/>
  <c r="Y296" i="1"/>
  <c r="S13" i="2"/>
  <c r="U210" i="1"/>
  <c r="AA511" i="1"/>
  <c r="AA510" i="1" s="1"/>
  <c r="Y510" i="1"/>
  <c r="U788" i="1"/>
  <c r="U296" i="1"/>
  <c r="M12" i="1"/>
  <c r="M11" i="1" s="1"/>
  <c r="M10" i="1" s="1"/>
  <c r="M9" i="1" s="1"/>
  <c r="M8" i="1" s="1"/>
  <c r="M918" i="1" s="1"/>
  <c r="O918" i="1" s="1"/>
  <c r="O12" i="2"/>
  <c r="O11" i="2" s="1"/>
  <c r="O10" i="2" s="1"/>
  <c r="O9" i="2" s="1"/>
  <c r="O8" i="2" s="1"/>
  <c r="AA14" i="1"/>
  <c r="AA234" i="2"/>
  <c r="AA164" i="2" s="1"/>
  <c r="O12" i="1"/>
  <c r="O11" i="1" s="1"/>
  <c r="O10" i="1" s="1"/>
  <c r="O9" i="1" s="1"/>
  <c r="O8" i="1" s="1"/>
  <c r="Y788" i="1"/>
  <c r="AA789" i="1"/>
  <c r="AA788" i="1" s="1"/>
  <c r="Y634" i="1"/>
  <c r="Y234" i="2"/>
  <c r="Y512" i="2"/>
  <c r="AA497" i="2"/>
  <c r="AA496" i="2" s="1"/>
  <c r="Y496" i="2"/>
  <c r="AA132" i="1"/>
  <c r="AA119" i="1" s="1"/>
  <c r="Y119" i="1"/>
  <c r="U165" i="2"/>
  <c r="U164" i="2" s="1"/>
  <c r="AA634" i="1"/>
  <c r="U495" i="2"/>
  <c r="Y615" i="1"/>
  <c r="Y614" i="1" s="1"/>
  <c r="AA616" i="1"/>
  <c r="AA615" i="1" s="1"/>
  <c r="U510" i="1"/>
  <c r="Y13" i="1"/>
  <c r="AA512" i="2"/>
  <c r="U614" i="1"/>
  <c r="AA493" i="2"/>
  <c r="AA490" i="2" s="1"/>
  <c r="Y490" i="2"/>
  <c r="S495" i="2"/>
  <c r="AA87" i="2"/>
  <c r="AA78" i="2" s="1"/>
  <c r="Y78" i="2"/>
  <c r="Y642" i="2"/>
  <c r="U119" i="1"/>
  <c r="U13" i="1" s="1"/>
  <c r="U78" i="2"/>
  <c r="AA642" i="2"/>
  <c r="AA15" i="2"/>
  <c r="AA14" i="2" s="1"/>
  <c r="AA13" i="2" s="1"/>
  <c r="Y14" i="2"/>
  <c r="Y13" i="2" s="1"/>
  <c r="U13" i="3" l="1"/>
  <c r="U12" i="3" s="1"/>
  <c r="U11" i="3" s="1"/>
  <c r="U10" i="3" s="1"/>
  <c r="U9" i="3" s="1"/>
  <c r="AA12" i="2"/>
  <c r="AA11" i="2" s="1"/>
  <c r="AA10" i="2" s="1"/>
  <c r="AA9" i="2" s="1"/>
  <c r="AA8" i="2" s="1"/>
  <c r="Y164" i="2"/>
  <c r="Y12" i="2" s="1"/>
  <c r="Y11" i="2" s="1"/>
  <c r="Y10" i="2" s="1"/>
  <c r="Y9" i="2" s="1"/>
  <c r="Y8" i="2" s="1"/>
  <c r="Y772" i="2" s="1"/>
  <c r="AA772" i="2" s="1"/>
  <c r="Y209" i="1"/>
  <c r="AA209" i="1"/>
  <c r="Y12" i="1"/>
  <c r="Y11" i="1" s="1"/>
  <c r="Y10" i="1" s="1"/>
  <c r="Y9" i="1" s="1"/>
  <c r="Y8" i="1" s="1"/>
  <c r="Y918" i="1" s="1"/>
  <c r="AA918" i="1" s="1"/>
  <c r="U13" i="2"/>
  <c r="U12" i="2" s="1"/>
  <c r="U11" i="2" s="1"/>
  <c r="U10" i="2" s="1"/>
  <c r="U9" i="2" s="1"/>
  <c r="U8" i="2" s="1"/>
  <c r="U209" i="1"/>
  <c r="U12" i="1" s="1"/>
  <c r="U11" i="1" s="1"/>
  <c r="U10" i="1" s="1"/>
  <c r="U9" i="1" s="1"/>
  <c r="U8" i="1" s="1"/>
  <c r="Y495" i="2"/>
  <c r="AA614" i="1"/>
  <c r="AA495" i="2"/>
  <c r="AA13" i="1"/>
  <c r="S12" i="2"/>
  <c r="S11" i="2" s="1"/>
  <c r="S10" i="2" s="1"/>
  <c r="S9" i="2" s="1"/>
  <c r="S8" i="2" s="1"/>
  <c r="S772" i="2" s="1"/>
  <c r="U772" i="2" s="1"/>
  <c r="AA12" i="1" l="1"/>
  <c r="AA11" i="1" s="1"/>
  <c r="AA10" i="1" s="1"/>
  <c r="AA9" i="1" s="1"/>
  <c r="AA8" i="1" s="1"/>
</calcChain>
</file>

<file path=xl/sharedStrings.xml><?xml version="1.0" encoding="utf-8"?>
<sst xmlns="http://schemas.openxmlformats.org/spreadsheetml/2006/main" count="18339" uniqueCount="3053">
  <si>
    <t>Указать название организации (на бланке организации)</t>
  </si>
  <si>
    <t>{"estimateId":5140471,"estimateVersionId":6977752}</t>
  </si>
  <si>
    <t>8</t>
  </si>
  <si>
    <t>OGlFoJ0fs1lmiIZ/AVsVA8NO05rTYfsp0JqkHH9fSkgMJaKHMtocqjeDdVOePAjCISQOk26MJ6MtZ1gY8RnEOhGGn8hYn0HdLKXY5awyy631iEiKC2jpXl+gE+r6XErna8+kXAf/Shj+LZm89Kqhov+hz4L7KzohyCpPCxbBaiM=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</si>
  <si>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</si>
  <si>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</si>
  <si>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</si>
  <si>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</si>
  <si>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</si>
  <si>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</si>
  <si>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s/WtzZMd1541+lQpHnAgJQNXZt9wXRvBFEwQx1WqgqrFRPuFxOxS4+mGMSPqQ9JkZT0yESJqm/Eg2Jcse61CkKNJze/HEE81LSy1eml+h8BXOJzmZu2oXGoXM3P+1aq9d1TOWokE0gO5ev5V7r/XPXCsz/9Mfvfkf/+Lij577o1dO/uKPdv7o/3Pyo7+8OK6+8upf/uhHO3908R/OLn40+8IfvVH/gP78Pz34o7PXXnnltVcf/NFzf6p/Y/4W/en1V3ceXP9lD+Z/24Prv6762Teuf6z6/fRfpl9NH05/P3149fbVz3rTb6vffK4/fjt9PH3Umz65+vH0i/lvzU/9jf7v4973zA/2pp9Nv66+9ZXzJ79f/Xtnr732+vnLr568OftH74TVVy/eePPlV/TXjl7798Pzpwx+9c2X3/yP+3/5cv21/7xzk/bVy5f/nEf7nx48uP5n9b+pf/ecCpMgycKdp7/1xxevv/Hya6/OfyItsixT0X+2oby4Cop+AHgcNkteWsWSN17+c+YDZDNlbxVTVnqaP53+0/S/TT+a/mr6wfQ3ffNh+qH+/z9Nfzv9H/rjJ9VX/qk3/Vh/4Z+m/zj9tf7tf9GfmT/xT/qp/lT/wMf2ZzZ6bhKtC+uLQU9TPLl6S79p+t3c6U3/YfpEv3tP9O+fVO/gN9X3nuj38Oongx0DqL+nX8gn08/r7+ivfj79etDLQv1U/z9DpX//icb/n71op5eroDf9Zvro6q2rt6308XOTeF30n1y9re1/rO17Yuy7+tlO7+qdOmzpcKND0dX7Gq43/U4TP5p+WXnmd/ozE4oeV9xfTb+++vur9/TPP7p62/ys9sqj6WfVnzOfmsj3SP+pz67e1R+/NP/a1U/Nl2eR8cfVx5/2ZmHvc/2t7yrHfzv/R/QP1l94ooPgk17l8m/0F7/WP/GV/hce9sxfoiPmE/0XvdXTT9w/Tj/pRcH/w+ru5LlJsi53fzx34iPtsp/NnWv8fnMMZs5+UsX6z43Lqh/5/AanfqE+1s+Yftmsr9Rd9dxIrYvyw+l/7WvbPtWB4DfT/29Pf9D/t1k5Vs8drcvKIgvCKIzyNLNZVqrnJuuyTD+/T6qA8WP9IJh4oj/aHmT13J1sXSZ+YB5LEyp+b0JkT4f4T6a/tVn5gnruhbVZ+ZF+W8x79aiKHU8pr6cij83oXfXc7tqM/qAa/cpo/dY/1FY+nv6hioEeN7+onntxAy3WoevHV+/rj+/pL+msYjN9Tz23tzbT/2n6pc7/JtB+M7AZ95J67qW1Gaf9evV3V389qB7Ut+bZ0+rDffXc/jrNnH7dN5mqN/2FPdD/G/Xcv1mbfb/RyuNv9cP5aKYcZqbarByq54Zrs/K/V1FK60/9xrwz/WzQKGTups/9IF2XtR+a0GlSlH53Hmox81OTpx48eNXIPDNb1QhfPh1yrQBr8/Un2v7fVkr+I3s4/cHaTCM/BvfS5+6tzVrb9KGyu9Hsg/S5w2f66T1Yn9Obnt7DtZk2C7X2Wc2OdjD6UI/S50ZrgyC/guP0ufvP9LM8XpuvG5/l+2szjfwYHKXPHa3NWn4kLtPnjp/pp7dcn9Obnt7jtZnWViSepM9NVoF487U3T350i+HBH7168srF7K/lczy1HIa/pS8WYS7A8xdv/MXrx+Z7B/qvfP3lkx/t/b//8uW/eEX/bRbKyyXK58vJwfcOcutK3oGwveUrr49ffR018tBu5KGwkePXXz6zPS63bDTe2l5Ys6wqZKx8c6VhL+0eLQVtpQ35sd3AY0ED4eE2Xto+dgz3RMbC/+Pl8/OLV1d71//E7tM/EbeYNvT/1m7mvxU3E34AjMe2/63jAbhzh2zon1V/y/nF+OTN/0N/TZudnp5Fp6cnQf8iuVT9JA8u+3meXfZPkjg4iVUSnp+fzH7y9df+/eyTYvafBfDFjy4WDwcrC4aD3vQfqpxnykKPqrqcqUdOH1u+3q+qR49tP25qtL+weip/boh7CnXKf9Z/MIxhZ7SQQosdnQASex4V4kvofLSX8LDYOXRBHQpBKToU/MoaplGxM3IxjYSY8LdyxYRe7JQutlKGLQpobLQH8LjYOXYBHQsBhTQg0sM3KXYmLp6JAI8BSh/cTBHLfG9cnL35smWyp1PEX75yemEbq9tJIrQR3SmsRFGRF5GKVLaMNcvXeghgC02+/OFfVAmz0cjUZuILTBOX32iPE7E8O/3n2x0pizz62CxUmL6NeTeGtYS0Wzw3ZNLcypRunBYyZRg4ZptM45fTIGA8LQodOiw+5Fqs6BaTwszIYfCIazD+uK+YwByGl0zDb2WnBsNpz8Wxw9pjrrV4aGakHoexE46xxtp5zBDOK47MEgZeq3Oni2EjSallENusfIFrJf66odnlNzpvVL1/phVmp17Q/PrqfZ1fvq1aIp/qY/zpTtU1qn9XJZ1qrkdYFN8Ng+eGXPSOU1FoT0Vs6zvIRXaTD9kmK7rJpMAzclg8YluMvx6rZiO75SXXcul0ZDf3mG0uHtI5+chu7YRlbfVcPOgmIblSkn17RG134fQybCYxJdntfIFrJ/7WsZLSrFX/dzqpfH3106t3Zz2cphX5b+fN+H+w0eyGoc41TKKOc03kyDVc6zvINXaTD9kmK7rJpKAyclg8YluMP/Wr5hq75SXXculcYzf3mG0uHq05ucZu7YRlrTF3/iB3kGtc2ca+a21ueRo4/QwbSs42A2Wz9AWupfibx8w3zpLUbhjppMI0u+OkEu8cREGxc5CGyc5Bluc7B3nqmtRwiTpINPHOocE4NBiHBuPQhXHIxlB0DFKUGWmKkaEYGYqRoRi5KEZsCvy1WDUhxTuloSkNTWloShdNyaWRTlLxzrFBODYIxwbh2IVwzEbAQz8nccU7E0MwMQQTQzBxEUxYBN1OnNzpLPbaHjq9D5vKSGeuCRTTVvzNRRPax9Ua3k9tVu6Gsc5hTEs7zmE6c4VBpD+EhSNzcTk6yFw6XxnjD13GH7KNV3TjScFlZLKUsX3ksn3Eth1/1lfNUjo3GYbSxVByGaRzk85IxvBjl+HHbMPx+M3JSDoPGbsnLrsnLLu7z0OuTJR4rY+cXoeNZWUiVy5iWou/n5Rc9KU5JKOqLH0+m2LNTs94Uh3iMa227f/19LFZzbv6Sd0YaL7+1dWPr36q/5zZIG/D3A0TncyYqB0nM6XzmJ6FRTqfRTqxJcHOgUr1/Ez/PtVfz/TXCv21InWkOi5lB6lO6SynZ2Ya7VCjHWq0Q412qI061GiHGu1Qox060A7ZaIqORoppI0020mQjTTbSZCNNNtJkI23TSJONNNlIk40cZCM2Gf4arpomlc6QeganCUtNWGrCUhOW2rZSE5aasNSEpYOw5BJKJ1Gl86ee1WmsY411rLGONdaxNuhYYx1rrGONdezAOmZj4amJk2KVzq56pqepJppqoqkmmmqi7ZloqommmmiqiYNqwqIyWPNIaeD+1JeI//1rr/87CyovC7vysPJCJM6hwWxlJmF3VY1p7nJycrkWzML/sugZ/EPdKzg7/e9rnVw/N60edWltlpbNnrUn0y+qxo5vF5n7SX2Gyudmf+TVuyZXV3/d46oXZHZE1FfVIVh/qH/cLKx+o7/119WWym9nX/x6fjCL+Y3ZXtmbt5387cD8gSe9sDqf7BtH0me6dDkTOp+AV0wI/eHLbyCP7PQfTH2yOr5He+Xx1VvXuwGr9pirt83ZY99Vp7mZXhnbeWJmJ+H1KVpVcfPdxcmKj2fHulW/f2LOhfna/L2fm5G5ek878Z2rvx/Y3PQi102K5CbARVHv6u/MITzT39ns3OPamWJ2vnJx8sZfvg69JN9ENgNf4hqYYQZe/Ie/uHj1DZuBry4ZGA6CILCZuM81cVlnOEyschVgYBKl8cDqxCHXwnBZKDhMNAqvyqYsLTR8ae/oaHT0vaPR5PDF780EuxbnYfZ9E52G5vTE6Ps79kbJu2w0MH0u0JwiaHkc4jwf2J+UH7CNBfPnwljE7dp12zOX/2DmYpvJ99gmgzl0tdndzH5NsjV0MxywGcCkxZi7zQzXRm/dGAIXwiEbQRER4MdHe3W7NuvW1ItrLZhW/qLFWFPqWFNCsWbMxgKT0V+0FGfusw3NCYYi7h4vYsx99/t5xDaXkkFZj8vM9rE/vpRc+2/Nw33282PLfX9sOWabD6ZQ4mRbPzLH9rgyYVlqTD2/TM7zLDzp56G66CdBmvbzs7OwfxHHxWV8GZ8VlxczGOf0+pX582MB5E6xXZPslEaJ4tkm4h4qymTcxvGCJMeyuvCNDjhL/+h6Qn491/76h7Mp8vRfqrniX+tff3NjVmj2adSnsX5szkKfnXT88+rQmZ9Pfzv91OabXUnfKNw3+DzSRrEnSbEsBTwUhFnmV9MvbCQvSZIsZ38PCWU6mtpA9iVBltOtBwSdtKZ5FIauWasgyq2ZrYeFNLtdBiwG9gPF74rSEcJjGxOwehqWGo2hpVLqnopJUhNCBjyDQMdzLEpGffMQMu9YjpvHshQjriTb6enZxcllXPRVkpz1kyy/7J+kgeon4Wl+Hp6enMdq/g53KtmsoepOaD8Sz+MKDK9zySbIQYhJqGT75VKJ5KG5geDbSsOZEslb1RGSP6s12q+1HjPa7FfTD/Wvj66V3UfVVTUfTT81P/N/69980rs3VmFv+nObk3YlnaRwJ62q3QQpCIG4De0mSCKi3YJBpJQNZV8ShZpDAJAwyLNBGFqV6FCSpTP5lueD3LrGdlcUjxAr29Rv2TznZ279JklNCBts/eYc0LEoGvXlQ9AaBFzjYJZixEbB+YRZu60qDklmP7lrBhen6TLcultVmOaCZTZUUT2brSo2j+5yPZpgHv1fplOF6SZFchPgorihU4VpJ1hSJOhQV6cK00CwOIjLS0+nCtNESp0NMDDOksC15se0cH2dKoXZ66t/hfMKcu7tVuHigRmU3q2SBIGzW4VrLJhCid0q+aJbJXd3q3BNBtNoG2Jbk2wN3QwHbAYwca3QrZJv3RgCd7cKF0EREeDH58BcA+C4BYBtLZha4LkKEG9KHW9KHW9KKN6M2WhgUqJ1rLhjzX22oe13rOSLjhXnO3rENpeSSVmPTD3788aYkmu/cMdKvnXD9e6OFa75YBqldqzk28f22DJhWbqx5Y/I1bFS0ChRvM7LH4IchCU9dLK+pvKHoJMU7iR8Ymmj2JOkIKxjEqadzvKHIEnX5Q9BFOoKLABSqHiQKWtIHEqibEL1QxKPECrbmJDV07JivmBeuKdmktSEqAHPKOABHYuiUd89BK2h+tE4mKUYcaXfkvAyC7LTop+FF5n+iSDs5+ll1M9OLqPiPFWXag0dx5GjVhIFVFdgeF3rN0kOQlBC9duv59WNhz1z2Mb0SVUReM+UW67ev10Q0V/8oZFs+VYYBFXVQ/8mChzVD0lXKNwVK6o0SQpCvCWoNFOx+WLQs4/KS5I8IlrNKm72JTGouQKByO1JbyjJ0ZlIC4NBYhdponiEeNiiSIuCWV6f/ddGfSBKTQgabJHmHNCxKBr1xUPQ/CKteTBLMeLN3RYW2e+tuROFVFdgeJ2LNEEOQlBCRVqn28IkfaNw36yq2gQpCAGYoNpca2uSJDJ6zbEtTBKEmjgADFXkieswE0mUzkRbMQjs28JE6QjhsU3NFs7TfOjWbJLUhJDB1myu8RyLklHfPISsQbI1jmUpRqz/92dPBc6OD8RziLLIAxvdhu2oyzhzdBlzzQXbo1BN9c9aI32jtdK3VXvr46v3Kn01v71w1tn6lmlxrRqFr97VP/W7ajls3gRb3ZN49X7VOfx5z/QrX70z/axnI97lEicYMa0L2Gbhi1wLFclCwLqmYbkeDXPb5Fe96tDg3w1M4/Kj6i5kLXirM4XNeuWj6/ODr96/ercX9a/7e3d615/350ufn5t7L60dyntcB4HtWQSZ+I01CLzENRBssqKoP1fnL9dESr8SYGA0yK19MkOufWvr+43iWf9dFPn6fdlYYC6j9/uqREtrV8cv21wwndE6fqOo7vidOdlm8j22yWBKa0MHa5KtoZvhgM0AJil+x682/MYQODt+2QiKiAA/Ptqr27VZS9aO2NaCKQWeRgCRpoQizZiNBCYhWqevL8rcZ5vaeq/vIsLcd7+dR2xzKbmT9bDUczJvdCm59sv2+i4iy31/ZDlmmw+mUGKvr35kju1RZcKy1Jh6cRGpi8uLon+qwqwfhhd5Pw8uVD8IVKDSPA8LNU+wzrmuZ+bPne86en2jmEaJ4nVehhDkIKyzoVPmT+az4p/1rv6magyZtY7oqVq/mnG9pWdrD+vWkQ8je+jdlYRWODQ+J7VR7ElSEBYLCRNHZ31BkESmvpC5JpiCJNRlToAjyQtroWQoydFZdSEbJNbgfVeUjhD12phV1XOreL4iHbvnV5LUhIABTwvQ8RyLklFfO4SsobrQOJalGHFdXaiXXszT3GF5IRn80MZ7J1J2Xg2bFFkSL/N2VGAIHQWRF7j2gssxqFyynWNSfen96e90Nn48v2h83sXxUP/kNzf7NyohNV/Znp9QYk7dSMLZ3TjV6SNp4Dx8hOuGBHNDG2UHpoWKZCFg3fTT2ZEuVTnh4c1RUu7zXfa4AOAaDkHdOQ4E4RoIrsgQRJu7LMA0kbK0ARiosoGjLMC0T6QscHsfm92rd9lWgymGvuqfK+Vc8+caC2YYypq/zcB7bAPBlELSougzcMC2GswA9DV9m5mHbDMV0cxVHoER20ow1rOFuWv4x2yLweBPW453v/732Ya2vBhvM+6IbRwlP7U57iXXYpnFdpuJx2wTwexEWlC3WThhWWhMzIvzKA2SqK8S00h2GZ31iywI+mEQFSfFpQoiNYdwzuo8k1z2zC50ze0c52+6OFHAzpfSBTkIi0ro3PC/6pnGV+Z0jKqN7Mf19E//9uod07PUm/6zOUFj+nszybt6zxysUW281DlPf0z69vOOdyW9oHAv4BMvG8WeJAVhqQyffV395OptG8lLkiQia+vWKdC+JAZ1hQ+ASNJokNhAhpIgna2sRwPlmPNJ0hGCIGk207CyPj9BOnIfBy5KTQgXbAHvGs+xKBn1vUPIGlbWG8eyFCOenWd2HkfB5UnWP71Ikn4Sx2H/ROUX/ULlYXx6WlxE+VyydCrNIpc0cxwO4nYGBti5NBPkIEQlijT7bL4MPzti/CvT4lDJr6wfRu71dkFOhXOuKr4EKQjRFBdf7sYGQRIR8WVm9NYa674kCjURACDRIC9sHENJju70V5APYmvl8a4oHyHWtanA5qdYRe4jyUSpCTGDr8CcIzoWZaO+eghbgwZrHM1SjHimwS7z6OJU/9hpchb1k7A465+exJf9IApVHmWhOlVzr3SqwWKHBosdG0k9zoAAu9ZgkhyEuIRqsE/mPQ8Pe1d/N/3aKK+rt6afz1bAgsAcPralbJy7kpwK51xRg0lSEOIpQYM52g8kQUQkWGjvON+XBKFmAQAjjQfK3s0gCdKZAgtNLdHeXSrKR4h0LSqweH7eQew+u0KUmhAx2ArMPaJjUTbqu4ew+RVY82iWYsSzU2FPgqJIg7BfnJyrvv75oJ9fpKf9i8v4XEUnYZienj/oXoG5mk/nupzgDAywcwUmyEGIS6gC+9iUJbUG+7pqRf3y6Q0/lQybfqgc+3skQRUOuqoEE6QgBFSCBHMtg0mSiGiwYBBb1eS+JAk1EQAcRZQ4WkolQToTYZmrDClKRwh1bUqw+aaQ2L3BR5SaEDHYEsw1nmNRMup7h5A1CLDGsSzFiCsBlip1chqepUas6Z9Nzi/7eZid9FUYR+dJcR5m+byxsVMBplwCTFGdgQF2LsAEOQhRCRdgj6p7eL+aH/NqzrOqDuZf3EM8/cacbWUOebXx7kryKpx3VR0mSEGIqgQd5jigSxJESIa5qpGSKNR8AIA4q5GSHJ3JsDB13mh5VxSQEPPaVGJqnr2VW4lJUhNiBluJeYZ0LApHffkQuAYx1jicpRjx5t6RlAxSlxgjN8hhgJ2LMUEOQmBCxZjkLUmSrlC4K1bVaYIUhJhL0Gn+W5IkeUTkmkOqCWJQswUAEVm3tQwlKboTas47kkTxCNGwTZk27/WO3X37otSEkMGXac47kkTRqK8dgtYg0hoHsxQj3tyLyJNB5hJp9A46CLBzkSbIQQhLqEhbz1Xkkk5SuJNWlW+CFIRYTJBvznKnIImIcAvsdwztS4JQcwiAEYYD5VBvgiCdqTf3NeSieIQw2aZ6m3eJx+6ef1FqQsRgqzf3NeSiaNQ3D0FrUG+Ng1mKERv55lNl7Z5f6KpgJt5+uiJfxlv3+YVce5eDxTN+fiHXDQnmhhbOL+RaqEgWAtb5zi9MPecXcgGWA7TY+YVcA5eVmuD5hVwTlzPBiucXprEjnAy5Bq73AEO21WCOafUAQ7axYIpZ+QBDtoFgTiGJT/QZOGBbDaaAlg4wZJupiGau8giM2FaCwZ6txJ21brbFYPRv7QBDtqFdHGDINo6SoNoc95JrcYcHGLJNBLPT6gcYsizc2MV2M2NyTO5iGicK2PViuyQHYRUJnRyuZ7Fd0kkKdxI+MbNR7ElSEJbOCLMz12K7JEmni+2SINQlPwAjjNKBo1dCkmQDVttF8QhxkjTh8a+2J/MNKYl7c5EoNSFksDW+e7VdFI366iFo/tX25sEsxYg3t6FVOQ85TBTVGRhg5/JNkIMQllD5JtnQKukKhbtiVZEmSEGIuASR5m9oleQRkWr2hlZJDGq2ACCiLLNhDCUxOlNp7o5WUTxCOGxTpc13qiTujUei1ISYwVZp7o5WUTTqe4egNai0xsEsxYg3dw+4ch6DmHjbe23OwAA7V2mCHISwhKq0lfeAS/IqnHdVKSZIQQirBCnm2AMuCSKiwdx7wCVRqPkAAImzQZ7ZD+ORJOlOinl2gYsCEqJem2JsviMlcW8vEqUmRA2+GPPsAheFo75+CFyDHGsczlKMeHPPRFTOMxETb7+uVZtCgJ3LMUEOQmDC5Rj3TERJUIWDrqrDBCkIEZWgw5x1S0ESISHmOBNRkoSaCACOMAqjYFA4SpeCLJ0pMeexiKJ0hGjXpgybby1J3PuERKkJQYMtw5zHIoqSUV89hKxBgzWOZSlGvLk3gyjnpiJF7K9DAbvWYJIchKiEajD2zSCSnArnXFGCSVIQoilBgjk29kiCiCiw0HEziCQINQsAGGmRDBLr6uRQkqQz+eW5GkSUjxDqWhRgan6ZhHJfDSJKTQgZbAHmuRpElI368iFsfgnWPJqlGPHmXpCrnIchqpjsDAiwcwkmyEGIS6gEY1+QK8mpcM5VJZggBSGeEiSYaxVMkkREg7nLkZIo1EQAgHjKkZIknakwzxW5onyEaNemCpv3fCt3A78oNSFqsFWY54pcUTbqy4ewNaiwxtEsxYgrFZYX51EaJFFfJeqin1xGZ/0iC4J+GETFSXGpgkjNVVenKsx12qFSVGdggJ2rMEEOQlyiqLCvzD5LswXz6sf1ATz6t1fvXP346qe96T+bvZjT35tjdq7eM0tms1UyZT4m/dBag9mV9ILCvbCqRhOkIERbXKNd/eTqbRvJS5IkIhrNqmr2JTGoKQKAUIEKBomNZChJ0p0+cxUpRekIUbBNdTbv9Vbuxn1RakK84KszV5FSlIz64iFkDdqscSxLMeJuzzK0Zuc78xNWb8EVeRGpOL0Ft+6TDLn2LkeKZ+MkQ+c5e7tcPySYH1o4ypBroSJZCFgX967+zmxMnf5uoIdlMUYPe9VRI/UZh2YI5g7XP/ap/tp3z/WmH/dDa9Le49Itx26xcw65BoInXeHyzX3OIdfE5Syx4jmHUVwMCpuBQ66BIucc3spjw5f2jo5GR/NMVk4Ovnegsp0Dletfxc5BGuhf4fdNBNIgJrvtBNYEd5eNCSYs+sGIRRK6DkZkGwtmLMrBiM9r123P3P+DmYttJt9jmwwmrTakrSbZGroZDtgMYMKhH5w4N1wbvXVjCFwIh2wERUSAHx/t1e3arCVrR2xrwQwDzwyAuFPquFPquFPquFPquFNCcWfMRgRzFO00RnfMuc82tOXTGJ8fL+LNffe7esQ2l5JYWY9OPenyxpqSa7/MaY234sx9f5w5ZpsPplPSSY7Pa29uH9tjzIRl6cYWFFJ7P90d5djo5aJE8TovJwhyEBbS0CmyVDlB0AsK9wI+/bRR7ElSLAsADwU+zXSXEwRJuiwnCGJQVzUBiLAIC/vBk0NJkg0oJ0jSEaJgG3OueuY136us3FvPRakJ8QKeNKDjORYlo754CJl3LMfNY1mKEVfK7CQMk1QlRT8Nqz3qedY/VWdZ//I0Ow/Ow1yl6dwrnSoza6i6o3KqKzC8zpWZIAchJqHK7BOzx/zqrauf9Z7ecG7WwPvT76rvvFcVKWYlCq3W3l2c1zj9MLS/yLuSPlC4D1bVZYIUhDiL6zJ3K64giYguCwcOZSYIQk0QAEakisApzQRROpNmepqd2ejuitIRwmCb0iyfp/PcLc0kqQkhgy3NXOM5FiWjvnkIWYM0axzLUox4c7ejp/Y+izuqoLoCw+tcmglyEGISLs24m9EFORXOuar8EqQgxFKC/HJ1XwiCCKkv6+L5viQINQcAGFEaD/LCRjKUJOlMfPk2o0vyEUJdm/JrfoKMcp8GJEpNCBls+eXbjC7JRn35ELYGAdY4mqUY8eZeZJLadwXcSQOqKzC8rgWYJAchKqECTPIaE0lXKNwVK2o0SQpCwCVoNP81JpI8MlLNhrEviUHNFQBEYY16Q0mK7kSa8xYTUTxCNGxRo6XBLKvP/mujPhClJoQMvkZz3mIiikZ97RA0v0RrHsxSjHhzrwpOB8rmijtpSHUFhte5RBPkIAQlVKKt56JgSScp3EmrijdBCkIkJog3V31TkkREtrkuCpYEoWYQACPJBoX9nCFJkM60m/ueYFE8QphsU7vNjwdM3Yc9ilITIgZbu7nvCRZFo755CFqDdmsczFKMuNud7NZy9Z008sIVy3Dr3snOtXc5VDzrO9m5fkgwP7Swk51roSJZCFgXMXayO3ewc6mWg7bYDnaugeDuQFy5uXewc01czg4r7mBPY0eQGXINXNsO9jTeOUgT/UvpX6n+lc12kqaRbwc7GxNMVK3uYGcbC2Yq2g72NKp3sM9cbDP5HttkMFm1oWk1ydbQzXDAZgATDX8Huzb8xhA4d7CzERQRAX58tFe3a7OWrB2xrQUzDDwlAOJOqeNOqeNOqeNOqeNOCcWdMRsRzFGt7WBnG9r6DvZFvLnvfleP2OZSEivr0aknW95YU3Ltl93Bvogz9/1x5phtPphOiTvY9SNzbI8xE5alG1toyBw72NOYRonidV5oEOQgrKChU+M1FRoEnaRwJ+GzUhvFniQFYdmQMAt1FhoESbotNAiCUJc7AYwwSgdRaiMZSpJsQqVBEo8QJ9uYldVzs/kR+Kn7QgNRakLIgKcV8ICORdGorx6C1lBpaBzMUox4cxt5M8cm9zShugLD61y8CXIQghIq3kQbeQVdoXBXrCrRBCkI8ZYg0RoaeQV5RISao5FXEIOaKwCIKLOWY4eSGJ1pNE8nryQeIRy2qdGSeVpP3BpNkpoQM9gazdPJK4lGfe8QtAaN1jiYpRjx5u52zxy73VNFdQWG17lGE+QgBCVUo7F3u0tyKpxzVQEmSEEIpgQB5urUEASRUV6O3e6SINQcAGB4rl6XJOlOfrl3u4vyEUJdm/prfhVR6r5WSpSaEDL4+su9212UjfryIWwNAqxxNEsx4s09CTJz7XZPqa7A8DoXYIIchKiECzCBkyAlfaBwH6wqzgQpCJGWIM6cBUxBEiF1Zj8JUhKEmiAAjDQPc9edn5Ionckz50mQonSEMNimOEvn6dx9RZIoNSFksMWZ8yRIUTLqm4eQNUizxrEsxYg39/qUzLXL3X9eucUVGF7n0kyQgxCTUGkmdH2KpBcU7oVVxZkgBSHS4uLMeX2KJImIOHNIM0EMaoIAIDy3sUuSdKbMnNeniNIRomCbymx+5Ubqvj5FlJoQL9jKzHl9iigZ9cVDyBqUWeNYlmLE3e5ht4bRO6n3APIsWIZb+x52pr3LkeKZ38PO9EOC+aGNPexMCxXJQsA6fA+7un0be5jvVDvac3v9bo9LuRzD5fa0Mw0E9wviMs6zp51p4nK2WHFPe5zY56NDrn3r29Je7Bxosw6yUP+K9K94vrU0925p52KCeavdLe1cY8HERdzSni+2tDvv+rjHNhnMXW0oXE2yNXQzHLAZwLyzwpb2fOvGELi3tHMRFBEBfny0V7drs5asHbGtBRMMPEEA4k6p406pTSp13Cl13CmhuDNmI4Ipqr0t7VxD29/Sni+2tDvf1SO2uZS8ynp06rmXN9aUXPuFt7TnWzdc797SzjUfTKfULe359rE9xkxYlm5sVcGh1O+YYgiFEsXrvKogyEFYT0NnylJVBUEvKNwL+CzURrEnSUFYJcRnme6qgiBJl1UFQQzq4iYAEWXWt2MoibEBJQVJOkIIbGPCVU+75jcVpe57p0SpCcECnjGg4zkWJaO+dQhZQ0mhcSxLMeLN7cPNHZvVs4DqCgyva1kmyUGISagsE+nDlfSBwn2woiiTpCDEWVyUOftwJUlERJmrD1cShJogAIw4DJSNYyjJ0ZkuczbhitIRYmCLuiybX0+Uue+aEqUmxAu2LnM24YqSUV87hMyvy5rHshQj3twN6rljg3oWUl2B4XWuywQ5CDEJ12XMDeqSnArnXFV7CVIQYilBeznaLiRBhKSXddl8XxKEmgMAjDgbFNYXZCgJ0pn28uxPF+UjRLo21df8gqHMfVuUKDUhYrDVl2d/uigb9d1D2Br0V+NolmLEm3uIY+7Yn55FVFdgeJ3rL0EOQlRC9ZfkIY6SrlC4K1aVaIIUhIBLkGj+QxwleWSUmg1jXxKDmisQCDVQJgfdJhlKknQn1JznOIriESJimzotmmd2911IotSEsMHXac5zHEXRqK8egtYg0xoHsxQj3tyLUnLHXvUsproCw+tcpglyEIISKtPWc1GKpJMU7qRVBZwgBSESEwScs74pSCIi3VwXpUiCUDMIgJEOHMpNEKMz5ea+JUUUjxAk21Ru84s1MvctKaLUhHjBVm7uW1JE0ajvHYLWoNwaB7MUI9b/+7Od2fbiP/Ups3b3tBeDH9ow72TKjhmpKCmyJFnG7G5Xe2Kz9wWuvctBY0N3tafh9ab2PHDuaed6IcG80MKedq6FimQhYJ0Ws9db1x/eHKRUOY8N2OMCgLsJCZrOVTdlGgjuBcSlmnu7OtfE5YSw4nb1JErTgbVxZ8i1UGTD+m0NbPfrXbbVYI5h7D+PItf+c7axYIqh7D+3GXiPbSCYU0giFH0GDthWgzmAvr/cZuYh20xFNHOVR2DEthKM9mxF7hr+MdtiMPwTt4I7X//7bENb3gpuM+6IbRwlQ7U57iXXYpmt3jYTj9kmgtmJtJ3bZuGEZaExEdtbZCCc0zrP5JY9tQtdkzvHeWwuThSw8yV3QQ7CahI6ORTayC3pBYV7AZ962Sj2JCkIa2T4/Mu5kVuSRGRN3bFjSBCDurIHQMRJGMcD+2ZuSZTOVtWdm7lF6QhhkDSfaVhUn58pmrnPhxWlJgQMtoR3buYWJaO+eQhZw5p641iWYsSzbojzOAouT7L+6UWS9JM4DvsnKr/oFyoP49PT4iLK56KlU3EWucRZQXUGBti5OBPkIEQlijj7bL4S/2T6tf71ldnLXQmwrB9G7jV3QU6Fc64qvwQpCNEUl1/ulgZBEhH5Zeb0jo5UQRRqIgBAoiwbxMohwQRRupNgQT6IYxvfXVE+QrhrU4TNT2HJ3CfqiFITwgZfhDlHdCzKRn37ELYGGdY4mqUY8ebu3S4GsUOG5Y6NVB5nQIBdyzBJDkJcQmUYe/e2JKfCOVeUYZIUhHhKkGGOLgRJEBEVFjp2b0uCULMAgJGkRTyI7U0NkiidaTDP/m1RPkKsa1GD5fMdv7l7/7YoNSFmsDWYZ/+2KBv17UPY/BqseTRLMeLZ/u2ToCjSIOwXJ+eqr38+6OcX6Wn/4jI+V9FJGKan5w+612CJS4PFVGdggJ1rMEEOQlxCNdjHpjqpVdjXVUvql08fbzg/vlDZuxB2JUEVDrqqCBOkIARUgghzrYVJkoiosGAQW/XkviQJNREAHHmeJdkgtq+FSbJ0psMyVzlSlI4Q7dpUYfNtIbl7j48oNSFosFWYazzHomTUVw8ha9BgjWNZihFXGixV6uQ0PEuNXtM/m5xf9vMwO+mrMI7Ok+I8zPJ5i2OnGky5NJiiOgMD7FyDCXIQohKuwR5dvWWKkPOt1lc/1l94b37L4mz30DdXP71622zPtvHuSvIqnHdVKSZIQYiqBCn2TWwDeUkSREiJuaqSkijUfACAVFVJlxITROlMiYVp4NwRJApICHttijE1T+DKLcYkqQlhgy3GPEM6FoWjvn8IXIMeaxzOUox4c880LAapS4+Re+UwwM71mCAHITChekzyVENJVyjcFatKNUEKQswlSDX/qYaSPCKKzaHWBDGo2QKByDPrAuBQkqM7qeY801AUjxAP2xRq88bv3N3EL0pNCBp8oeY801AUjfriIWgNMq1xMEsx4s0907AYZC6ZRu+lgwA7l2mCHISwhMq09ZxqKOkkhTtpVQEnSEGIxQQB5yx7CpKISDfXqYaSINQcAmDkKh7EiY1kKEnSmXxzH2woikeIk23Kt3nDeO5u/xelJoQMtnxzH2woikZ99RC0BvnWOJilGLHRbz5Z1u6BhqF1PO8UgZ1ufmxjuEy37vMMufYux4pn4jxD52l7u1w3JJgbWjjQkGuhIlkIWBf3rv7OLFBOfzfQo7IYIq2A337qpEMzAvPjDfWPfaq/9t1zvenH/TDaqf4Tz/6jZv9JBzbmPS7zckgXOwORa+CyuBM8A5Fr4nLuWPEMxFjlrrOouRaKnIF4K70NX9o7OhodzRNcOTn43kER7hwUkf4V61+J/qW+b+KSBjFJbyew5r27bEwwj9EPTQyDMHGdmsi2FkxklFMTn9e+2575/weF80rYe2yTwVzWhubVJFtDN8MBmwFMRPRTFeeGa6O3bgyBC+GQjaCICPDjo726XZu1ZO2IbS2YY+ApAxB4Sh14Sh14Sh14Sh14SijwjNmIYJaiHdXoCTr32Za2fFbj8+NFwLnvflmP2OZScivr2ZnPxvzBpuTaL3OW461Ac98faI7Z5oMJlXTO4/Pam9vH9iAzYVm6scWIMLBvYb1TOPaUuTBRvq5rEZIchDU2dO68nlqEpJMU7iR83mqj2JOkICwsEmairlqEJEmntQhJEOqCKICRhdkgtp5sOZQk2YBahCgeIU62MS+rZ2fzjdOFexu8KDUhZMATC3hAx6Jo1FcPQfPXIpoHsxQj3tyO39ARd+8UEdUXGF/n6k2QgxCVUPUm2fAr6QqFu2JVjSZIQQi4BI3mb/iV5BFRavaGX0kMarJAIPLMvjdLkqMzleZu+BXFI8TDNlXa/N7rwn2JuSg1IWiwVZq74VcUjfriIWgNKq1xMEsx4s09L1IPf2zzxZ0ipvoC4+tcpQlyEKISqtLYx0VKciqcc1UJJkhBiKYECeZq2BAEkdFejuMiJUGoSQDAiItEDZSj/0MQpTsB5j4uUpSPEOvaVGDzw20K90FFotSEmMFXYO7jIkXZqG8fwtYgwRpHsxQjriTYSRgmqUqKfhpW2+jzrH+qzrL+5Wl2HpyHuUrTtUiwxOaLO0VC9QXG17kEE+QghCVcgn1jziq6+lnv6YMiTatpf/pd9Z33qlbgWSPw1TtX7y5Wy6YfhvZDx3YlfaBwH6wqzwQpCKGWIM+cVUxBEiF9Zr/VThKEmiEADB2f0zSzzzmHkiydCbR0EFpPK78rSkeIg23Ks2Se0BO3PJOkJsQMtjxzjedYlIz66iFkDeKscSxLMeLNvXNYizNl88WdQlF9gfF1Ls4EOQhBCRVnQlcOS3pB4V5YVZ4JUhBCLS7PnFcOS5KIyDOHOBPEoGYIACLK00LZuzaGkiidaTPnlcOidIQw2KY2m59DWLiPlRSlJgQMtjZzXjksSkZ98xCyBm3WOJalGHHHu92tC6F3itRLFy3TrX23O9Pe5VDxrO92Z7ohwdzQxm53poWKZCFgXdThbncm83JEl9vtzjQQ3EeIqzrPbnemicu5Y8Xd7kmUpgPr8sSQa+H6drtnOwdFrn8VOwdhEJgP4Xzbaerd784FBTNZy/vdudaCqYy43z1d7HdP3fvduSaD2awN0atJtoZuhgM2A5iKVtjvnm7dGAL3fncugiIiwI+P9up2bdaStSO2tWCWgecMQOgpdegpdegpdegpTegpsdAzZkOCmarFHe9cS9vf8Z4udrw7X9cjtrmU/Mp6euoZmTfclFz7hXe8p1s3XO/e8c41H0yp1B3v6faxPcxMWJZubrXB0YV3p3AcRezCRPk6rzYIchCW2dD5s1S1QdALCvcCPjm1UexJUiyLAA8FPt10VxsESbqsNghiUNc8AYg4CeN4YH1DhpIoG1BtkKQjhME2Jl719Gt+nH7hvhtBlJoQMOCZAzqeY1Ey6puHkHnHctw8lqUY8Qa36Yau/ew51RcYX+faTJCDEJRQbSbTpivoA4X7YFVlJkhBCLS4MnO36QqSiCgzZ5uuIAg1QwAYSVFEQew6R1eQpTNx5m7TlaQjxME2xVk+T+i5W5xJUhNiBlucudt0Jcmorx5C1iDOGseyFCPe4G3soWsbe0H1BcbXuTgT5CAEJVyccbexC3IqnHNVASZIQQimBAHm6sQQBBHSX9YF9H1JEGoSADCStIgHsaOxQxClM/nl28YuyUeIdW0KsPltRYX76ilRakLMYAsw3zZ2STbq24ewNUiwxtEsxYg3+LxHRy/snXDekkBwBgbYtQYTBSEEJlSESZ74KOoLhftiRaEmikGIugSl5j/zURRIRrHZOPZFOagpA6FwXfMuCtKdXHMe+yjLR4iKLco10wJYZfj5JzbwA1lwQuzgKzbn0Y+ybNTXD2HzKzZkQEs56A2+YiV0bG8P51Ke4AwMsHvRJghCCE+oaFvPJSuiXlK4l1aWc4IYhJBMkHOuyqcoioiQc92zIkpCzSUAh+fSd1GUzsSc+6YVWT5CtGxVzIV17ndftiILTogcbDHnvm1Flo36AiJsTWKueUBLOWj9vz/7z0+pGKdae+Pi7M2XX3vV4giWWLM3n4VB5OGMsmCZ07Uz3m0tRYJdb463mvsC29zlx8zjXFRoaU31ZbUs9nj6+2qL9ftXfzN9fPX+jtly/Wj63fRr00r2++nnWoB9Zf2xdxY/+KiSaI9szFpbRc8N2eC3oqabfLWgWe3BDYPY7LtNzQezDTcMzQfztTBzRU4uWEIHw3c8GZpDQ3NoaA4NzaGhOTQ0hy6aQz6NotPgG6A0zMjAjAzMyMCMDMzIwIxcMCM+DP628WN6tfHSQJUGqjRQpYEqDVTpgirZULe21jVA0Z61Y0NybEiODcmxITk2JMcukmM+CZ5piBvtNMjEgEwMyMSATAzIxIBMXCATHkj1oM1ATC76U18qbfOMmcixxU5zeyki53BgxjLTqCeVMu1dTigCZ8zo33xm9smZjFlVnKqTY76wZ9zp497VW73pd9V3vqqS6eP5+TOPTY2qd/UT85dOP7efUFP91V/PS13Vb/TfXp1yo79m/ron1Z/+uvrLv50+nC+RfN6LzME2+stX79v8u8v273Jekzu8hm2iIpkImHd9eo3N0D22ocszJ7EjZ9gWgjv58WUU95kzbBuX0/mKh85EsevMGbaFazt0JgwSo3XV7LQHk/s8J83w8cCERj9qJo6cJ83wrQUzGu2oGW1OfdbM3M02q+/xrQbz2mqzpMWiUrw19GAc8DHA9MGYE81PgTC23xwI55EzfApFpICfI+PZ7YVht6c8XIPBTAOvzwHBpzTBpwSDz5iPBqYo2mEz7sBzn29p64fNXAed+5639YhvMSW1sh6bxaKnP+CUbATZI2eug009AM5DZ/gEYHYlTobNs7Mw6vacl2NsJWnzSIVn51lfnZu9NuFl0c/Tk6pxIM7yoshO4/MZj3M6/MpJu30AZpLpmhQnNEyUzzZx9mBRJs82kBdEQZaVh298wFn1x3qO+3D6h2qP8497ejb92Jw5o39bFf7rOv+n+rvvVnNgM1f+qppT/6z3//vr/2JvxN4V9YLCvYBPLG0Ye6IYhGIdYdrpLvMLokiV+ZUNZV8UhVpmBEBUMQgzK8pQFKWzOn9kLvd1FfolAQnxsI3Z2GJOltR1Yfd1RLLghNgBTyTwUR3LwlFfQQSuqdLfPKKlHHQl1y7zNDs7u7zon1+qsJ/kado/OU+y/mUcnZ6pIE3Si7MH3cs1VzeAovoC4+tergmCEMITKtcczQSVMJvvtzHHBpqixOPFKYFavv3T9L9NP6oaNX9VNWz+evp/GfkWu+SboFcU7pWV5ZsgBiEEtyLfBFFE5Ftkb/jeFyWhpg6AQxXhwKneBFE6U2/mcMTMpd4kAQnhsVX1pupc776wSBacEDrY6s09qmNZOOoriMA1qbfmES3loLu8tyhy6rHUQxdn8TLd2ntKmPYux4x/7Smx+XeX7d8E828rPSVMExXJRMC8uKmnhGkoWOkjqENnTwnTQrBgh4s+X08J00ZK4QuxUAWOo6DZFq6xpyQzPSV5Xdb13l7ExwMTWss9JVxrwYxG7SlJr3tK3BcY8a0G81obOtjAbA09GAd8DDB9rNJTkm7dHAhPTwmXQhEp4OfIeHZ7YdiSwSO+wWCmgScTQPApTfApweAz5qOBKarFnhKupQI9Jel1T4n7CiO+xZTUynpsFhM0f8Ap2QjSPSXp1s0B8PSUcAnA7EruKUm3F0YtGTvhGbuxRQr3Rgv/5QG3MFG+7osUgiCEVTh0Vt1VkULQKwr3Cj7RtGHsiWIsCwMPBmEa6i5SCKJ0XKQQJKGukAIccZbaSYaiJN3VKJLQfS6YJCAhOrYxN1vM0LJ6Rdt9zZEsOCFywNMKfFTHsnDUNxCB847oGBnRUg56cxuC3RUN/+UCFl9gfN2LN0EQQnhCxZtUQ7CgFxTuhZXFmiAGIeS2ItYEUUTEmqchWBCFmisAkDgbpFaSoShJZ2rN2w8sCUgIh62qtbzO7e57j2TBCaGDrda8/cCScNQ3EIFrUmvNI1rKQVcnf+0sivE6VHR5aklso9V6rPDQRlmyTNtRh0lin/e+wLYXrMShcsrWYQIc+zV93KsOYK86QOaa67f6B7+eLaLNDmWtLgivTtV/bE5rXTSHhPPmkOkfbK7ZZbsmwVzTSnMI00RFMhEwr/HAEaahYMmOIPSczSFMC8HKG67ffM0hTBspFSzAwjR2XO82ZFu4vuaQMKhLs4W/L4RLBqYhel+ISt1tIVxjwTREbQsprttCnJf03ONbDSajNsSsgdkaejAO+Bhg4lilLaTYujkQnrYQLoUiUsDPkfHs9sKwJYNHfIPBHAPPCICwU4JhZ8ynAvMSrSPEGXLu8w0VaAgprhtCnO/pEd9iSjplPTCL+ZU/1JRsBOmGkGLr5gB4GkK4BGBaJTeEFNsLo5aMnfCMrWZLYX5+dnIe9cPkJO0nkblNLroo+kmaZur0LMmy7HLG45y9eqbz3BmsqyEkDGiYKF/nNQVJEMIiGjoJ/ljPRb+sZqS/q24aqXY5zOe3j2d9INUU+et6h8PLb7z2o9de7akg6IUqsE5sdkWdoHAn4HPJ66qJuax41gHTm/58+tXVO3UzTK/fU9WdeBbiPVFiwhJiC5NSSRKR4oOevFpnhvuiKMsJ2YMCz3FVMIhiax4YirJ0Vn4I03yQOsoPooCEyNnGjK2et4X1nWOh5xI5UXBC7IAnG/iojmXhqO8gAtdQfgBGtJSD7nZDa2Kj01LNf63KxpUbuPaCKzyo0trEcgPXNQnmmjbKDVwTFclEwLymvahcQ8GloDaUHdNCcFmHpNhc5QaujZT1EcDCKMkHuc3CIdvCNZYbovm6Xxh6yw1sMjANtVpuYBsLpiFiuSEMF+WG0Hkl2T2+1WAyakO8GpitoQfjgI8BJo4Vyg3a9psD4S43sCkUkQJ+joxntxeG3So3sA0Gcww8AwDCTgmGnTGfCsxLrZUb2Ia2X25YhJv7nvf0iG8xJZ2yHpjFfMofako2gnC5YRFm6gFwlxvYBGBapZYb9LOzMOpWuYFl7MaWGxJnuSGiYaJ83ZcbBEEIi2boJFio3CDoBIU7AZ9LIuUGX7FBkJewYNjGlFSQpOtigyAKdaETAIm00InSxMYyFGXZjGKDJCAhbrYxX1vM2qJ6aTryzNwkwQmxA55q4KM6loWjvoMIXFOxoXlESznoeq+DerBQax3udVCDH9p4tXRL7LxhnMRFHruPc8HMpUiyp8sPyi41X2DbC674oMrrX5YvKn+6rKC12KNqc+k309+bXaX6i9/YaHbZNAlG00rFgGmiIpnING+PbR64hkMRZVYl8xLbQnA9hiS2nHUCpo2UhQ3AwkjPMa3Sdsi2UKROcHvDrt2xd/lmg+mAXgSIQpW5ywBcc8F0QCkD2Cy8x7cQTAAkCYk+Bwd8s8FIT1/it9l5yLdTEe1c5SkY8c0Ewz5bT7uegDHfZDAP0NblPVHgPt/UllfmbdYd8a2jJKs2x75kmyyz6m6z8ZhvI5ipSOvqNhMnPBNnwT9MUnUZ9qMs0ROzKDjpn57El/3T4iQ8DcP8Ms/mCcw5HfPMT9lTstA5KUtpoChh9+vpgiCEdSF0VvfBzXnb/Aygq7+++nEvDPqR9e3eFYVUOOTKMylBDMJSVhszLkESqWVw67RnXxSFugQHgOgJXJ66Or0EUTpbBY+U8kz2JAkJ4Y40h2laBk/rRVPPMfqi4ITYwZbtnmEdy9JRX0KErmkdvHlISznobpvuUxudFlj+8yfVMt3aV72Z9oKLHqg+amvVm0mTYDStrHozTVQkEwHzot70ce+pZvkHrybZTroV7IRqOzT/Tc0n+Y7Sn8b26xv32DTgakkbko1pIbg4QpJizkVypo2UdQfAwigeFKFLYzFNFFklv5WGrN309b0qYebvpueSgfml7YV0rrlghqEspJt++uy6n955LPM9vtVgnmlDmBqYraEH44CPASYY+mL7daNrtnVzIDz99FwKRaSAnyPj2e2FYbcX5bkGg2kGVvdA4CnBwDPmU4Gpqc11e66pLa/bm4767Lqj3vmmHvEtpuRU1iOzmCz5g03JRpBZ278daOoB8HTUcwnA1Epa+Tcd9dn2wqjbNQCOsRtbA0idHfX+I3dvYaJ83VcABEEIS2LoDJdZARCEVDgkPqu0YeyJYhBW8dqYTgqSdF0BEEShLj4CIFEyiAvrqttQFGVDKgCShIRw18ZEazHdqo+IDz2H/ouCE2IHPEcgDOtYlo76EiJ0TRWA5iEt5aCrTvin8rdTb71xcfbmy6+9anEES25Zc4WWWoWHM8qyZU5XLcBtLUVFXZcDrOa+wDZ3+THzOBfUSrYjeKp6wFdXP776abX58P2nCgQ2HC2diueGbKZbIdENtVpEnK1VRsHOQRhH5oO5jz6JzQfzmVL6QxqaD+a3mfm5zPxclpgPhf6Qm89y81lhPiv0Z1GQuKIp1x8J3R/41NI44dA44dA44dA44dA44dA44dA44dA44dA44dA44dA44dA44dA44dA44dA44dA44dA44dDlhEO+ExTdCfjsVPtgZHwwMj4YGR+MjA9Gxgcj44OR8cHI+GBkfDAyPhgZH4yMD0bGByPjg5Hxwcj4YOTywYjvA/xt5+eU2Tqa9kVpfFEaX5TGF6XxRWl8URpflMYXpfFFaXxRGl+Uxhel8UVpfFEaX5TGF6XLFyXbF7cWWhp8QXshjo0Djo0Djo0Djo0Djo0Djo0Djo0Djo0Djo0Djo0Djo0Djo0Djo0Djo0Djo0Djo0Djl0OOOY7AM+rxKUazT8x/BPDPzH8E8M/MfwTwz8x/BPDPzH8E8M/MfwTwz8x/BPDPzH8E8M/cfFPePzV2/BgIS8623IXu7s7I8ehEBqiCLM1bbkz/3U0H3DtBYtCEnLjYe/qLf25/ulH0y/1Tz40Z/lVzQtfX/2sus3xDz394Qv9J9+Zflv1KnxeHRb4h9nf8LlZBpofKVCdIDA/A7A6X+G6z6H6G/Rn31Z/+bf1n/+6+u1X+k8ZK35fnSZoDmKY/QNXPzGmu/QQ19nLmV+wN4JroiKZyDRvj20eWIWirE5Zl3ReYlsIVpRIq06uZgeujZTCDGBhEoeu+765For0OqB7Qe7yzQazFb2RIYxU6GxkYJsLZitKI4PNwnt8C8H8RJo5os/BAd9sMNLTJ3g2Ow/5diqinas8BSO+mWDYZy8sulcV2SaDeYDWWeCJAvf5prbcWWCz7ohvHSVZtTn2Jdtkma4Bm43HfBvBTEWabNpMnPBMrGwsTk6LIIj76jSJ+0lxkvXz05OonydpGuWBSs6zixmFc7b4ykm73QDVDMw5Z4xpoCihbV7pAaPMLW0gL4iCEApk6KTzg6rX/alZ3ZOr92bHxM8mhP9Szf3+Wv/6m/lZe59X88H5SfLfmTnqx9NfTT/oTz+Zfjr9+fSj6T/qj7+dfmpzz66oexTuHnwOdu2hL80Z+zenv9NP6hn79LPqNP0vetNfaP/oKbGetb9lzuj7JAzMqfpmul157Kv5AX76m58EvemnvUiZL35hc9eeqLsIVUfCnNCB8pIoilDLgnV6uy9KQi2WAhyRygv7PqGhKEpnHQthNIitxcS7snyEcEyaYzX0K0TxvLg9+8QGfiALTogc7GmFc1DHsmzUFxBha+hWAAa0lIOu5OJleqnOTy5O+nF0WvTD8OKifxIGUf88TNPw5Cw4PS3mT3uncjFyykVF9QZG2L1cFAQhxCdcLtalgcdaJz7SwkbLICNrnqoT9H5w8frJKye9g5PXT/7qr17uaUH40JQ0zJ7KXrmfhkEcBEe9NAj+g/lVmIOLTbHis6qa8ft5mUH/vClSvK1F109nv51LKJsfd0X9qHA/knSltcqy7L1yXwVRGGmHRUFw9W5uPoShucPpm50HD16d/tfKa1+YGoz5oikHaY0+05qf6d/+Tv+a/fZ7+h941Kv2tf7OfPLB9MPQGmz2RL1JSB4E2eksRQiSCKnOwLozYF8UhZr1EJBwUOSJDWUoitKd7AyL2F0FkSQkBPZWhaeqdYryCE9JcELs4AtP97COZemoLyFC1yQ9m4e0lIOupGcaZPlpXET9KD456yeXJ6qfq/Skn0RnRX6WXcQnl8mD7qVn7JSejg1abm9ghN1LT0EQQoRaRXo+vLkg97A3fvnizddPzH9e/auTenPTQklOn/SfXor7sGpcqdVS9bM/KIIiCIOjIAjCPz4eB+aLWjE9nLXdVK015t+sflaL1y3zK3fdvLEr6mKFu7h9VTr92Cx7zm8SrVY+zXLniy+mQaT/f6SF6VzeX71bzLTq04ugS9p++tgyZfid/jv1UE+/vfrZ1ftmTmD+9iSKouupw+Lvtjl/T9T5hETUhogVJOlaxAqiUPMnAJIkxSCLrH2DQ1GW7lRsnCWDRNkI78oSEnJEqyo2qyWP54QNUXBC8OCr2KgIHFsux7J01LcQoWtSsc1DWspBVyr2LCriKApP++dFrH82iZJ+HgVB/yI8LYrTLEz1jz/oXsUmThXr6DV3ewMj7F7FCoIQIhSqYv/5qWbph73pf69WPB/Nurd700/24viHRlwGyVwv6e9XleWqS/tp+Wrzxq6oNxTuDVxw2jD2RDEI0Zcg3dxlb0EUEe0WDObz/dvaTRCFmjUAkDDIBrn9xMChKEtn2i3RY2XV2Xdl+QhxsVXlVtRpvvAoN0lwQuxgKzfnoI5l2ahvIMLWpNuaB7SUg56tPl7mQXp5HvQvo+Cyn5ylRT8/L4r+2cVFEqTx5UmQzKNsp7rNeZ1dTGwIRQk7122SIIT4hOq2Xy7tpHvYM7+dPp7vpHtr+nC2PDhb0Pq1afybfjr91fRD/euj+ULkvXFfhb3pz20O2RV1iMIdsqp0k8QghN82pJskipB0M5tSbqPsi6JQEwcAkiaDzK5Ch6IonSm3PB/kjsqxKB8hMrap3OJwnuhnn9jAD2TBCaGDrdycgzqWZaO+gAhbg3IDBrSUg66vGp4LFiPIOjz3wLqoqpVZZKednd6Qh8u0HZ16ELlOPeDauxxCOj31YHZAwdemLlh95ZFWYd9MH9oId9mECUZIO2pg+g9m68fV31+9N6tam1MT/tas+l29Y8qd/zD92AbxIhtCkSAAgOj6jgaLoXtsQ8H9qQRB5yqjci1c1mqSxxJwbVzOASseS6Di3H4+25BtocixBLfSlO0KhticYxabU8lic45ZnM4PRo+jHffB6Hf5oGD6oR9kkISR8xwDtrVg/qGcY/C8cd7iQoaZm21W3+NbDWahNkSsgdkaejAO+BhgqqGfdbA4J13bfnMgXBSHfApFpICfI+PZ7YVhSwaP+AaDOQeeCQBhqDRhqDRhqDRhqATD0JgPCaYt2ikK7hB0n29py4coPD++Dj/3Pe/tEd9iSrplPUCLiZY/9JRsBJmDFm6HnXoAXATHfAIwz5KOYXjeeHR7YdSSsROesdUjcxJfxJFSfXV6kvaT4iLrn56e5f0oKy7C0zDKi5P5iDinsZ55PXcq67qeYb71EsZE+bovMwiCEBbT0Nnw8mED6ExXkFLhlPhk8hrUHJRg+oe/vt62Nmf/Qn/1M7O/8Ord3s0e7Kufmi/dWCTQf+4HGv+13vhHf/lGL/EcqSDpK8IqI2E+6y5QCKIIFSisk8p9URLq8ijAEabhIClsKENRlM7qE1HkPuBPFJAQU9uY2y1mePUW/NhzpoIoOCF0wNMSfFTHsnDUVxCBa6pQNI9oKQc96y1JzrPs7CLun4Z53k9SFfX1nz41RzGch6fpyXmuzh50L/msylZLvoTqC4yve8knCEIIT6jku91ZUu9bszaYzKoH5oDlL40y7Ov/PNbf/W7+U4/1N76d/ZTNO7ui3lG4dwhSceEgb8uN5SSuX1cHbb1dbyTr3RursHenZ/PLnqhfCLG9FVkoiCIkC519K4Io1KQEgOTBILPvpRqKonSmC9N8kLhkoSQfIe62KguTWkQkHlkoCU4IHWxZ6BzUsSwb9QVE2JpUYfOAlnLQlSrMT4P0Up0F/eQkCPVPRPpPpedZP1dFEVzmZxeqrqd0qgqtE3OtChXVFxhf96pQEIQQnVBV+Mn8Uo/FcazmWo1vr965+rF7bbD3vfpb5jCt/3P6aPrVTFVqdTT9YPqL78+F5fHJ6//u4s0351d+NP9Llbx8oiXX25X4Mv/mF6ZL57YB8z1r8+/P//RPqntBvr766ewfLEKVWKcgu6JjpPAxwrWpDWNPFIOQDwhS0iylfjHo2Y+xeEkUSERQWqsa+6Ic1GQGUGibbBxDUY7OpKTzNP67snyEYN2qlKxPWoo9h2eJghNCB1tKOgd1LMtGffsQtiYp2TygpRx0JSWz6DI6T4u8n56GST/Ji7hfJJcX/SA9z5PziyI4X4uUTGy+0FIypfoC4+teSgqCEKITKiV/fVOmoSoxqc5W6s0l496de7PPRq+8+vIbf/Ha62++0buzezwcHfaOksCiK/sLeXlDO84W65aUo0UqXv3N/Iio6jRY2zjsio6DwsdhZbkoiEGI+QS56GywFiSR0Yn2/pd9URJqrgI4VBENQusMfiiK0plYDOO4cMtFSUJCQG5VLqa1ukg9clESnBA62HLRM6xjWTrqS4jQNQnG5iEt5aDrPXPzXtuO98w5T1ONcztvkOVRERS3eDvaNZc7d80x7V0OI23smqsO51wcR2C20f200k+f12t5VZdctbT311WH3SOnkmJSJRgVbaeczcQX2SYqkolM8/bY5i1H2dV3vzWt5TENBXcTULSXexMc00ZKVz5iYZDb7Buy7RPZAne7mO7USVyzwdxA39AWBS5rf8C3FkwNlA1tNgvv8S0EkwFJT6KPwQHfbDDa0zer2ew85NupiHau8hSM+GaCoZ8trj29nlyTwSRA21LmDgL3+Za2vKXMZt0R3zpKompz6Eu2yTLbxWw2HvNtBPMUaUOYzcQJz8RKMcfh5XkSJP3gXE/UklSl/aIIw746vTg9O7sMwiiaP7rOmZlnqsqenTnv5Z03BsGgKGHni/aSIIQ1InSC9/H1tO3qZ73j/nR2P5q5Wna+hv7x9MPp/90PwutbLq6PC65vZphNBqePZj8SZUGwFVsDw66ofxTun1XnYZIYhBWx9uZrkkBCa+qBsqHsi6JQ1/MQkDC2lzKHoiSdrakXwaBwnB4sykeIlqQZUMOKehLMl19nn9jAD2TBCfGDLfqdgzqWZaO+fwhbw3o6MKClHHSl5uI4y8+yUPXD07OwnwSXqp+fB0U/VCdFGF0EyVlx/qB7Nee8NnfeeEnwBkbYvZoTBCHEJ1TN/Ret476srsp9ZPa1G032e7Nxy72j6VF1DYQNflcUXuHwuFS73u1vrhX7dnaKXK1jLQcAfKg/NVfZmj1fL738H3rTf1n20uxu29n1YXEemL/4a5uz9kSdRQjouCC8+snV2zaUl0RRRKRgMAism+T3RVGoqQgAMZeA2UCGoiCdKcHQuQJ3VxaQEGpblYJRrRw8Z7qJghMiB1sKukd1LAtHfQERuCYt2DyipRy0EYM+jdduL0Vio9PaLrbTVZ0jcZYu0627k4JrL1g8Q6VZy50UXKoEo2qjk4JroiKZCJgXL04UHpjlzN/2453Zf61P+B7bcLDQhku0xjU7pqFgeQ0XYJ4eC66NlNIVYGGqI4V1uIdsC0W6LG7lH9tBw4k5YzgxZwwn9eGeSew53PMunxFMMe22ZLCtBXMMpSXjeeO8xRnDifOQn3t8q8FM04YyNTBbQw/GAR8DTC30to3FYZ/a9psD4aI45FMoIgX8HBnPbi8MWzJ4xDcYzDqwvAciUGkiUGkiUAlGoDGfD0xW7fWCsC1tuRfk+fF15LnveWWP+BZTkizr2VnMm/xRp2QjyPSL3I449QC4CI75BGCKJXWTPG88ur0wasnYCc/Yja1EJK7jhZOEhonydV+HEARZlh++8QEnuy3XIQThFQ6PTzjXWocQdBZhNRGf5HrqEIIoXdchBFGoy6AAiBqkuTVzDEVJNqMQIQlIiLVtTPcWk776OLLEc76cKDghdMAzFXxUx7Jw1DcQgWsqRDSPaCkHvbktxonr2OH5cZkEX2B83UtBQRBCeEKlYPcNxoL+Ubh/CGrxU4tTvrvhtpmPekHY+55hv3o3DsyhKXo2Wp9f0uv7HWfz1Z6orwgRHxeLjRURQSARyejpYhZEoSYsACQpBqpwNa8IonSmGYtgEFmXGe7K8hFicquSsT52LPGcIycKTgggbMnoHNSxLBv1BUTYmhRj84CWctCVYiyK4vQyvzjtn+dp0k+SNDNHiAT9MxWkcXhyehmcnD3oXjFaZ7paMaZUX2B83StGQRBCdOIpxukvLerIrBv+/ey2BbPGOF9Hmx0EV8tJ6+6EXVFnKNwZBHloc8BMHs7Ounuihd/sOLufTX9/9b657Xsmq/9h+t+WhWR58qOTP+99L4yjIIi+30uiq3dDZaTkDSUZRHMxaf4x49Wnfmdx6p6oUwlpoEUdKQgkpCMdJ8xJklCzGMKRDVRgRRmKonQmI5OoGERWnXxXFpAQqVvVkfVpZInngDlRcEIAYetI96iOZeGoryAC1yQkm0e0lIOuz5erX9iOD5hTzi1vjpMadKqN4jRxHyaBmUtRgU+3RYeBsy+aafByHGmjL3p2o1bVIf25Wbr6bnZyr/7GO6b+2dO/+b25avVRpYJMUfWL6jOt/uqje+d/SP/2K1NnfqunxZJZ/3qsf/Cr6geuflIthX2+U333u2qp7Mv5pRTmzz2aX3xW/WXVv3DjvrT5v/FkXpZ91/zk7Novm3932f5NMP+20qHNNFGRTGSat8c2D+yIa1EtMg0FW9soKtDdh820kdIiBlgYB5k9IA3ZFor0YaMnHd3lmw0mKnprdZwl7tZqrrVgnqK0VtssvMe3EExMJHGLPgYHfLPBeE9vm7bZeci3UxHtXOUpGPHNBIM/W+l7Wgy4JoNpgNbh7A4C9/mW5gRLmUN/xLeOkqraHPqSbbJM97LNxmO+jWCeIvUn20yc8EysRIo6P0vDy6ifqFh/SFTRP01Osv7p2Wl8kp6mKinm+cs5TfRMnNlTRedpd8pxWowLFCXsvLQgCUJYsEInmx8sZpCPr97Tn79V9Sjred1T08neDy5eP3nlpPfKyesnf/VXL//wqesLzT0xsx7c6wXx2bd7L76YBkEcBEc7vb3KGb17LwVhb/Lqy2++/KOLP9ZOeK33569f/MfeeH9+1U1q+jiqD2HVzGFz8K6ogxXuYHwqN/346bl7w8z9Ye3sg5mze7Piz7x3pWqT/urqrQcPXjXujSLtXuO69IVj473/UKje1btFb6l8oYdmPlLTJ/2mwoWkewnrjoSpqOtOHEkSkYpFMAgdJQtJFOp6KQASx4Msd8xpJVE6K1nkyj37FQUkZADSrK6hZKHqA9+U5wQ/UXBC6GBPZNyjOpaFo76CCFxDyQIY0VIOupKoZ1Gh/57wtH9exGf6Z6Okn+uE1r8IT4viNAvT7GL+uHcqUZ1H+M3vhCV4AyPsXqIKghACFCpR//mpqsXD3vS/Tx9Nf1+pJyNNp5/sxXG1Uy5Ibvb7Pq5KEU2CZ1fUGwr3Bq4nbRh7ohiE4EvQbV9Nv7ChvCSKIiTcgsSGsi+KQs0aAEgYDaLcijIURelMuCXBIHKcvCzKRwiLreq2+nA25TluTxScEDrYus05qGNZNuoLiLA1ybbmAS3loCvZll7mQXp5HvQvo+Cyn5ylRT8/L4r+2cVFEqTx5UmQzINsp7LNec+hSqjewAi7l22CIIT4hMq2Xy51izx0H3Xwh97019OfTz+Zfjr91fRD/euj+RrjvXFfhb3pz20O2RV1iMIdsrJyE8QghN9WlJsgipRyM2Xc2yz7oizUzAGQJIM0sCbBoShJZ8otzwe5a8VNko8QGVtVbvVuduU5n0AUnBA62MrNOahjWTbq+4ewNSm35gEt5aAXPcJzKdZxj3DqFGeOpugwThKVZMEycFc9wo7NIy+wDV4OI230CN84O1l/+rDqyqxbdr+wtg1Xe6B2etUf+vrq76/emz68er9nvvv033f1Tq9qQDbrbG+bVbZvjXx7u1J0n139tFfttHpS/e2PqsLl+zZv7bK9lWDeaqPjl2uiIpnING+PbR7Y9EUQfQ0dv1xDwVYvXNJ5On65NlLaqBAL08J5vxnXxDW3/LLNBvMOveVXm+Rs+WVbC6ad1Vt+2RaCeYYkVdHH4IBvNhjw22r5ZdupiHau8hSM+GaC0Z+t2z11cq7JYB6gtfy6g8B9vqWdtPyyraPkqjaHvmSb3GXLL9tGME+10PLLMrFSUqlKosvktH+mzoJ+cn553j+5TLK+Os1PoljPE3M1fzicsz7PPJg983O3/Dp7m+2gKGH3C/OCIITlJ3TueLMdtT4Wozy4c3Q8Phq9NLy317tzf3InzuZtuYXairPph9MPe9FONP3Q5oNdUR8o3Af4dGu5K/cL/ZvP6ubnmUtefO1HP/p3F6/2/l/3emEQ9IJqe3dTV23v6M69XhaYH51+MP0wsrlrT9RdhIW7Fqd/gkAiK/+uTltBDuqqI0Lhm0oKonS27B9m0SCzAt6VBSQEXtJkqmndP6+XiXPPur8kOCF8sOcP7lEdy8JRX0EErmnhv3lESznozb2iInV32qbOvmOXNzDCzpWhJAghQKHKsN1LKiThFQ5PkIRrvKRC0lmEiI4LQvclFZIoIlLQfUmFJAo1FQEgoYoGSZDaWIaiLN3JQc81FaKAhGjbphxM6206qWfjlSg4IXjw5aDnmgpROOo7iMA1yEFgREs56EUfSPJgIfM67APJnIrP0bIcqTiIkiRZBu6qD8Rxj9oLbIPB+hyq2BxnxT0xYuXqp9W2qfdnX/j6qUPjqhPeqoWs2XHB5nuzPf2mz8N0hmgJ8/c28F02eIKBt9HSwTVRkUxkmrfHNg8s6uESzrlznmshWMPDlZmnl4NrI6U+BlgYZ6qwX7AzZJu45l4Ottlg7qD3cqRp6OzlYFsLpo7VeznYFoK5gqQ30cfggG82GOnb6uVg26mIdq7yFIz4ZoJhny2+PdKbazKYB2i9HO4gcJ9vaSe9HGzrKLmqzaEv2SZ32cvBthHMUy30crBMNDZeJhenRZqe9E/1f/theHHaz4PL034QqECleR4Wap6/nDM3z1yWPXtz9nKkCQ0UJex+xV4QhLCGhM7/FivWsyne46t3zPkX1638s4XqL/Un71y9Wx3Z/U31o9/Olq3rxe1/nH5t5ok3thDo6eO7s5XwL6/eefpLVXNE/+Ysc/qH79374+Od67ll/3py+f2d3vR3Zupp/tWrt8wf1B+fTD+rzwu/+lkv7Ic76uq9nadOlZs+6Ver57+rb7PZ6SU7cejafLgrOnQKHzp8egiPXjU49e01T53p3jiw/+a1V06qD//utR/9qHf88o8uetEPeuOJ8WTP5ck9UU8S1hPxmaynGCGIIlKMcPSlSHJQV0EBiiTObRxDUY7OqhCeubMkHiF/kOaETTWIeudi6tmKKgpOiBnsaVCSOHvFx7J01NcPoWsqQjQPaSkHXSlcdVFkF0mu+mcXl2E/OT1N+8VJctFXwcW5iqL08vR8PuydKlx3T4qjLdvtDYywe4UrCEKIULjCva0oq02qD2eVjVoNzSsY5Xi398fDP77TK/U/fPHG4tqbv53di6NV0Temc9f8FY/0p8FO7D5pWNJTCvcUQVB+/JQ75oLxpddeP32tt3d5efHv3jzpjV9/7fLijTdefu3Vkx/18iANese9ey//+f/xZm/3tVfPXr9486I3Phr1lDmEufoQzQ8TvnZifdqzceEftANz8Lhhbz+0pKsJ2QNXnO7aiSCJjOAcBLENZV8UhZr0AJA4z8JBkbnaXwRhNkF4SuIRwnqrwrO+Vi/1XJQoCk4IHWzhGSpf94skHfUdROiahGfzkJZy0EZ5+gRlu80u1hmwFpKZnW5+D2S2TLf+VhemwWD5EhWCa2h1YYInGHgrrS5MExXJRMC8uHf1d7OGaZuhe2xDlyOwYNML00Kw2EkSZM6mF6aNlEIiYGGcqGwQuoQW00aRrpdb6Wj40t7R0ehonpDKycH3tITId/SH4vsmLhj7TWbaCazJ6S4fD0w2LXfHcK0Fsw2lO+Z547ztmeN/MHezzep7fKvBlNOGSDUwW0MPxgEfA0wg9A6aue3G7K2bA+GiOORTKCIF/BwZz24vDFsyeMQ3GMw1sNIHgk9pgk8JBp8xHw1MUi125HAtbbkj5/nxddC573lbj/gWU5Ir67FZTJ78AadkI8h07dwONvUAuAiO+QRgdiX19DxvPLq9MGrJ2AnP2I2tfeT2+Z+esDr2JrswUb7uKx+CIIQlMnTCu87Kh6CnFO4pfPrZSeVj3lTTeu1D0NmEBcw2ptCCJF3XPgRRqOuuAEis0mCQZ8oGMxSF2YTahyQeIbC3Ma1cTC7rU0NSzzkwouCE0AHPiG69f4XnykVROuo7iNA11T6ah7SUg97ctvLcvn9OC8+C6guMr3vhKQhCiE+48MTakv+3aCoXHDqFDx1BCaOj13lTuaAnCbkKl7mepnJBFBmda+PYF+WgJliAIglcTeWCHJugbyXxCPmjVX1b1GKo8OhbSXBCzGDr20QlnqZySTrq64fQNenb5iEt5aAXJ9vMxzV50OnJNoUN906YOQ7yqXCj4taFTl01+6T2Q2NfYBsMVl5RCcq932jW2jNXPuZwPq19Fj/c3PHDpU8w+jY6frgmKpKJgHnXHT8DoyN/3Xcsb3INBquxuJ5rOsKaayhYWyWoNXcDENdG</t>
  </si>
  <si>
    <t>So0SsdAsNxbWpdMh28b1NQBl4bz8ngXe3h82GZh76L0/UeiSjT/gWwsmH2LvTxYsen8y59F39/hWgxmoDRFrYLaGHowDPgaYSlbo/dG23xwId+8Pm0IRKeDnyHh2e2HYksEjvsFgtoFnAkDcKcG4M+ZTgamJ1vbjjjn3+Za23/aziDf3PS/qEd9iSkplPTH1vKoh1pRsBOG2n0WcqQfA3fbDJgATK7XtRz87C6OWjJ3wjDXWnl+EUXp+edmPo/PAzGQv+idhEPXPwzQNT86C09NinsSck1bPNJ47cXW1/WQhDRPl67z6IglCWD1Dp75L9xLNF+qrr1XT2kdX7+iJ7cPe9+pvPZl+dvV/Th9Nv7oyd/J+bqodH0x/8f3qziLTnlLfX/Tiyev/rrf/+sl/rG4yWtxuBP+D9Xe+rC4FfquqD5h5dXXU/ZfVnpve1U+qL39tG4ld0ZFQ+Ejgc1wbxp4oBmFVssWZryCQTD3DHrT2RUmoS6oIRxZmgyByTaQFYTora8RJMrD3Jd2VBSSE5jbmhIuZYThfBZ99YgM/kAUnhBB4OoOP6lgWjvoSInANdQ1gREs56G73LIdWzavFYOTBi7N8GW/9dQymweAqEirm1lXHYNInGH0rdQymiYpkImBehNYxmAaDK0stqjmmoeBiEUWluesYTBspiy6IhVlaDDLrgA/ZNq6xjhHX64mRv47BJQOTT8t1DK61YPKh1jGi6zpG5KljcK0GM1AbmtXAbA09GAd8DDCVrFLHiLZuDoSnjsGlUEQK+Dkynt1eGHa7jsE1GMw2sPAH4k4Jxp0xnwpMTS3WMbiWCtQxous6hvNFPeJbTEmprCdmMY/yx5qSjSBdx4i2bg6Ap47BJQATK7mOEW0vjLpdx+AYu7F1DP0yuwoZMY0TBey+kCEIQlgtQ+e+aF3hWSxkCI6EwkcCn+TaMPZEMQirkC1OfQWBOi5kCJJQ11ARjiJJB2nhmkkLwmxGIUMSkBCa25gULqaGcb3sHXumh5LghBACz2fwUR3LwlFfQgSuqZDRPKKlHPRig8ac3EjCDjdohC51mHh4oyJe5u2qsuHoy3mBbfByGGmjsnH7ONabZYz6FFZTvnhYbfv9ovrs29lxKuYPL20+rSSfDXyXDZ5g4K0UNZgmKpKJgHlNx7FyDQWXl1pUdExDwRUjilJzFzOYNlJWXhAL42yQuxQY08Q11jLUjv6Qmg+Z+ZDXS4yJv7TBBQWzD720kWSxu7TBtRbMPtTSRnJd2nBeDHSPbzWYgtpQsQZma+jBOOBjgAllldJGsnVzIDylDS6FIlLAz5Hx7PbCsNulDa7BYO6BpwJAGCpNGCpNGCpNGCrBMDTmQ4J5i1bpcIeg+3xLBSodyXWlw/neHvEtpuRb1gO0mGj5Q0/JRpCudCRbNwfAU+ngEoB5llzpSLYXRt2udHCMNdaeXmTpaXYZ9M/zKOwnURj3T4JT1T9PzovTIM/D/HLO45zFeub17Jmss9KhaJwoYPeVDkEQwnIaOheuDx99cvVeffjVV7NTmH447+T7l2rK+9f619/oXz+uugHNNHj+09+ZyfPH019NP+jrGfCn059PP5r+o/742+mnNgftijpI4Q7CJ6TXx1LNiy83Z/31UsL0M/3fx9MvetNfaP/8Xv/6ypRyfj79JAx61+epzvz78Oot881Pgt70016kPGdPSbqLsEpJmBY7UF4SRREpcQQD6/HZ+6Ik1NVVgKNIB4k9wQxFUTorcISpY5H0riwfISC3MTNczA9VvRquPHNESXBC5IAnNfCgjmXZqC8gwtZU3mge0FIOetYZk0SZyrKwH0dn+cZ0xoSuA1bnd2USnIEBdq8XBUEI4YmkF68bVZz1kfoc1YemxmLO4OyV+1EYRkFwZGRl/MJxLzVH1Reqao9xHD5vc9muqMsU7jKCglzymre09HCn94OL109eOekdnLx+8ld/9bKW10Zh9qYfatn4diUyjbJ88cU0iGp/pi8c79QO1b/mR/vjTt0TdSohW+A6033GqSSKiM4MB7lVne2LolDzHAASqXig8sLGMhRl6U5pFq5TMe/KAhJieatSs771NvNcZCwKTggefKnpHNWxLBz1HUTgmrRm84iWctCV1oyUuohOL1S/ODs15/6rqJ8n51E/KeIkjPLwLC/mS/Tdas3Y5gytNX2XZVmdgQF2rzUFQQjxCdWa/2z0TrXmWO0+/u9aRv6+Ek1aJvWmn+zF8Q+N9gnj3lwYPayWKK2qYFcUXuHwuGrs7V68fvHGy2/2djVpL0jmi4jaC9VKY9W6dEPXPXjVRr4nSk6Izri08ywhCqKISLtgELiknSAKNa0AIGqgQmt8HIqSdCbskmyQWEfqriwfIW62quuyWgV4bgEWBSdEDraucw7qWJaN+v4hbE2yrnlASznoStall3mQXp4H/csouOwnZ2nRz8+Lon92cZEEaXx5EiTzGNutrLM+AVrW+e6rsjoDA+xe1gmCEMITKut+qeXKO9WlPPXBMua308fVYtWPq51s89uVzBLir00Fdfrp9FfTD/Wvj+ZV6Xvjvgp705/bHLIr6hCFOwSXejaMPVEMQvRtRbcJokjpNtNmeJtlX5SFmjgAkmgQ2G+BHoqSdCbc8nyQuxbkJPkIkbFV4VZfxZh5btcUBSeEDrZwcw7qWJaN+v4hbE3CrXlASznojs/oc1VzCw9enBXLeOvfycY0eDloPHs72ZjgCQbeyk42pomKZCJgXuNONqahywFYficb09BlZSa6k41pI6WzHrAwih213CHbwvVtZMuDHf0hNB8i82FxVlbh38jGBQWTT8sb2bjWgsmHupGtuN7I5ryM8B7fajADtSFZDczW0INxwMcA88kqG9mKrZsD4dnIxqVQRAr4OTKe3V4YtmTwiG8wmHpg3Q+EodKEodKEodKEoRIMQ2M+JJi2WtzIxrVUYCNbcb2RzfneHvEtpqRb1gO0mFb5Q0/JRpDeyFZs3RwAz0Y2LgGYZ8kb2YrthVFLxk54xm5uVSFybWTLfVcsWThRwM6rCpIghLUzdCosX1WQdIjCHYLPP20Ye6IYhKVBwuzUWVWQROm6qiDJspx0PSzoPDcYxCq3kQxFSTahqiDKR4iMbUzR6olaHswXoXPPxbCi4ITQAc8u4EEdy7JR3z+EraGqAAxoKQe9wV2+kWtHWR5SnYEBdi/cBEEI4QkVbu12+UrCKxx+ZZEmiEGItK2INEEUKZGW2FD2RVGoOQICKZSVZChK0plG87TsivIRgmCrGq2+zC/3XM8oCk6IHGyN5mnZFWWjvn8IW5NGax7QUg56fh/Gmcqzk7yfXiYX/eTk8rR/eq4/FCdpFoT52UkWnT1Yg0aLbc7QGi2iOgMD7F6jCYIQwhOq0T5YNI88vnpPf24unnh48ygkLd0+qK6qMM0n1a2R9QFSnyyOPqp+X+4XYRwEweHst/rTLfMrN3vWbc7aFXWWwp2Fazrafv9b2/2X/HjtsR3jrat3Q/MhX+zxn3t3p2cOnXpKSl9vH+vFca/Sz5VJXgW9J+ptQgIhSM9vrDO6l0RJhJSn/cCbfVEUauYDQKJBGlkHZShK0p3yNCrFceCUKCAhtrcqPaNaqXjuWxQFJ0QOvvR0jupYFo76BiJwTdqzeURLOegNPqE0cm0Xy2OqMzDA7rWnIAghPqHas/sTSiUdpHAHEfTmWk8olXQXIewTBKN7rVIQRUgxWrd27YuSUNMVwBGmgzR31ZMFUTpTjJ4TSkX5CAG5VcFY39eVe25gEwUnRA62YPScUCrKRn0BEbYmvdg8oKUcdMe71GIbnlaAiQ8vD5bx1r5LjWvwctB45napccETDLyNXWpcExXJRMC8aLFLbWBk8q/71odpj20wuGWAIN8adqtxDQXb/nFx5tmtxrWR0j4PWBjpDOa6+ZZr4hq3q5l713Jz71pu7l3L6wuPcv+9a2xQMAu1u12NbS2YhYjb1fLre9dyz71rbKvBVNSGdjUwW0MPxgEfA0wsK2xXy6/vXcsb7l1jUygiBfwcGc9uLwxbMnjENxjMPfAEAAhDpQlDpQlDpQlDJRiGxnxIMG+1t12NbWn729Xy63vX3O/tEd9iSr5lPUCL+ZU/9JRsBOHtavn1vWv+sHPMJwDzLHW7Wm7uXbOHnAnP2M2tasTO7WqKxokCdl/VEAQhLKKhc+I1VDUEHaRwB+ET086qGq5zkyU9RlieJMyM3YUNQZSOCxuCJNR1VYAjVOZyD2uSGYqybERlQ5KPEJTbmB0u5oj1VV255+41UXBC6IAnNvCgjmXZqG8gwtZU2Wge0FIOeoPvXoudO+VSqjMwwO41oyAIITyRNOOa716TdJnCXUZSkVY3reeWNUn3EfICLindt6xJoohISvcta5Io1IwGgMRFoaOztUg9FGXpTlN6blkTBSRE7VZFZX0nV+65ZU0UnBA8+KLSc8uaKBz1HUTgmlRl84iWctAbfP5C7Nzbl1GdgQF2ryoFQQjxCVWVLZ+/IAivcHiCPnRtmoPuXNsxu/U+DNxLiILuIIRsXO95lhAFUUT0nuccB0EUaq4BQPJBmllXQ4eiJJ2pPd85DpJ8hGDaqtirb+rKPVeviYITIgdb7PnOcZBko75/CFuT1mse0FIOeoMPSY2de+lyqjMwwO61niAIITyhWq+DQ1IFHaJwh+D6z4axJ4pBiL6t6DZBFCnd5jwkVZCFmjgAkngQOQ/gEiTpTLj5DkmV5CNExlaFW31TV+65ek0UnBA62MLNd0iqJBv1/UPYmoRb84CWctD6f39WCZb562oE2Z/6FFrLu9xc2qzw8EaFWubtaJdbFDh3uTENXo4iMrvcnky/MktF1RLT+7MvfG3W2ardaz1Tx316Aara5fbYqLLFn5o+mn5jqrn/MP143hlI3in3pTYl2InMQUn6L3CV9HbZnkwwT7aybY5poiKZCJh3Y9vcB9Pf9q2v0x7b4OVQv/q2OecxWUwLl8Wf6H45po2U/n3AwkgNcmsUGrItXN92ucLc7laY290Kc7tbUV+rlPtvd2ODgumMvl0uTJVy75fjmgvmM+p+uevr3XLP9W5sq8Gk1oYsNjBbQw/GAR8DzCir7Je7vt4tb7jejU2hiBTwc2Q8u70wbMngEd9gMOnAcwsgDpUmDpUmDpUmDpVgHBrzIcG8Rdsv54lB9/mmCmyYu77fzf3iHvEtpiRc1hO0mLv5Y0/JRpDeMHd9v5s/7hzzCcBMS94wZ+53s8ecCc/Yytri5LQIgrivTpO4nxQnWT8/PTG1jjSN8kAl59nFjMc5MfYsFbAnx64Nc4XvzhQLJwrYeelCEoSwQIdOrxebweqZ7WLnnMx2OUn3KNw9+IS0s+1yFnftibqLsOpJmA47CyaSKCIFE2tvyL4ox3Ka93Cgc+swDwapo81FEqWzaolno5woHyEYtzEtrCeHRX0DWeG5Uk4UnBA34BkNPKhjWTbqC4iwNVRLgAEt5aA3+LqSxLVRrgipzsAAu9eKgiCE8IRrxXVeVyLpLIU7i6QcrbUk8sUk8eJiEptn9kQ9Qwj2BJHoqplIkohoxHAQuGSiIAo1SwEgUTZIQ5dMFETpTCb67hYRBSQE4lZ1Yn0LWuG51k4UnBA62DrRd7eIKBz1FUTgmoRi84iWctAbvPctce19m5/BSnAGBti9UBQEIcQnVCi2u/dNEl7h8Ljws2HsiWIQQi1BpbmX8gRRRGRaMIiUDWVfFIWaIwCQdJAoa7AbipJ0p9Lce9ZE+QhBsFWRVl8XVngugBMFJ0QOvkhz71kTZaO+fwhbk0ZrHtBSDnqD96wlrj1rRUx1BgbYvUYTBCGEJ1Sjye9Zk3SIwh2ysm4TxCBE31Z0myCKkG5zbVmTRKHmDQAkHuSZdc1zKErSmW7zbFkT5SMExlZ1W31tV+G5h00UnBA52LrNs2VNlI36/iFsTbqteUBLOeiO72GzhlStxBIPXpyHy3hr36HGNXg5aPzrDjWuJxPMk23sUOOaqEgmAubF4A41rsHgZgGCHnRWW5kWgp3+uMzz7FDj2khpmAcsTHREclVHmRaucYeaudCtMBe6FeZCt6K+SanwX+jGBgXTWcs71NjmgvmMuEOtuL7RrfDc6Ma2GkxqbahgA7M19GAc8DHAjLLCDrXi+ka3ouFGNzaFIlLAz5Hx7PbCsCWDR3yDwaQDTyWAOFSaOFSaOFSaOFSCcWjMhwTzVos71Nimtr9Drbi+0s394h7xLaYkXNYTtJiq+WNPyUYQ3qFWXF/p5o87x3wCMNNSd6gV5ko3e8yZ8Izd3EKFcu5QUzROFLD7QoUgCGE9Dp1ed1CoEHSIwh2CT0FtGHuiGITlRsLE1F2oEETpulAhiEJdKAVA0kGhUhvJUJRkIwoVknyEwNjGFG0xUatv4So816qJghMiBzy7gAd1LMtGff8QtqZCRfOAlnLQG9wErJy7xVKqMzDA7nWbIAghPKG6reUmYEF4hcOvrNEEMQiRthWNJogipNGcTcCCKNQcAYCE4UDNa9G3RZogSmcizdcFLMlHiIKtirT6UqvCc02ZKDghdLBFmq8LWJKN+gIibE0irXlASznoDd7Sr5w7tTKqMzDA7kWaIAghPKEibc1b+gWdpXBn4aKu/a37gh4gBHWCHnQ2kwiSiMhBz9Z9QRRqNgJAkmKQhq41O0GU7uSgb+u+JCAh4LaqB+uLrwrPTWai4ITQwdeDvq37knDUVxCBaxKEzSNaykFv8HmgyrktLKc6AwPsXhAKghDiEy4IOz4PVNA9CncPLgHXfB6ooLsIQZ+gF93rh4IoIoLRpRYFOaipCqCIo2SgChvKUBSlM7XoOw9Uko8QjFsVi/VlW4Xn9jRRcELcYItF33mgkmzUFxBha9KKzQNaykGb29N2ZhKpy0vTrNNXrQILD2ZUpMuY3W1Js66CvMA2eDl4/K+7Je3J1dvYljSmJxPMk61sSWOaqEgmAubdujTNGir32AYvR3jBLWlMC5cFn+iWNKaNlA55wMI4VoM8sZk4ZJu4tj1pURDs6A+h+RCZD/VtRYX/1jQ2KJjP6HvSoiz37EnjmgsmNOqetOtb0wrPrWlsq8Gs1oYcNjBbQw/GAR8DTCmr7Em7vjWtaLg1jU2hiBTwc2Q8u70wbMngEd9gMOvAcwogDpUmDpUmDpUmDpVgHBrzIcHERduT5olB9/mmCuxJu741zf3iHvEtpmRc1hO0mLP5Y0/JRpDek3Z9a5o/7hzzCcBMS96TZm5Ns8ecCc9YY+1pca5OkjjvRydh0U/S/LJ/qswsOU3y8/Pw/DxSa+htTh170qLAfy3ILU4UsOsqiSgIYWEOnV9/vFwcma3jP5r+Yd4b03qhRNRDCvcQPilda6FE1F2EBU/ClNhVKBFFESmUhPbVsX1RkuVc7yFBZ9h5kA4CR2eNKMsG1Epk+QghuY3J4XyKaMR9tbQ+/8QGfiALTggd8LwGHtSxLBv1DUTY/LUSZEBLOehKMcYnZ0V+Ead9dXau+snJWdYvwjDt50V2Fp6dhafn6cmDNShG+244PbWlOgMD7F4xCoIQwhOqGG2N1o+NrLFcDPbKrLv4dpu1/lPm0IO3tZ56qus6DZM8CI7M77SIfDgr69QnIlRf/UAL1R9XxZ5H08+ve7y/nH/5i+nD2d+VBsGW+WUPH7uiPle4z0ka1FqZ2rnVyP2x8URv+uF8L+LjSoW++GIaRPr/RzvGNVfvVh8K082989RYTJ/0r3WqzXF7oo4jpBSCGnUUaERJOhajgiTUVAhwJEE8CILcxjIUZelOjOZB4ThG464sISHetypHw1q9uK9okwUnxA6+HI2ixLEYPZalo76FCF2TIG0e0lIOuhKkZ1ERR1F42j8v4rN+kkRJP9cauH8RnhbFaRam2cX8ee9WkMY2Z2hBGlGdgQF2L0gFQQgBChWk4PEMQTJfhNPfr1bqqn6iJsWzK+oNhXsDl4o2jD1RDELwJQg39zKiIIqIcnOe1yCKQk0aAEgeDwrXKqIgSWfCLdEjZW2OvyvLR4iKrcq2qM7x7kvbZMEJkYMt25yDOpZlo75/CFuTaGse0FIOeoPPQk0du/OiIKY6AwPsXrQJghDCEyraxM9CFXWIwh2ysm4TxCBE31Z0myCKkG5znIUqikLNGwCICgZx5hJugiidCTf3YaiyfITI2Kpwi+s87761TRacEDrYws19GKosG/UFRNiahFvzgJZy0B3f2mYV41qKJR68OI+W8da9RY5t8HLQ+N9+ixzbkwnmyRa2yLFNVCQTAfNu3dpmLXHvsQ0GNysQBKGzAsu0ENxpgOs89xY5to2Uhn3AQqXCgTVsDtkWrnGHnDL74lLzITMf5rclaRLfDjk+KJjO2t0hxzcXzGe0HXLanHqH3NzPNqvv8a0Gk1obKtjAbA09GAd8DDCj8HfIGdtvDoRzhxyfQhEp4OfIeHZ7YdiSwSO+wWDSgacSQBwqTRwqTRwqTRwqwTg05kOCeau9HXJ8U1vfIXcdf+57XtwjvsWUhMt6ghZTNX/sKdkIsjvkruNOPQDOHXJ8AjDTEnfImWdnYdSSsROesZtbqcicO+QUjRMF7L5SIQhCWI9Dp9cdVCoEHaJwh+BTUBvGnigGYbmRMDF1VyoEUbquVAiiUBdKAZA8GmTKijIURdmISoUkHyEytjFHW8zUVL2w7b62TRacEDrg6QU8qGNZNuoLiLA1VSqaB7SUg97gvuDMuVEtpToDA+xeuAmCEMITKtyk+4IFvaFwb6ys2gQxCKG3FdUmiCKk2px9wYIo1KQBgIRxNijsLENRls5km68zWJKPEBdblW1pneXdF7nJghNiB1u2+TqDJdmobyDC1iTbmge0lIPe4PMFMud2rozqDAywe9kmCEIIT6hs+1/jfAFBnyvc57g43JjzBQQdR0gpBDnq7G4RJBFRo+7zBQRJqKkQ4EjTaGAvFg1FUTrTov7jBSQJCeG+VTWa1eLFfY2cLDghdLDVqP94AUk66kuI0DXp0eYhLeWgN/iE1My5U81/UYrFGRhg93pUEIQQoFA9uo4TUgU9pHAPkdTjOk9IFXQXIfATNKN7CVMQpWPRKEhCzVcIh7lNznkolSBLd6rRc0KqJB8hJLeqGfNaYLhvk5MFJ4QOvmb0nJAqyUZ9AxG2JsXYPKClHLS5TW5+/fADvyZ84+LszZdfe9XiCYYkdJWUCw9mVGTLmK6tcm5bKTKv3i1nNfYFtrHLz5jHsaCU00JEqxStymyGatlVPDdkW3srzrnNXS3MzfbQhOaWqSLdOVDmszQoXBGOi5PQcfCeZMNwaBgODcOhYTh0MRzyGRSdAe9K1ggjgzAyCCODMHIhjPgI+EvAj7Oz3RChuS9Io5QGpXShlGyUW+3tDSi0p+nY2H9s7D829h+77D/m248HemJ/uzZ/YsyfGPMnxvyJy/wJz/zqUXrQZd5ydbGH/iPMc6f3YWtZmctu7gtsc/HXFs1d/6Oqz5hN1p/rOfKjXlWi+czssL766XyJ4btq4cFMot81P1j1MT3uVf/RWc8GuKsBdc7jUnad88ylimGiP0TmZsW4+pDrD4n5RmK+kZgNpcrkxrT6YHaaZuazzHyWm89y83O5+WOFa1rA9kcXSTPUSVM74dA44dA44dA44dA44dA44dA44dA44dA44dA44dA44dA44dA44dA44dA44dDlhEO+ExTdCaRYOTI+GBkfjIwPRsYHI+ODkfHByPhgZHwwMj4YGR+MjA9Gxgcj44OR8cHI+GBkfDBy+WDE9wH+/q+cts0Nf9oXpfFFaXxRGl+Uxhel8UVpfFEaX5TGF6XxRWl8URpflMYXpfFFaXxRunxRsn0hnvdDnfe1A46NA46NA46NA46NA46NA46NA46NA46NA46NA46NA46NA46NA46NA46NA45dDjjmOwDPtCzhEGrhoPknhn9i+CeGf2L4J4Z/Yvgnhn9i+CeGf2L4J4Z/Yvgnhn9i+Ccu/gmP/ynlYf7T0U3skfloo9ACJPRQxEHgHEXMWKb6cNn7Atve5dS84iEzv6mLHrMdcD8xp8xMPzeL9k+m32nF8f70d0ZkzM6a+axq93gyq4BcvWsOlpl+WW2j+0L/wLt2pfKoatuZaZUd8yOzluwv5q03X5oDbXrfMy0409/rzxf/xo6prfxy+nH1Z0zV5ZGpPZiqwgfa6k+n/zT9oDZg8P36XzAwT/Q/bvp/qnbv6Tc29++y3b+sBARPpuGaqEgmAuZF5mCaXr8X5lG6k4bTbwbT7wY7vdh8eaC/HgWJ2onU7OsPHrxqw9lj4ywvt65+bo15Sr8Y9OyPxktsQ5frMJLH13BtXNYvKx5fEydZYTNwyDZwfafXhGbaEc5vUzbZ13dmDRsPzI2MM2ty54k1bGPB3Eg8sSYMFyfWhM47KO7xrQYz5Goz17ocFYZbQw/GAR8DzDSMCWd9coS2/eZAuE+sYVMoIgX8HBnPbi8Muz3D4xoMphu4sgfEntLEnhKMPWM+GpigiOfUuOLOfb6h7Z9Ss4g59z0v6xHfYkpeZT01dbW0Id6UbAThU2oWsaYeAPcpNWwCMLcSJ+Pm2VkYdXvyzDHWWHumLs6LIC/6pxdK9ZPTi7yfn5/G/eAyytOT6Pz09ETNeJzz6ldO3E1wzLm1c3Yd0TBRPtsM3INFmYXbQF4QBSF0xKDT8/9p5r7VFotH80NqzFRbz8zfmjUjXr1f75H5rJofm10ts987exdnO188vYt6Zhe4Otl2RR2ocAfis1cbxp4oBqFBiDBrdfYWSqKI9BYG9q15+6IkyxnaQ4LOfsMgiV2nt0qidNdaGA0Cx+ZoUT5CIG1jFreYy9W37ISea5NEwQmRA56AwIM6lmWjvoAIW0NrITCgpRx0JfMuTi7i89Mi7KdFctZPYrOROs5O++rsNDoJ0zwJsosH3cs8a0uflnkx1RcYX/cyTxCEEJ1Qmffrqn3xbSPvHmqtZrZI//jqnau/v/rbSq19rz7J5rur97WA0zLw+9URN6EKzFZcmwt2RV2gcBesLNQEMQjhliDUmsoLgkAics0xKdwXJaFmC4AjzqN04CpXCKJ0Jtcyx0rcXVk8QjxsVa3VV+uEnruSRMEJ4YOt1lxjOpZFo75+CFqTWGsez1IOutoHsrNQKeaZ7rCnJRr80MarBZmy84Zxkme5gttqW+5qiewz+BfY9i7HkBW7Wv7n1dvmxqPqKJN35gcF1j0o5pN3rt6dPjYyywirb8xhNFpYzX7b0998q7qH59v5wdDV9UffGCFW/ebz6o6l76omli+rNbjq5EGz/GaOnJn9eHXWyo3jpZ/Ux9VUX/n66m8Hs2uUwnRHmb/+m+o0ml4U9jySjundBPNuK00rTBMVyUSmeXts88CqIEEluo6X4VoIFvcoss/dfcK0kVIlAyzMQ5XbZ7JDtoki/Se3F0CdQo1rNpif6H0lRjQ7G0u41oLpidJYYrPwHt9CMCGRBC36GBzwzQYjPb1pxGbnId9ORbRzladgxDcTDPtsde96AsZ8k8E8QGvycAeB+3xLW+7ysFl3xLeOkqvaHPqSbbJMB4fNxmO+jWCeIvVo2Eyc8Ew0Np4GqgiD/KKfpmcX/eREpf0iS1X/rIiSi+QsOM1P5y+Zc3bomS6zZ4ihc47oOE3LBYoSdr9oLwhCWKRaZZLp6s4Q68YQdJnCXYZPyyCvVUdLVRPrh7OJ9fy0KfMlPWWOA8+hUZIeISz4EWaC7sYOQRSZSoGNY1+Ug7pQiVCkcZgmNpShKEqHdQJlLYPclcUjhGDStKqpTlCfSBl6DhkVBSeEDfZMwjWmY1k06uuHoDXVCZrHs5SDrhRinubRWXae9U/jLOgn6cVlvzhLTvtxEQfFZXFyEl/MJzedKkR3FaGgegMj7F4hCoIQwhOqEG9fMTn9xfSftL77zfSjfrWN9aNK7H0w/bTq57BB74pCKxwa13g2jD1RDEKEbUWYCaKICDP3hUSSKNTkAIBEQVwMXPdISrJ0Js7CwFMdkAQkxL9W5VlRp/PCI88kwQnBgy3P3KM6loWjvoMIXJNAax7RUg56toQXn56EeRj09UxOi7kwzPtFcHHaP7uIinN1lsdBNh/1TgVa7BJokWMXmUeuQoSdCzRJEEKAQgVadeeNWZYzvRvzJo+r92ZtHubE8kqVTT+efpjacHdFcRWOu6o0k8QgRFeCNGvosZUEEhFo4WB+te4tgSaJQk0OAEgcx44WW0mQ7tSZGmTWWHBXlo8Q+9oUZ1E4T+WR54QLUXBC+OCLM9egjmXZqK8fwtagzYABLeWg6ybbZAZulEmHTbZu9RXbeaMgyIsoTZZ5O2qyTVwHr3PtBXuaUPH0D1c/rQ6r/dzUNuf1zMfmBNvrRttV+mRnRdEnVz9ZKhg+qsqmT+YX8FgOxl3qso08DbVcTyaYJ9toqOWaqEgmAuZdn0Vw9Yt6NfOz+aF9VdXWZv8e236w9YqgGV0dt1wLwU4rkgh0ddxybaR0MQEWFmHiuFd3yDZxzR23bLPBZEXvuI2jwtlxy7YWzFWrd9yyLQSzE0neoo/BAd9sMBW01XHLtlMR7VzlKRjxzQTDPlvru5dh2SaDeYDWcesOAvf5lnbSccu2jpKr2hz6km1ylx23bBvBPNVCxy3LxGq5PsxP0rQ46yt1WvSTk/i0X5xenPXzJL64vCji4DI+m1E4p4qeuTN7uujsuJ0XU2FQlLD75XpBkOV87hshcMa5eaehSTpQ4Q6kzuLmh77bfWjtvr0x03vav5GvGVfSPYSVQcIk0dnzIYkiVFLIbST7oiTUJU2EI01SNTA6+zbMUBSmu6pCNFDWwbory0cI0aRpV1NVQdWL0MpTVZAEJ8QO9kzDOahjWTbqK4iwNVUVmge0lIOuJGR6cpKfxvrHsjRO+klwWfRP1Jn+EETh2UWsLrN6BtyphHS25EaOBmW3NzDC7iWkIAghPqES8l/MxTPmkpjpV1W/h7nW3ty/V3V7zMTivefj6TfVp5G6ejdSvvqBILzC4XH5Z8PYE8UghFpcppmikA3lJVEUEZnmPAxXkoSaIwAOlWY2jqEoR2cKLYsHoauAIMlHiICtKrR6j03k2TMlCk4IG2yF5hzUsSwb9e1D2JoUWvOAlnLQlUK7LJS6iM/ifqjy034YmlNzg/OiHwQqUGmeh4WaC5dOFZq7K8TRoez2BkbYvUITBCHEJ1Sh2c7CXV6v++Tmabg970G4kvwK519ZpAliEKItLtIam3QFgUSkmmN7uyQHNVUgFMpeBhuKgnSn1NydHpJ4hEDYqlCr99pEnt1TouCE0MEXau6ivSQa9eVD0Jp0WvN4lnLQs5W0yzxIL8+D/mUUXPaTs7To5+dF0T+7uEiCNL48CZJ5dO1UpyUunRY7upU9qhUi7FynSYIQwhOq025vbje/rTqBTUfuW9Xa2s9mK2s9rep+XlVWfzX9UP/6qF5qG/dV2Jv+3OaQXVGHKNwhqwo3SQxC9CUIN2cRVBJFRLIFg/kxcLdUmyQKNXEAIGGcRYOgsMIMRWE6U255Psgd0k2UjxAb25Rucb0VJ/bsrRIFJwQPtnRzDupYlo36CiJsDdoNGNBSDtqIN58ma3cvlVuNxXa+ME4yFUe3+Na9l4pr73LQ+Ne9VFxPJpgn29hLxTVRkUwEzLPspapOITBNij+ZLXLaCPbYBGBbPUEjunZTcS1cln+Su6m4NlI61AELfbupuCaueTcV22wwXbW7m4ptLZitVt9NxbYQzE8kQYs+Bgd8s8Fk0NZuKradimjnKk/BiG8mGPbZ6t69m4ptMpgH2ttNxba0k91UbOsouarNoS/ZJne5m4ptI5inWthNxTJxYxfwE/duqljRQFHC7hfwBUEIi1TonLODBXxBhyjcIfi8zIaxJ4pBWIMjTM7cC/iCKF0v4AuiUFcPAZCGBXxBmI1YwJfkI8RG0nynaQG/3vUSe7YxiYITggdb4vsW8CXZqK8gwta0gN88oKUc9ObuhE/c25jijOoNjLB77SYIQohPqHbbvJ3wkg5UuANxrcfcCb+8Tu/fAC/pFUL0b0U6CqKISEfnBnhJEmraQji8G+AlYTpTjp4N8KJ8hMjcqnKsd+PEnu1VouCE2MFWjp4N8KJs1FcQYWtSjs0DWspB18fqzhek1YNOj9VVNlqtDHM7bZEXkYqDdJm2o0aQ3G7vC2x7l0PIio0gH2vt8aXZo/70pVH23gytzz6Y/mLeolH3iVy3e9xq9vhq+mj27cjTxMH0QoJ5oZUmDqaJimQiYF7Uu/o7Iw+nvxv0LGLyllDU4/q1+c/nVz+tJOZX1a+HV+/pkTXD9/nT7Thm/L+sJOdX08cDmyf22J4Aq4IE0ehsBmFaCBYBKVrQ3QzCtJFSYAMszMMoH7g0HtNEkWaQW6lw+NLe0dHoaJ4My8nB97R4KXYOoiT4vok3xn6TFXcCa2K8y8cDExu9aUQFubtphGstmNkoTSPPG+dtzxz/g7mbbVbf41sN5rc25LGB2Rp6MA74GGCCojeWzG03Zm/dHAgXxSGfQhEp4OfIeHZ7YdiSwSO+wWCqgecYQPApTfApweAz5qOBOYrWqOIOPPf5lrbcqPL8+Dro3Pe8rUd8iym5lfXYLCZu/oBTshFkmlluB5t6AFwEx3wCMLuSWl2eNx7dXhi1ZOyEZ6yx9iI8jePkLOufqbOwn5wlUf8kUWH/8iSJCnWWnVym8xFxTos96wTcqfHAemSAnhw7dvC6MFG+7ssmgiCExTl0dn27bHJrlnas88md3VHv39w5fPFPdkd3jnt37t3rjSdH41G517N5YVfUCwr3Aj51tWHsiWIQFhwJ8053sUIQRaZYYePYF+WgrpMCFN5JrCBKZ4WK1LP1QZKPEAvbmIkt5mP1cRSx53gRUXBC3IAnEZZCReZqcZFko76ACFtToaJ5QEs56M1tT1b2/aF39DSS6guMr3OlJglCiE6oUpNvTpZ0iMIdsqpok8QgBN82RJskiohoczcnS6JQ0wYAEkZhMYhSG8tQlKUz4ebpTRblI4TGNoVbEszz/OwTG/iBLDghdrCFm6c3WZSN+gYibA3CDRjQUg6628NFrHFISzHH0Skzuty9Zw8zliKxoI4Srr1gxQ1VUmvuKOF6IcG80EZHCddERTIRMC9ed0cJ1xNgmY8gEl0dJVwLwWodrv08HSVcGylVL8DCLM4Sm4FDtoHr6ydJItNPEs9Lukno7Sdh44Fprd1+Era1YF4j9pMk4aKfJHGeY3aPbzWY3doQwwZma+jBOOBjgOlphX4SbfvNgXD3k7ApFJECfo6MZ7cXhi0ZPOIbDCYaeEYBBJ/SBJ8SDD5jPhqYodrrJ2Fb2n4/ySLo3Pe8rUd8iymZlfXYLKZp/oBTshGE+0kWwaYeAHc/CZsAzK7UfhL97CyMWjJ2wjN2Y6sUqaufJIlomChf91UKQRDCUhw6t+6gSiHoEIU7BJ/D2jD2RDEIK42ECai7SiGI0nWVQhCFukYKgIRh4IiAQ1GUjShSSPIRImMb87LF7Cyq17QjzwxNEpwQOuApBTyoY1k26guIsDUVKZoHtJSD3tw+4NTZXRJTfYHxda/bBEEI0QnVbUJ9wJJeULgXVhZrghiEiNuKWBNEERFrjj5gSQ5qogAoPKUHQZDOdJqnC1iUjxAJW9VpcZ3WY49OkwQnRA22TvN0AYuyUV8/hK1JpzUPaCkH3W0zSWaj08or8dKpZbq1N5Mw7QXLbahwWnczCdMLCeaFVppJmCYqkomAeQ3Hk0w/01/4fX3SnasfhAkDlukICs/ZD8K0EKy2EYSbpx+EaSOlagVY6NucxTVxjR0hynSEpHVRNvF3hHDxwNzUckcI11owOVE7QpLrjpDE0xHCtRpMUW0oWgOzNfRgHPAxwByzSkdIsnVzIDwdIVwKRaSAnyPj2e2FYUsGj/gGg6kGnhYAwac0wacEg8+YjwbmqBY7QriWCnSEJNcdIc639YhvMSW3sh6bxVzLH3BKNoJ0R0iydXMAPB0hXAIwu5I7QpLthVFLxk54xhprscM4DY9zZuuZ2nNnt86OEEXDRPm6rywIghDW09AJ8uYdzC7pQIU7EJ+42jD2RDEIy4uEKau7KCGIIlOUcJ2kLklCXRdFOJI01pHTupQwFIXprDQRRoPAuuR5V5aPEErbmMgtpnP1lS2J5w4eUXBC7IDnIPCgjmXZqK8gwtZUmmge0FIOenNbfzNnC0lK9QXG173QEwQhRCdU6HXQ+ivoEIU7ZGXhJohBCL6tCDdBFBHh5mn9FUShpg0AxH9AiSBLZ8LN1/sryUcIja0Kt7TO86lHuEmCE2IHW7j5en8l2ahvIMLWJNyaB7SUg+62p8Q6G9ZSLPPSuU9axoylSCysp4RpL1iwQ5XUuntKmF5IMC+00lPCNFGRTATMazigBOspYcKAhT6CznP2lDAtBOt1uHzz9ZQwbaTUvQALPY2+TAPX2FGSm46Soi7qZv6OEi4emJla7ijhWgumJmpHSXbdUeK8MO8e32owQbWhZw3M1tCDccDHADPMKh0l2dbNgfB0lHApFJECfo6MZ7cXhi0ZPOIbDCYaeFIABJ/SBJ8SDD5jPhqYoVrsKOFaKtBRkl13lDjf1iO+xZTMynpsFjMtf8Ap2QjSHSXZ1s0B8HSUcAnA7EruKMm2F0YtGTvhGbuxhYbc2VHivZrnNibK132hQRCEsJqGTo87KDQIOkThDsGnoTaMPVEMwmIhYQLqLjQIoixrAA8KPlP1FBoEUajLnACI94wRQZSNqDNI8hEiYxvzssXsLK+XpT23ioqCE0IHPKWAB3Usy0Z9ARG2pjpD84CWctCb2wmcOxtECqovML7udZsgCCE6obptAzuBBR2ocAeurPMEMQjBuhWdJ4giovPcncCCJNQsg3DEURbbI+ZQlKUznedrBJbkI0TSVnVefbFd4rmpUBScEDrYOs/XCCzJRn0DEbYmndc8oKUctP7fnz39uhr99qc+Qddug0kx+KEN+E6kHOcZa9o4zJV7qx1mLkWkPd1iEgb2OfMLbIPBEh4sxm41hjy8biDRMuvR9Bvzqf6CWUf7Zmfpa9MnfS27zKUq7xklZn6kp/+Wh/NbVp5UIk1/6S2tzvTnj6ZfVgrvx1q+mX+iWp+b38Iy/WJpPc98edbQYr7y9dXfDsy9Lk96UdAzTStzTTi/4qX6mT/MfiAx33+kgSqFaHP/Ltv9Ceb+NppbuCYqkolM8/bY5oFVRIKKdLWrcC0Ei4EUcehsV+HaSCmqARbqvOBa3ONaKNKvcnt51XXeHNtsMIHR+1ByLaxdfShsa8H8RelDsVl4j28hmLBImhd9DA74ZoOBnt5jYrPzkG+nItq5ylMw4psJRn32BMD1BIz5JoNpgNYT4g4C9/mWttwTYrPuiG8dJVW1OfQl22SZfg+bjcd8G8E8RerosJk44ZlYSb04CS6LIu7nQXLeT1R60j8JTi/68WkUFMnpeZxdzh8O5/TRM6FmTyFD5yQypoGihJ1XBCRBCOtYK01Cb84zH169b0PdFUVVOCo+mwJpe9Pf6Hntt9VcWE+We9NP9ZS22vLRm/52+kkU9g56keq5ltD3RB1DWNIjzOOc1QBJFKFqQGwj2Rcloa5FAhyRysLUfu30UJSls2pAPkhdE0hJPEIQJU2MGooBqj7fWnkOLBcFJ0QO9lzANaZjWTTq+4egNdQCgPEs5aArjVdchnl4GSf9Is+SfnJxEvVPg+Cif66S87OLLL8MLufvcqcaL3JqPEX1BkbYvcYTBCGEJ1TjfWJW5GdaZ3kzaqV3fmiW86ffVf0e1Z7WqgJQtYOY76gtZXPDrqgbFO4GXP/ZMPZEMQgxl6DWnKvugiRCYs268r0vSkJNFghHkOeDwLWKL8jSmViLUvdyvyQfIRy2qtbqI7+U5ww3UXBC5GCrNeegjmXZqG8gwtYk15oHtJSDnrXoxqcn+qeDfhymF/0kDPN+EVyc9s8uouJcneVxkM0HvVO5FjvlmmMPmdsbGGH3ck0QhBCfULn2sWmeqO7++/rqZ6afQuuwq/dmmsxsqJrJtY+nH1oXB3ZFcRWOu7IsE8QgBFeCLDPnw3wx6NkPdXlJFEhGndk49kU5qJkBoEhja4obinJ0pstCNcisceCuLB8h7rWqy7I6jXsOtxAFJ4QOti5zDupYlo369iFsTbqseUBLOehKl+VpHp1l51n/NM6CfpJeXPaLs+S0HxdxUFwWJyfxxbzK36kuS5y6zNFg7PYGRti9LhMEIcQnVJfd3vQ+/cX0n6afTn8z/ag//cD8p9r59MH000qi2aB3RaEVDr2yOhPEIIRYgjpzlzgFUUR0WTCIlA1lXxSFmhwAkCjJBlFmZRmKsnQnzwJPm6wkICH+tarP6h0yyrPlSRScEDz4+sw5qmNZOOo7iMA1CbTmES3loM2ep52ZLOlwq1NoHds70by2fQtztrUrKJYxu9vpZC0IvcA2eDl6/O+10+nJ1du9KJxvaGpjxxN3GBJsGNrY8cQ1UZFMBMy7eUW05cGZnTXwX6a/GJjGvGrMpo9NIVs/ANOv9eC836uOM/hiVs9++qSC6hH5ePrLgc0He2wfLKccuW1VXAvBfnpcgnq2VXFtXM5tK26rCrPEfi7AkG2hyLaqW+nXdgxwGu7oD5H5EJsPyfxMzjTwnMl5lw8Kplf6RqwwSDPnTiy2uWB+pezEet54b3Ei8MzPNqvv8a0Gk2wb8tzAbA09GAd8DDBJ0XdrLQ7p1LbfHAgXxSGfQhEp4OfIeHZ7YdiSwSO+wWDSgec4QBwqTRwqTRwqTRwqwTg05kOCeYu2D8wTg+7zTW15I9jz4+v4c9/z4h7xLaYkXNYTVE8hG2JPyUaQ2Sx2O+7UA+AiOOYTgJmWtJXseePR7YVRS8ZOeMZWQhdqTjY8zom6Z8WCPVl3nQ6cOjbPuThRwM4LJZIghIXClab74J4ySVSFo+LzVRvGnigGYYWTMOV0lkckUUTKI84dYJIk1JVZgCMrVDxIbChDUZTOiiPuDWCieISI18bcazEDC+cL6bNPbOAHsuCEwAFPG9AxHcuiUV8/BK2hMAKMZykHvbkbwFzVCK3HIqozMMDu9ZggCCE6oXpMav+XpBsU7oaVtZogBiHkErSaszwgSCIk1Rw9xpIk1FyBcBTRIHJVGwRROpNqnu1fonyEaNiqVovq3B55tJokOCFwsLWaZ/uXKBv1BUTYmsRa84CWctCbu/1LizXrZFmLtZjqDAywe7EmCEIIT6hYW3X3lySuwnFXFmWCGITYShBlDbu/JIFktJmNY1+Ug5oYEApPG4ggSWfCzLP/S5SPEPlaFWb1qTup5xQlUXBC8GALM8/+L1E26vuHsDUJs+YBLeWgN3f/lxZmic0ZWpglVGdggN0LM0EQQnhChVk7278koRUOvbI8E8QgRFiCPHPXNwVRRISZe/uXJAo1NwAgSTzIbCBDUZDupJln75coICH4tarNkjqVJx5tJglOiBx8bebZ+yUKR30BEbgmcdY8oqUctFFnPtHV8p4vVxOZ8uHl2TLe+vd8MQ1ejhr/uudrtT1fzGFIsGFoZc8X00RFMhEwD9zz9ZnZ3jX96uqdnd70l9NPph/vVLu5ph/zd4LZHLPHdsxy/hHcCMa0EGyox8WobyMY00ZKXzpgYR641v+Y9q1xG1hqNn9l5kNuPhT19gvl3wbGBQUzbtvbwLjmgimXug1MXW8Dc54deY9vNZh321DqBmZr6ME44GOAeWuVbWBq6+ZAeLaBcSkUkQJ+joxntxeGLRk84hsMphx4ugPEodLEodLEodLEoRKMQ2M+JJi12twGxjVVYBuYut4G5nxxj/gWU9It6wlazCb9sadkI0hvA1NbNwfAsw2MSwBmWvI2MLW9MGrJ2AnP2ErmXuZBenke9C+j4LKfnKVFPz8viv7ZxUUSpPHlSZDM31jn3N2zeMGevzu3gaU0ThSw+4KJIAhhzRBdAbhdMDG/1TO0z/Xc+cd6PvZwNk03XS296a+nP9dTuk+nv5p+qH999MPZ7PveuK/0rPznNofsijpE4Q7BJ7o2jD1RDMKSKGFa6i6mCKIIFVOM5ruNsi+KQl3LBUDCKLSvCA5FSTqrpuT5IHcVUyT5CIGxjSnaYqKW1kvvqWeyJglOiBzw7AIe1LEsG/X9Q9iaainNA1rKQW9wB7IjbGndllGdgQF2r9sEQQjhCdVtK3cgC+IqHHdlVSaIQYitBFXW1IEsCCSizVwdyIIc1MQAULjrD4IcnckyX/+xJB8h7rUqy+rrClLP/ROi4ITQwZZlvv5jSTbq24ewNcmy5gEt5aA3eBe/4xQVLctyqjMwwO5lmSAIITyhskxsF7+gGxTuhpXlmiAGIeYS5Jqzt0OQREanOXfxC5JQcwXAkZvlCBvJUJSkM63m28QvyUcIhq1qtbxO7blHq0mCE+IGW6v5NvFLslHfP4StSas1D2gpB73BJ2CGzr1iBdUZGGD3Wk0QhBCeUK220gmYgqgKR11ZjwliEOIqQY+5i5qCKEKCzDp32xcloSYEgCNOs9Qa2YaiJJ0JMs8BmJJ4hIDXqh6rb5JKPXeDiYIT4gZbj3kOwJREo759CFqTHGsez1IOuuPdYY4aZRZ48fJlvLXvDuMavBwz/nV32Eq7w7jDkGDD0MbuMK6JimQiYF6M7Q6TuBGM64PlRCO3EYxr4bLulNwIxrVxOaetuBEsVImrQ45r4fq2gmXmRrDM3AiWmRvBsvomnsx/IxgbFEyvLW8FY5sL5lfiVrDs+kawzHMjGNtqMMm2IcoNzNbQg3HAxwCT1ApbwbLrG8GyhhvB2BSKSAE/R8az2wvDlgwe8Q0Gkw48swHiUGniUGniUGniUAnGoTEfEsxbLW4FY5va/law7PpGMPeLe8S3mJJwWU9QPXVsiD0lG0F4K1h2fSOYP+4c8wnATEvdCpaZG8HsMWfCM3Zz6yGRaytY5r2O4zYnCth5PUQShLA8uNJ0H6yHSKIqHBWfr9ow9kQxCOuahCmnsx4iidJtPUSShLoiC3BkQZjaQ9tQFGUDCiKieISI18bcazEDq2+Qyjw3gomCEwIHPG1Ax3Qsi0Z9/RC0hoIIMJ6lHPQG9xJHri1eWUR1BgbYvR4TBCFEJ1SPSfUSS7pB4W5YWasJYhBCLkGrOcsDgiRCUs3RSyxJQs0VCEdaDFJXtUEQpTOp5mkmFuUjRMNWtVp9gVTmuRFMFJwQONhazdNMLMpGfQERtiax1jygpRz0Bu/Hj1wbv7KY6gwMsHuxJghCCE+oWFt1P74krsJxVxZlghiE2EoQZQ378SWBZLSZjWNflIOaGBAKTxuIIElnwsyzI1+UjxD5WhVm9QVSmedGMFFwQvBgCzPPjnxRNur7h7A1CbPmAS3loDf4RrDItcsrS6jOwAC7F2aCIITwhAqzdm4Ek4RWOPTK8kwQgxBhCfLMXd8URBERZu4bwSRRqLkBAInzgbKSDEVJutNmnivBRAEJ0a9VcVZfIJV5rgQTBSeEDr4481wJJgpHfQMRuCZ11jyipRx0x5u+XAthyot368az9W/6Yhq8HDX+ddPXapu+mMOQYMPQyqYvpomKZCJgHrjpq7MrwbiOWc4/gjvBmBaCHfW4GvXtBGPaSGlMByxUmWMuPWRbuMadYOZSsMxcCpaZS8Gy+jKezH8pGBsUzLlt7wTjmgsmXepOsOtLwTLPpWBsq8HM24ZWNzBbQw/GAR8DzFyr7AS7vhQsa7gUjE2hiBTwc2Q8u70wbMngEd9gMOnAEx4gDpUmDpUmDpUmDpVgHBrzIcG81eZOMK6pAjvBri8Fc7+4R3yLKQmX9QQt5pP+2FOyEaR3gl1fCuaPO8d8AjDTkneCmUvB7DFnwjO2ErrQRRSGxzl79yxfsGfwzp1gKY0TBey+ZiIIQlg1RNcA5C8Fk3SIwh2CT3VtGHuiGIRFUcLE1F1PEUQRqqe4LgWTRKGu5gIguRrk1raBoShJZ/UUz6VgonyEwNjGFG0xUavvkMo8l4KJghMiBzy7gAd1LMtGff8QtqZqSvOAlnLQG9yEHDt3jGVUZ2CA3es2QRBCeEJ128pNyIK4CsddWZUJYhBiK0GVNTUhCwKJaDNXE7IgBzUxABS+CoQgSWfCzNeELMlHiHytCrP6FqnMcy2YKDgheLCFma8JWZKN+v4hbE3CrHlASznoDd7KHzt3h/nv3bA4AwPsXpgJghDCEyrMxLbyC7pB4W5YWbAJYhBiLkGwOfs7BElklJpzK78gCTVXABxpVAxc11BIonQm1nxb+SX5CNGwVbFWXyOVee4FEwUnBA62WPNt5Zdko76ACFuTWGse0FIOeoPPwYydO8YKqjMwwO7FmiAIITyhYm2lczAFURWOurIgE8QgxFWCIHPXNQVRhBSZdfK2L0pCTQgAR5QGiXsTvyBLZ5LMcxCmJB4h5LWqyOqbpDLPzWCi4ITIwVZknoMwJdGo7x+C1iTImsezlIPW//uzinyuRMx//tSnvFreNebQXPOatoM3DJd5u9o15jic8wW2wctBRHLX2PSL6ePpd7ONPGZD2PSx2d/zTbVL7P35b5nbwaafTD+Y/oK/K8z8YLITzH80B/aHcR2eYA5vY38Y10RFMhEwL8L2h0lcCsb1wXKOkdsKxrVwWXRKbgXj2riczlbcChanYTawFrWGbBPXtxcsN7eC5eZWsDyeb7/I/ReCsRnBJMrZBpbFzm1gbHPBLErcBpZfXwiWey4EY1sNptI2tLiB2Rp6MA74GGCCWmEbWH59IVjecCEYm0IRKeDnyHh2e2HYksEjvsFgwoEnNEAIKk0IKk0IKsEQNObzgemKugPMGX7u801tfwdYfn0XmPudPeJbTMmzrIenniw2hJ2SjSC8Ayy/vgvMH3KO+QRgkqXuAMvNXWD2cDPhGWusPQ1UEQb5RT9Nzy76yYlK+0WWqv5ZESUXyVlwmp/O31jnTNyzNsGejbt2gOXeizhuc6KAnddAJEEIC4KrzOefnsZXTSvzKfW/mK1hpuv46m/0rx8/PUnT87fZFO/j6a+mH/SrbWI/n340/Uf98bfTT3d6ceBaud8VdZnCXYZPd20Ye6IYhBVRwozVWUuRRJGppdg49kU5qCu5CEWUpqFr+iuI0lkhJRvM15lvz3wl8Qhxs43J22IKV99AlXtuFBMFJ4QNeN6BjulYFo36+iFoDYUUYDxLOegN3h/mqP5qVReRnQEBdq/qBEEI0QlVdavuD5PEVTjuyopMEIMQWgmKrGF/mCRQp7pMkIOaGAAKb1lCEKUzXebZICbKRwh9rQqz+rap3HN9mCg4IXqwhZlng5goG/UFRNialFnzgJZy0Bt8S0Xi2iCWx1RnYIDdKzNBEEJ4QpVZO7dUSEIrHHplfSaIQYiwBH3mXjETRBFRZu5bKiRRqLkBACmCxLV5X5KkO23muaVCFJAQ/VoVZ/WNU7nnCjFRcELo4Iszzy0VonDUNxCBa1JnzSNaykF3fEuFNahqvZX48IpgGW/9/cZMg5ejxr/2G6P9xkyHJ5jDW+k3ZpqoSCYC5oH9xov7KHr6UZC5iYLrkuUcI9h+zLQQ7OfCFaev/ZhpI6UtCrAwSdJgkNtMHLJNXGP7sTKdx+Y+ijyre/8Sf/sxlxHMqW23H3PNBZMqtf04uW4/dl7HdY9vNZhZ29DiBmZr6ME44GOA+WqV9uNk6+ZAeNqPuRSKSAE/R8az2wvDlgwe8Q0GEw48oQFCUGlCUGlCUAmGoDGfD0xXbbYfc00VaD9OrtuPne/sEd9iSp5lPTyLqaI/7JRsBOn242Tr5gB42o+5BGCSJbcfJ9sLo5aMnfCMrfQtdOix4XFOzD0rE+zJubP9WNE4UcDuyyGCIIQFQXR6L38BhaRDFO4QfG5rw9gTxSCsdxLmo+5SiSCKUKnEdQGFJAp1oRYASdNiEFqXCYaiKJ3VSjw3UIjyESJjG9OzxSRN1QvrnusCRcEJoQOeWcCDOpZlo76ACFtTpaR5QEs56A3uMFbODuOU6gwMsHvhJghCCE+ocFu5w1gQV+G4K8syQQxCbCXIsqYOY0EgEXHm6jAW5KAmBoDCW3kQROlMmfk6jCX5CKGvVWVWXyWVe+4GEwUnRA+2MvN1GEuyUV9AhK1JmTUPaCkHvcE7+pWzwzgjOwMC7F6ZCYIQwhOqzDZiR7+gyxTuspXVnSAGIT4T1J170U0QpVNdJ8hBTSsIhUrDyKXrBFE603WeHf2SeIS42aqsqy+iyj03i4mCE8IGW9Z5dvRLolFfPwStSdU1j2cpB91xZ7JVqWud5r2Ko7jVeL3+zmSmwWD/1Co663/RzmSmwxPM4a10JjNNVCQTAfNirDNZ5CRkpg+WU4pgKzLTwmWBKdqKzLSR0iIFWBiHkaPmMWSbuMZW5GLnINKZUn8I6z7A3N+KzGUEk2jbrchcc8EsSm1Fzq9bkZ23cN3jWw2m0jakt4HZGnowDvgYYIJapRU537o5EJ5WZC6FIlLAz5Hx7PbCsCWDR3yDwYQDz1+AEFSaEFSaEFSCIWjM5wPTVZutyFxTBVqR8+tWZOc7e8S3mJJnWQ/PYm7oDzslG0G6FTnfujkAnlZkLgGYZMmtyPn2wqglYyc8Yze3bpI6W5ELGicK2H3dRBCEsP63yny+87qJoMsU7jJ8umvD2BPFICyAEmas7rqJIEqndRNBDurCLUIRFHHumv4KomxC3UQSjxA325i8LaZw9RWEuedKSVFwQtiA5x3omI5l0aivH4LWVDdpHs9SDnqD+5RTV59y4b3Hw+oMCLBzVScJQohOqKpbtU9ZElfhuKsqMkkMQmglKLKGPmVJoC51mSQHNTEAFL6yhCRKZ7rM06csykcIfW0KsyKYJ/LCc9OgKDgherCFmadPWZSN+gIibA3KDBjQUg56g09CTl19yoX3wg6bMzDA7pWZIAghPKHKrJ2TkCWhFQ69sj4TxCBEWII+c66YSaKIKDP3SciSKNTcAIBkeWgPckNRku60meckZFFAQvRrVZzV900VnvvDRMEJoYMvzjwnIYvCUd9ABK5JnTWPaCkH3XG/cWbD03or8uJFy3hr7zfmGgw2SaF66X+ffmOuwxPM4W30G3NNVCQTAfPAfuMOTkLmumQ5x8i1H3MtBPu5cMXpaT/m2khpiwIsTMIid51HwDVxfe3HRWw6jxPzQc17/4rI237MZgRzasvtx2xzwaRKbD8uokX7ceG8kOse32ows7ahxQ3M1tCDccDHAPPVCu3H2vabA+FuP2ZTKCIF/BwZz24vDFsyeMQ3GEw48IQGCEGlCUGlCUElGILGfD4wXbXYfsw2tf3240Xoue95Z4/4FlPyLOvhWUwV/WGnZCMItx8vQk49AO72YzYBmGSp7cf62VkYtWTshGdspW+hw/cMj3Ni7lmZYE/OXe3HRUzjRAG7L4cIghAWBNHpvfxJyJIOUbhD8LmtDWNPFIOw3kmYj7pLJYIoQqUS10nIkijUhVoAJI2Kgau/WBKls1qJ5yRkUT5CZGxjeraYpNVXDBaeSyNFwQmhA55ZwIM6lmWjvoAIW1OlpHlASznoDe4wzpwdxgnVGRhg98JNEIQQnlDhtnKHsSCuwnFXlmWCGITYSpBlTR3GgkAi4szVYSzIQU0MAIW38iCI0pky83UYS/IRQl+ryiypE7nnMkFRcEL0YCszX4exJBv1BUTYmpRZ84CWctAbvKM/c3YYK7IzIMDulZkgCCE8ocpsE3b0S7pM4S5bWd0JYhDiM0HduRfdBFE61XWCHNS0glAkaaFcuk4QpTNd597RL4pHiJutyrr6pqrCc/WYKDghbLBlnXtHvyga9fVD0JpUXfN4lnLQ+n9/9p+fkjNO2fbGxdmbL7/2qsURLNXmWkpLfZzhLU5Xi7LbWooWu+5Stpr7Atvc5cfM41xQcf0PrZ3empUwr346fdTTQurh9DPTAnz107mI+q6SVqak+a7pO65+/PGikdkGqEVU+tyQTXkrQroxVwuQ817DbOcgDgr9IQrNB/PbODYfzNcSpT8o8w1lvpGab6Sp+WC+m0Xmg/mRLNcfcvNzeWI+mB8256fGppUxLsyfKPSfSILIfFDmg/4TetZkPiTmg/4TSRSYD7H5kJoP5k/E5rvGliQxnyXmjynzI8agxBiUGFuSzHw3M58ZCxJzgmtiWihVEJgPyhXyuaOU0EcJb04xQ3NohubQDM2hGZpDMzSHZmgOzdAcmqE5NENzaIbm0AzNoRmaQzM0h2ZoDs3QHJqhOTRDc2iG5tAMzaEZmkMzNIdmaA7N0ByaoTk0Q3NohubQDM2hGZpDMzSHZmgOzdAcmqE5NENzaIbm0AzNoRmaQzM0h2ZoDs3QHJqhOTRDc2iG5tAMzaEZmkMzNIdmaA7N0By6huaQPzSKPjR4140emZEZmZEZmZEZmZEZmZEZmZEZmZEZmZEZmZEZmZEZmZEZmZEZmZEZmZEZmZEZmZEZmZEZmZEZmZEZmZEZmZEZmZEZmZEZmZEZmZEZmZEZmZEZmZEZmZEZmZEZmZEZmZEZmZEZmZEZmZEZmZEZmZEZmZEZmZEZmZEZmZEZmZEZmZEZmZEZmZEZmZEZmZFrZEb8kcEjOF8nzPsXs53SjFBpRqg0I1SaESrNCJVmhEozQqUZodKMUGlGqDQjVJoRKs0IlWaESjNCpRmh0oxQaUaoNCNUmhEqzQiVZoRKM0KlGaHSjFBpRqg0I1SaESrNCJVmhEozQqUZodKMUGlGqDQjVJoRKs0IlWaESjNCpRmh0oxQaUaoNCNUmhEqzQiVrhEq2SN0q9muYYRoIe3YDMuxGZZjMyzHZliOzbAcm2E5NsNybIbl2AzLsRmWYzMsx2ZYjs2wHJthOTbDcmyG5dgMy7EZlmMzLMdmWI7NsBybYTk2w3JshuXYDMuxGZZjMyzHZliOzbAcm2E5NsNybIbl2AzLsRmWYzMsx2ZYjs2wHJthOTbDcmyG5dgMy7EZlmMzLMdmWI7NsBybYTl2Dcsxf1hwXUlsItSjMjGjMjGjMjGjMjGjMjGjMjGjMjGjMjGjMjGjMjGjMjGjMjGjMjGjMjGjMjGjMjGjMjGjMjGjMjGjMjGjMjGjMjGjMjGjMjGjMjGjMjGjMjGjMjGjMjGjMjGjMjGjMjGjMjGjMjGjMjGjMjGjMjGjMjGjMjGjMjGjMjGjMjGjMjGjMjGjMjGjMjGjMnGNyoQ3Kk/pZzM4f+qbBbS5UdEs3f7QxqGnAY4TZ8NYBUmofQpOA1rdqVhZbLP3Bba9ywJ5xY2Kv6l2m5mF1MXBDn7Rv8LexMe96e/N+m61Zjv72tVP9Lf1j8wXdr8y/6yehXyjf+Q9sx+y/qPfVUa+PfutzaG7bIcua1nJjYhMExXJRKZ5e2zzlhd3BDcFMi1cXuoV3RTItJGyWQGwMCmsBa4h2z6RHYG3e1adZ0ZwzQbzEWOTX54W7k1+XHPBfETZ5Gez8B7fQjADkdZn0OfggG82GOfpCxY2Ow/5diqinas8BSO+mWDQZ6/me84Z4ZoMZgHiXjt3FLjPN7XlvXY264741lFSVZtjX7JNltlHZ7PxmG8jmKlIk1ybiROeicbGcz1TPokvz/tBGKl+ch5H/fw8Oe9fhnl+enF6EejZ64zCOR985aTdZp6qnccxK4wDx+GJLlCU0DZz9IBRZo82kBdEQQhVaXRaudRn/aX+z/s9PdX7Vk/qfmI+Tr+YPjGb5qqTS3ZMu85vetNfhkEvyoLg6t0ouD6jRs8CH1Xzzc/MXzpr2p7NK59MH81+xPyhrdgaM3ZFXadw1604OxPFIJTnCbM4f8+2KJBIb08wiKxzqn1RFGp/AQASB4PQPjsUJemsu6fIBpl12e2uLB8hkJJmR/72Hs00aweZf2IDP5AFJ8QP9oTAOahjWTbq+4ew+ft7kAEt5aBnXdsXWXqaXQb98zwK+4n+W/snwanq658vToM8D/PLubDrVOhFTqEXUb2BEXYv9ARBCPEJFnrzhfknV+/Vxx18pb/0aPqHxmbt2U97mrVtDtoVdZDCHYTLuekHM4csZPB1MeNxb/rJ/HjFP1Ty9vH0C3Oy9kNTKJl+ZUotP59+olXxTANf+/fh1Vvmm58EvemnvUj1XB3Ue6LuIoR9gmx0NYOLoogIxtDeBLgvSkLNVwhHEUWDzIYyFEXpTDCG0SC2CuK7snyEgNyqYIxqfeE+KU8WnBA52ILROahjWTbqC4iwNQnG5gEt5aArwXgZpVmQn5z2s4tY/2x8nvaLkzzph2EYX4bnJ0V8cf6ge8EYOwVjQvUGRti9YBQEIcQnVDB+YGnxeGxkzRfVl41WfLv3g4vXT1456b1y8vrJX/3Vy7WS/GShgarfhyrOZt/4wJy3ZSSWObV63jTy3XxlcLaa6FoaFPSdwn1H0JIfL7TjQ3u7jNkBOXffwcx9Cx9cvZvuFNXh3zsun6koD3d6Kswz/TEICvN5GD548KoW76Yn6O1ev2eUaaXhv5l1/1Q9QbPvan2rh2ent2Nz956ouwkZhaBFHY0ooiRCUjSwCrh9URRqKgRAVJQNlHUdaCiK0qEWzYrBfPPWbTUqSUiI9q2q0aQWL+5DJ2TBCbGDrUbTOHOdByYLR30HEbgmOdo8oqUcdCVHz6IijqLwtH9exGf9JImSfq5TYP8iPC2K0yxM9d/xoHs5mjjlqKMN2+0NjLB7OSoIQghQqBz956cakrWi+u9aEf2+UlVGhk4/2Yvj6kiwILlZhp7vnOxfr8vZvLEr6g2FewMXmDaMPVEMQvAlCDf3IqIgiohyc954J4pCzRoAiLbIgTIURelMuSV6qKwi+64sHyEstqrb0jrLpx7dJglOCB1s3eYc1LEsG/UFRNiaZFvzgJZy0LPz95PzLDu7iPunYZ73k1RF/ZP44rSfFCfn4Wl6cp6rswfdyzbllG3ERkqUsHvZJghCiE+obLt9AP98kdB+Dv/sXDDTMPil2aPW1//RCm763fynHutvzE8Ps3lnV9Q7CvfOyjJOEIMQi1uRcYIoQjLOcRq/KAo1iwAgWexYnRqKknSm4tJ8kNj3oMnyEaJkqyour5N+7lFxkuCEyMFWcc5BHcuyUd8/hK1JxTUPaCkH3eW1xZG7HTD0NkcmaplvzacBsO1dDhr/ehpABbLLdmiCObSF0wDYJiqSiUzz9tjmLYdzsdMA2BaC+0Bxbec+DYBtI2WLJWBh4trvwbVvvacB8M0G81G7pwHwzQXz0cqnAfAtBDMQSbKiz8EB32wwzrd0GgDfTkW0c5WnYMQ3Ewz6bP3uPA2AbzKYBdo7DYBvahenAfCto6SqNse+ZJvc4WkAfBvBTLX6aQA8Ezd2td59Rlwcejugb4OihJ2v1kuCENah0Gllx6v1kt5RuHdWnoAJYhDW3AgTNedqvSRKx6v1kijU1UIAJA2dq/WSJJuwWi/KR4iSpKlPw2p9WG/0CT07t0TBCZGDrfY9q/WibNT3D2FrWK0HBrSUg54d5HsexYE6ifpBEV72kyS/6J9cnmX9MD89icM0TU4v5xOQTlWce20/oXoDI+xexQmCEOITquKAVtmZquuFQXVKk1Z871a7gh5Nvx3YXLAr6gKFuwCXajdqFg97uxevX7zx8ps9++aaPVE+QiRuRcMJoghpOFfjrCQKNYcAIGHgbpyVROlMxHkaZ0X5CEGyVRFXb48JPRueRMEJoYMt4jyNs6Js1BcQYWsScc0DWspBVyIuOU/CyyCM+vGJOu8ncRL0T4r8sn8RnpxlRZGrk3rBu1MR59x+H3rbiG3ewAi7F3GCIIT4hIo42/b7hzcPJXrYG7988ebrJ+Y/r/7VSb1Ut9jifWPbU2/6YX0c5/XO/B8UQRGEwVEQBOEfH48D88VqwW7eNTJf4qt+Ng6CrVT/ys2+dJuLd0VdrHAXE0QiZ5e+duSjq/dml+9VR2LNNtf/bvqoF4aRKo52ek9twncNR2q2+cfmQ1GdoPo9c9hqr1plNX+THv8PY2uA2hN1MyHhELSqszFEkEREqrp350uiUDMlAJIk4aBw7M6XROlMqoZxlgwSZSO8K0tISAatitV6U1Do2eUlCk6IHWyxmseZe8lREo76DiJwTWq1eURLOejNPV00cu/OD73t0jZvYITdq1VBEEKAQtVq96eLSjpI4Q4iaM21ni4q6S5C3CdoRvf6piCKkGi0yt99URJqvkI40jBwnS4qidKdZnSfLirKRwjIrSrGegNS6NlRJgpOiBxsxeg5XVSUjfoCImxNgrF5QEs56M29dyhynwsQEVsqUcLOBaMkCCE+wYJxg+4dknSdwl2HS0kbxp4oBiFQEyRew71DkkAiQs9975AkCjXRACBR4mirHIqSdCb0PPcOifIRAmmbQi+qr6mJPPcOiYIT4gdb6HnuHRJlo75/CFuD0AMGtJSD1v/7s6dkgdFvf+oTdO0eJeCsVEeO5ssgDcPMHJW1xNvRUQKx6ygBrr3LQWTlowS+MlXPWbVT7hiB2Srg573IyLWv9V/s2BPC9UqCeaWN8wC4JiqSiUzz9tjmLcdoufMAuBaCO0FxweY5D4BrI2WTJWBhmjiFGNPANR8IwDYbzCr0AwEiFTrPA2BbCyaV1c8DYFsIphGSDkUfgwO+2WCcb+s8ALadimjnKk/BiG8mGPTZotx9HgDbZDAL0M4DcAeB+3xLOzkOgG0dJVO1OfQl2+QujwNg2wjmqRaOA2CZWCm9yzxIL8+D/mUUXPaTs7TQ87yi6J9dXCRBGl+eBEn3Pcix+ziAKKGBooTdL9ILghDWltCp4e3jAOznAMwaEn5tmhSmn05/Nf1Q//po3vhxb9xXYW/6c5tDdkUdonCHrDzlEsQgLJ0RpmbO7gpJFKFFd9cJAJIo1EU/AKRII+fuMUmUzlbd89xxsdJdWT5CZCTNdppW3evNRpFn95goOCF0sAW+c1DHsmzUFxBha1p1bx7QUg56tnssjlUSFkk/vDy56Ifhhf7Z4CLrB4EKVJrnYaHmgqZT5eY8AiBydCe7vYERdq/cBEEI8QlVbh88vaSPHNDUM9eDmpV8/Y2fVe0U8y//umqmeGS6UGdf2jENFk+u/v7qb83vrt4yP7TYWjb/gV+G3zMbmMLv7/SO7tzrFUFgrYvvirpV4W7F9d9NVNS3Nyosda/L1U/1V55U5RGzz6zacab/6s/nG+9mtRT9hS9NeaXqEr7z6psXf35y3Sy8KL3cGpIbW9Cmn1U/ZUR6PRrVvbIfWgtTe6KDQkhJrahZQRQhNWt9U/ZFSai5FOAIiygZKBvKUBSlMzEbqWiQWJuh78oCErJFq2q23owUebaXiYITQgdbzbpHdSwLR30FEbgmOds8oqUcdLf3Tzg3jEWObug5X77Mt/amEaa9YLUP1Zeb1jTC9EqCeaWVphGmiYpkItO8PbZ5YP2QoOWcTSNMC8FyIS7RfE0jTBsppTjAwsi1s59r37p7Rrhmg0ml5Z4RrrVgTmmhZ4RrIZhFSLoTfQwO+GaDYb61nhGunYpo5ypPwYhvJhjz2SLc0zPCNRlMAi32jHAt7aZnhGsdJVG1OfQl2+ROe0a4NoJ5qo2eEY6JlYy6uMzD4PK0X4RRuJjWnay38pC4e0Zix+4HFyhK2HnlQRKEsJaEzgzbqzz8vJpjPjbzvkVhgVp5yIJY2dy6K+pWhbsVn7c9i5WHw92yF6og6v+Jt+AgORaEVUPCJNVZcJBE6bbgIElCXe0EOPLMDjIUBems3BCbPovCBnhXFpCQIkjTvoZyQ1zvcIw9W1ZFwQmBgz3TcY/qWBaO+gIicA3lBmBESznoze17TtzdM3FE9QZG2L2GFQQhBChUw8r3PUs6ROEOwdWnDWNPFIMQf1sRboIoQsLN1fcsiUJNHABIEg9SK8lQlKQz6eZpexblIwTGVpVbfVFW7Ln5TBScEDnYys3T9izKRn3/ELYm4dY8oKUcdLd9Is5z4uLEzhfGURSnebbMt+4+Ea69YIUPVVIb1ifC9UqCeaWNPhGuiYpkItO8PbZ5YM2QoORcfSJcC8ESIS7QPH0iXBsp5TfEQhXH</t>
  </si>
  <si>
    <t>riZdrolrbhVhmw3mlXZbRdjWgmll9VYRtoVgIiEpT/QxOOCbDUb6tlpF2HYqop2rPAUjvplg2GfLcHerCNtkMA+01yrCtrSTVhG2dZRc1ebQl2yTu2wVYdsI5qkWWkVYJm7sMrvytIo49ji4QFHC7pfZBUEIq0no5LCDZXZBhyjcIStPugQxCItlhMmZe5ldEKXrZXZBFOoyHwASxTpjus4XkWTZiIV2ST5CaCRNd5oW2uv9e7FnR6YoOCF2sBW+b6Fdko36BiJsTQvtzQNaykFX0i3Oz06iIDnrn54WaT/Jw6B/Gof6szC8jE7CyzA5Sx50L93cHRKOdma3NzDC7qWbIAghPqHS7UaX75PpF9W9LW9VSu4P81uTZ/rMdICWvUBlQf9PwuBo9sXx66+9eXH2Zu/Fi7PXXq8aQ4OezS27om5RuFtwATf9jdUZN8sg1xfUmO95ems/mv4SO8nDGiH3RN1HCP6tCEdBFCHhGNtI9kVJqFkL4EhSrRuVDWUoitKZbPQUEyTxCFG5VdVY3xEXey79EwUnBA62avSsC0uiUV8/BK1JNDaPZykH3W13RuqSgYm3bTgMlvnW3Z3BtRcsqqEqbsO6M7heSTCvtNGdwTVRkUxkmrfHNg8s0xF0nKs7g2shWJXD5ZmnO4NrI6XiBVhY5PZ7o4dsA9fcm8E2G8wq7fZmsK0Fk8rqvRlsC8E0QpKd6GNwwDcbjPNt9Waw7VREO1d5CkZ8M8GgL6DB2SaDWaC93gy2pZ30ZrCto2SqNoe+ZJvcZW8G20YwT7XQm8EysdJR0HZJQ+Gc03kmtex5nbM3I4looChh5wv8kiCEpSR0avisHOMh6VaFuxWfuD2Lx3hMv9A/+7We139W/aVmRGZ1nSiIg/5RHrzgPd5DcowIi4mE2auzCiGJ0m0VQpKEugwKcETFIEltJENRks6KEL7zPUQBCbmDNB9sKEMk9abCxLNLVBScEDnYUyDf+R6icNQ3EIFrKEQAI1rKQW9u43Hq7l5JEqo3MMLuxa0gCCFAoeJWvvFY0iEKdwguS20Ye6IYhPjbinITRBFSbq7GY0kUauIAQMJkkFlF6FCUpDPp5mk7FuUjBMZWlVt9C17iudZQFJwQOdjKzdN2LMpGff8Qtibh1jygpRx0tx0kmVOKOdqq53zhMt/aO0iY9oKlP1RJbVoHCdMrCeaVVjpImCYqkolM8/bY5oHFRIKSc3aQMC0Ea4e4QPN1kDBtpNTlAAsjxzUwXPPW3T/CNRvMKS33j3CtBVNKC/0jXAvBJEJSnehjcMA3G4zyrfWPcO1URDtXeQpGfDPBkM+W4J7+Ea7JYA5osX+Ea2k3/SNc6yh5qs2hL9kmd9o/wrURzFNt9I9wTNzYJfbM0z/ive/mNihK2P0SuyAIYSUJnRh2sMQu6BCFO2TlCZcgBmGhjDAxcy+xC6J0vcQuiEJd4gNAYgfIUBRkI1bYJfkIcZE012laYa+39CWeLZqi4ITAwZb3vhV2STbq64ewNa2wNw9oKQe9uX2/mbs1QvkbnC3ewAg7122SIIT4hOq2Z6XvV9KtCncrrv6eyb7f31d/w6O5TH+67zcN+vtJ4L/WT3KMCBmqDWkriSIkba0tF/uiJNTUCnCkrlv9JDk6E7a+rl9RQELmaFPZqvoOOOW51U8UnBA32MrW1/UrCkd9/xC4BmkLjGgpB91t80juFKuRly9a5lt38wjXXrDuh2rNDWse4XolwbzSRvMI10RFMpFp3h7bPLCSSBByruYRroVg4RDXZ57mEa6NlKIcYGGW2swbss1bc/MI22wwp7TbPMK2FkwpqzePsC0EkwhJdqKPwQHfbDDKt9U8wrZTEe1c5SkY8c0EQz5bg7ubR9gmgzmgveYRtqWdNI+wraPkqTaHvmSb3GXzCNtGME+10DzCMnFjixC5u3lEJTRQlLD7IoQgCGEpCZ0YPjNFCEG3Ktyt+LTtmSxC/K76qberEsSs/BAG5jj5KDjylx8ER4ewjEiYtbrLD4IoHZcfBEmoy58AR6Tzgw1kKAqyGfUHSUBC0iBNBJvqD/VWR+XZuyoKTggc7LmPt/4gCUd9ARG4pvpD84iWctCb2xKde1pr/L3fFm9ghN2rWkEQQoBCVa18S7SkQxTuEFyP2jD2RDEI8bcV4SaIIiTcXC3RkijUxAGAhOEgsYEMRUE6U26elmhRPkJcbFW41VfjKc9dh6LghMDBFm6elmhRNurrh7A16bbmAS3loLvtGymcSszf8h0v8629b4RpL1jyQ4XUpvWNML2SYF5ppW+EaaIimcg0b49tHlhEJAg5Z98I00KwZojrM1/fCNNGSj0OsTBwLpkxDVx35wjXbDCrtNw5wrUWTCotdI5wLQTTCEl3oo/BAd9sMM631jnCtVMR7VzlKRjxzQSDPluEezpHuCaDWaDFzhGupd10jnCto2SqNoe+ZJvcaecI10YwT7XROcIxcWPX2At350jq3/FwCxQl7HyNXRKEsJaETg3l19glHaJwh6w65ZLEICyVEaZmzjV2SZSO19glUaiLfABIOEit8+WhKMgmrLGL8hHiImmu07DGntZb+VLP5kxRcELgYMt7zxq7KBv19UPYGtbYgQEt5aA3t+O3cPdGzOMZwRsYYfe6TRCEEJ9Q3fasdPxKulXhbsXV3zPZ8bvadYOSY0TIUK1IW0EUIWkb20j2RUmoqRXgiAdRYgMZioJ0pmx9fb+igITU0aq0re+mSz23DYqCEwIHW9r6+n5F4agvIALXpG2bR7SUg9b/+zNDPl8uN5L1T30att1+ktA6f9HiNbbjFnkRqTjMl3E7aifJXe0kXHvBOiCqPX89fTgTNXPR80RLG7NA+KhnvmBEiNl8pFWM1hy/mHeFPLkhkRa9JmjLCJc8wcjbaBnhmqhIJgLmaV/+nXbvw+nvBmYMPu2H9udpj20yWFEkCDpXGwnXQrCAiOs0TxsJ10ZKcQ6wUCVBMggcF9hwbRTpJLmVqYYv7R0djY7muaqcHHxPi4tkR39Q3zcRwthvktZOYM1bd/l4YN6hd5wkUe7sOGFbC+YdSsfJ88Z52zPH/2DuZpvV9/hWg9mnDflqYLaGHowDPgaYSuhdKXPbjdlbNwfCRXHIp1BECvg5Mp7dXhi2ZPCIbzCYa+A5ABB8ShN8SjD4jPloYJKidbm4A899vqUtd7k8P74OOvc9b+sR32JKcmU9Not5lT/glGwEmU6Y28GmHgAXwTGfAMyupD6Z541HtxdGLRk74RlbTRXiWCXhieqHlycXi5lstt7KSxjYtbueuyY0ThSw+8KLIMiy9PANEDj57bjw8ktTS9B//m/0dPn6h7zFmCIIrO/GrqirFe5qfCp709s3uFHn84sx9SLFTu/O4fHe/p1qMj397fQ301/p//7T9NfT/8tSlpl+Vv0F1cjUo6FDa0//learb5ndNY9nW26q1ZJv9X/f95dnBEeNsMpKmM27yzOCKB2XZwRJqKvDAEeYRjqh2OPCUBSmsxKNez+KKB4hxbQxw13Mc+tjPFLPwSyi4ITQAU/Obj22eTyIXM1HknDUVxCBayrQNI9oKQe9uU3jWgJbF4e1BFZUZ2CA3UtgQRBCfEIlcAc944IOUbhDcKFqw9gTxSCE31aUmyCKkHJz9owLolDzBgCS6wCYBtYQOBRl6Uy5+drGJfkIobFV6abqRK880k0SnBA72NLN1zYuyUZ9AxG2JuXWPKClHHS3R7OEruXI1IOXBMEy3tpbaZj2LseMZ7CVhkmeYOSttNIwTVQkEwHzLK001kS8xzYZLG8SJJyzlYZpIVilxJWZr5WGaSOl2gdYmLtOwuPat8Y2msy00eR1JTv1t9Fw8cCc03IbDddaMOdQ22jS6zYa5xFt9/hWg5mnDaVqYLaGHowDPgaYRlZpo0m3bg6Ep42GS6GIFPBzZDy7vTBsyeAR32Awz8ByHwg+pQk+JRh8xnw0MEG12EbDtVSgjSa9bqNxvq1HfIspiZX12CzmUP6AU7IRpNto0q2bA+Bpo+ESgNmV3EaTbi+MWjJ2wjN2c2sIjhZ4PW/NaJwoYPc1BEEQwkIZOvHtoIYg6BCFOwSfbNow9kQxlkWBB4MwAXXXEARRuq4hCKJQVzABEB0FrXF+KAqyEQUEST5CXGxjWraYnGX1enPmmaBJghMCBzyjgAd1LMtGff0QNu+AjpEBLeWgN/fcmdCx3Kplm+NcRLczMMDuZZsgCCE8obKt4+5n/rEzgm5VuFtx8bcRnc6kRudbJ8ys1OMsOF6EZNWKyhVEEVK5sY1kX5SEmmUBjmigXF0ygiCdiVxPf7MkHiGJtKpx81oS5R6NKwlOCBtsjRsF6UC5RK4kHPX1Q+CaRG7ziJZy0B13ybhka+HFC5fx1t4lw7QXrFWiqnMdXTJM8gQjb6VLhmmiIpkImGfpkrEqij22yWD1kiDfnF0yTAvBIiSuynxdMkwbKcU8wMIoGNirR0O2hevrk8mCHf0hrEvVhb9PhosHZp2W+2S41oJZh9onU1z3yRSePhmu1WDuaUOsGpitoQfjgI8BJpJV+mSKrZsD4emT4VIoIgX8HBnPbi8MWzJ4xDcYzDSw4geCT2mCTwkGnzEfDUxRLfbJcC0V6JMprvtknG/rEd9iSmplPTaLWZQ/4JRsBOk+mWLr5gB4+mS4BGB2JffJFNsLo5aMnfCM3dyCS+Tqk8kctx64OFHAzgsukiCEtTJ06vusFFwk3apwt+KT1me14KKqgkuxasFFcrwIK6eEGbuz4CKJ0m3BRZJkWaF4SNAFgHQQFrmNZChKsgEVF1E8QhZpYxJbT2Wz+vKjzHOblSg4IW7A8y9KxUUUjvr+IXANFRdgREs56A3uBo9cbUVZSHUGBti9yhUEIcQnVOXKd4NLOkThDsH1qQ1jTxSDEH5bkW2CKEKyzdUNLolCzRsASDwICutyxlCUpDPd5mkHF+UjBMZWhVtYp/nQI9wkwQmRgy3cPO3gomzU9w9ha9JtzQNaykF33CljnQprJRZ58aJlvHV3ynDtBauVqJBaQ6cMlzzByNvolOGaqEgmAuZZOmUSm8l7bJPB+iVBwLk6ZbgWgmVIXJd5OmW4NlLKeYiFwSB2CS6mhWvslIlNp0wyL1ZnkbdTho0HZp12O2XY1oJZh9gpk0WLTpnMeWnjPb7VYO5pQ6samK2hB+OAjwEmkhU6ZbTtNwfC3SnDplBECvg5Mp7dXhi2ZPCIbzCYaWDBDwSf0gSfEgw+Yz4amKLa65RhW9p+p8wi6Nz3vK1HfIspqZX12CxmUf6AU7IRhDtlFsGmHgB3pwybAMyu1E4Z/ewsjFoydsIzdnNrCLGzUyamcaKA3dcQBEEIS2Xo1LeDGoKgQxTuEHy6acPYE8UgrAQSpqDuGoIgStc1BEEU6homABIOlHJNaQVJNqKGIMlHCIxtzMsWs7O4XnL2XJ0rCk6IHPCUAh7UsSwb9f1D2JpqCM0DWspBb3CHc+zs/UiozsAAu9dtgiCE8ITqtmemw1nQrQp3K67+ntUO5zDIgv6fxMHRih3OguNFSFatyFxBFCGZG9tI9kVJqFkW4NCTfLMYeJtkKErSmcr1dDhL4hGySKsit75hMfPcmSkKTogbbJHr7XCWhKO+fwhck8ptHtFSDrrjTpnEhqd1q/Lixct4a++UYdoLVitR2bmOThkmeYKRt9IpwzRRkUwEzLN0yiibyXtsk8H6JUG/OTtlmBaCZUhclvk6ZZg2Usp5gIXKHjWGbPvW2CeTmj6ZrC5VK3+fDBcPzDkt98lwrQVzDrVPRl33yThvYLzHtxrMPG1IVQOzNfRgHPAxwDSySp+M2ro5EJ4+GS6FIlLAz5Hx7PbCsCWDR3yDwTwD630g+JQm+JRg8Bnz0cAE1WKfDNdSgT4Zdd0n43xbj/gWUxIr67FZzKH8AadkI0j3yaitmwPg6ZPhEoDZldwno7YXRi0ZO+EZu7n1lsTZJ5PSOFHA7ustgiCElTJ04vvM1FsE3apwt+JT1me13qKCKOgfZSufKCM4XoR1U8J83V1vEUTpuN4iSEJd7wU4woGyggxFQTah3CKJR0gibcxhFzPZtF6c99wjLApOCBvw9ItUbpGEo75+CFxTuaV5REs56A1uBk+cTUUZ1RkYYPciVxCEEJ9QkdtBM7igQxTuEFye2jD2RDEI4bcV1SaIIqTanM3ggijUvAGBZKmVZChK0plu8zWDS/IRAmOrwq2+jjLz3C8qCk6IHGzh5msGl2Sjvn8IW5Nuax7QUg664zYZayDSSsx/s1SyjLf2NhmmvWCxEhVS62iTYZInGHkrbTJMExXJRMA8S5uMtV91j20yWL4kCDhnmwzTQrAKiesyX5sM00ZKNQ+xUA+zslk4ZFu4xkaZYucgzoO6Vp37G2W4eGDWablRhmstmHWojTL5daOM8xLGe3yrwdzThlY1MFtDD8YBHwNMJKs0yuRbNwfC0yjDpVBECvg5Mp7dXhi2ZPCIbzCYaWDBDwSf0gSfEgw+Yz4amKJabJThWirQKJNfN8o439YjvsWU1Mp6bBazKH/AKdkI0o0y+dbNAfA0ynAJwOxKbpTJtxdGLRk74Rm7uTUER+uznrkWNE4UsPsagiAIYakMnfp2UEMQdIjCHYJPN20Ye6IYhJVAwhTUXUMQROm6hiCIQl3DBED0jDZ19X4IkmxEDUGSjxAY25iXLWZnRb3k7LkcVxScEDngKQU8qGNZNur7h7A11RCaB7SUg97gBmfl6v2YPxkEZ2CAnes2SRBCeEJ127PS4CzpVoW7FVd/z2qDcxwkQf8oWrXBWXK8CMmqDZkriSIkc63acF+UhJplAY54oCJrOBiKknSmct0dzqJ4hCzSpsjN6wsWc8+VmaLghLjBFrm+DmdROOr7h8A1qFxgREs56I47ZVIbntat/pul1DLeujtluPaC1UpUdq6hU4ZLnmDkbXTKcE1UJBMB8yydMqFL6DFtBguYBAHnapXhWgjWIXFd5mmV4dpIqecBFma5/YqtIdvA9XXK5JHplInnxeo89HbKsPHArNNupwzbWjDrEDtl8nDRKZM7L2G8x7cazD1tiFUDszX0YBzwMcBEskKnjLb95kC4O2XYFIpIAT9HxrPbC8OWDB7xDQYTDaz4geBTmuBTgsFnzEcDM1R7nTJsS9vvlFkEnfuet/WIbzEls7Iem8Usyh9wSjaCcKfMItjUA+DulGETgNmV2imjn52FUUvGTnjGbm7FJXV1yuQRjRMF7L7iIghCWCtDp77PTMVF0K0Kdys+ad2IissOo+QSBnnQ/5Nw1TP8JQeMsHRKmLG7Sy6CKB2XXARJqEu+AEdkai42kqEoySaUXCTxCGmkjVnsYi4b1Qv0nquERcEJcQOegJFKLpJw1PcPgWsquTSPaCkHvcEN4amzsSimOgMD7F7mCoIQ4hMqc+UbwiUdonCH4ALVhrEnikEIv63INkEUIdnmagiXRKHmDQDE7HG2VqiHoiSd6TZPQ7goHyEwtirc6gspc88No6LghMjBFm6ehnBRNur7h7A16bbmAS3loDtulclseFqJJV68dBlv7a0yTHvBciUqpNbRKsMkTzDyVlplmCYqkomAebZWGeta0B7bZrCCSVBwzlYZpoVgIRIXZr5WGaaNlIIeYGGswoF1r/WQbeEae2WU6ZVJ63J14u+V4eKBaaflXhmutWDaofbKJNe9Ms5rGO/xrQaTTxti1cBsDT0YB3wMMJOs0iuTbN0cCE+vDJdCESng58h4dnth2JLBI77BYKaBFT8QfEoTfEow+Iz5aGCKarFXhmupQK9Mct0r43xbj/gWU1Ir67FZTKP8AadkI0j3yiRbNwfA0yvDJQCzK7lXJtleGLVk7IRn7OYWETJnr4yicaKA3RcRBEEIa2Xo3LeDIoKgQxTuEHy+acPYE8UgLAUSpqDuIoIgStdFBEEU6iImAKKiQWZduxuKkmxEEUGSjxAY25iXLWZnql5z9lyQKwpOiBzwlAIe1LEsG/X9Q9iaigjNA1rKQW9wj3PmbP5Iqc7AALvXbYIghPCE6rZnpsdZ0K0Kdyuu/p7dHmcVRP0/WbHBWXC0CKmqFZEriCIkcq1FrX1REmqOBTjCQA1UYkMZiqJ0JnI9Hc6SeIQk0qrGrS9ZzD3XZoqCEwIHW+N6O5wl4agvIALXJHKbR7SUg+64U8ZaQNayNfPiZct4a++UYdoLFitR1bmOThkmeYKRt9IpwzRRkUwEzLvVKRPZn6c9tslg+ZIg4JyNMkwLwSokrst8jTJMGynVPMDCKIgCx/FZQ7aNa2yVyU2rTFFXqzN/qwwXD8w7LbfKcK0F8w61VSa7bpVxXsV4j281mH3akKsGZmvowTjgY4CpZJVWmWzr5kB4WmW4FIpIAT9HxrPbC8OWDB7xDQZzDaz5geBTmuBTgsFnzEcDk1SLrTJcSwVaZbLrVhnn23rEt5iSXFmPzWIe5Q84JRtBulUm27o5AJ5WGS4BmF3JrTLZ9sKoJWMnPGOrSVJ+dhIFyVn/9LRI+4mexfZP41B/FoaX0Ul4GSZn8xTgnLV6pu3smauzVcZ/0dQtThSw+5KLIAhhtQyd/N4oDDyZfjH9dr6g/2T6h2qB//3ebFY7W48PVDY7c2T2xfHrr715cfZm78WLs9der9bgg57NLbuiblG4W/Bp583qkMs3N5YBWqiRPHjwqqdI8tH0lzu96WfVn6pKVqZMVQRBvNMLkQJJoP962/DsiQ4PYamTMMV210gEUTqukQiSUJdoAY40SAdB4trcIsiyCUUSSTxC2G9j1rmYe+b1krrnAmBRcELkgCdMt1bC8ngQuYokknDUNxCBayqSNI9oKQe9wR3cubMTqKA6AwPsXpYKghDiEypLO+jgFnSIwh2CC1Ibxp4oBiH8tiLcBFGEhJuzg1sQhZo3AJA4iAdBlNhYhqIsnSk3Xw+3JB8hNLYq3eqLJHPPzaCi4ITYwZZuvh5uSTbqG4iwNSm35gEt5aA7bm8pbHh34iLw4uXLeOtub+HaCxYYUSm1hvYWLnmCkbfR3sI1UZFMBMyztbdYux722DaDNUeChnP1t3AtBEuHuDTz9LdwbaSU4BALk3CQKJuJQ7aJ62tvKcId/SGaV5iLwNvewsYD80677S1sa8G8Q2xvKYJFe0vhvD/xHt9qMPu0oVYNzNbQg3HAxwBTyQrtLdr2mwPhbm9hUygiBfwcGc9uLwxbMnjENxhMNbDkB4JPaYJPCQafMR8NzFHttbewLW2/vWURdO573tYjvsWU3Mp6bOp5VEPAKdkIwu0ti2BTD4C7vYVNAGZXanuLfnYWRi0ZO+EZu7l1hMLV3lL4b4e6xYkCdl5HkAQhLJahk1/5OoKkQxTuEHzCacPYE8UgrAUS5qDOOoIkSsd1BEkU6iomABLpMGjfnDYURdmEMoIoHyEytjExW0zPwvmqc+G52FYUnBA64DkFPKhjWTbqC4iwNZQRgAEt5aA3+CiYwtUAUkRUZ2CA3Qs3QRBCeEKF27NyFIykWxXuVlz+Lfc133LF56aNePqF/vJSqzM0CtVvv9a/vqr+meqLDx68erNPuupjnvk1TFfuXZYcAkL+aUW6CqIISdfYRrIvSkJNnABHEg0S+ys+FEXpTLm6W5dF8QiZoVXhWt93WHhusBQFJwQOtnD1ne8iCkd9ARG4JuXaPKKlHHS3DTD2dnStRWMvXrGMt/YGGKa9YAkSlZLraIBhkicYeSsNMEwTFclEwDzLTUjWJaQ9tslgUZIg4Jz9L0wLwdoirst8/S9MGyk1OsDCSA1Ca9wYsi1cY/tLYtpfVF2Bjv3tL1w8MOu03P7CtRbMOtT2l/i6/cV5J+I9vtVg7mlDrBqYraEH44CPASaSVdpf4q2bA+Fpf+FSKCIF/BwZz24vDFsyeMQ3GMw0sOIHgk9pgk8JBp8xHw1MUS22v3AtFWh/ia/bX5xv6xHfYkpqZT02i1mUP+CUbATp9pd46+YAeNpfuARgdiW3v8TbC6OWjJ3wjN3YKoo5sM/GqWeuCY0TBey+iiIIsiw9fAMETn2fmSqKoFsV7lZ80roRB+ozztOPgjTo7yfBikfqS44XYeWUMGN3l1wEUTouuQiSUFd8AY5soGIryVCUZBMqLpJ4hCzSxiR2MZVN6vV5z72+ouCEuAHPv0gVF0k46vuHwDVVXJpHtJSD3twmb61yrau/WuUqqjMwwO5VriAIIT6hKreDJm9BhyjcIbg+tWHsiWIQwm8rsk0QRUi2OZu8BVGoeQMAiQdZmtlIhqIknek2X4+3JB8hMLYq3OrbIQvPdZ+i4ITIwRZuvh5vSTbq+4ewNem25gEt5aA77pRxrTemPrwwWMZbe6cM016wWokKqXV0yjDJE4y8lU4ZpomKZCJgXny7U8a1Psc0GaxfEgScs1OGaSFYhsR1ma9ThmkjpZwHWJiooHAfFcO0cY29MpnplcnrcnXq75Xh4oF5p+VeGa61YN6h9sqk170yzlsR7/GtBrNPG2rVwGwNPRgHfAwwlazSK5Nu3RwIT68Ml0IRKeDnyHh2e2HYksEjvsFgroElPxB8ShN8SjD4jPloYJJqsVeGa6lAr0x63SvjfFuP+BZTkivrsVnMo/wBp2QjSPfKpFs3B8DTK8MlALMruVcm3V4YtWTshGfs5lYRHNpdz10zGicK2H0VQRCEsFiGTn47qCIIOkThDsEnnDaMPVGMZVHgwSBMQt1VBEGUrqsIgijUVUwAJM3SQeI8K0aQZSPqCJJ8hNDYxsxsMT/L6mVnz221ouCE2AFPKuBBHcuyUd9AhM07oGNkQEs56Eq5JXGs/5IT1Q8vTy4WvSLZmrucQ2f/h/fmJJszMMDulZsgCCE8ocqt4y7nX5rGXf3n/2b66Kkf8nY+mzsaba7eFXW1wl2Na8KN6HzeIbU+22/MXKn/WXDUCGmsFQksiCIkga2v0r4oCTX/AhxhrKJB7jx0RhCmMwnsaYGWxCOkmFYVcH27YuG5L1MUnBA62ArYd1+mKBz1FUTgmiRw84iWctAdt9K4RG3hxQuX8dbeSsO0Fyxmopp0Ha00TPIEI2+llYZpoiKZCJhnaaWxPv97bJPB8iZBwjlbaZgWglVKXJn5WmmYNlKqfYCF+SBNbAYO2QaurY8mCYId/SGsS9mFv4+GiwcmnZb7aLjWgkmH2kdTXPfROK9fvMe3Gkw9bWhVA7M19GAc8DHAPLJKH02xdXMgPH00XApFpICfI+PZ7YVhSwaP+AaDiQYW/EDwKU3wKcHgM+ajgRmqxT4arqUCfTTFdR+N82094ltMyaysx2YxifIHnJKNIN1HU2zdHABPHw2XAMyu5D6aYnth1JKxE56xlV6Edu4aHueU1TNnZ09bHX00yfwdhzlRwK6rMaIghKUydObbcTWGe+aMqFsV7lZ8zroRlRdS4aU+cyYO+kd58MJKNRfR8SIsnBIm7K6aiyhKpzUXUZJlheIhQef/0UAV1lWUoSjJ+gsusniELNLGJHY+lTWTkGp5fv6JDfxAFpwQN+D5F+HMGVk46vuHwPkLLsiIlnLQG9wtHjl6jvQcnOoMDLB7lSsIQohPqMoV7xYXdYjCHYLrUxvGnigGIfy2ItsEUYRkm6NbXBSFmjcAEB0F7duChqIknek2d6+4LB8hMLYq3MI6zbvvFZUFJ0QOtnBz94rLslHfP4StSbc1D2gpB91xo4x1KqyVWOTFi5bx1twow7YXrFaiQqr7Rhk2eYKRt9AowzZRkUwEzLM0ylif/z22yWD9kiDgHI0ybAvBMiSuy9yNMmwbKeU8wMI4GaT2zXlsC9fYKRObTplkVqzW9vs6Zfh4YNZptVOGby2YdWidMtqculNm7mab1ff4VoO5pw2tamC2hh6MAz4GmEj4nTLG9psD4eyU4VMoIgX8HBnPbi8MWzJ4xDcYzDSw4AeCT2mCTwkGnzEfDUxRrXXK8C1tvVPmOujc97ytR3yLKamV9dgsZlH+gFOyEWQ7Za6DTT0Azk4ZPgGYXYmdMubZWRi1ZOyEZ+zm1hBiZ6dMTONEAbuvIQiCEJbK0KlvBzUEQYco3CH4dNOGsSeKQVgJJExB3TUEQZSuawiCKNQ1TABEDSJ7oB+KkmxEDUGSjxAY25iXLWZncb3k7L4/VxacEDngKQU8qGNZNur7h7A11RCaB7SUg97gDufY2fuRUJ2BAXav2wRBCOEJ1W3PTIezoFsV7lZc/T2rHc6q6nAuVu5wFhwvQrJqReYKogjJXGtZa1+UhJplAY4wGNQm35a5giidyVxPi7MkHiGNtKpyk1oUua/VlAUnBA62yvW2OEvCUV9ABK5J5jaPaCkH3XGrjDUQaeGqvHjxMt7aW2WY9oLlSlR3rqNVhkmeYOSttMowTVQkEwHzLK0y1ud/j20yWMAkCDhnqwzTQrAOiesyX6sM00ZKPQ+wMEoGcWazcMi2cI2tMqlplcnqarXyt8pw8cCs03KrDNdaMOtQW2XUdauM86LGe3yrwdzThlg1MFtDD8YBHwNMJKu0yqitmwPhaZXhUigiBfwcGc9uLwxbMnjENxjMNLDiB4JPaYJPCQafMR8NTFEttspwLRVolVHXrTLOt/WIbzEltbIem8Usyh9wSjaCdKuM2ro5AJ5WGS4BmF3JrTJqe2HUkrETnrGbW3JJnK0yKY0TBey+5CIIQlgrQ6e+z0zJRdCtCncrPml9VksuYZAF/T+Jg6MVSy6C40VYOSXM2N0lF0GUjksugiTUFV+AIxvEofXxGoqSbELFRRKPkEXamMQuprJpvT7vvmtYFpwQN+D5F6niIglHff8QuKaKS/OIlnLQG9wQnjgbizKqMzDA7lWuIAghPqEqt4OGcEGHKNwhuD61YeyJYhDCbyuyTRBFSLY5G8IFUah5AwCJB6lKbSRDUZLOdJuvIVySjxAYWxVuWZ3m3ReQyoITIgdbuPkawiXZqO8fwtak25oHtJSD7rhTxhpStRLzXy6VLOOtvVOGaS9YrUSF1Do6ZZjkCUbeSqcM00RFMhEwz9IpY33+99gmg/VLgoBzdsowLQTLkLgu83XKMG2klPMAC5NBYR3mIdvANTbKFDsHSRjUterc3yjDxQOTTsuNMlxrwaRDbZTJrxtlnNcw3uNbDaaeNqSqgdkaejAO+BhgHlmlUSbfujkQnkYZLoUiUsDPkfHs9sKwJYNHfIPBRAPrfSD4lCb4lGDwGfPRwAzVYqMM11KBRpn8ulHG+bYe8S2mZFbWY7OYRPkDTslGkG6UybduDoCnUYZLAGZXcqNMvr0wasnYCc/YzS0hKGejTEHjRAG7LyEIghBWytCZbwclBEGHKNwh+GzThrEnikFYCCTMQN0lBEGUrksIgijUJUwIJEusTSxDUZKNKCFI8hECYxvzssXsrKhXnN3348qCEyIHPKWAB3Usy0Z9/xC2phJC84CWctAb3OCsXK0fYUB1BgbYuW6TBCGEJ1S3PSsNzpJuVbhbcfX3rDY4qyAK+kfZqmfKSI4XIVm1IXMlUYRkrlUb7ouSULMswBEOktwaDoaiJJ2pXHeDsygeIYu0KXLD+o7F0HNrpig4IW6wRa6vwVkUjvr+IXANKhcY0VIOuuNGGWvHntat/sul1DLeuhtluPaC1UpUdq6hUYZLnmDkbTTKcE1UJBMB8yyNMpnN5D22yWD9kqDfXI0yXAvBMiQuyzyNMlwbKeU8xEI9zI5lRa6F6+uUCSPTKRPPi9Vh6O2UYeOBWafdThm2tWDWIXbKhOGiUyZ03sN4j281mHvaEKsGZmvowTjgY4CJZIVOGW37zYFwd8qwKRSRAn6OjGe3F4YtGTziGwxmGljxA8GnNMGnBIPPmI8Gpqj2OmXYlrbfKbMIOvc9b+sR32JKamU9NotZlD/glGwE4U6ZRbCpB8DdKcMmALMrtVNGPzsLo5aMnfCM3dyKS+rqlAkjGicK2H3FRRCEsFaGTn2fmYqLoFsV7lZ80vqsVlziIAn6R9HKFRfB8SKsnBJm7O6KiyBKxxUXQRLqii/AEQ9UWNhIhqIkm1BxkcQjZJE2JrGLqWxUr897LhMWBSfEDXj+Raq4SMJR3z8Erqni0jyipRz0BveDp86+opjqDAywe5UrCEKIT6jKle8Hl3SIwh2C61Mbxp4oBiH8tiLbBFGEZJurH1wShZo3AJBwkFnr00NRkM5km6cdXJSPEBdb1W31jZSh54pRUXBC4GDrNk87uCgb9fVD2JpkW/OAlnLQHTfKWBsFtBBLvHjpMt7aG2WY9oLFSlRHraNRhkmeYOStNMowTVQkEwHzLI0y1g24e2yTwfIlQb85G2WYFoJVSFyW+RplmDZSqnmIhfkgta74DdkWrrFRRplGmbSuVSf+RhkuHph1Wm6U4VoLZh1qo0xy3SjjvIXxHt9qMPe0oVUNzNbQg3HAxwATySqNMsnWzYHwNMpwKRSRAn6OjGe3F4YtGTziGwxmGljwA8GnNMGnBIPPmI8GpqgWG2W4lgo0yiTXjTLOt/WIbzEltbIem8Usyh9wSjaCdKNMsnVzADyNMlwCMLuSG2WS7YVRS8ZOeMZubgkhczbKKBonCth9CUEQhLBUhk59OyghCDpE4Q7Bp5s2jD1RDMJKIGEK6i4hCKJ0XUIQRKGuYQIg0SBznZIqSbIRNQRJPkJgbGNetpidqXrJ2XM7rig4IXLAUwp4UMeybNT3D2FrqiE0D2gpB73BDc6Zs/UjpToDA+xetwmCEMITqtuemQZnQbcq3K24+ntWG5yjIA36+0nwJys2OAuOFyFZtSJzBVGEZK613LEvSkLNsgCHGqjc1eAsSNKZyvU0OEviEbJIqyK3vmEx9NyZKQpOiBtskettcJaEo75/CFyTym0e0VIOuuNOGWungNatmRcvW8Zbe6cM016wWonKznV0yjDJE4y8lU4ZpomKZCJgnqVTJrRqij22zWABkyDgnK0yTAvBOiSuy3ytMkwbKfU8wMK4CAaus6q5Jq6xVyY3vTJFXa7O/L0yXDww77TcK8O1Fsw71F6Z7LpXxnkP4z2+1WD2aUOuGpitoQfjgI8BppJVemWyrZsD4emV4VIoIgX8HBnPbi8MWzJ4xDcYTDWw5geCT2mCTwkGnzEfDcxRLfbKcC0V6JXJrntlnG/rEd9iSm5lPTaLeZQ/4JRsBOlemWzr5gB4emW4BGB2JffKZNsLo5aMnfCM3dyai2MuqOeu/mumbnGigN3XXARBCKtl6OT3mam5CLpV4W7Fp60bUXPZYRRdQhVE/VUrLoKjRVg5JUzY3RUXQZSOKy6CJNQVX4AjDLNBGLlqLoIsm1BzkcQjZJE2JrGLqWxer9B7bhMWBSdEDnj+Raq5SMJR30AErqnm0jyipRz0BneE587OooLqDAywe5UrCEKIT6jK7aAjXNAhCncIrk9tGHuiGITw24pwE0QREm7OjnBBFGreAEBUPlCpFWUoitKZcPO1hEvyESJjq8qtvpQy9NwyKgpOCB1s5eZrCZdko76ACFuTcGse0FIOuuNmGesM8k4SBV68fBlv3c0yXHvBciWqpNbQLMMlTzDyNppluCYqkomAebeaZSL787THNhksYBIUnKtXhmshWIfEhZmnV4ZrI6WeB1gYBUE0yBKbjUO2jetrlonCHf0hmtero8DbLMPGA/NOu80ybGvBvENslomCRbNM5LyL8R7fajD7tKFWDczW0INxwMcAU8kKzTLa9psD4W6WYVMoIgX8HBnPbi8MWzJ4xDcYzDWw5AeCT2mCTwkGnzEfDUxS7TXLsC1tv1lmEXTue97WI77FlOTKemzqeVRDwCnZCMLNMotgUw+Au1mGTQBmV2qzjH52FkYtGTvhGbu5ZYTC1SwT+W+ausWJAnZeRpAEISyWoZNf+TKCpEMU7hB8wmnD2BPFIKwFEiahzjKCJErHZQRJFOoqJgASB8HAcdneUJRlE+oIonyE0NjGzGwxPwvny86R55ZcUXBC7IAnFfCgjmXZqG8gwtZQRwAGtJSDrpRbnJ+dREFy1j89LdJ+kodB/zQO9WdheBmdhJdhcpY8WINyczSARBHVGRhg98pNEIQQnlDldqMZ98n0C63aZk20T6Z/qJpq3+/N5NmsBzZQWdD/kzA4mn1x/Pprb16cvdl78eLstdervtegZ3PLrqhbFO4WXL/d7Mh2+eZGAaeFvuQHD171NCZ/NP3lTm/6WfWnqjZx0xpeBEG80wuRpuRA//W24dkTHR5CbmlFlwqiCOnS2EayL0pCTYoAR6plaR5Z4/tQlKUzWeruSxbFI4T9VlVpfTVi5LnsUhScEDnYqjTM44F92WwsC0d9AxG4JlnaPKKlHHS37S2xdUy10Iy9eMUy3trbW5j2ggVGVCeuo72FSZ5g5K20tzBNVCQTAfNs7S3WF2CPbTNYcyRIOGd/C9NCsHSIKzNffwvTRkoJDrAw0snLqh6HbAvX2N2SmO4WVReYY393CxcPTDstd7dwrQXTDrW7Jb7ubnFeoHiPbzWYfNpQqwZma+jBOOBjgJlkle6WeOvmQHi6W7gUikgBP0fGs9sLw5YMHvENBjMNLPmB4FOa4FOCwWfMRwNTVIvdLVxLBbpb4uvuFufbesS3mJJaWY/NYhrlDzglG0G6uyXeujkAnu4WLgGYXcndLfH2wqglYyc8Y421ZxdxlsXncf8kObnoJ0mQ90+y04t+HqksOT0Lozyf8zgnrZ5ZO3vi6uxuSWicKGD3NRJBkGXp4RsgcO57o0byrZ7DfqEnrT+++ns9Ba5qAMuHudyoivzQWj6x+WVX1C8K9ws+7WxyTVMt4+bBKmANw+K6PVHXEZYhCbNfdwFDEKXjAoYgCXX5FOBIB0Vq3RQ3FCXZhPKFJB4hIrcxIVxMC5N6sdtzo64oOCFuwHMZyrEqonDU9w+BaypfNI9oKQe9uf3QWjG6umoU1RkYYPeKURCEEJ9QxdhBP7SgQxTuEFwq2jD2RDEI4bcV2SaIIiTbnP3QgijUvAGAxIMkt5IMRUk6022+bmhJPkJgbFW41fcyRp6LNkXBCZGDLdx83dCSbNT3D2Fr0m3NA1rKQXfcduJau0t9eFGwjLf2thOmvWDlDxVS62g7YZInGHkrbSdMExXJRMA8W9tJarN5j20zWAwkKDhn2wnTQrCmhwszX9sJ00ZKbQyxMMjsgWPItnCNbSeZaTvJ68pv6m874eKBaaflthOutWDaobadpNdtJ87bCO/xrQaTTxti1cBsDT0YB3wMMJOs0naSbt0cCE/bCZdCESng58h4dnth2JLBI77BYKaBFT8QfEoTfEow+Iz5aGCKarHthGupQNtJet124nxbj/gWU1Ir67FZTKP+/+z9W5MkyXHvCX6VlPNERmaE+M38whU8oOsEaqNYmRmVnrkiEDaFktcZyCGBERAjsjsiRwTdTRCggAcgiXOhNO7gzA4fds82uruI6lv1F5iHyK+wn2TdIsI9Kj3NzP+qYWoR2AHIjq7KyqzWn5q76t9M1czcAadmI0i3neSjhwPgaDvhEoDZldx2kh92RvWMveAZu79FhNjadlLQOFHA8EUEQRDCWhk69w1QRBB0iMIdgs83TRhTUYy+KHBgEKag9iKCIEroIoIgCnUREwCJ80lkO5tdEmUvqgiSfITI6GNi1k3PinbR2XFJrCg4IXTAcwp4UOeybNQXEGFzDugcGdBaDnp/r45shJut+8N5w5DJGRhgeOEmCEIIT6hw+325OlLSrQp3Ky7/+meyPHLFh7p9eNmD3DumBRqF5W8/a/75dPmfWX7x7be/+fCMl2Xf8sqvcb5lz7Kg/wnJx4tuFUQR0q2pieSpKAk1awIcaTKJjSQzUZJgqtXRsyyJR8gKXkVre3Fg4rgKUhScEDfYotXZsywJR33/ELgh1To8orUcdPO/P38j8Ggx+mcudeq5F8amSysHbupY5cWspejNN3thLKdKv8W2FyxHorLyF4vfanVy/7fdemCjYl6vVwO/p8XNSn1sWl7WbTFamfxuKWm0Mvl0ef7c/Q+WmujDdVvMp0vV+UGjqF6tjqtbfdvRm3/yevFRJ2zebY+x+3Jp0rvrv7URV68PoqNE91g0f+/9D+7fNbn0CdulGeZSL002TBMVyUTAvKTfZJNbry5imgxWPglC0dpjw7QQLGDi+s/VY8O0kVIIBCxMIjUpS5OJM7aJu2uySaOj5kNfX5Qm+iNtK96Vu92GCwpmNnq7TZLmmb3fhmsumNqo/TbVpt/GeqHhc77VYILzoZA1zGjmwDjmY4BJZZt+m2r0cCAc/TZcCkWkgJ8j7dnDzrCewad8g8GsA08zgDhU6zhU6zhU6zhUg3FozocEExet88YRg17wTRVovak2rTfWF/eMbzEl47KeoG4W5449NRtBuvWmGj0cAEfrDZcAzLTk1pvqsDOqZ+wFz1ht7XVSpUkSX41vqvR6nGVJNi6TKBrfxldVdVXEeXG7TmrWObJj0YA9T7a13qwPMYU5UcDgFRxJEMJaHTrV/m9vzJabafb/s5lN/245D26mus0cbJqmf6HTRpTpmoH++svFb5d/uiw7jFdf1H05Jm88EfWGwr2BT0FNGFNRDMI6JGFaaq1fSKII1S/WG+YeTV8lUfoJ14GCTnNVPMkKE8lMlCRYASNrRsrI90yWjxAVfczP2llaGq3Xu1PHdbOi4ITIAU8t4EGdy7JR3z+EbaCAAQxoLQe96pfObori+jYdX8VlOc5ylYwv09urcVZd3sRX+eVNqa7f3oFos5Q31luACc7AAMOLNkEQQnhCRdvjful1E7S5bRpvDDF554modxTuna1FnCAGIRR7EXGCKEIiztY8LYlCTSIASBpNytIYDmeiKMFUXF5OMksfiigfIUx6VXHt/YWp40JKUXBC6GCrOOugzmXZqC8gwjak4oYHtJaDXqq4q+pGXWZpOU4u46r53vJufKUuk3GZZ+XNTXxzk6j1CnRYFZeanNGouITqDAwwvIoTBCGEJ1TF/XLdUNKe9PLJqsH25eKTtZo7WPzLsgXlb5atMHqNbtkPrMXa6tu/XLw+aP6af168P17uiPuHxc8X/7n5/NXiNyYPPRH1kMI9hCu5xfsrj3Q3Tm66cF4dLH59/+7SKZ+s1iQXHx0s/rHxz+/0UTq6FegfFr+Oo4PNGuWDDuZfRweL3xwk6sAms6ai7iKEfS+KURBFRDFa9no8FSWh5iuAI6uySRzbFKMgSzDFGOcT8xXtz2T5CCHZq2JsrxZMHZdFioITQgdbMVoHdS7LRn0DEbYhxTg8oLUc9Gq7XXSX3Kjsanx5pdQ4S6+yRmem0fhS3ZV3pbotomonijEzOaNRjCnVGRhgeMUoCEIIT6hifN/Qu/xKy5o32pUP/vT225d/dXnwV5ffvvxf/pdvrKVko4teNgJKa6Dl71UUVas/eF+vEmqJpTua193QX66+KYmi++8l5u6bJ6K+U7jvcC25dszxyjE28tWl40tPaSd1Trj/Xn5UNZ7/3OSNqag3CPGeIBVtjcuSJEJKMTJWqJ6KolATFQCSJNEkqWxSUZAlmFSsMmXd5SYKSAjGXrVi2koLx6WNouCE2MHWirl1VOeycNR3EIEbEovDI1rLQQc+4dm2YJg58LIk7uPtelcb195+0PjDrraN+GO6NMNc6mNXG9dERTIRMM+wq82Y46dsk8H9BT7EIdNCcHMASfTZdrVxbaT02AMWpukkMgbQGdvCHW5qU3orW64/9BnSaXuMa5o5N7WxQcHE5nlTG9tcMLMRN7WlWbepLbXeA/acbzWY33wIYg0zmjkwjvkYYE7ZYlNbY/vDgbBvamNTKCIF/Bxpzx52hvUMPuUbDCYdeFYBxKFax6Fax6Fax6EajENzPiSYtzxuamOb6n9TWxd/Xjhe3DO+xZSEy3qCukmbO/bUbAThTW1d3GkHwL6pjU0AZlrqprbm2emM6hl7wTNWW3uZJ9FllN6Ni7tLfYRhHI8v7+5ux5m6Se4ub6NrdXe14rFOkR1rBOxpsnVTm6JxooDh6ySCIISlOXSmvUWd5Nf6gMLlN69acOqnscqKk/Xv2mLAga0Q8ETUVQp3FT49xcoiKinjg+UVVR8uHfvBsuHmC70BUC9gvLsumaDVEkEnEVY8fUyIBUlCV0sEUagrtQBIqiZpZiuWCKIEK5bEaZlNKmUifCZLSAjJPiaH3RSxvT0xdVyHKQpOiB3wvKY/rEVa2JuxJeGo7yACN1QtGR7RWg56j5uxU+uWupzqDAwwvGQUBCHEJ1Qy7qIZW9BDCvcQrhR33Iwt6C5C3CdoRnsztiCKkGg0hqunoiTUfAVwFNUkKWyaURAlnGZ09GJL8hEislfFmLf6wnE7pSg4IXKwFaOrF1uSjfoCImxDgnF4QGs56D0+gyG17t5z3wNjcAYGGF4wCoIQwhMqGEOfwSDoHYV7BxeLJoypKAYhFHsRcYIoIiLOcQaDIAo1iQAgelXMSDITJQkm4lxHMEjyEaKkVxHXXneWOu6vEwUnRA62iHMdwSDJRn3/ELYhETc8oLUc9B6ffppaN9SVVGdggOFFnCAIITyhIk769FNBbyjcG1uLNkEMQuj1ItoEUYREm/X0U0EUatIAQMrJco79mGQmShJMtLlOP5XkI0RFr6Ktve0rddzfJgpOiBxs0eY6/VSSjfr+IWxDom14QGs56MAb22wyrHLiJX28nW9sY9rbjxl/2Ni2kWxMl2aYS71sbGOaqEgmAuYZNralJpOnbJP7MV5wYxvTQnCDAC74XBvbmDZS+uwBC5WaFJXJwhnbwt1tbMv0bW2Zvq0t07e1Ze0tSan7tjY2KJjYfG9s45oLZjbqxrbNbW2p47Y2ttVgfvOhhzXMaObAOOZjgDllm41tm9va0oHb2tgUikgBP0fas4edYT2DT/kGg0kHnlQAcajWcajWcajWcagG49CcDwnmLZ8b27imCmxs29zWZn9xz/gWUxIu6wnqJm3u2FOzEaQ3tm1ua3PHnXM+AZhpyRvb9G1t5phzwTN2f+sVmW1jW+a6BcXAiQIGr1dIghBW5tCZtnC9QtIbCvcGPgM1YUxFMQirjoRZqbVeIYkSuF4hidJPuA4UdJYbp5MqsxQsJFH2oWAhykcIiz4maO00LWtv98oc17WJghNCBzy3gAd1LstGfQERtoGCBTCgtRz0HrcKZ7a9ZZnr1hOjMzDA8KpNEIQQnlDVFrhVWNI7CvfO1ipOEIMQir2oOEEUIRVnaxWWRKEmEQCknKS5pVYhSRJMxDlahUX5CFHSq4hrL/fKHLe1iYITIgdbxDlahUXZqO8fwjYk4oYHtJaD3uMDAjLbfq/1kScEZ2CA4UWcIAghPKEibgcHBEh6SOEewoXcbg8IkHQXIex7EYyCKCKC0XpAgCQJNV8hHGk6KavcxDITZQmmGB0nBIjyEUKyV8XYXu6VOW5rEwUnhA62YnScECDKRn0DEbYhxTg8oLUc9H9cvatRmlR5Os6j62ycJdnduKyKm3FZNn8QX+eXV9V60MMqxszkjEYxplRnYIDhFaMgCCE8oYpxi1NIf7H+jn9r1NSHb9zaFkel/gX/0jZJFyrchbikBE8njcvioPl932vgcaSSXiGEf4JytLUxS5IICUfbcaSSKNS8BYCoapKbD+uciaKEE45xWk4S22KjJCEhNnuVju1VX5nj8jZRcELsYEvHQpXWy9tE4ajvIAI3pB2HR7SWgw68x80Yixo1mDnx0j7erve4ce3tB40/7HHbiECmSzPMpT72uHFNVCQTAfMMe9wyk8lTtsn9IC+3x41rIbhXgCT6bHvcuDZSWu4BC9UkVyYDZ2wDd7jFTd/dlum727Jivaskc1/bxmYEU5rn3W1sc8GcRtzdlm2ubcsc17axrQYzmw8prGFGMwfGMR8DzCZb7G7LNte2ZQPXtrEpFJECfo60Zw87w3oGn/INBtMNPJ8AQlCtQ1CtQ1ANhqA5nw9MVh43trFN9b+xLdvc2GZ/Z8/4FlOyLOvh6WZq7rBTsxGEN7Zlmxvb3CHnnE8AJlnqxrZM39hmDjcXPGOXc4abNLqO05vx3VURj7Moq8aVSm+bqXJZXqfN76/imxWPdV7sWBhgz42tG9sUjRMFDF8rEQQhrMeh0+staiX/rZlt64rAsstm9SVHeUTFcQwVSgT9p3D/4RNVtFDS4Os9gxuXHcFVEkGXEFY6fUyEBUlCV0kEUagrtABIPomy3EQyEyUJVySJ4mpiPpz6mSwhISj7mBl288P2hq/McWebKDghdMCTmkdFkjixF0kk4aivIAI3VCQZHtFaDnqPW7KVdV9dTnUGBhheNAqCEOITKhp30ZIt6CGFewiXhTtuyRZ0FyHuEySjvSVbEEVIM9pasgVJqPkK4UgnyiYZBUnCSUZHQ7YkHyEgexWM7Q1fmePKNlFwQuBgC0ZXQ7YkG/X9Q9iG9OLwgNZy0Ht8epaybuFzX31icAYGGF4vCoIQwhOqF6VPzxL0hsK9gWtDE8ZUFIMQer1oNkEUEc3mOD1LEIWaNACQeJLFxug3EyUJJtpch2dJ8hGiolfR1t7olTmuaBMFJ0QOtmhzHZ4lyUZ9/xC2IdE2PKC1HHTgTmjj7LGRYaUTL+vj7bwTmmlvP2b8oRN6I9mYLs0wl3rphGaaqEgmAuYZOqGVyeQp22SwNY2gDK0FYKaFYHMZLvhcndBMGyk9WoCF5SQuTQbO2AbusBO6OjrOlL7xQ+kbP1TS9iKW7nZoLiiY13y3Q3PNBRMbtR263LRDW68We863GkxvPuSwhhnNHBjHfAwwpWzTDl2OHg6Eox2aS6GIFPBzpD172BnWM/iUbzCYc+A5BRCHah2Hah2Hah2HajAOzfmQYNry2RPNNbUkmIq4f76JPy8cL+4Z32JKvmU9Qd2czR17ajaCdE90OXo4AI6eaC4BmGnJPdHlYWdUz9gLnrH7W67IrT3RFY0TBQxfrhAEISzMoRNt6XKFoDcU7g18AmrCmIpiEBYdCZNSe7lCECV0uUIQhbpcCoAkkygzksxESfaiXCHJR4iKPuZn3Sytale3HdcyioITIgc8tYAHdS7LRn3/ELahcsXwgNZy0Ht810du60lW7otPDM7AAIOLNkkQQnhCRVvguz4kvaNw72wr4iQxCKHYh4iTRBEScba7PiRRqEkEAGlCojkfzkRJgok4x10fonyEKOlTxKn2fi/luLBNFJwQOdgiznHXhygb9f1D2AZEHDCgtRz0Hm8sy22Nwsp98YnBGRhgeBEnCEIIT6iI28HGMkkPKdxDuJDb7cYySXcRwr4XwSiIIiIYrRvLJEmo+QrhqCZ5akSZiaIEE4yOnWWifISI7FUwtneJKcflcKLghMjBFoyOnWWibNQXEGEbEozDA1rLQe/xVR+WM2gbwZhQnYEBhheMgiCE8IQKxi2OrxK76kPShQp3Ia4o0ROsourg/serDvLx0m2fNWKTcpCVpGcIKYAgHm19zJIkQtrRdpCVJAo1dwEg5aRQxln7TJQknHZ03fYhSkgIz17VY3uvmHJcFCcKTggdbPWYl7aezbksHPUVROCG5OPwiNZy0IH3uBmjaiMIUyee6uPteo8b195+0PjDHreNDmS6NMNc6mOPG9dERTIRMO/RHjdj6++UbXA/xMvtcONaCG4VICk+2w43ro2UjnvEwkJNlHGgZ2wTd7fHTWV6Z5u+8kPl620lKnVub2MzginN8/Y2trlgTiNub1Npt71NWW8Ve863GsxsPqSwhhnNHBjHfAwwm2yxva2x/eFA2Le3sSkUkQJ+jrRnDzvDegaf8g0GEw48nwBCUK1DUK1DUA2GoDmfD0xXHne2sU31v7OtCz0vHO/sGd9iSp5lPTzdTM0ddmo2gvDOti7ktANg39nGJgCTLHVnW/PsdEb1jL3gGautvcyT6DJK78bF3eXdOLuO4/Hl3d3tOFM3yd3lbXSt7q5WPNZ5sWNhgD03tu1sUxmNEwUMXy4RBOkLENcAgdPrLcolv26+8YvlN68aceqnscqKk/Xv2gLAgW3x/4moqxTuKnxOetCvi/zj8vaO14uXun/mdfPLL+7/tvlN2cyzjg5SsAQi6AXCOqaPia4gSegSiCAKdf0VASmLSVkYQ+tMlCVcESQts4n5UvdnsoSEoOtj5tfN/7J2ydxx46MoOCF4wJOW/rCmWWQvgkjCUV9CBG6oCDI8orUc9B43XRfWnXOK6gwMMLwoFAQhxCdUFO6i6VrQQwr3EK4Fd9x0LeguQtwniEZ707UgipBqNIarp6Ik1HwFcGRJPEkrI8tMlCWcaHR0XUvyEUKyV8nYXhemHBfAiYITQgdbMrq6riXZqG8gwjakGIcHtJaD3uMDsgrrNr2c6gwMMLxiFAQhhCdUMQofkCXpDYV7A1eHJoypKAYh9HpRbYIoIqrNfkCWJAo1aQAgWTopzQthM1GUYKrNcUKWKB8hLHpVbe2lXcpxC5soOCF0sFWb44QsUTbqC4iwDam24QGt5aADNzsbm/UaHea+ryTv4+282Zlpbz9m/KHZeaPZmC7NMJd6aXZmmqhIJgLmPWp2Ns9wp2yLweYzgjK0FoGZFoLtY7jgc3U7M22kdGEBFmZRZN49PGNbuMNm51L3OetbPXJ9q0eub/XI29P0VeFue+bSgsnNd9sz11wwu1HbnotN27P1CrHnfKvBHOdDE2uY0cyBcczHAPPKNm3PxejhQDjanrkUikgBP0fas4edYT2DT/kGg5kHnlgAwajWwajWwajWwajWwagGg9GcTwpmMJ8N0FxTBRqgi00DtPXtPeNbTEm9rMeom725A1DNRpBugC5GDwfA0QDNJQDTLbkBujjsjOoZe8EzdmntTZJGuqwRVfFdM18ub8eXd9fFOC6vLtM4z7Orux30upTWBuiSxokChq9cCIIQlujQKTdQuVj3vMTLXuZmctzMxF+upt8TkwueiLpA4S7A559Pbr99+9ff+M5BVLT1Gcsx11NRNsJCJGGmaq9hCKKErmEIolCXUAGQuJn52rqVBUn2ooQhyUeIjz6ma92krWxXvB3XMYqCEyIHPNOAB3Uuy0Z9/xC2oRLG8IDWctB73KpcWluVK6ozMMDw8k0QhBCeUPm2i1ZlQQ8p3EO4uttxq7Kguwhh34tgFEQREYz2VmVBEmq+AjiqPJpUuQllJooSTDC6OpUl+QgR2atgbC8RU45b4UTBCZGDLRhdncqSbNQXEGEbEozDA1rLQS8F400aVZfp3c04ihM1zm7S5ttuspvxXVyWV7dXt1GWrJ/2sIIxNTnjq1nuvl3F4AwMMLhglAQhhCdYMGqxo9WgvvWtU0QfNnrw5f0P9Ofio0YQ3r/X/KtROUdaGv7iYPGTRgIlxWpDv97Kv75I7s1e5tfL1cH1bXP6SIDVwdDND41Sy7nQkq5TuOsISvKXi1+Nk8lBz4tfHzfAv112Dv2uldX6Vr0f6Waj5RkR7YHa2pvjqhhHydFBI8d1Y9O7f3IQJW5Xmrw3FfUeIT0QhKXu5fqo8d7nJqCviQKJyMtokhij21NRFGp6A0DidJJlmQllJooSTF9WxcR8PMQzWT5CAPepL/P2frPccWGdKDghgLD1pXVQ57Js1BcQYRvQl8CA1nLQS315mxVxoW7Scaoum+/NKjUu0/J6fJfc5Xd3l3GeXu5EXxrDVqMv3ZexGJyBAYbXl4IghPAkoy9hHdkIp58t/nujmxBZKegxhXuMKCvjR7Jy8RODrhxyaKfXNwLzYKk2GQJT0I+E/OBRYAoChRaYgijU/AaAxMlEmS8GmImihBOY+SQxZqJnsnyECO5VYLb3oeWOC+5EwQkBhC8wbYM6l2WjvoAI25DAHB7QWg56j09sLSfK5IxGYCZUZ2CA4QWmIAghPKECc5cntkq6SuGuwpVl/8DWnzUO+76+o+5gVfX/YFny/rdGZa+0p/6OD5YF8VfL6nfczAurszeq3+tjXXP94TjUVdJRhMhPkI62/XySJCKa0X6oqyQKNWUBIFnSTO6T0sQyE2UJJhqdh7qKEhLislfZ2N6DljtuthMFJwQPtmwsHYe6isJRX0IEbkg3Do9oLQcd+LCHyoTXKMHUiVf08XZ92APX3n7Q+MNhDxthyHRphrnUx2EPXBMVyUTAvLR/2ENuflCnbJPBPbc+1CHTQnCvLEn12U574NrYzyZbnvYQq3ISGyPojG3i7o57yPXddrm+2y7P9UehP8r1DuvcfcsdmxZMb56Pe2CbC+Y34nEP+eaWu9xxyx3bajDL+ZDFGmY0c2Ac8zHAzLLFcQ/55pa7fOCWOzaFIlLAz5H27GFnWM/gU77BYOqB5xZAMKp1MKp1MKp1MKp1MKrBYDTnk4IpzONxD2xTS4KpyBjMN0HohePtPeNbTMm9rMeom7+5A1DNRhA+7iHf3HfnDj7nfAIw3VKPe8j1fXfmwHPBM3apKKO75EZlV+PLK6XGWXqVja/iNBpfqrvyrlS3RVTtYL+gZQ7azJkzGicKGL56IgjSlyKuAQIn3VtUT5aXvS2bUJa/V1FUrf7gfd3srDfY6enyeqr95bpPZ11TMfnuiajvFO47fOraL6eYyRe/7TylndQ5obsIb/L22980eWQq6hHC0qePmbEgSei6iSAKdckWAcmrSWLOLzNRlmB1kypTFpH4TBaQEJB9zA+7WWJ7c1ruuAtPFJwQO+CpTX9Uc+uozmXhqO8gAjdUNhke0VoOeo/7uSvbARO5ojoDAwwvGAVBCPEJFYz70M8t6DGFewyXibvv57bqS0FXEnIEQV8OtXQLAonITEdLtyAKNcUBIMWkymzlHEGScCLT0dEtyUeI4V41ZnvXWu64PE8UnBA/2BrT1dEtyUZ9/xC2IYk5PKC1HPQen2FWWY+kyKnOwADDS0xBEEJ4giVm+DPMJD2kcA8RJOVOzzCTdBch7BNko/UMM0kUEcFoPcNMkoSarwCOtKgm+frar8eKUZAlmGJ0HGImykcIyV4VY3vPW+64uE8UnBA62IrRcYiZKBv1DUTYhhTj8IDWctBLxZhnN0VxfZuOr+KybL5XJePL9PZqnFWXN/FVfnlTquu3d6AYM5MzGsXovpzB4AwMMLxiFAQhhCdUMf6kkTHvNeLv3a51fK0U9Vcb/bPqIX9neQjX3zdf+WC1xPa6EU9fLF6Pm3+9av70y/V3vWr+4IvVd5m880TUOwr3Dq4WTRhTUQxCKPai4gRRRFRcNNG9jI9RnoqiUJMIAJKkkyKxrfsJogRTcXk5yWy1ZUk+Qpj0quKKNuk7Lp0TBSeEDraKsw7qXJaN+gIibEMqbnhAaznopYrDrmoOr+KMEbhRcSXVGRhgeBUnCEIIT6iKA66e0qIuyh4WO18t9wO+Hm+Ws0zeeCLqDYV7Y2vVJohBCL1eVJsgipBqs104JYlCTRoAiA5+WWlCmYmiBFNtjhunRPkIYdGramsvKModN06JghNCB1u1OW6cEmWjvoAI25BqGx7QWg467DkKZiXe6LDKiVf28XZ+jgLT3n7M+MM5ChvNxnRphrnUyzkKTBMVyUTAPMM5CsZK4ZRtcj/GC56jwLQQ3ISKKz7XOQpMG/vZZOtzFCxJcca2cHfHKBTRUfMR649Ef6TtpuXKfYICFxRMbL5PUOCaC2Y26gkK1eYEBet1Rc/5VoP5zYce1jCjmQPjmI8B5pRtTlCoRg8HwnGCApdCESng50h79rAzrGfwKd9gMOnAkwogDtU6DtU6DtU6DtVgHJrzIcG85fPwBK6pJcFUxP3zTfx54Xhxz/gWUxIu6wnqJm3u2FOzEaQPT6hGDwfAcXgClwDMtOTDE6rDzqiesRc8Y/e2YJFZ7oj/ahOtaJwoYPCChSQIYWUOnWkLFywkvaFwb+AzUBPGVBSDsOpImJVaCxaSKIELFpIo/YTrQEFnuemkjC31CkmSfahXiPIRoqKP+Vk7Syva+8sKx4V0ouCEyAFPLeBBncuyUd8/hG2gXgEMaC0Hvb+9wvoRMDmjEW3uy1MMzsAAw4s2QRBCeEJFW+BeYUnvKNw7W4s4QQxCKPYi4gRRhEScrVdYEoWaRACQJiBWxinsTJQkmIhztAqL8hGipFcR194RVjgufRMFJ0QOtohztAqLslHfP4RtSMQND2gtB72/RwQ0Ii41OaMRcQnVGRhgeBEnCEIIT6iI28ERAZIeUriHcCG32yMCJN1FCPteBKMgiohgtB4RIElCzVcAR5pPcluXsiRKMMHoOCFAlI8Qkb0KxvZysMJx3ZsoOCFysAWj44QAUTbqC4iwDQnG4QGt5aD395bgRjBmJmc0gjGlOgMDDC8YBUEI4QkVjFucc7/1LcGSrlK4q3DliB1rr5IyPtBycSmsP1/fHfyFLmsvjyVdH3n/6LR7k5Omok4iRH2CXrT1LkuSCMlF20n3kijUdIWA5JPUfCnnTBQlnF50XRAsSkgIyV4VY9oKDMedaKLghNjBVoxFWlhPuheFo76DCNyQZBwe0VoOOvDGNlu/XubEq/p4u97YxrW3HzT+sLFtowmZLs0wl/rY2MY1UZFMBMwzbGxLTSZP2SaDewx8iEOmheAGAZLos21s49pI6bMHLEzVxKblmAbucF+bvhm40DcDF/pm4KK9jLPInPva2KBgXvO8r41tLpjYiPvaiqzb11ZYr9V5zrcaTG8+9LCGGc0cGMd8DDClbLGvrbH94UDY97WxKRSRAn6OtGcPO8N6Bp/yDQZzDjypAOJQreNQreNQreNQDcahOR8STFse97WxTfW/r62LPy8cL+4Z32JKvmU9Qd2czR17ajaC8L62Lu60A2Df18YmADMtdV9b8+x0RvWMveAZuxJAUZpUeTrOo+tsnCXZ3bisiptxWTZ/EF/nl1fVOixZZ8iOJQL2LNm6r03ROFHA8MUSQRDCyhw60d6iWPKL9Xf8WzP//vCNy4HjqNS/4N8NLOlChbsQn7WCRZS4LA6a3/e9hlZNBL1CWPn0MTEWJAldNRFEoa7YAiBp2YRg44LKTBQlXNUkbhATW2O2JCEhNvuYJXZzxfaqr8Jxd5soOCF2wBOcR1UTVdqrJpJw1HcQgRuqmgyPaC0Hvced2ZZWx0Y75lRnYIDhtaMgCCE+odpxF53Zgh5SuIdwabjjzmxBdxHiPkEz2juzBVGERKMxXD0VJaHmK4CjzCdxbiKZiZKEk4yOxmxJPkJA9ioY25u+CsfVbaLghMDBFoyuxmxJNur7h7AN6cXhAa3loPf4OIbYupPPfQOKwRkYYHi9KAhCCE+oXgx9HIOgdxTuHVwrmjCmohiEUOxFwwmiiGg4x3EMgijUJAKAqElaGklmoiTBRJzrOAZJPkKU9Cri2ou+CsfNbaLghMjBFnGu4xgk2ajvH8I2JOKGB7SWg97jg1Bj6+66kuoMDDC8iBMEIYQnVMRJH4Qq6A2Fe2Nr0SaIQQi9XkSbIIqQaLMehCqIQk0aAEg5qQojyUyUJJhocx2EKslHiIpeRVt7z1fhuLhNFJwQOdiizXUQqiQb9f1D2IZE2/CA1nLQgfe32WqvlQsvjfp4O9/fxrS3HzP+sL9tI9mYLs0wl3rZ38Y0UZFMBMwz7G/LTCZP2Sb3Y7zg/jamheBGAVzwufa3MW2k9NsDFqqJVcgxDdzd/rZS39tW6nvbSn1vW9nel1S4721jg4J5zff+Nq65YGKj7m/b3NtWOO5tY1sNpjcfcljDjGYOjGM+BphSttnftrm3rRi4t41NoYgU8HOkPXvYGdYz+JRvMJhz4DkFEIdqHYdqHYdqHYdqMA7N+ZBg2vK5v41rqsD+ts29bfYX94xvMSXfsp6gbs7mjj01G0F6f9vm3jZ33DnnE4CZlry/Td/bZo45Fzxj97dckdj2t5XO+1Aec6KAwcsVkiCEhTl0oi1crpD0hsK9gU9ATRhTUQzCoiNhUmotV0iiBC5XSKL0E64DBZ3kxpMsLU0kM1GSfShXiPIRoqKP+Vk7Syvba75Kx71touCEyAFPLeBBncuyUd8/hG2gXAEMaC0HvceNwoltY1npvP/E5AwMMLxoEwQhhCdUtAVuFJb0jsK9s7WIE8QghGIvIk4QRUjE2RqFJVGoSQQCKfPURDITJQkm4hyNwqJ8hCjpVcS113yVjnvbRMEJkYMt4hyNwqJs1PcPYRsSccMDWstB7/HpAIltt1eZUJ2BAYYXcYIghPCEirgdnA4g6SGFewgXcrs9HUDSXYSw70UwCqKICEbr6QCSJNR8hXCkE9uanyBIMLnoOBxAlI8Qj73KxfaSr9Jxa5soOCFusOWi43AAUTbq64ewDcnF4QGt5aCXcjG7SaPrOL0Z310V8TiLsmpcqfR2nEdleZ02v7+Kb97egVzMTM5o5GJKdQYGGF4uCoIQwhMqF7c4iPS/NRJKy6ilbFx9yXH2qIrjGDmFVNJ/CvcfLiYP0GNIG35dBN/47Ag9g1TSJ4TIT1CMtuZlSRIhwWg7g1QShZqyAJAm+SrbCqMgSTjJGMXVRCkT4TNZQkJU9ioa22u+SsfFbaLghNDBFo1FnFiPIBWFo76CCNyQahwe0VoOOvDGNtuyYebEi/t4u97YxrW3HzT+sLFtowCZLs0wl/rY2MY1UZFMBMwzbGxTJpOnbJPBTQY+tCHTQnCHAEnz2Ta2cW2kNNoDFpaWuveMbeAON7bpi9tKfXFbqS9uK9sLk0r3xW1sUDCved7YxjYXTGzEjW3l5uK20nFxG9tqML350MMaZjRzYBzzMcCUssXGtnJzcVs5cHEbm0IRKeDnSHv2sDOsZ/Ap32Aw58CTCiAO1ToO1ToO1ToO1WAcmvMhwbTlcWMb21T/G9vKzcVt9hf3jG8xJd+ynqBuzuaOPTUbQXhjW7m5uM0dd875BGCmpW5sK/XFbeaYc8EzdiWAkIs6NI91huxYImDPkq0b2xSNEwUMXy8RBCGszKET7S3qJWIXt0m6UOEuxGetaMUkqg7uf7xalhgv3fbZ/bu0womgZwirnz4mx4IkoQsngijUVVsApJwUiTEIz0RJwhVOXHe3iRISwrOPiWI3XWxv+iodd7eJghNCBzzHedycbZsIzGXhqK8gAjdUOBke0VoOeo+7s1PrFruc6gwMMLx8FAQhxCdUPu6iO1vQQwr3EK4Od9ydLeguQtwnSEZ7d7YgipBmtHVnC5JQ8xXCUU1UbiKZiZKEk4yO9mxJPkJA9ioY26u+SsfdbaLghMDBFoyu9mxJNur7h7AN6cXhAa3loPf4SIbUupvPeQeKyRkYYHi9KAhCCE+oXgx9JIOgdxTuHVwrmjCmohiEUOxFwwmiiGg4x5EMgijUJAKANCExMUbDmShJMBHnOpJBko8QJb2KuPaqr9Jxd5soOCFysEWc60gGSTbq+4ewDYm44QGt5aD3+DDU1LrHrqQ6AwMML+IEQQjhCRVx0oehCnpD4d7YWrQJYhBCrxfRJogiJNqsh6EKolCTBgCSTCLrYaiCJMFEm+swVEk+QlT0Ktraq75Kx91touCEyMEWba7DUCXZqO8fwjYk2oYHtJaDDrzFzSbDKide0sfb+RY3pr39mPGHLW4bycZ0aYa51MsWN6aJimQiYN6jLW7G/D5lG9yP8IIb3JgWgjsFcLnn2uDGtJHScI9YmBST1Bg/Z2wTd7fFrdJ3t1X67rZK391WtXcmle6729igYF7zvcWNay6Y2Khb3DZ3t5WOu9vYVoPpzYcc1jCjmQPjmI8BppRttrht7m4rB+5uY1MoIgX8HGnPHnaG9Qw+5RsMZh14TgHEoVrHoVrHoVrHoRqMQ3M+JJi4fG5x45oqsMVtc3eb/cU941tMybisJ6ibs7ljT81GkN7itrm7zR13zvkEYKYlb3HTd7eZY84Fz9j9LVdkti1ulftOlEecKGDwcoUkCGFhDp1oC5crJL2hcG/gE1ATxlQUg7DoSJiWWssVkiiByxWSKP2E60BBp7lpPClTI8pMFGUf6hWifISw6GOC1k7Tqvaur8pxeZsoOCF0wHMLeFDnsmzUFxBhG6hXAANay0HvcadwZttZVrkvQTE4AwMMr9oEQQjhCVVtgTuFJb2jcO9sreIE</t>
  </si>
  <si>
    <t>MQih2IuKE0QRUnG2TmFJFGoSAUDiahJHliMCJFGCqThHq7AoHyFMelVx7WVfleP2NlFwQuhgqzhHq7AoG/UFRNiGVNzwgNZy0Ht8PkBm2+9VJVRnYIDhVZwgCCE8oSpuB+cDSHpI4R7CldxuzweQdBch7HtRjIIoIorRej6AJAk1XwEcaaQmeZybWGaiLMEUo+OEAFE+Qkj2qhjb+74qxwVuouCE0MFWjI4TAkTZqG8gwjakGIcHtJaDXirGyzyJLqP0blzcXd6Ns+s4Hl/e3d2OM3WT3F3eRtfq7urtHSjGzOSMRjGmVGdggOEVoyAIITyhinGLA0l/3XzjF8tvXknL+mmssuJk/bv2iM0D2/GaT0RdpXBX4dKxf/DoPy6vY3u9eKkF4evml180ovrlQRlF0dFBip0xKukEQlQnCEJbf7IkiZAetJ0xKolCTUcISJpPGrtMLDNRlnCCMC2zSaVMhM9kCQkx16skbC/zqhzXs4mCE4IHWxKmWWQ9ZVQUjvoSInBDmnB4RGs56MB714xvaqPyMide2sfb9d41rr39oPGHvWsb0cd0aYa51MfeNa6JimQiYN6jvWvm+fOUbTG4jcCHOGRaCO4BIIk+2+Y1ro2UVnrAwlQ1NlpOIeCauMPNa/p+tkrfz1bp+9mqUn9U650jlfuSNjYtmN0872BjmwumN+IOtmpzSVvluKSNbTWY5HyoYg0zmjkwjvkYYGLZYgdbtbmkrRq4pI1NoYgU8HOkPXvYGdYz+JRvMJh64KkFEIxqHYxqHYxqHYxqHYxqMBjN+aRgCvO4jY1tqv9tbNXmpjb723vGt5iSe1mPUTd9cwegmo0gvI2t2tzU5g4+53wCMN1St7FV+qY2c+C54Bm7v4URZd3GpmicKGD4woggCGGRDp1z77QwIugqhbsKn6j2CyM/axz2fX3Z2sGqneiDZS/Nvy1eNr/R7TX6Oz5Ydtq8WrbVxHGiqrM32mrW5ZNcf7iKJ4KOIqx/+pgfC5KELp4IolDXbQGQtFCT3HbfhiTLnhRPJAkJcdnHNLGbLLYXelWOK9pEwQnBA57h9Ie1TAt78UQSjvoSInBDxZPhEa3loJe68TYr4kLdpONUXapx1vzXxmVaXo/vkrv87u4yztPL9eMeVjcaE0qjG3OqMzDA8LpREIQQn1DduNQ3ur9ab5Treow/bAThy/sf6M/FR43+uX+v+ddniw/We+zePAjhtRaGH6w34unekpWo/GUjmf77OErWN/oWUTRKjS//E1GPKdxjuHxs4H41TiYHPed9fdzw/3Ypt3/X9qfr/Yc/0qJ8qbDbm5Cbv+AX46po3HN0cP+3y8LYu39y0DjL6VmT96ai3iOkBYKm1LXAjxrvfW4C+pookIi0jCbmmzOeiqJQsxoAEheTIrFVcgRRginLKp8kmYnvmSwfIW571ZXtxV+V4yY3UXBCAGHrSuugzmXZqC8gwjYkK4cHtJaD3uOdfcq6s899I4rBGRhgeFkpCEIIT7Cs3MHOPkEPKdxDBBm52519gu4ihH2CbrTv7BNEEVGM9p19giTUfAVwlFkyUZWRZSbKEkwxunb2SfIRQrJXxdjeMlY5ro0TBSeEDrZidO3sk2SjvoEI25BiHB7QWg56j0/0UtadfSXVGRhgeMUoCEIIT6hiDH2il6B3FO4dXC2aMKaiGIRQ7EXFCaKIqDjHiV6CKNQkAoCoZJLnNhUniBJMxblO9JLkI4RJryquvXasctwjJwpOCB1sFec60UuSjfoCImxDKm54QGs56KWKu1PZ9WWRRePbq5vLcVZcFuPL6EqNrzJV3iXXt1GV3r29AxVnjMCNiquozsAAw6s4QRBCeEJVHHiafpyvGxOX63/vmtCfiKIrHB2XaAdPbr99+9ff+M5BVLSVXIv+nIrCEaKvF+EmiCIk3KwH6guiUPMGAFIWk8LY1TgTJQmn23JLaf2ZLB8hMHrVbVWb5h1Xn4mCEyIHX7fZBnUuy0Z9/xC2Id02PKC1HHTzvz8/WsmVP3PpMs9nKeQmzK+qyHVtQJo8uuY42FkKxonvW2x7+7Hj/wRnKbxutB1wlgLbpRnmUg9nKbBNVCQTAfOSR2cpZCaLp2yL+6Fe7CwFtoXgRlRc99nPUmDb2E8q256lMCnNeo5t4M5OUlBRfNR8JPoj1R/Zat+yiiLXIQp8UDCtMQ5RqMrUdogC31wwr9EOUWjMaQ9RWPvZZPVzvtVgdvOhijXMaObAOOZjgBmFf4iCtv3hQFgPUeBTKCIF/Bxpzx52hvUMPuUbDOYceGoBxKFax6Fax6Fax6EajENzPiSYtojnJ9hj0Au+qd7PT9jEnxeOF/eMbzEl37KeoPXUbSj21GwE2fMTNnGnHQDr+Ql8AjDTEs9P0M9OZ1TP2AuesSsBlKrr27tyfHcVq3GW3qTjy6xU4yiJ1OXVzd1NtIv2k9xyfoKKXPeyGDhRwNCFC1EQwvocOs9mnJ+gZ9H/bvGr5k8/Xu6P+0D/vj1U4fX6x/6t2/S1/Hr9NI+jOIrOVr/Nm9dV/xPH1tMVRB2pcEfiU9f+6QqmIxSODvQhC/fvTg7+/b/PG7uSxiM5cISCqDcIq58+psWCJCJlk9gcs56KklBXbQGObJIo2yxbkCRY1aR5mzJbv4ssISEu+5ghdvPE9YVn61+YwI9lwQmRA57cPHr9ksQ2BZjL0lHfQYTOXTlBhrSWg97jnW655QCFZoZLdQYGGF44CoIQAhQqHMPvdBP1kMI9hCvCne50E3UXIfATJKOt1UYURUgzGsPVU1ESar4COKpJUpYmkpkoSTDNaN/nJstHCMheFWPSygv7DXay4ITAwVeM1n1usmzU9w9hG9KLwwNay0Ev9eJ1UqVJEl+Nb6r0epxlSTYukyga38ZXVXVVxHlxu37aw+rF1OSMRi+mVGdggOH1oiAIITyhehHskI6yh4dBvVr297web2SQyRtPRL2hcG/g2tCEMRXFIIReL5pNEEVEs1nbo0VRqEkDAqlym2gTJAkm2rJmpIwLmc9k+QhR0atoS9scb79jThacEDnYos06qHNZNur7h7ANibbhAa3loPf4cILccjiBijKqMzDA8KJNEIQQnlDRFvZwAlHvKNw7W4s4QQxCKPYi4gRRhESc5XACURRqEoFAVGlcxJiJkgQTcfazCWT5CFHSq4jL2pxvvxxNFpwQOdgizn42gSwb9f1D2IZE3PCA1nLQge8JNgrzRpYpB16WZn28ne9tY9rbjxl/2Nu2kWxMl2aYS73sbWOaqEgmAuY9vic4M1k8ZVsM7jMgCENrEx/TQnCTAK73XHvbmDZSeu0BC7NJZtNxTAN3uLct1zvaCv1R6o+q3VOi3HvbuKBgWvO9t41rLpjXqHvb1GZvm/Vaned8q8Hs5kMNa5jRzIFxzMcAM8o2e9vU6OFAOPa2cSkUkQJ+jrRnDzvDegaf8g0Gcw48pQDiUK3jUK3jUK3jUA3GoTkfEkxbPve2cU0V2NumNnvbrC/uGd9iSr5lPUHdlM0de2o2gvTeNjV6OACOvW1cAjDTkve2qcPOqJ6xFzxj97d6UVj3tuU0ThQwfPVCEISwLofOs0NXLwS9o3Dv4PNRE8ZUFIOwBkmYpNqrF4IooasXgijU1VMIxHaysijJXlQvJPkIUdLHfK2bteXtYrf9RjVZcELkgKca8KDOZdmo7x/CNlS9GB7QWg56j09WLqz7zNyXhRicgQGGF3GCIITwhIo4sG8YOVlZFF3h6FsrNEEMQpz1otAEUYQUmrVJWBCFmiEAkCbirVsMHys0QZJwCi23naEsy0cIgV4VWtEmdPsNZrLghMjBV2i2QZ3LslHfP4RtSKEND2gtB73HJwEU1p1d7otADM7AAMMrNEEQQnhCFdouTgIQ9JDCPYQLuR2fBCDoLkLY9yIYBVFEBKP9JABBEmq+Qjh0Q3JmQpmJogQTjK6jACT5CBHZq2AsW31hvyxNFpwQOdiC0XUUgCQb9QVE2IYE4/CA1nLQS8FYqZvrPL5LxplKm49MVY2ubBTm1fVVeplf5Sqr1kIqrGA0hq1GMFZUZ2CA4QWjIAghPKGCkXHmaHu86K+XRdt3Gw2lZdAbimglNPWhmlEaRWdHB9OlMw6efy2KDy6++Y3vfOMvb/9vjRO+dfA/fPv2/3Ewf3rQnUS6PnwzjhxnkQo6WOEOxvXmgexhpILuIGQFgp609jELkgjJSdthpIIk1GwGcGSTUtnaogVJgqnJUkWW3r5nsoCEeO1VTlat+rDf4SYLTggcbDlpH9W5LBz1DUTghvTk8IjWctD6Erf/+Ib+sArGv769/s43vvVNgyNYetGythi7j+FP+py2nW52aykqcLPZzWjuW2xz+4+Zw7mg1vsXvYdttbi13M32oVYhXy577F4v95p9sWzF07/6sNEj3dfuf3j/veUuNP2FRuc1f2xCfdKg/smMzfsoWtqBtwuWq+0zsb4aKq6aj0TvoUmV/tC/zfR1UZneUqP0t+TLD/2nuf7TQn9zqb+l1L+q9K+q/Og4j2JLoGX7I6P7A+9n1k440U440U440U440U440U440U440U440U440U440U440U440U440U440U440U440U44sTnhhO8ERXcC3hLd+OBU++BU++BU++BU++BU++BU++BU++BU++BU++BU++BU++BU++BU++BU++BU++BU++DU5oNTvg/wSMDPN6u9HLG+p6jxRa19UWtf1NoXtfZFrX1Ra1/U2he19kWtfVFrX9TaF7X2Ra19UWtf1DZf1GxfPOruH/AF7YU41w441w441w441w441w441w441w441w441w441w441w441w441w441w441w441w44tzngnO8APOcS9wc0/Bea/0LzX2j+C81/ofkvNP+F5r/Q/Bea/0LzX2j+C81/ofkvNP+F5r/Q/Bc2/gse//JtWPHrZB7sRlmd4f/CxNGIkcTMEeVpnKukso4jZi5TiUwslY632Pb2k/OW2+7/tREi7+kuMv3vtp/MtPH+5XoD/EZ66J347zXf8UqvWellp8/1stX9j9e/bf6a5YGVH+uy5qo1rfndalPBaje9Xtp6sBdhvefetOt/tUVBf+Nn93830f+1Dxs19IPFy4MkOrCvUXG93E/5gjvxuSYqkolM86Zs8/ozT7lt91wLwf2LlGUo67Z7ro19xbHltvsqM6+UzdgGimy7f9xfaFs1YpsNZinOJnqVWzfRs80FsxRlE73Jwud8C8G8RJoxos/BMd9sMNDTJ3YmO0/4diqinds8Bad8M8Goz15rtK80sk0G0wB1G7s1Crzgm+p5G7vJujO+dZRc5XPsa7bJMlvUTTae820EMxVpkmky8YJnorbxurqK8iTPxzc3VTLOLqNyXN1FV+Ob8vrm5rYs4vxm/XBYZ4l/dem3xSFd/ts2V8xooCihaT7pAKPMKU0gb4mCEGpm20w27/+2mRV+rg90Wx679sH9j4/aieXy1+vO139e/LT55zfLbU3zJ7ExEDwR9YfC/YHPuUCXHCx+0cx4v1jOjJdbvH7TTJCX0+ODxa8Wv07ig2N3s6ukYwg1RsJsz9rsKoki1J1QmkieipJQa6MAR55WxtduJgoSrDkhn5S2SaYkHiHMkuZOA60JcXtSa+w4elcUnBA22NMF25jOZdGoLx+CNtCYAIxnLQe9VIHJtbpKo6wclzd3V+OsiqNxdamuxtHVdfOFUmVpcfV2eBWYWFVgTvUGRhheBQqCEMITqgKXXZd635MuBui1+0bg3H9/1e2g21aXGm/xy8XPrCpPkFfhvLjKM2FMRTEIwZWgyXRp5qPJgbnY8jVRIBllZuJ4KspBTQ0AhWNRXxAkmC6Ly0mamfieyfIRIp9XYdYeQhM7ThUSBSfEDrYwsw7qXJaN+vohbEPKbHhAaznopTIr8zK5Lm6K8VVaROMsv70bV9fZ1Tit0qi6qy4v09vQe9a1MkutysyyIcvuDYwwvDITBCHEJ1SZPT4bcvGPi/+y+M3iF4ufjxfv638tl+PeXy/EmaCfiEIrHHpreSaIQQixBHlmXzITRBERZvYDhSRRqMkBAEnSiTKjzERRwqmzyNGcIQlICH9e5Vm7oTh27BAXBSfEDr48s47qXBaO+goicEP6bHhEazno5Zaeo06WaNkVsJvWujaWWLqCkygqq6TI+7yBumkT80z3Lba9YNcSKqD+6f6Hy93aH66P0l7u2168xDtquwZXvRXoQC07W3330po8+ITtwQzzoI9OWa6JimQi07wp2zywZ4ogBG2dslwLwRYpXN85OmW5NlK6jwALmwm1yb4Z274dN8qyzQYTEL1RttEYsbVRlm0umIC2b5RlWwimHJJoRZ+DY77ZYJz31SjLtlMR7dzmKTjlmwkGfbaCt+t3tslgFqA1yjqiwAu+qUEaZdnWUVKVz7Gv2SaHbJRl2whmKg+NsiwTtY3X6vamar5nfHWr1Di7utXL91fpOLpLyvwyubm6ulQrCusE0DEjZk8CrY2ySUIDRQmDL8RLghBWotB55L82Mzd9wr8+HnW9EP9RM5H8cjVN1A0T7dlfv9XzwGWL6Or31kNlV22kjkNljw7SyLaE/ETUgQp3ID5HW/lwfeiu2YfLM2aX8+kPVvNpfezsb5dnzHbfsfGv3mdq7a+VdA9hwY8wR7QWCyRRRIoF2USZSJ6KklAXKgGOxq7KjDITRQlXK0gmytgK/UyWjxCgSbOugVJBkqwXlle/MIEfy4ITIgd7omEd1LksG/UFRNgGKgXAgNZy0EsBmZXRXXWd5eOsVOk4K27j8eV1Go3TLLopktu7KEvXb3NQAWmvI2RUb2CE4QWkIAghPqEC8l8arfO6ES6vF58uO2z1+fqNzvli01+7usHzbxavl+WE3u0D+jsSNWr+P40ixxGwkl5RuFdwVWjCmIpiEGIwrt7uf2C+zetroigi6i0yH9f3VJSEmjwAjjw3YcxEMYIptyKdmJvxn8nyESKjV+XWbqZJHJujRMEJUYOt3KyDOpdlo758CNuQchse0FoOenU9+10Z5Xc30fguie7G2XVeNSqvqsbXt7dZlKd3l1G2jq9BlZu1BzexdCTbvYERhldugiCE+IQqt8c9uOaL2VdXHv1UX4O0+M3inxc/a/75+XpV8Pl8rOKDxT+YHPJE1CEKd8jWok0QgxB+cdHmWHITRBESbbYr2SVRqIkDAGlyYG4kmYmSBBNuZWnd1S7KRwiMXoVbu9cmcWyeEgUnRA62cLMO6lyWjfr+IWxDwm14QGs5aK3cXILMbzOuXYpZmo+XfGmU9Pl23ozLtBfsjEKV1O9zMy7TgxnmQS/NuEwTFclEpnlTtnlgXxZB9VmbcZkWgm1YuJhzNeMybaR0OAEW2ptxmfbtuhmXazaYgHw343LNBROQh2ZcroVgyiFpVPQ5OOabDcZ5b824XDsV0c5tnoJTvplg0GcLdkczLtdkMAv4bMblmhqmGZdrHSVV+Rz7mm1y0GZcro1gpvLRjMsxcW9X5B03nKSurmMDKEoYfEVeEoSw8ITOI+VX5CUdonCHbDvnksQgrKsR5mbWFXlJlMAr8pIo1BVBAMSxIi9Jsg8r8qJ8hMBImu0MrMin0XoBd/ULE/ixLDghcrAFvmNFXpSN+v4hbAMr8sCA1nLQ+9sE6zhMI3W1BBu9gRGGF26CIIT4hAq3QE2wkl5RuFe2Vm+CGIQYjKs3exOsJIqQerM0wUqSUJMHwGFrgpXECKbcHE2wonyEyOhVubW7XVLH9iVRcELUYCs3RxOsKBv15UPYhpTb8IDWctD7u//d0XmxPqOY4A2MMLxyEwQhxCdUue3f/ndJByrcgbjIY+5/X97LoF34g7XLnNveJb1CiP64ZnSs+AmiiGhG67Z3SRJq2gI4Ese2d0mUYLrRse1dlI8Ql73qxnavTerYPCUKTogcbN3o2PYuykZ9ARG2Id04PKC1HHTYHtzMRNfoQGWmq8oqUVn6qMN41x24XHvBdihUxv0ed+ByPZhhHvTRgcs1UZFMBMxLDhrhmB7c/yetJhf/tnjVjJdBfb5eDsNycfX+e/2hfnju0sREPGUTg/1dBBlpa+rlWgi2c+Hq0NHUy7WR0ikFWJjnyaQolMnGGdtGkcbeR/lx9rXp2dnp2TpD1hfHf9Qomvyo+Sj0R/nHei6qIXS+PIqMKfMZnxFMgZ67gNnmgkmQ0gX8Fe29w5X7/3TtZ5PVz/lWg6nQh3LWMKOZA+OYjwHmI3qn8Np2bfbo4UDYKE74FIpIAT9H2rOHnWE9g0/5BoMZB55+ACGo1iGo1iGoBkPQnM8H5iuP7cdsUz23H39lvgk9Lxzv7BnfYkqiZT083czOHXZqNoJMi/LjkNMOgI3gnE8AJllSA/NXtEcPO6N6xl7wjN3buorlWtJmNp3TMFG+8FUVQRDC6h06Hd/DqoqgAxXuQHyqa8KYimIQFjMJ81d7GUQQJXAZRJCEugoLcDR2JZOsNK4pz0RhQhZCosLE90yWjxBKfUznuklde3ZF6jiMRBScEDvgmQg8qHNZNuoriLANFUKGB7SWg17tWbu8LK/Sq2pc5Gk2zqK7anyprpuPKImvb1N1V7Rz5aBCz7ga2gi9guoLjC+80BMEIUQnVOg5G5/XG9K+ki4+P1i1ON9/L1mVVkzwT0ThFQ6/tUgTxCAEWlykOfqbBVFERJq9v1mQhJohAI64KidlamSZibIE02iuJmdJPkIU9KrRijalFw6NJglOCB1sjeZqcpZko76BCNuQRhse0FoOen/PFcjMEbjRaJbjExy+gPjCazRBEEJ0QjVagFMFBB2icIdsrdsEMQjBF9dtjsU1QRQh3abD2mOUp6Io1LQBgFTVJItzE8pMFCWYbnMdKyDJR4iMXnVb2ab50qHbJMEJoYOt21zHCkiyUV9AhG1Itw0PaC0HHbbJ2BhSGyVWOemKPt3Om4yZ9oKdVaiQ+n1uMmZ6MMM86KXJmGmiIpkImOejybi/uc3WZsxkBpu+CErS2mbMtLAvEkXbjJk2UrqfAAvdbcZMG3fXZpxFR81H3Lb3Ve4OYy4emP98dxhzzQUzILXDuNp0GFeODmOu1WAe9CGbNcxo5sA45mOAyWibDuNq9HAgHB3GXApFpICfI+3Zw86wnsGnfIPBZAPPPYDoU+voU4PRZ85HA7OUz+ZirqkCzcXVprnY+rqe8S2mpFfWc9PN6NwRp2YjSDcXV6OHA+BoLuYSgPmV3FxcHXZG9Yy94Bm7t/UMZWsuziIaJsoXvJ4hCUJYtUOn4fL1DEmHKNwh+JTVhDEVxSAsShJmodZ6hiRK4HqGJEo/5TpQ0Fmtq54hibIP9QxRPkJk9DExa6dnWXuqbuY4JlkUnBA64DkFPKhzWTbqC4iwDdQzgAGt5aD3d1OYsvUKZzHVFxhfeN0mCEKITqhu279NYZIOVLgDt9Z5ghiEYO1F5wmiiOg866YwSRJqlgE4EuemMEmYYELPsSlMlI8QSr0KvbjVBbFD6EmCE2IHW+g5NoWJslFfQYRtSOgND2gtB93878/fEAZav/2ZS9D5bWTJbecmZ6mZt5GoSZ5mVZ83UCtLamtl4doLlvBQLfaLxafLw3jfWekwYyfJo54Gv40qa2334UHS/M16C9n9j00ue8J2WYa5zEfvCtdERTKRad6UbR5Y+SMIP1ubCddCsICH6zlHmwnXRkodDLDQekU11z6RFpPH66G2K6rZZoMZh946khTK2jnCthZMOJTOEZOFz/kWgimGpFHRx+CYbzYY5uldISY7T/h2KqKd2zwFp3wzwZjPFuz2G6rZJoNJgNbFYQ8CL/iWem7iMFl3xreOkqh8Dn3NNlmmQcNk4znfRjBPkVowTCZe8ExcLuAXUXob3VTja1VejbP85np8eVvdjqvs8iq7vVN38fWawjrfc0yA2XM+6wXVmaKBooThl/AFQQjrTui08f03Jo3n3/gP/+F//vY3/vLyYPFLvSZ//zcHi/+y+FD/8qBYTe7Ovvr8oIqi1MT+RJRd4exbT64EMQgraIRJmH31XRBFZPXdetqHJAl16Q/giLPCTDITJQm29F6l5aSw3EwjCkiIgaR5zdDau2qXah0nbYuCEyIHW8pnyiHmJeGobyACN7T4PjyitRz0/nbH5vbLqLOC6g2MMLxIEwQhBChUpAXojxV0iMIdsrVyE8QgxF8vyk0QRUi5GVexn4qSUPMGwJFVZpCZKEgw4eZqjpXkI4RFr7qtPdMrcxzSJgpOiBts3eZqjpVko75+CNuQbBse0FoOOuxhH8Y2mEaGuY8yKft0O++QYNoLlq9QFfV71SHBdFmGucxLhwTTREUyETBvc7CHydAp21CwbkYQe9ZeCaaFYJkM13CuXgmmjZQSFGBhos8jtfW0Mk0UaZcA9sQ3wqM6OlYqWu+Jz0rniRxsPDBJ0dsq0ii1t1VwrQWzFKWt4ivaed2BHJn1lLDnfKvBXOVD2mqY0cyBcczHAPMHvfWi2yLf2P5wIOwHcrApFJECfo60Zw87w3oGn/INBlMNPD8Agk+tg08NBp85Hw3MUbRWDnvgecG31HMrx1fmm6DzwvG2nvEtpuRW1mPTTbrcAadmI8i0ezwONu0A2M/jYBOA2ZXUDPIV7dHDzqiesRc8Y/e24lBYz+NwHzvyCBPlC19vEAQhLKyhM+UA9QZBhyjcIfgk04QxFcUgrBsSpqD2eoMgSuB6gyAJdcET4EiKSWqd0Qqi7EXFQZKPEBh9TMu6yVnVLlA7TkwUBSdEDnhGAQ/qXJaN+gIibEMVh+EBreWgl7LtNsuL6ubuenyd316Os+j2dlzdFVfj21Jdluoqus6y9dMeVLYZlzO/2swpqb7A+ILLNkkQQnRCZdubvbyLj/XFfQeNYvtseeT1+kxrXZX4vBFxf7d4uRR0jXz79f27ywM4PlkWNj69f+cvtH5748SOxUeLz5Zf+lwf9mHy1BNRTyncU9vqOUkMQlT2oeckUYT0XGoieSpKQk0nAEcZTyqVmVBmoijB9FwRT8xnoj+T5SNETJ96TrWncSnH8Wqi4ITIwdZz1kGdy7JRX0CEbUDPAQNay0G3p26sY2jgUzdKW2uvSsy8q44ZFfd5A/WUWJYG32LbC9bpUMn1L7qvYy2fdIfHh/rgsoctJI3K+t3B4ieL9xc/PdDnmx2sLx3RR6a9Xt4Ws+4O0dfQvOw6ROJ1h8jiE5MDnrAdkGEO8NEhwjVRkUxkmjdlmwcW6wgiztYXwrUQrLnh2szRF8K1kVK7AixMK2Oz3Ixtn0hTCLp/+hnfbDB/0Js9mrRnv36FbS6YPyjdHiYLn/MtBDMGSXKiz8Ex32wwztM7OUx2nvDtVEQ7t3kKTvlmgkGfrb/t++7YJoNZgNZ54YgCL/imem69MFl3xreOkqp8jn3NNlmmrcJk4znfRjBTkRonTCZe8ExcCqmrKldRejtWZVmNs6uyHF8Vd3nz2+j68vIyz5PL2xWFdf7mmNCy53DWUzTW604wKEoYfuVdEISwjoROAw2XSX68XDL/XfPlj5cr6Z8uXh3c/2A55/vwSF8/+YvFPy1+vfjnxU8X769W3H+TGhdAn4g6Q+HO2Hq+JYhBWCIjzMvsi+uCKFKL68qE8lQUhbq4B4DEaTmpjCgzUZRgq+vKdkjZM1k+QlQkTXWGVtezdjE2c6yuS4ITQgdb3VsHdS7LRn0BEbah1fXhAa3loFdNrslN3mi+eHx3U1yNs+gyG5dJmY+z+E5V8dVVVsZ3b4dXbdZjNVRO9QZGGF61CYIQ4hOq2v7z/Y9WbQ73f6+bHLQ0+93i4/u/X8qxfJQb39gnopQKp9xajgliEGIqLsfuf2DuPvmaKIqIHEtsi+mCINRcAGAUVWYEmYmCBJNi8UTZlJgkHiHSeVVieZu4c4cSkwQnRA22ErON6VwWjfryIWhDQmx4PGs56FXb6t3lTZJe3o3vrq5uxlmaJOPL+KoYR9dpVV4n2W2arsc8qBBLrULMsq3K7g2MMLwQEwQhhCdUiP1kc2nc/Q8XLw+6poo3DttY/sHiy8Vn+ov3P2wvllv1t360bqF4vfhEL7QtPln9aZwcqVGcRNEoUeb51xNRVyncVVurOUEMQlzG1Zy96UGQRETMxZNImVCeiqJQMwoAksX5pDSizERRwgm6VE2UcZH9mSwgIWZ6lXRlKwEcZ0WIghNCB1/SWUd1LgtHfQURuCFRNzyitRz0UtTF6vImyrNkrIooHWf53dW4yovLcZrcJVe3UZVfq7Vjgoq6zCbqcksnr90bGGFwUScJQghQuKh72Wg4vdno3UaRfdoKtn+xbSQ/0g2vr7S+Wx6h9sVaDVraXyWdoXBnbCvbJDEIsReXbfZFOEkUEd0WTXITyVNREmrOADiStDTvxJyJkoRTbXE1SZQJ8JksICEo+lRtebs/JXdsOBIFJ0QOvmqzjupcFo76BiJwA6oNGNFaDrrdcbQGD7zjqDLRNqosNtMu91eladKnDbTfyHL291tse/sxZMv9Rv9t8cH9D5b6aXWGrT6QdvHbxevlatmHq61Hr5erZMv93fc/Xquunyz+afHTxT8Zdhd1e5L04bafLvePvzS54AnbBRnmAh87jrgmKpKJgHmbM2knB4tfLn4xzkwGT9kG9yO03B4kroVg9zku1xx7kLg2Uhq7AQuLeFIZx3nGtlBkF9KjbGU6mjZPjpqPVH9k6yMi89hxROQzPiOYgOhbluKksm9ZYpsLpiDKlqWvaO91B9Su/Gyy+jnfajAR+RCyGmY0c2Ac8zHAZELf1tSdGdnY/nAgbBQnfApFpICfI+3Zw86wnsGnfIPBfAPPBoAQVOsQVOsQVIMhaM7nA7MVba+UI/y84Jvqea/UV+ab0PPC8c6e8S2mpFnWw9PNs9xhp2YjyOynehxy2gGwEZzzCcAkS9pt9RXt0cPOqJ6xFzxjl1OG2ygvriI1bia4N+NMlWpcXd1eja9u7q6qvIzS6Hqdha2zWMe0njuTtR1Tmyc0TJQvfIVBEISwmIZOhteXFOuiwbppd90E8vL++6uagv6aikbN/0dHWaR/ly4+N7E/EWVXODs+xTRhTEUxCMuChImnPpLuo2aWbByXr4kCiZQVjEHiqSgHdUkToFBxbru/WJIkWFEhyyaFcaSeyfIRwqCPqVg3IUvaFejEMSmTBCcED3gWAQ/qXJaN+v4hbEMlheEBreWglyLtOrmLb+LraBxfXyfj7OomG5e3zY/e3sW3eZXlaZlcvR1epCUmXzQiLaX6AuMLL9IEQQjRiS/SdMFhWbnQB559dv/j+x/d/53u2aWINUEfKNwHW4s1QQxCvPUo1gSBgoo1QQ5qsgAoqtKq1QRBgmm1VE0KY6vOM1k+QjT0qtXSNrWnDq0mCU6IHWytZh3UuSwb9fVD2Ia02vCA1nLQq6bdy+omuc7jcZmkd+MsSdX4Kq7K8W1VRPHN1U2hstu3w2s1Y9RqtFpG9QXGF16rCYIQohOs1Va7q3Q/yPtapd2/d/83B4v/tRFqnyybeVeNJh+vW3n1nqr77+ntVfpzoiyq4ImoFxTuha3VmiAGIeIS1Jq1p0OQREam2e56kiShZgqAo6gmcZqZUGaiKMGkmv1AW1E8Qiz0qtTas25yx+FFouCEuMFWarFKoklqTNVzWTrqG4jQDWm14SGt5aC1WHNpML+tubHxVW3kl3LgZWnVx9t5by7T3n7U+H3uzWW6IMNc4KU3l2miIpkImJegvblMg8FeKR86jmkh2O1E0Wf23lymjZSmIcDCIp2UlhsCuBbusDc31225hf4o28Y45e7N5TKCGch3by7XXDAFUXtz1aY3Vzl6c7lWg4nIh3TVMKOZA+OYjwEmk216c9Xo4UA4enO5FIpIAT9H2rOHnWE9g0/5BoP5Btb/QAiqdQiqdQiqwRA05/OB2cpnby7XVIHeXLXpzbW+s2d8iylplvXwdBMrd9ip2QjSvblq9HAAHL25XAIwyZJ7c9VhZ1TP2AuesXtbSogtt8E3k9mcxokChq8lCIIQ1s/Q2bBULUHQCwr3Aj7bNGFMRTEIa4I+5qCCJIFrCYIk1JVMgKNsIp+yTWkFUfahliCJR4iFPiZk3bSsPa41dxy/KwpOiBvwXIJWS5Cko76BCN1QLWF4SGs56P3dSNWINWMyacRaQXUGBhherAmCEAIULNa87qQSZFc4+9YSTRCDEGoJEm2oOVcQSEapmTieinJQswRAkeTZpDSRzERJgsk0104qST5CGPSq04o2qRcOnSYJTggebJ3m2kklyUZ9/xC2IZU2PKC1HPT+7qRqVJqtPddyvrDdGRhgeJUmCEIIT3yV5mMrlaAPFO6DrdWaIAYh4HpUa4JAQdWaIAc1WyAUaTRRJpKZKEkwtebaSyXJRwiHXtVae15+7rgBQRScEDzYas21l0qSjfr+IWxDam14QGs5aH2U7tFKpAQ8Qje23vdeWM4MTqKoQS2TPmiwTt3EZO9bbHvBBilUSPnq1E3WnbrNN8CdulwXZJgLfHTqck1UJBOZ5k3Z5oF9UgQJZ6uJci0EO50Imszel8u1kdIwhFiYprbLC7gWivTl4sVJttlgEmG02mZFYW21ZZsL5hBKq63Jwud8C8GsQdKb6HNwzDcbjPT0NlqTnSd8OxXRzm2eglO+mWDYZ4tv2xMw55sM5gFix6s9Crzgm+q549Vk3RnfOkqy8jn2NdtkmW5Wk43nfBvBTEXqVzWZeMEzcSmXoeV3TWGdxDlms/yJnH0ql9BIUcTgi+qSIIRVJHQu6LX1QZJd4exbz7AEMQjrYYSZ2MBiuiRQyMV0SQ7qYh5AUSnjquRMlCPYUrrKJrGxseOZLB8hCJKmNgNL6UV74mjhOEJWFJwQOthq3jqoc1k26tuHsA0spQMDWstB73Hjg/6XTaVlVHdgiOFVmiAIIUDxVZqH1gdJHyjcB1urNUEMQsj1qNYEgYKqNUEOar5AKMrExDET5Qim1rLUsu/kmSwfIRh6VWvtOVaF42gyUXBC6GCrNeugzmXZqG8fwjak1oYHtJaDXqq1JLlSt3fZ9TjKczWO49tyXEY31TiKVKTysowrtdYwYdVaalVrlr1VdndgiOHVmiAIIUChau2ni1d6Ee1g8VGjyL68f0d3VTT/6DPNPl02VDR/qFfWNh0VcXKkFp8vPm++YkymT0RdoHAXbC3WBDEIEZcg1qxNDoIkMirNtvFbkoSaKRCOLJ8om1QTRAkm1dI4mRQ2rSYJSAiFXrVau0+4cGz9FgUnRA62VrOP6lwWjvoKInBDYm14RGs56MCnyBpDUSO+nFumsqiPt/PeVKa9YJcRqp122pvKdEGGucBLbyrTREUyETAvffMU2f+2+NexUVxM2QaDbUs+hBzTQrBLiSLQ7N2qTBspDUCAheUkykwGztgGijSrPspOpkNki/Ko+aiajzLSH/H6GMeicBzj+IwPCmYh3+2tXHPBNERpb/2K9l53kmxh3W78nG81mIx8qFcNM5o5MI75GGBCobfAdsc6NrY/HAgbxQmfQhEp4OdIe/awM6xn8CnfYDDnwFMAIA7VOg7VOg7VOg7VYBya8yHBtOWzuZZrqufm2q/MN/HnhePFPeNbTMm3rCeom2G5Y0/NRpBpwH0cd9oBsBGc8wnATEtqz/2K9uhhZ1TP2AuesUthHt9ld9GlGl/ml9ftnPY22XFRIbEdJ1s4t5Y+5kQBw5cUBEEI62jotJhRUogGCgqCDlC4A/AZpwljKopBWBb0MQ8VJAlcUBAkoa5mIhzFpPlPmFBmoijBCgpJkU+iygT4TBaQEAh9TMm6iVl7SELhOPVCFJwQOeDZBD6qc1k46iuIwA0VFIZHtJaD3uMdVYntKNmiojoDAwwv1ARBCPEJFWp+91MJsiucfWuNJohBiLQEjTbUoSsIJCPVTBxPRTmoWQKgSI2xbiaKEUykOc6RFeUjxECvGq1qM3rl0GiS4ITIwdZojnNkRdmoLx/CNiTRhge0loPe4+1Uie0c2dKyud/uDAwwuESTBCGEJ75E87CZStIHCvfBtlJNEoMQcP1JNUmgkFJNkoOaLQCKfJKZOGaiHMG0muMUWVE+QjD0qdXKaJ3aV78wgR/LghNCB1urOU6RFWWjvn0I24BWAwa0loNe1T1VfH2lspvxZXZ3N85us+vxVXldjtXtbXV7eZmUZVvHDavVjGGr0Wox1RkYYHitJghCCE+oVvuXxUe6zHmw7Pj9YLmU9mrxqa5+6qW0pXiLo1GsRssNVCbkJ6LICkfeWpoJYhDiKy7N7n9w/64J5WuiKEFFmSAHNS0AFNajZiU5gomy0n4mrSgfIep5FWVxm8NjhyiTBCcEDbYosw7qXJaN+vYhbEOibHhAaznowJumbEtiiRMv7uPtetMU195+zPg93jTFdUGGucDHpimuiYpkImBe8mjT1NHB6heZyfIp23Kwkx3XctauNa6FYBs6QaLZd09xbaR0cwMWJlFm2S06Y5u4u/1TZap3TWX6Q+mPfL1voUyc+6fYoGBC8rx/im0umJGI+6fKpNs/VVpPLXzOtxrMSz50rIYZzRwYx3wMMLdssX+qsf3hQNj3T7EpFJECfo60Zw87w3oGn/INBrMOPBkA4lCt41Ct41Ct41ANxqE5HxJMXB73T7FN9b9/qos/Lxwv7hnfYkrGZT1B3WTLHXtqNoLw/qku7rQDYN8/xSYAMy11/1Tz7HRG9Yy94Bm7v3WE1LZ/qkxpnChg+DqCIAhhRQ2dIXupIwgiKxwZn26aMKaiGIQlQXzu6agjCKIErSMIclBXMgGKsrTdESwJsheFBEk+QtjzMQHrpmFpu+6cOqZikuCEqAHPHeBBncuyUV8/hG2okDA8oLUc9B5vlrLUPxtVllGdgQGGV2WCIITwhKoyr5ulJNkVzr61PBPEIARaXJ4NduAKAgUVaYIc1CyBUERJZgKZiYIEE2mO7VKifIQo6FWktcffl477DETBCbGDLdIc26VE2aivH8I2JNKGB7SWg97j7VKpdbuUojoDAwwv0gRBCOGJL9J8bJcS9IHCfbC1WBPEIARcj2JNECioWBPkoGYLgEK3hlhOIJIkCabWXBumJPkI4dCrWlNtclcOtSYJTggebLXm2jAlyUZ9/xC2IbU2PKC1HPQeHxSZWjdM5VRnYIDh1ZogCCE8oWrN/0GRkg5QuAO2lmqCGIRoS5Bq1pZbQRIZjWY7KFKShJolAI4sqyZRbgx4M1GWYDrNdVKkKCAhEnoVau1FRaXj6ilRcELoYAs110mRonDUdxCBG1JqwyNay0EH3kVl017uw8iTPt7Od1Ex7e0Hjd/nXVRMF2SYC7zsomKaqEgmAuY92kVlfKymbIP7IVlw8xTTQrAHnaLQ7JunmDZSWrkBC5WybBqdsS3c4d4pffdUqe+eqvTdU1V750vpvnuKDQqmId97p7jmgnmIundqc/dU6bh7im01mI18yFcNM5o5MI75GGBG2Wbv1ObuqXLg7ik2hSJSwM+R9uxhZ1jP4FO+wWDSgecAQByqdRyqdRyqdRyqwTg050OCecvn3imuqQJ7pzZ3T9lf3DO+xZSEy3qCuimWO/bUbATpvVObu6fcceecTwBmWvLeKX33lDnmXPCMXVqrrq+qMr0Z317fpuOsuqnGV3eXV+OkVLfqJr8s8pv1G2ud0Dpm9OxJrXXvlPt+h0ecKGD4koIgCGEhDZ0X/7KZzL7SE66Dxft6Qnv/3v3fHCz+12YC9sniZTOxXU2RP/6L1QQ4UVF0/7040Z/VRFk6DZ6IOkHhTsCnnSaMqSgGYW3Qx2RUkKSf+B0klEmrrawgSEJd0kQ4kibylcZK+kyUJVhZwbGhShKPEAt9zMq6uVl7WVHpuH5KFJwQOOAJxaOnViXRJDUuycxl6aivIEI3VFUYHtJaDnqPt1Rl1i1VFdUZGGB4sSYIQghQsFjzuqVKkF3h7FtrNEEMQqglaLShLl1BIBmpZuJ4KspBzRIARVIYg91MlCOYSHPtqJLkIwRBryqtva+odFxAJQpOCB1slebaUSXJRn37ELYhjTY8oLUc9B7vqMpsO6oq9w0PBmdggME1miQIITzxNZqHHVWSPlC4D7bVapIYhIDrT6tJAoXUapIc1GwBUKjMdgOVJEgwsebYUCXKR4iGPsVa1V5YVDluoBIFJ8QOtlhzbKgSZaO+fgjbgFgDBrSWg97jkyMtYasRazHVGRhgeLEmCEIIT6hY83FypCSywpG31maCGIT4imsz+8mRkihBVZkgBzUtABSJsp0cKQkSTJU5To4U5SOEPa+qrL2xqHJcQSUKTogabFXmODlSlI36+iFsQ6pseEBrOejAm6eMgajRWYkTL+3j7XrzFNfefsz4Pd48xXVBhrnAx+YpromKZCJg3oPNU79c/MK2eYprMNjHjms4a78a10KwCZ0gzeybp7g2Unq5AQuTdJJVJgtnbAt3t3mq0hdPVfriqUqt9ytU7jun2IxgBvK8b4ptLpiCiPumqs2dU5Xjzim21WAi8iFcNcxo5sA45mOAyWSLfVPV5s6pauDOKTaFIlLAz5H27GFnWM/gU77BYL6B1T8QgmodgmodgmowBM35fGC28rhlim2q/y1T1ea6Kfs7e8a3mJJmWQ9PN7Fyh52ajSC8ZaraXDflDjnnfAIwyVK3TFX6uilzuLngGbucMkDdIJrHOo11zOPZU1nblqkqpXGigOGLBoIghNUzdDbstQtXkl3h7Pgc04QxFcUgrAMSZp5DnR2CQEFrCIIc1EVMgKK07DmYiYIEqyE42nBF+QhR0MdUrJuQtZcVVY7bp0TBCbEDnkXAgzqXZaO+fgjbUA1heEBrOeg9bsNVtq1SVUZ1BgYYXqQJghDCE1+k+WjDFfSBwn2wtVgTxCAEXI9iTRAoqFgT5KBmC4Aii60NH4IgwcSaqw1Xko8QDb2KtfbSospxC5UoOCF2sMWaqw1Xko36+iFsQ2JteEBrOejVIUTJlbq9y67HUZ6r9mTdm2rH9xoo654pRXUGBhherAmCEMITKtYY9xosG3JdNxtIukDhLthaqwliEOItQatZWzoESWREmu0IIkkSap4AOFQ8yQvLBVSSKOGEWlRNMltrriQgIRR6VWrthUWV4wYqUXBC5OArNeuozmXhqK8gAjck1YZHtJaDDtyba5TfjfjKnXhZH2/nvblMe/tB4/e5N5fpggxzgZfeXKaJimQiYF6K9uYyDQZ7pXwIOaaFYLcTRaDZe3OZNlKahgALk0mRmQycsQ3cYWtuobty9eUGVXV0nEdR2xyXu/tzuaBgFvLdn8s1F0xD1P7cfNOfa73z6DnfajAZ+VCvGmY0c2Ac8zHAhLJNf24+ejgQjv5cLoUiUsDPkfbsYWdYz+BTvsFgzoGnAEAcqnUcqnUcqnUcqsE4NOdDgmnLZ5Mu11SBJt1806RrfXHP+BZT8i3rCepmWO7YU7MRpJt089HDAXA06XIJwExLbtLNDzujesZe8Izd35JCbm3SLWicKGD4koIgCGEdDZ0Wi5QUBF2gcBfgc04TxlQUo68IHBg+ZqKCJIFLCoIk1PVMgCOfRImtoiBIsh8VBUlAQiT0MSfrZmZFu/7suHVOFJwQOODpBD6qc1k46huIwDlHdI6MaC0HvcfbqXJrp677hgeDMzDA8EpNEIQQn1Cl5nc7lSC7wtm3lmiCGIRIS5BoQx26gkAySs3E8VSUg5olEArj7HsmihFMpLk2U0nyEWKgV43WXlNUOW6eEgUnRA62RnNtppJko758CNuQRBse0FoOeo83U+XW/tyK6gwMMLxEEwQhhCe+RPOxmUrQBwr3wdZSTRCDEHA9SjVBoKBSTZCDmi0AimRiW1AT5Aim1Vx7qST5CMHQq1ZrryuqHPdPiYITQgdbq7n2UkmyUd8+hG1Iqw0PaC0HvcdXGuSWKw3yyH2/g8EZGGBorSYKQghPqFbzcKWBKLLCkbeUZqIYhPiKSzPrlQaiKAFFmSgHNS0gFBPzApooRzBRZr/RQJaPEPU8irKGaZXD178wgR/LghOCBluU2W80kGWjvn0Im1uUIQNay0E3//vzN19XLUr+zKW+PG+jKky8je6KHbxpqvq8gbZRxZFlHxXbYLB1HdZNy44wvWnqk6Vo+nDxerV5qtFOq/axg0ZI/U73i72/+Ol6j9Tni5fLPT2fNf/36v77ze/eWWqtz3vbpwy7rEzOeMJ2RoY5w8OOKraJimQiYF7SDMjBZlvV4tXkwDKKyzH5QheT77/nGNTFP2nV/PrB2N2/t/6OL99YAzUO3pTtmX5aENu6xbYQ7IEnyEPr1i22jZRWcsDCPE8mRaFMNs7YNu5s91YeJXrPVqo/Mv2h9EeuPwr9Ua42UTRgrs1cfG4wFzI2c+VxYtvMxTcXTIa0zVyNOe1mrrWfTVY/51sNZkQfmlrDjGYOjGM+BpjL+Ju5tO0PB8K6mYtPoYgU8HOkPXvYGdYz+JRvMJiF4IkJEJZqHZZqHZZqHZZqHZZqHZZqHZZqMCzN+cxgXiPu7bKHpBd8U73v7dqEoxeO9/iMbzElIbMeqG4e6A5FNRtBdm/XJgy1A2Dd28UnABMvcW+XfnY6o3rGXvCM1dZGl3l5exsn4+omS3V3caG7i8sd7+0qLHu7muBF40QBw5c4BEEIi33oVP1f79+7/+79e4sv9WT6tf74sJl5f3e5uevzg/RILYscxkF7IsqqcFZ8mmvCmIpiEJYp8Tmpo7YhiCJS28gyE8hTURDq8iqAkVRxM8c1viYzUZZgBY5osj4z6/FEVhKPEPJ8zMW6GVnSLofbr8CTBScEDngagY7pXBaN+v4haEPljeHxrOWgl4Ksury7LC5vrsdJMz8bZ1d35biMk3ScJlWWZHmmymIngiwxOaMRZCnVGRhgeEEmCEKITmRBtmwvaQTYKDG+o09EwRQOtrX6EsQgBFEv6ksQRUR9Jba6gSAINfoDGHGaKGW5P0GUJaD6Mp8R8EwWjxDfvKqvtM3W9ruuZMEJgWML9WUe07ksGvX9Q9CG1NfweNZy0Hvc8VtYdmc1PFRnYIDh1ZcgCCE6oerLS8evILLCkbfWZYIYhPDqRZcJosjosklinJY9FUWhZgYAJM6KeJLmtoUxQZhg0szV+SvJR4h+XrVZ1uZy+9VWsuCE4MHWZq7OX0k26iuIsA2Js+EBreWgl+Isj5Lb9Dq6GV8VVaKX0apxGd1e7rxWmZmc0YgzRXUGBhhenAmCEMITKs4ebJ0/sG2b1zcC/PwgKe+/lxT334uO8tVBlL9eNRfrH3x9/7fNN36x0nXNF7/Qf5W1i1jQRwr30dZqThCDEJBxNTewtV4USETTxal5heqpKAo1oQAgZZU1oTE3zlxnojDBNF2a2KudknyEoOlV06lWAtgvwZIFJ4QQtqazDupclo36CiJsQ5pueEBrOejVgtvtVRIXqhiXujSa3dw1SvD2rmp+9LIor24bFRjfvL0DTWd8AhpNl1OdgQGG13SCIITwhGq6/3z/o8VvFy9Xwuyj5bniv1t83J6M9NHqBi7963xkPm72iSixwom3VmiCGITwiis0x3qbIIqINkvTiXl70lNRFmpmAEiSJM3LSa5yE81MlCaYOosmlW3BTRKPEP28irO8zeX2255kwQnRgy3ObGM6l0WjvoEI2pA2Gx7PWg56qc1u7y5vkvTybnx3dXUzztIkGV/GV8U4uk6r8jrJbtN0PeZhtZkxaDXazHW0utEZGGB4bSYIQohOqDb7yea6l/sfLl4edPvBX92/u5JsyzPFX66qpa/0JTB/0e7O1+VTXUtdnz/+yeLT5drc8k/17TCjOImiUaLMq+xPRF2lcFdtLeoEMQhhGRd19u3ugiQims7Sjv9UlISaTwCOOK3iSWm5IkYUJpigi1M1Ucb1xGeygISg6VXSFa0EsF8RIwtOiB1sSWcf1bksHPUlROCGRN3wiNZy0EtRF6vLmyjPkrEqokYA5ndX4yovLsdpcpdc3UZVfq3Wjgkr6mxnK7kOYzc6AwMML+oEQQjxCRd1envn6rClV4tPW8H2L/oiv9Xez0bxfdCJu0+O9J7QV1rfrU/+WffCmZzxRNQZCnfG1rJNEIMQenHZ5liLE0QR0W2ReRr4VJSEmjIAjrRqJrS5MrHMRFnCyba4mpg3Jz2TBSSERa+yrWyTvP3WGFlwQuzgyzbrqM5l4ajvIAI3JNuGR7SWg16eeqnRs7fduuyvb6+/841vfdPgCJYsy0ycjSKrnJx5n9N22qXdWorY2hx4aTT3Lba5/cfM4VxQUv1M66LVwYkHjXD60aqx7Egvi+nmspeNeHq5FFLfbeTVD5bK6/XiUxNVI6CqP5mx0R4FRjvbdnFxdQ5eHB01H9ZAyIXI6BD4eUHa8hNt+YnN8hO+5YpuOX5OUGP4qTb81Gb4Kd9w/J3gR97VIWUNQG0DqNkAjw6XGgCgPS/n2upzm9XnfKvxOE88U6ox+kIbfWEz+oJn9BvhXtse7IjmzHZsVOw6kTpNS6vrMWOZCWtiWXt+i21vP7D7OKB5mZx0B/Sn+vjlLm+1x/O+u1wPeL3sw/235SG+qzN/2+OX9R8sM9lnzc+9NOE+YeP2U4DgEcxcExXJRMC8xS/X1bIP2iF5pQ/FNkkLPQb/bvHzRlX8dnn28qdaWSzbpP7d8kjm5RnMB4v/rfmxz5dLPd81sU/Z7P1pyNaHLNuXL7gmgqdR4ssSjlOWuTb2s+6WpywbF1pnbOt2d75yHK+PKo2XdxFYT1Bmk4Gpin6CcpKp0nqCMttcMFkRT1COo+4E5dh658NzvtVgytpuItIuzcTRaObAOOZjgKmIMRVZ2a7NHj0cCBvFCZ9CESng50h79rAz7NGMhG0wmGLgVS4g8NRg4JnzqcCsRDsjOUmKyLZd9QXfVv+HJHcR54XjVT3jW0zJp6xnpl02HIg2NRtB+JDkLtK0A2AjOOcTgLmVOKHVz05n1KO5LMtYbe3l9fXVdXlZjG+zbLOh5XqXG48z/W8TZjPZjWmYKJ9pQuzAokyKTSBviYIQakPobPmnet61XL1tZmavFr9r/llfgaN3Gztmy/qPf7a51uigVNH995I4ipZbkqezvHkJV1fo3H+3+e7VXuRXuqHyl+t9za+tM2tBFyrchYTp7cqLrpnrx3ob94FuL7j/XkP+sZ4DL6+G+nTZdap3ef9oyN9/pL36xweP/xMHf9SI88b9caKi5dK8HpbP9Bz7y+W513opY/mf+aLxv/7WI93F+sVk9d9r/obPD5Ikiv7vzeitfv61PqZR31PV/Jf/XjdJtHvRP2jC6nLJX+9r+lhP5U1DOBUdQkKh0MssXRBFpMnA0hoqyUEtbwIUthm/IEW45oK8iKNJasz4z2QRCSnEx+y1m8PG62J07LgJSBScEDXgidejcVVxldhP1xHlo76CCN9AhwEwqLUctO4wOAp8nWZmO1E6TpyUVZ8yWK3GaO9bbHvBhS9Uffqo1Sz/ipda2phQn7BRMwzVS52GaaIimQiYR67T/KaRmt/Tw0evzzCZwcUzL8qPaSK4EkZQdI76DNNGynoSYGFuNG/GNm+HBZq0XSdN3AUaLhmYnxgFmqhM7QUarrlghqIWaJJNgcZ6a8VzvtVgnvIhcTXMaObAOOZjgDlomwJNMno4EI4CDZdCESng50h79rAz7HGBhmswmGPgeQIQeGow8Mz5VGBaohVoqshVn+GaKlCfSTb1Geubesa3mJJPWY9MN+lyB5uajSBdn0lGDwfAUZ/hEoCplVyfSQ47ox7XZzjGamvvkpssztN0fJuW1b7UZyzNfc0EN6Vhonzh6zOCIITFNXSG7K0+k5e6QFB5qc8IulDhLiRMa9+oz/RmrNpnH6/+pYspHyyLKu8NeXY6q/PoYFnH+WL9x29sKj34ozcKK0Wk/V5G0f/YfPmjxrG/Xf49+piR1QEjS2//bjVVvv/hepyKMtKVlt/pY4Cb7/1uNzr/37/5r9nB/XvL5tQvl5WY9Qm/B+uSzXLW/r81f9nfrDZnHB3c/2D1X+zueni5/Ivv/275DZ8uXjUWL/9LeqLfPGvvHCyPQtFu+mj9X9aWfn7QfG8z/W/+G68Xn09Mj8ZU9NEgrOB6mf0LogSt+whyUBedAQrrSoIgxr4UfiQRCbnJx6y4mxu31yPFjuuuRMEJYQOe0D1aeimyPLHXfSTxqK8ggjdU9xke01oOerWz9A25ZZXHXreWpibMRhdnLsws6mPaCj9+N5YajX2LbWz/Gdt+W+kv39hf88pkbKMysz+ZsS0OvVtUHR3naWYLb1yIjA6BT8zXu0XV0YnN8hO+5YpuOT4hX+0WVUenNsNP+Ybjjzo/mq7X+9RRbQOo2QDiu0XV0bnN6nO+1XjoJi7erHaLqqMLm9EXPKOXD8vbIfOPdWVGOc2PrT6HrWVlIOsuUaa5+IuJ5qD/fXla1BfdpHg519V9le820/Bl5+RyYr86N2q5ZLC6M/Hh7tDmG0ygTf5SOn8xaUPnr7zJX0miP3QmS0qdzmJbOuMyhUhneZPOGpATDXKiQU5sICd8EEUHIUWsU81xqjlONcep5ji1cZzyOfB3autklzfJruGpNU+teWobT83mEc99eZP7GohzDXGuIc5tEOd8CDyLsFJh3qTChuFCM1xohgsbwwWP4Y3MqP8VqDcvXX7+hYmjSZGWwynjNKvSJN5Fd97KXluOZNoLdj2gCfKf7n+4LgWszk/sKgRv5r8P9ILxcr1bbwj4sFvcXp+h3XzXJ3qh/CO9PL1sI1t1+i2/bE6vq8a+Zf79r4t/dH7Xyor7v5scKN2n9rnJnU/Y7uznK8kOQKaJimQi07wp2zywkQJfrrce4c21EGyKIKzCO3r1mDZSegsAC9M8qiaVycQZ20SRfr2+4fbLiNlmgwmJ3oynCpu1f8q3FsxHlF48k4XP+RaCGYg0Z0Efg2O+2WCkp09LTHae8O1URDu3eQpO+WaCYZ9dbnFsseGaDOYBWnOcPQi84FvquTfOZN0Z3zpKrvI59DXbZJm+N5ON53wbwTxFmhGaTLzgmbicfCQqu8qubseX1yodZ5dJNdYH/I+rIrm6LdTVdZJdrSis08G/uvTZz7aeYlknhRUNFCU0TRwdYJTJownkLVEQQtcAOqv8V3107HJ/+st2k9FHm8uYdCtTe27/8u7MZW/TG+f46zvS9R3n623z3Q3n6xnjLxf/vHh/vPj14jeLf1j8fPGfm89fLX5zdJBGzX/qo4M/emt2bFzseCLqRoW7EZ+qrTypm7KsnlxfDb9sbFtOyfXq9W+X/Wbdd2y8nES6xeujt9/+JvOvXt5fr8foB+sxaf9Gg8Onog4nNH0QJp8WlK+Jooj0imW2+9olSaitKgBHnCdZw2KEmYnChOsZSybKeEHWM1k+QugnTeeGGsaqtrmocjSMSYITYgd7BmMd1LksG/UVRNiGusWGB7SWg15K0zIvk+viphhfpUU0zvLbu3F1nV2N0yqNqrvq8jK9Xc+qgkrTxCZNE8uZCXZvYITBpakkCCE+odL0J70iRaN6/nHxXxop+YvFz8eL9/W/lrry/cVvlne4m6CfiEIrHBoXkiaMqSgGIcT6kGeSKCLyLJqsS6+P9JkkCjU5ACAqiydZaWSZibKEk2fW/a/PZAEJ8c+nPkvaQ38Sx0lOouCE4MHXZ9ZRncvCUd9BBG5AoAEjWstBL9v5j7qUELhlxFhNbgRYYqZdN748uhYrUMNIbmsY4doLlutQ/fTL5Y7Ij9bdIWsFZemh/HWjov5x0+vxRj/J6mv/tf1TV2cHlzvDuH10dnBNVCQTAfPSg/v/tDrFaXJgWt/rNbX21wn/aLkZ9ku9wvqbcZPUj9pfld2v4vWvkkna/SrrfpV3v9r8RNJ9bfOzqvtV8egnmu+LNr9s/8as++ms+y+r7muq+6+U3dfKiTnOTdnDBZY8CWrW1unCtRCscOIi1dHpwrWRUj0ELEyKspqkhcnGGdtGkVaXRynadDRVkure7Gx9TEziPp+KjQcmXHpLTFHZW2LY1oIZl9IS8xXtvO54qsRxPBXbajDv+tDtGmY0c2Ac8zHANEpvm+lOjUk2x1MlA8dTsSkUkQJ+jrRnDzvDegaf8g0Gcw08+QGCT62DTw0GnzkfDUxStDYce+B5wbfUcxvOV+aboPPC8bae8S2mJFfWY9NNKN0Bp2YjyLTqPA427QDYj6hiE4DZldTI8xXt0cPOqJ6xFzxjtbXX6vamispqfHWr1Di7ui3H5c1VOo7ukjK/TG6uri7Visc6XXesX3Cn7LaNkElKw0T5wldNBEEIq4borH+XDT0mBz4RdaDCHYjPzU0YU1EMwiIqYc5qr8AIoohUYKwNMpIk1MVfgCNOlNJLJUaamShNuBJMMomMk/xnsnyEWOpjJtfN59rjdxLHkUqi4ITgAU9C4EGdy7JR30GEbagAMzygtRz0/nbIWG6vaJReRvUFxhde6QmCEKITqvQ89ccIQiscemt1JohBCLBe1Jkgiog6c/THCKJQUwMAksXlJItyE8tMlCWcOHP1x0gCEuKfV3WWtck8c6gzSXBC8OCrM1d/jCQc9R1E4Ibk2fCI1nLQWp+5ZJfffpjURNcILuWgyxzLnZixFCGF9cMw7QXrcqheCt8Pw+TOMG4v/TBMExXJRMC85A/9MEg/DHO4wBolQb1a+2GYFoKlRlyUuvphmDZSSnaAhamWm7Fx39GMbeMO+2GWpxYWbUlaufthuHhgwvXcD8O1Fsy41H4YtemHUY5+GK7VYN71odM1zGjmwDjmY4BpdJt+GDV6OBCOfhguhSJSwM+R9uxhZ1jP4FO+wWCugSc7QPCpdfCpweAz56OBScpjPwzXUoF+GLXph7G+rWd8iynJlfXYdBNId8Cp2QjS/TBq9HAAHP0wXAIwu5L7YdRhZ1TP2AuesXtbJbEeDJ7kNEyUL3yVRBCEsEqIzvo9VUkEoRUOjc+nTRhTUQzCQidhnmmvkgiihK6SCKJQV2gBEBUnkyKx7eMQZNmPKokkICH++Zh9dXOwvF1Tzx3zMElwQvCAJw74qM5l4ajvIAI3VCUZHtFaDnp/25VTaxOL5aBFuy8wvvDyTBCEEJ5QebaH7cqCDlS4A7eWeoIYhGjtReoJoohIPXu7siAJNcsAHLFKy3hSGme0M1GYcFLP0a0syUcIpV6VXtHqgsKh9CTBCbGDr/Qc3cqSbNRXEGEbEnrDA1rLQevjYo5W+SDgMTGZibKRcKWDMs3yPmWwtpjcZO9bbHvB8hyqwHy2xWjRpe9wv39Pf1H/uxFmny5erv44cbTKMH2RYb7w0irDNFGRTATMo7bKPDoHejm6H6/+9enyyOh3mn+/93+aJhrmQIKFTYLitTbRMC0E65O4kHU10TBtpNT5AAvdTTRMG3fYRFPpuz6jto5duptouHhgeqY30agstzfRcK0F8zO1iabcNNGUjiYartVglvYh7jXMaObAOOZjgAl2myaacvRwIBxNNFwKRaSAnyPt2cPOsJ7Bp3yDwVwDz5CA4FPr4FODwWfORwOTFK2Jxh54XvAtLQmWIj6fb4LOC8fbesa3mJJcWY9NN+10B5yajSDdRFOOHg6Ao4mGSwBmV3ITTXnYGdUz9oJn7HIymSAH92se6+TescrBneBbm2gqGibKF75KIwhCWFpE1wh2WaVx3RIl6UaFuxGfu5swpqIYhPVWwszVXqsRRBGp1cQTY0h9KkpCXSgGOPJY6baczAQzE4XZi1qNJB8hoPqYznWTuvaqnsRx95IoOCF2wDMReFDnsmzUVxBhG6rVDA9oLQe9lHtXV9e3l3dpNVZZdj3OivJufJlHapzFV+VNfHV5k6r12xxU7lmactKI6guML7jckwQhRCdU7j3umda/bQTfqiT0TqPgPrv/++Ybfrj45GDx00avae32z4ufNf/8/C865ffztr1af89/b37z64PncxUfLP7B5KUnol5SuJe2VXOSGISI7EPNSaKIqDl7k7UkCjWXACDOJmtJlmBqriwnpaXHWpSPEC99qrk0Wif/1S9M4Mey4ITYwVZz1kGdy7JR30CEbUDNAQNay0GHPYjGGFMbfWa5hmpJlzmWSDFjKboL6rjh2gvW8lB5tRcdN1xfZJgvfHTccE1UJBMB86iXNf2h46aniJkDCVZBCUrX1nHDtRAsZuIC1tFxw7WRUhQELHRe48S1cXcdN2miO27SddE7jZ0dN2w8MD377bhhWwvmZ2LHTRp3HTep9W7L53yrwSztQ9RrmNHMgXHMxwAT7BYdN43tDwfC3nHDplBECvg50p497AzrGXzKNxjMNfDMCAg+tQ4+NRh85nw0MEn567hhW+q/46YLOi8cb+sZ32JKcmU9Nt100x1wajaCcMdNF2zaAbB33LAJwOxK7bhpnp3OqJ6xFzxj97YEo2wdN2lCw0T5wpdgBEEIS4roGsGuSjCCXlK4l/CpuQljKopBWEYlTEztJRhBlNAlGEEU6gIwAOK8DUCSZS9KMJJ8hHjpY7bWzdmSdsXecf2uKDghdsATDXhQ57Js1DcQYRsqwQwPaC0Hvb/908raUJNSfYHxhVdzgiCE6ISquX3tn5Z0o8LduLXcE8QghGwvck8QRUTuWfunJUmouQbgUFESTcrcJvcEYYLJPUf/tCgfIaB6lXvtRY6p42ZOUXBC7GDLPUf/tCgb9RVE2Ibk3vCA1nLQ+qyb//iG0LHqub++vf7ON771TYMjWHLOJuUyB2eaFX1OW++N3VqKStu03xjNfYttbv8xczgX1GL/e6Oj3lmtq93/cPHyQLdjNLLr9f279z9cCypLL06vzcME2kiq7E9mbNpHodKOu12kXNe+1dFxnsX6o2g+VKo/9AkUuf6DQv9Bof+g1H9Q6vtdSv2nlS6ZV/pbqvLouIhi/ZHpj+abizjSH6n+yPVH8xNFkugPpT/0T6T6J1L9E6n+iUz/RKZ/ItM/kemfUPonlP4JpX8i1z+R65/I9U8U+icK/ROF/olC/0Spf6JUtjjPHZGMPiJ4kUQPw4kehhM9DCd6GE70MJzoYTjRw3Cih+FED8OJHoYTPQwnehhO9DCc6GE40cNwoofhRA/DiR6GEz0MJ3oYTvQwnOhhONHDcKKH4UQPw4kehhM9DCd6GE70MJzoYTjRw3Cih+FED8OJHoYTPQwnehhO9DCc6GE40cNwoofhRA/DiR6GEz0MJ7ZhOOEPg6IPA17paUbhVI/CqR6FUz0Kp3oUTvUonOpRONWjcKpH4VSPwqkehVM9Cqd6FE71KJzqUTjVo3CqR+FUj8KpHoVTPQqnehRO9Sic6lE41aNwqkfhVI/CqR6FUz0Kp3oUTvUonOpRONWjcKpH4VSPwqkehVM9Cqd6FE71KJzqUTjVo3CqR+FUj8KpHoVT2yic8kcBj8b8nL+ujKujWo9GrUej1qNR69Go9WjUejRqPRq1Ho1aj0atR6PWo1Hr0aj1aNR6NGo9GrUejVqPRq1Ho9ajUevRqPVo1Ho0aj0atR6NWo9GrUej1qNR69Go9WjUejRqPRq1Ho1aj0atR6PWo1Hr0aj1aNR6NGo9GrUejVqPRm0bjZo9Go8KtwOjQQtL53oIzvUQnOshONdDcK6H4FwPwbkegnM9BOd6CM71EJzrITjXQ3Cuh+BcD8G5HoJzPQTnegjO9RCc6yE410NwrofgXA/BuR6Ccz0E53oIzvUQnOshONdDcK6H4FwPwbkegnM9BOd6CM71EJzrITjXQ3Cuh+BcD8G5HoJzPQTnegjO9RCc24bgnD8EuPYjFp+bEbjQI3ChR+BCj8CFHoELPQIXegQu9Ahc6BG40CNwoUfgQo/AhR6BCz0CF3oELvQIXOgRuNAjcKFH4EKPwIUegQs9Ahd6BC70CFzoEbjQI3ChR+BCj8CFHoELPQIXegQu9Ahc6BG40CNwoUfgQo/AhR6BCz0CF3oELvQIXOgRuNAjcKFH4MI2Ahe8EVjGpLc7ER7sCMqk+fwLE0cjy3MzR5RnpSoK+9U7mLlMTa7tNtn7FtvevlDdsiX+F5u2aFsz/Etd6H7Uaf1O87XmJ18uPl6uo363Eff6W5e18eY7mh95vfioV0t/vf6bjP+J1bLrhwdJ83c3/5nX9z82Oe4J23F9PSnZP880UZFMZJo3ZZsHduoRVmOtXeFMC8GGO8oiq70rnGkjpXENsDDJI/OumxnbQpGe8MfdCraLXthmg5mH3uudFKW915trLZh4KL3eJguf8y0EUw1pQQR9DI75ZoOBnr5qYLLzhG+nItq5zVNwyjcTjPrsdXT73UBsk8E0QOu7tgeBF3xLPfddm6w741tHSVU+h75mmyzTU22y8ZxvI5inSBNXk4kXPBOXQur2royju6txFSfxOI5vq3EZ3V6Oo0hFKi/LuFJD1Zi/uvTbXbOcS1lnf5ZjGG2gKKFphugAo8wSTSBviYIQysHo9PH9NyePHy63VzdzunHzr1fNV79ct0y/av6g65x5tZwQ6j/4e/3ZfvkflhPRV3rmt2rMOTpYfN7MAn90/3f6d800sfmmny2beTbf8JP4jxbvL34W//HRwdlXnx8UUapMbn0i6laFuxWfufUn5p935MtJ9KCrl9+1+RuWv/24mZ03Tvzw/ofL9qdPl/98cP/95kf1JLyZlG9+VM/2P162RH26eHXw1W9+5/Z/uDxY/Pr+3WUrVDfXP/ij/iD98cH93y7n9+/qebw2SjfK3/9g9XethynTG6n1wJlGayo6Wn054xgtwkTW3lYkiCLSVhRNUhPJU1ESak8DwFHYbyeQJAnWU5TqduPKBPhMFpCQRUgzw0dL8b2morLtQXGcti8KTogc7MmQfVTnsnDUNxCBc47oHBnRWg56KXPzuzLK726i8V0S3Y2z67z53puqGl/f3mZRnt5dRtk6yAaVuYlN5mYR1RsYYXCZKwlCCFCozPWxKfD5fOzY/yfpEIU7BBeoJoypKAYh/vpQbpIoQsrNtv9PEoWaOACQtJpExhw4EyUJJt0cu/9E+QiB0adyy9rz+jLHAYyi4ITIwVZujt1/omzU9w9hGxBuwIDWctAhD2BMHFIsMfMlUVRWaZT2+Xbdb8K1FywCokrq96/fhOu4DHOcj34TromKZCLTvCnbPLDySBB7tn4TroVgoRHXcI5+E66NlCIeYGGmTObN2ObtuNmEbTaYdvw2m7CtBbPO9s0mbAvBPEMSpuhjcMw3G4zyvppN2HYqop3bPAWnfDPBkM9W6fZmE7bJYA7w12zCtjRIswnbOkqe8jn0NdvkkM0mbBvBPOWh2YRl4t6uwju2GmQZDRQlDL8KLwhCWGxC544BVuEFHaJwh2w94RLEIKylESZm9lV4QZTQq/CCKNRVQAAknxRGkJkoyF4swkvyEeIiaa4ztAiftWu2mWMRXhKcEDjY8t61CC/JRn39ELahRfjhAa3loJe6raySm+quvBnf3V3q770tx2Vxk4yTNMkv8+sqK/Xm0uC6zb5kb+mGtnsDIwyv2wRBCPEJ1W0PmoS/WLxc3sD03fsf3X9/1frbb/Odf/tb37m9/s7Bv7+9/ta317pN941WUWTsTXwi6hCFOwTXbQ998rrxyBfrLtzXi0+WXbk/djTdLn6++MnRps92vD69cKl7W0etGmyNwXAq6i9CnPciEAVRhASi8SF+KkpCTVAAR5yab6ebiYIE04dJkk/ywgT4TBaQEIC9CsS81RO5QyBKghMCB1sg2kd1LgtHfQERuCGFODyitRx02DaN1Kr5LP3Da76sz7fzNg2mvWD5DJVsv4dtGkzHZZjjvLRpME1UJBOZ5k3Z5oE1O4LYs7ZpMC0ES3S4hnO1aTBtpJS/EAvjIpsYE92MbeKuWzW4ZoOpx3OrBtdaMPN4aNXgWgjmGpI6RR+DY77ZYKT31qrBtVMR7dzmKTjlmwmGfbZUd7RqcE0G84DHVg2upWFaNbjWUXKVz6Gv2SYHbdXg2gjmKR+tGhwT93bJP7W3aijLLgQbKEoYfMlfEoSw4oTOH+WX/CUdonCH4JMuz0v+yz/5</t>
  </si>
  <si>
    <t>fHkEyBvnbKyO14hz5+q/pOsIi3iECaF19V8SJezqvyQJdfER4EhVMsmMa1gzUZS9WP8XBSREY9IMa2D9X7Wb+pRjl6YoOCF0sCcVrvV/UTjqK4jADaz/AyNay0Hvb2dvau8QUe4WZoM3MMLwclEQhBCgULko39kr6RCFOwSXiyaMqSgGIf56kW6CKELSzdbZK4lCTRwASFzkkyQyssxEWYKJN0dzrygfITR61W7tdczKcb+2KDghdrC1m6O5V5SN+gYibEPSbXhAaznosK0bmVWMZU4++/nKmLkUkQW1bnDtBctpqJb6/Wvd4Douwxzno3WDa6Iimcg0b8o2D6zhEeSerXWDayFYssNVnKN1g2sjpRyGWJgU5hAzY1u4484Nttlg5vHbucG2Fkw823dusC0EUw1Jm6KPwTHfbDDQ++rcYNupiHZu8xSc8s0Eoz5bqNs7N9gmg2nAX+cG29IgnRts6yipyufQ12yTQ3ZusG0E85SHzg2WiXu7FJ85OjfcGxP450cehV6KFwQhrDeh08cAS/GCDlG4Q7aecwliEJbTCHMz+1K8IEropXhBFOpCIAASV5MoN6LMRFH2YiVeko8QGUmznaGV+HbPnXLsohQFJ4QOtsB3rcRLslFfQIRtaCV+eEBrOej97bnNHE0U7uZigzcwwvDKTRCEEJ9Q5Rag51bQIQp3CK7cvPbcDl9nZ+u3FXQbIdx7UYqCKEJK0fgsPxUloeYpgCMtJ7GRZCZKEkwnOtttJQEJgdirUGwvP1OO6+xEwQmRgy0Une22knDUNxCBG1KKwyNay0GH7dlQNu2Xu9uJ8z7frns2uPaChTRUuv3+9WxwHZdhjvPRs8E1UZFMZJo3ZZsHVu8Ias/Ws8G1ECzW4SLO0bPBtZFSCAMszKuJ0YkztoE7btlgmw0mHr8tG2xrwbyzfcsG20Iw05C0KfoYHPPNBuO8r5YNtp2KaOc2T8Ep30ww6LOFur1lg20ymAX8tWywLQ3SssG2jpKpfA59zTY5ZMsG20YwT3lo2WCZuLcL/8respEnNFCUMPjCvyQIYb0JnT3KL/xLOkThDsGnXF4X/rU/m6+/t/jtcu588qQ+qA+SKI3GZ2X0lnPpX9JxhAU8wmTQuvQviRJ26V+ShLrwCHAk0aTITSQzUZK9WPoXBSSEYtL0amDpP2839+WO3Zqi4ITIwZ5RuJb+ReGobyACN7D0D4xoLQe9v+29yt4kkmdUb2CE4bWiIAghQKFaUb69V9IhCncIrhVNGFNRDEL89aLcBFGElJutvVcShZo4AJC40aCliWQmShJMujm6e0X5CIHRq3Jr71zLHZfoiYITIgdbuTm6e0XZqO8fwjYk3IYHtJaDDtuzkVulmLt7uejz7bxng2kvWElDldTvYc8G03EZ5jgvPRtMExXJRKZ5U7Z5YPmOIPasPRtMC8FqHa7hXD0bTBsplTDAwrzJcyYDZ2wDd92zwTUbTDyeeza41oJ5x0PPBtdCMNOQpCn6GBzzzQbjvLeeDa6dimjnNk/BKd9MMOizdbqjZ4NrMpgFPPZscC0N07PBtY6SqXwOfc02OWjPBtdGME/56NngmLi36/C5o2fDvSHhEShKGH4dXhCEsNyEzh4DrMMLOkThDtl6yiWIQVhNI0zN7Ovwgiih1+EFUajrgACIXoc3TphnoiR7sQ4vyUcIjKTJztA6fLvVLndsnhQFJ0QOtr53rcNLslHfP4RtaB1+eEBrOej9bbbN7Q0Uhbur2OANjDC4cJMEIcQnVLjJN9tKOkThDsGFm99m298tj9Z4uZa+2lVtw20ejZ9m0dedDbeSziMEfR9yURJFSC4an+inoiTUbAVwJNFkXfN9pBYlSYKpRVfDrSggIRz7lItFexFa4bjaThScEDnYctHVcCsKR30DEbgBvQiMaC0HHbZvo7AqQHdDcdnn23XfBtdesJqGCrjfv74NruMyzHE++ja4JiqSiUzzpmzzwBIeQe3Z+ja4FoIVO1zEOfo2uDZSqmGAhcqY5GZs83bctcE2G0w7frs22NaCWWf7rg22hWCeISlT9DE45psNRnlfXRtsOxXRzm2eglO+mWDIZ8t0e9cG22QwB/jr2mBbGqRrg20dJU/5HPqabXLIrg22jWCe8tC1wTJxbxf/C3vXRpHRQFHC8Iv/giCE1SZ07hhg8V/QIQp3CD7h8rv4/2/Lr7+7XPpfLfvHURGNv55EZ+5lf0G3ERbvCBNB+7K/IErgZX9BEuqiI8ARW6/dlATZj1V/SUBCHCbNrYZW/du9fYVjs6YoOCFwsKcTzlV/STjqC4jADa36D49oLQe9v+29haNLxN3HbPAGRhheKAqCEAIUKhTl23slHaJwh+BC0YQxFcUgxF8vwk0QRUi42dp7JVGoiQMAKSfKCDITBQmm3BzdvaJ8hLjoVbi1V64Vjjv0RMEJgYMt3BzdvaJs1NcPYRvSbcMDWstBh+3WKK1KzN29XPX5dt6twbQXrKKhQur3sFuD6bgMc5yXbg2miYpkItO8Kds8sHRH0HrWbg2mhWClDpdwrm4Npo2UKhhgYaImymTgjG3grvs1uGaDicdzvwbXWjDveOjX4FoIZhqSNEUfg2O+2WCc99avwbVTEe3c5ik45ZsJBn22Tnf0a3BNBrOAx34NrqVh+jW41lEylc+hr9kmB+3X4NoI5ikf/RocE/d2Gb6092uU7q0Ij0BRwuDL8JIghOUmdPYovwwv6RCFO2TbKZckBmE1jTA1sy7DS6IEXoaXRKGuAwIg6aRMjCQzUZJ9WIcX5SMERtJkZ2Advmw32ZWObZOi4ITIwdb3jnV4UTbq+4ewDazDAwNay0Hvb6Ntae+fKN0dxQZvYIThhZsgCCE+ocJNvtFW0iEKdwgu3Pw22r7Wf1nzN+iG2w/faLddnrLx9XSg3VbSeYSg70UuCqIIyUXjE/1UlISarQCOYpIrE8hMFCSYWHS124oCEqKxV7XY3oFWOm61EwUnBA62WnS124rCUV9ABG5ILg6PaC0H3fzvz98QF1os/ZlLFvpt46hMtI0cTM20VQOlUhX3aQM1cTT/mOx9i20vWFpD1dxPG6mhuyvaVo7XjYzTa24vD5Yq5Le6d+P+h41saSTHP64bLV4/avx40N+BdmNwPZBhHvDRjcE1UZFMBMxrfPmfGid/sPi3ycHil4vfjONJZjJ5yjYZLNYRdJ2tQ4NrIVibw+Wao0ODayOl7gVYGE1KZTJwxjZQpEPjUbaafW16dnZ6ts5X9cXxHzUCIztqPtQf6/Cg7deJ6ygy5q5nfDww99A7ObI8s3ZysK0Fkw+lk+Mr2nmHK8f/6drNJquf860GU5APCathRjMHxjEfA8wj9G6Pte3a7NHDgbBRnPApFJECfo60Zw87w3oGn/INBhMNPA8Agk+tg08NBp85Hw3MULTuEXvgecG31HP3yFfmm6DzwvG2nvEtpmRW1mPTza3cAadmI8h0mDwONu0A2AjO+QRgdiX1n3xFe/SwM6pn7AXP2NUjc3lX3N2m4zLL0nGm8nJ8WcTROFFxkt3dFNn1TfhOlMrc1N/MXzMaJsoXvpwhCNJXHq7xASfAD5buP2wmsB/rrQXj5l+vmq9+uW5GedX8wRfN/+mV/NX89v3Fz+KDIjL3BzwR9YLCvYDPMBc/a+BWzTjLMg7kijcXAo4OvnpyPn361YNlo86vFr9Y/HPz7/+y+Oni/3W0rmCoKI3GZ1X0VhOamp9dfKZ/Vm8HebUslrxaFz5e3f94VeIwvipTUd8SVioJU2F7iUMQJXCJQ5CEusIKcSS2jamSJMFqHPZNEqJ4hADtY3rYTRLb4ydKx4EiouCEuAHPbB5VOKJ8omwNMZJw1PcPgRuqcAyPaC0Hvb+dzJW5ntDoR0X1BcYXXj8KghDCE6ofA/QxCzpE4Q7BpaQJYyqKQYi+XlSbIIqQarP2MQuiUNMGBpKUJpKZKEkw2ebqY5bkIwRGr7pNtVleOXSbJDghcrB1m6uPWZKN+v4hbEOybXhAaznosOeJxMYxbZRY7sDLVNbH23knCtNesAyICqlddqIwPZBhHvDSicI0UZFMBMwzdKIYE/KUbTJYICQIOWsnCtNCsM6H6zNXJwrTRkq9DLJQmeybse3bYSNKoRtRyrYWnLsbUbh4YO7x3IjCtRbMPdRGlHzTiGI9X+w532owA/lQrBpmNHNgHPMxwDSyTSNKPno4EI5GFC6FIlLAz5H27GFnWM/gU77BYJ6BZT8QfGodfGow+Mz5aGCC8tiIwrVUoBEl3zSiWN/WM77FlMTKemy6uZQ74NRsBOlGlHz0cAAcjShcAjC7khtR8sPOqJ6xFzxj97aQEEfWTpSCxokChq8kCIIQFszQCXCASoKgQxTuEHyyacKYimL0RYEDgzABtVcSBFFCVxIEUagrmRBIYj0RRZBkLyoJknyEwOhjXtbNzop24blwzNAkwQmRA55SwIM6l2Wjvn8Im3NA58iA1nLQ+9tA3Og2WweI5cg+uzMwwPC6TRCEEJ5Q3SbVQSzoBYV7ARdrITqIl2egPM2ir2/ZQSzoW0Ie8KIgBVGEFGRqInkqSkJNYBBHZnxzZ6IgwfSjo4FYEo8Qn73Kx7JVG6VDPkqCE8IGWz46G4gl4aivHwI3pB+HR7SWgw7ciWJbyauceKqPt/NOFKa9YB0QFXS77ERheiDDPOClE4VpoiKZCJhn6ESxyT2myWCFkCDjrJ0oTAv7Ck20E4VpI6VghliYVpPE6MYZ28TdNaNU0VHzEbf14MrdjMLFA9OP52YUrrVg+qE2o1SbZpTK0YzCtRpMQj5Uq4YZzRwYx3wMMJNs04xSjR4OhKMZhUuhiBTwc6Q9e9gZ1jP4lG8wmGpg6Q8En1oHnxoMPnM+GpijPDajcC0VaEapNs0o1rf1jG8xJbeyHptuOuUOODUbQboZpRo9HABHMwqXAMyu5GaU6rAzqmfsBc/Y/S1qWKT7V5sQReNEAYMXNSRBCItm6BxYqKgh6QWFewGfZMoWNdpz8I8OFr9dngb/w8Un21U2JB1MWKIkTImtlQ1JlLCVDUmSvgJwkKAz7CyeFLmxCXImirIHtQ1RPEKY9jFLbOeKVXu3TOW4LEgUnBA44AnOo2WhshESltqGKBz1BUTgBmobwIjWctB73NMc23pjqpjqDAwwvIwUBCHEJ1RGyvc0SzpE4Q7BFaUJYyqKQQi/XnSbIIqQbrP1NEuiUPMGAJJEk9J8jOpMFCWYcHM0NYvyESKjV+UWt3k+dig3SXBC6GArN0dTsygb9QVE2IaE2/CA1nLQgZtSbFIsceLlfbxdN6Vw7QXrgaiS2mFTCtcDGeYBH00pXBMVyUTAvEdNKYl5UWjKNhmsFBKUnK0phWshWPDDBZqjKYVrI6VwhliYpZPKtmTGNHGHTSmpbkrJ1nXhKnE2pbDxwPTjtymFbS2YfohNKVXSNaVU1qv8nvOtBpOQD9GqYUYzB8YxHwPMJFs0pTS2PxwIe1MKm0IRKeDnSHv2sDOsZ/Ap32Aw1cDKHwg+tQ4+NRh85nw0MEf5a0phW+q/KaULOi8cb+sZ32JKbmU9Nt10yh1wajaCcFNKF2zaAbA3pbAJwOxKbUppnp3OqJ6xFzxj97eakFibUlIaJwoYvpogCEJYM0PnwAGqCYIOUbhD8PmmCWMqikFYEiTMQe3VBEGU0NUEQRTqYiYAksQTVWUmlJkoyl5UEyT5CJHRx8Ssm56l7eKz4zZVUXBC6IDnFPCgzmXZqC8gwjZUTRge0FoOeincovT2Or8t4vFNcn0zzsoqG1eqbH51fZvHcaQKdbd2TFjhZhSojXDLqM7AAMMLN0EQQnhChduDbuKPG5H244fViOarv75/t/mm14tPmi++XHyqO1/fX/wsWqs23ShbRGlh8sYTUW8o3Bu4anvokC8a4I8ab3z3/kf33182EA+0DBdRlh0dxEibsDEUTkU9RojyXgSiIIqQQDRWhJ6KklDTE8CRpZO4tFzGI4kSTB862oQl8Qjx16s8bG/cqxx3KIqCEwIHWx66jkARhaO+gAjckD4cHtFaDjpwt4kxpjaKTznxij7ezrtNmPaChT5UsO2y24TpgQzzgJduE6aJimQiYJ6h2yQzmTxlmwyWAAlCztptwrQQrOTh+szVbcK0kVIRAyxMyklljHcztoU7bDbJdbNJ0dZ7lbvZhIsHZh/PzSZca8HsQ202UZtmE+v1fM/5VoM5yIdo1TCjmQPjmI8BJpJtmk3U6OFAOJpNuBSKSAE/R9qzh51hPYNP+QaDmQZW/kDwqXXwqcHgM+ejgSnKY7MJ11KBZhO1aTaxvq1nfIspqZX12HSzKXfAqdkI0s0mavRwABzNJlwCMLuSm03UYWdUz9gLnrH7W7NIrc0mOY0TBQxfsxAEIayZoVNg6ZqFoDcU7g18rsmuWRwsfr74SXuAexwV0fjraXSG1i8OTO6birqPsA5JmPfaCxiCKIELGIIk1PVTgKOc5EVlIpmJkuxD/UISjxCLfUwFuwlh3q52O+5oFQUnxA14FkOqX0jCUd8/BG6ofjE8orUc9B43JluqB41WLKjOwADDa0VBEEJ8QrVigMZkQYco3CG4XDRhTEUxCOHXi2wTRBGSbdbGZEEUat4AQLJJmplAZqIgwWSbqy1Zko8QF73qtvaiv8pxc6MoOCFwsHWbqy1Zko36+iFsQ7JteEBrOejAbSfGQNQIMffFQmUfb+dtJ0x7wZIfqqN22XbC9ECGecBL2wnTREUyETDP0HaSm0yesk0Gi4EEHWdtO2FaCNb0cHnmajth2kipjQEWJuXEuJg9Yxu4w66T6ui4iKK28Fu6u064eGDy8dx1wrUWTD7UrpNy03VivYrvOd9qMAX5kKwaZjRzYBzzMcA8sk3XSTl6OBCOrhMuhSJSwM+R9uxhZ1jP4FO+wWCigXU/EHxqHXxqMPjM+WhghvLYdcK1VKDrpNx0nVjf1jO+xZTMynpsusmUO+DUbATprpNy9HAAHF0nXAIwu5K7TsrDzqiesRc8Y/e3kpBZu04qGicKGL6SIAhCWDFDZ8ABKgmCDlG4Q/DZpgljKopBWBAkzEDtlQRBlNCVBEEU6lImAJJN0shIMhMl2YtSgiQfITD6mJd1s7OqXXl23IwqCk6IHPCUAh7UuSwb9f1D2IZKCcMDWstB73G3cGbpACnWczOCMzDA0LpNFIQQnlDdJtstLOoNhXsDF23sbuG2UVhFSTQ+K6K30EZhk+Omoo4jBHsPMlEURUgmpiaSp6Ik1CwFcJST3DhLnomCBBOJ1jZhWTxCEPaoERumlaRY/8IEfiwLTggbbI3oaBOWhaO+fgicWyQiI1rLQQfuN1EmvEb2ue8Mqvp4O+43YdsLFvtQ1ba7fhO2BzLMAx76TdgmKpKJgHmGfhPj8vyUbTJYBiTIOEu/CdtCsJqHqzN7vwnbxn7w37bfpJpkRi/O2BburOGkiBLdcJKuar6N/a6GEz4emH28NpzwrQWzD63hpDGnbThZu9lk9XO+1WAO8iFaNcxo5sA45mOAiYTfcKJtfzgQ1oYTPoUiUsDPkfbsYWdYz+BTvsFgpoGVPxB8ah18ajD4zPloYIry1nDCt9R7w8km6LxwvK1nfIspqZX12HSzKXfAqdkIsg0nm2DTDoC14YRPAGZXYsOJfnY6o3rGXvCM3d/ChbI0nDQhisaJAoYvXAiCENbM0CmwdOFC0BsK9wY+12QXLh4cc5ItqxfV1tULQe8RliEJ01579UIQJXD1QpCEunwKcJSTMslNJDNRkn0oX0jiEUKxj5lgNx9M2sVu+z2rsuCEuAFPYkjlC0k46vuHwA2VL4ZHtJaD3uPeZGXtcUmpzsAAw0tFQRBCfEKlonhvsqhDFO4QXC2aMKaiGITw60W2CaIIyTZLb7IoCjVvACDZJDNfajETJQmm2+y9ybJ8hMDoVbilbZq3374oC06IHGzhZu9NlmWjvn8I25BuGx7QWg46cNuJcQLZKLHMhZdHfbydt50w7QVLfqiQ2mXbCdMDGeYBL20nTBMVyUTAvEdtJ7H5uZqyTQaLgQQhZ207YVoI1vRwfeZqO2HaSKmNARamcT6xnAvMNnGHfSdK953kbek3c/edcPHA9OO574RrLZh+qH0n2abvxHrh3nO+1WAS8iFaNcxo5sA45mOAmWSbvpNs9HAgHH0nXApFpICfI+3Zw86wnsGnfIPBVAMrfyD41Dr41GDwmfPRwBzlse+Ea6lA30m26Tuxvq1nfIspuZX12HTTKXfAqdkI0n0n2ejhADj6TrgEYHYl951kh51RPWMveMbubzEht/adKBonChi+mCAIQlgzQ+fAAYoJgg5RuEPw+aYJYyqKQVgSJMxB7cUEQZTQxQRBFOpiJgCSFRMV2+a0gih7UU2Q5CNERh8Ts256ptrFZ/sNqLLghNABzyngQZ3LslFfQIRtqJowPKC1HPR/XGFf3hV3t+m4zLJ0nKm8HF8WcTROVJxkdzdFdn2zE+Fm6wLJqc7AAMMLN0EQQnhChduD/tgPG/X2cSPbXo+bf71qvvrlWr29av7gi+b/dMvsqjbx/uJn8UERmRPqE1EvKNwLuFprlOgHa/WqITFXvFnEOXIdgrLqqs6yo7ff/mbz7fpvaoTw+P4Hi5e65tPECKSt2DjnmYr6mpAXvEhKQRQhSWls6ngqSkJNaABHpSaWpv+ZKEowRenoK5bEI0Rsr4Iyb/WH/fZEWXBC4GALSmdfsSQc9QVE4IYU5fCI1nLQgftTjIGo0YiFEy/u4+28P4VpL1gaRCXeLvtTmB7IMA946U9hmqhIJgLmGY5FsQk+pslg0ZAg5Kz9KUwL+xpNtD+FaSOlhgZYqPJsonKTiTO2iTvsTyl1f0rVlogLd38KFw9MP577U7jWgumH2p9SbPpTrDfzPedbDSYhH6pVw4xmDoxjPgaYSbbpTylGDwfC0Z/CpVBECvg50p497AzrGXzKNxhMNbD0B4JPrYNPDQafOR8NzFEe+1O4lgr0pxSb/hTr23rGt5iSW1mPTTedcgecmo0g3Z9SjB4OgKM/hUsAZldyf0px2BnVM/aCZ6y2FtsYq3msk1fH7J09gbX2pzgvHHrMiQKGL3MIghAWzdA5sPS5KILeULg38MnmtueiaHdUkd4rtdWBKIJuIyxAEia89sqFIEpfcThQ8JmxvXIhSEJdOAU44ryapLnxANmZKMs+lC4k8QhR2McksJsKlu1Ct/1eVllwQuSA5y+Pntqy0Qm20oUkHPUNROCGShfDI1rLQe9xF3NhbYapqM7AAMOrREEQQnxCVWKALmZBhyjcIbhQNGFMRTEI4deLcBNEERJu1i5mQRRq3gBAymySl5kJZSaKEky4ubqYJfkIkdGrcqvaPG+/r1EWnBA62MrN1cUsyUZ9ARG2IeE2PKC1HHTgnhPjDPKrRRw58ZI+3q57Trj2guU+VEntsOeE64EM84CPnhOuiYpkImCeoedEmUyesk0GC4EEJWfrOeFaCNbzcIHm6Dnh2tgP/lv2nKS2HrsZ28LdtZzE8VHzkayrvnHkbDlh44HZx2/LCdtaMPsQW07iqGs5ia2X8z3nWw3mIB+aVcOMZg6MYz4GmEi2aDlpbH84EPaWEzaFIlLAz5H27GFnWM/gU77BYKaBhT8QfGodfGow+Mz5aGCK8tdywrbUf8tJF3ReON7WM77FlNTKemza2dRAwKnZCMItJ12waQfA3nLCJgCzK7XlpHl2OqN6xl7wjNXWXmVXURJHl+Py8i4bN69RPr6KL6vx3fVlfh2nWVRcXq54rHNXx+SdPX+1tZzEziuHHnOigMGLCZIghCUzdAr8uJiwrhBYigqrHaUfNb95T8+Pl7Pejxavm4nwsi1F/8SnekOq/rlVb4XJTU9E3aRwN+GTUBPGVBSDsE5ImJhaSwySKIFLDJIo1BVOACSz35YjSRKuwmDvDRHlI4RLH7O1bs4WrxekY8cVqqLghMgBTzTgQZ3LslHfP4RtoMIADGgtB73HDcSlrTUkTqjOwADDqzlBEEJ4QtWccAOxpDcU7g1ctG3bQLy6WDGJ0mh8VvYvVnz77W8SO4kl/UeI+V7UoiCKkFpMTSRPRUmoyQrgqCa5Ms6hZ6IkwcSiQytK4hGCsVet2F7EFzuuVhQFJ8QNtlZ0HYEiCkd9/xC4IbE4PKK1HHTgdpTKhNfIv9SJl/bxdt6OwrQXLAWi6m2X7ShMD2SYB7y0ozBNVCQTAfMM7ShGvTxlmwwWCQk6ztqOwrQQrPXh8szVjsK0kVIzAyxMy0lhlJAztoU7bEfJdDuKaivCqbsdhYsHZh/P7Shca8HsQ21HSTftKNZL+57zrQZzkA/RqmFGMwfGMR8DTCTbtKOko4cD4WhH4VIoIgX8HGnPHnaG9Qw+5RsMZhpY+QPBp9bBpwaDz5yPBqYoj+0oXEsF2lHSTTuK9W0941tMSa2sx6abTbkDTs1GkG5HSUcPB8DRjsIlALMruR0lPeyM6hl7wTN2fwsYlbUdJaNxooDhCxiCIH3p4RogcAosXcAQ9IbCvYHPNdkFjLZ2oZa1i6pfu6CegSLpOMIKJGHGa69cCKIErlwIklBXTgGOOJ7ktvuAJFH2oXQhiUcIwz5mgd1cMGsXuh03toqCEwIHPIEhlS4k4agvIAI3VLoYHtFaDnqPj0CprH0uiuoMDDC8TBQEIcQnVCbKH4Ei6RCFOwRXiiaMqSgGIfx60W2CKEK6zdqfLIhCzRsAiJqUto4TQZBgss1xAIooHyEuetVt7a1/seMaR1FwQuBg6zbHASiibNTXD2Ebkm3DA1rLQYftODGfRtgIsdyJl/Xxdt5xwrQXrPahOmqXHSdMD2SYB7x0nDBNVCQTAfMMHSfGg4CmbJPBOiBBx1k7TpgWguU8XJ65Ok6YNlLKYoCFuuMkM1k4Y1u4w46TQneclG3RN3d3nHDxwOzjueOEay2YfagdJ/mm48R6Dd9zvtVgDvKhWTXMaObAOOZjgIlkm46TfPRwIBwdJ1wKRaSAnyPt2cPOsJ7Bp3yDwUwDC38g+NQ6+NRg8Jnz0cAU5bHjhGupQMdJvuk4sb6tZ3yLKamV9dh0syl3wKnZCNIdJ/no4QA4Ok64BGB2JXec5IedUT1jL3jG7m0pIYmsHScFjRMFDF9KEAQhLJmhU+AApQRBhyjcIfh004QxFcXoiwIHBmEKai8lCKKELiUIolDXMgEQXUqw1RIESfailiDJRwiMPuZl3eysaJeeHbeiioITIgc8pYAHdS7LRn3/EDbngM6RAa3loPe3U7jRbbYWEPeVQAZnYIDhdZsgCCE8obpNulNY0BsK9wYu2tidwr2jTvJo/DSLvg63C7/9TZMDp6IOJAR9L3JREEVILqYmkqeiJNRsBXDojuHEGHdnoijB5KKjY1gSjxCOvarF9oq92HFpoig4IXCw1aKzY1gSjvoCInBDcnF4RGs56MCtJ7aFu8qJp/p4O289YdoLlv1Q/bbL1hOmBzLMA15aT5gmKpKJgHmG1hPzUeVTts1gRZCg5Ky9J0wLwcIeLtBcvSdMGykFMsDCNJ0oZbJwxrZwd70nSXTUfMRt+bdy955w8cD047n3hGstmH6ovSfVpvfEeh3fc77VYBLyoVo1zGjmwDjmY4CZZJvek2r0cCAcvSdcCkWkgJ8j7dnDzrCewad8g8FMA0t/IPjUOvjUYPCZ89HAFOWx94RrqUDvSbXpPbG+rWd8iymplfXYdNMpd8Cp2QjSvSfV6OEAOHpPuARgdiX3nlSHnVE9Yy94xu5vDSO29Z6sd1XAnChg8BqGJAhh0QydAwvXMCS9oXBv4JNNdg2jLV+kURaNz5JtTzuRdBxhCZIw47XWLiRRwtYuJEn6Gd5Bgk6g42gS5cqEMhNF2YPahSgeIQz7mAW2c8EkWq90J47LWEXBCYEDnsBQaheicNQXEIEbqF0AI1rLQe9xi3Jsa3VJ3FccGZyBAYaXiYIghPiEykT5FmVJhyjcIbhSNGFMRTEI4deLbhNEEdJtthZlSRRq3gBA1CRKjRJ0JkoSTLc5WpRF+QiB0atway/vSxy3MYqCEyIHW7g5WpRF2ajvH8I2pNuGB7SWgw7cc2JTYokTL+/j7brnhGsvWO5DhdQOe064HsgwD/joOeGaqEgmAuaZek6Mu0OnbJvBSiBBydl6TrgWggU9XKA5ek64NlIKY4iFKsomqWV7GNfGHXadpLrrJFsXfpPE2XXCxgMTkN+uE7a1YAIidp0kSdd1klhv3XvOtxpMQz5kq4YZzRwYx3wMMJds0XXS2P5wIOxdJ2wKRaSAnyPt2cPOsJ7Bp3yDwVwDa38g+NQ6+NRg8Jnz0cAk5a/rhG2p/66TLui8cLytZ3yLKcmV9dh0Eyp3wKnZCMJdJ12waQfA3nXCJgCzK7XrpHl2OqN6xl7wjN3fckJi7TpJaZwoYPhygiAIYdUMnQUHKCcIOkThDsFnnCaMqSgGYVGQMAm1lxMEUUKXEwRRqMuZAEiSqEmeGTu0ZqIse1FQkOQjhEYfM7Nufpa268+Oe1BFwQmxA55UwIM6l2WjvoEI21BBYXhAaznoPe4XTqyNIBnVGRhgeOUmCEIIT6hyk+4XFvSGwr2By7ZGkn6wlrG6PXjxeeOLH93/nf7N/Tv6Cx/qDuBlE/E7y+/7RDtp9QevGwd+sXg9bv71qnHpl2vt+6r5gy+a/9PftfztZ80/ny7/M6svPiwHLY9OObv8y8ar+tTNrZqOBb1PyBhe1KYgipDaTE0kT0VJqKkO4MhUPEkqI8tMlCWY2HR0HUviEYK5V63Z3siXOO5YFAUnRA621nR2HUvCUd9ABG5IbA6PaC0HHbh7xRiIGvmonHhFH2/n3StMe/tB4/e4e4XpgQzzgJfuFaaJimQiYN6j7pXMvAA+ZZsMFhQJSs7avMK0EKwL4gLN1bzCtJFSXwMsTJJqkhlvZZqxTdxh70que1eKtnys3L0rXDww/XjuXeFaC6Yfau+K2vSuWO/ve863GkxCPlSrhhnNHBjHfAwwk2zTu6JGDwfC0bvCpVBECvg50p497AzrGXzKNxhMNbD0B4JPrYNPDQafOR8NzFEee1e4lgr0rqhN74r1bT3jW0zJrazHpptOuQNOzUaQ7l1Ro4cD4Ohd4RKA2ZXcu6IOO6N6xl7wjF09Mpd3xd1tOi6zLB1nKi/Hl0UcjRMVJ9ndTZFd3+ygdyW19q7kNE4UMHwFRBCEsGiGzoEfVECgRfzVFPf9xc9ivUZvfGyfiHpB4V7AJ5n9ygfkigdrAfbz4I+WZaIqitJVvcI2exX0GWHVkTDLtdcrBFEC1ysESairpQBHXk6a/6wJZSaKsg/lCkk8QuT1MfHrpn95u7jtuLBVFJwQOOA5y6O1qDK13EM/l4WjvoAI3FC5YnhEaznoPe5qthQLGmVYUJ2BAYZXhoIghPiEKsMAXc2CDlG4Q3CRaMKYimIQwq8X3SaIIqTbrF3NgijUvAGApNkkM+9fmYmiBBNurqZmST5CZPSq3Np7/xLHRY6i4ITQwVZurqZmSTbqC4iwDQm34QGt5aAD95lkJrxGirkvHir7eDvvM2HaC5b4UCW1yz4TpgcyzANe+kyYJiqSiYB5hj4T46LQlG0yWPwjKDlrnwnTwr5IE+0zYdpIqYUhFuaT0tZmwrRwh20m1dFxkUZtpbd0t5lw8cDs47nNhGstmH2obSblps3Eelffc77VYA7yoVk1zGjmwDjmY4CJZJs2k3L0cCAcbSZcCkWkgJ8j7dnDzrCewad8g8FMAwt/IPjUOvjUYPCZ89HAFOWxzYRrqUCbSblpM7G+rWd8iymplfXYdLMpd8Cp2QjSbSbl6OEAONpMuARgdiW3mZSHnVE9Yy94xu5vMcHSId7MYCsaJwoYvpggCEJYMkOnwAGKCYIOUbhD8OmmCWMqikFYESRMQe3FBEGU0MUEQRTqWiYAkkxUaqslCJLsRS1Bko8QGH3My7rZWdUuPTuuThUFJ0QOeEoBD+pclo36/iFsQ7WE4QGt5aD3uD04szWBpBHVGRhgcN0mCUIIT6huE2oPlvSCwr2AizX59uDVeSeO9mBJnxHiuw9lKIkipAyNlaCnoiTUxARwqEmUZyaSmShJMGFo7w4WxSMEXp+6MG0v3EsdVyiKghPiBlsXug4zEYWjvn8I3IAwBEa0loMO3GSiTHiN1HPfNFT18XbdZMK1FyzwoUpth00mXA9kmAd8NJlwTVQkEwHzHjWZKNthJlyTwdIfQcfZmky4FoIVPFyeOZpMuDZSKmGIhVFh6aqbsU3cXZdJmuguk3Rd6E1jZ5cJGw9MP367TNjWgumH2GWSxl2XSWq9ne8532owCflQrRpmNHNgHPMxwEyyRZdJY/vDgbB3mbApFJECfo60Zw87w3oGn/INBlMNLP2B4FPr4FODwWfORwNzlL8uE7al/rtMuqDzwvG2nvEtpuRW1mPTTafcAadmIwh3mXTBph0Ae5cJmwDMrtQuk+bZ6YzqGXvBM1Zbi53GqXmsk1fH7J09gbV1mayLrzAnChi+WiEIQlg0Q+fAwse5S3pD4d7AJ5sPp/dfNMD65Pbv3v/o/vvLAoW1JvHmiSVvHsH+9tvfJB7CLukzwuojYbZrr1oIogSuWgiSUFdNAY40mcSFpZ9FEmUfyhaSeIQI7GMC2E0Dk3aR23Enqyg4IXDAcxfToSaprWwhCUd9ARG4obLF8IjWctB73IesrP0sKdUZGGB4hSgIQohPqEKU70OWdIjCHYKLRBPGVBSDEH696DZBFCHdZutDlkSh5g0AJM4nUZmbUGaiKMGEm6MRWZSPEBm9Krf2Yr/UcVOjKDghdLCVm6MRWZSN+gIibEPCbXhAaznowP0mxkDUSLHMhVdEfbyd95sw7QVLfaiS2mW/CdMDGeYBL/0mTBMVyUTAPEO/ifG5mrJNBouABCVn7TdhWgjW8nCB5uo3YdpIqYkBFqaTzLZgxjRwh90mSneb5G3BN3N3m3DxwOTjuduEay2YfKjdJtmm28R6m95zvtVgCvIhWTXMaObAOOZjgHlkm26TbPRwIBzdJlwKRaSAnyPt2cPOsJ7Bp3yDwUQD634g+NQ6+NRg8Jnz0cAM5bHbhGupQLdJtuk2sb6tZ3yLKZmV9dh0kyl3wKnZCNLdJtno4QA4uk24BGB2JXebZIedUT1jL3jG7m8tIbd2mygaJwoYvpYgCEJYMUNnwAFqCYIOUbhD8NmmCWMqikFYECTMQO21BEGU0LUEQRTqUiYEouLURDITJdmLUoIkHyEw+piXdbMz1a48Oy43FQUnRA54SgEP6lyWjfr+IWxDpYThAa3loPe4Szi39oDkVGdggOF1myAIITyhuk26S1jQGwr3Bi7aHjrk9eIj3Sm8bPJtHKC/6OoUPlj8fPGT/gkmtl5gQc8QorkXHSiIIqQDjeLpqSgJNQ0BHPEkMhdyZ6IkwWSgoxVYEo8QZr2qwPY2vNRxv6EoOCFusFWg8wQTSTjq+4fADcnA4RGt5aADd5QYFUAj7AonXtzH23lHCdNesJyH6rJddpQwPZBhHvDSUcI0UZFMBMxL+x0lsfUEE6bJYKGPoOOsHSVMC8F6HS7PXB0lTBspdS/AwlQVk9xyTw7XxB32lJS6p6Rqy7qFu6eEiwemH889JVxrwfRD7SkpNj0l1pvznvOtBpOQD9WqYUYzB8YxHwPMJNv0lBSjhwPh6CnhUigiBfwcac8edob1DD7lGwymGlj6A8Gn1sGnBoPPnI8G5iiPPSVcSwV6SopNT4n1bT3jW0zJrazHpptOuQNOzUaQ7ikpRg8HwNFTwiUAsyu5p6Q47IzqGXvBM3b1yCBHcGoe6+TVMXtnT2CtPSXO+4Aec6KA4WsTgiCERTN0Dix13rqgFxTuBXySufV560fY4SaL3y5eLj7THTpNgHrjoJMD2zEntqmuoIMJS5SEKbG9tCGI0tckDhR87mwvbQiSUJdWAQ59RmgaZSaWmSjLPhQ3JPEIcdrHNLGbLJbtUrjjYlVRcELkgGc4pOKGJBz1DUTghoobwyNay0HvcW9yYe1xqajOwADD60hBEEJ8QnVkgN5kQYco3CG4pDRhTEUxCOHXi3ATRBESbtbeZEEUat4AQFQ6yZUxAs5EUYIJN1dzsiQfITJ6VW7t/Xyp48JFUXBC6GArN1dzsiQb9QVE2IaE2/CA1nLQgbtSjEXarxZZ5MRL+ni77krh2gsWBFEltcOuFK4HMswDPrpSuCYqkomAeYauFONzNWWbDJYKCUrO1pXCtbAv0iS7Urg2UipngIWqKCaVMpk4Y5u4u66ULD5qPpJ1YTiLnF0pbDww/fjtSmFbC6YfYldKFnVdKZn1qr3nfKvBJORDtGqY0cyBcczHADPJFl0pje0PB8LelcKmUEQK+DnSnj3sDOsZfMo3GEw1sPIHgk+tg08NBp85Hw3MUf66UtiW+u9K6YLOC8fbesa3mJJbWY9NO50aCDg1G0G4K6ULNu0A2LtS2ARgdqV2pTTPTmdUz9gLnrH7W00obV0pmfP+oMecKGDwaoIkCGHNDJ0Dy1cTJB2icIfg800TxlQUg7AkSJiDWqsJkiiBqwmSKNTFTACkzCd5ZWxpmYmi7EM1QZSPEBl9TMy66Vm8XnzOHFefioITQgc8p4AHdS7LRn0BEbaBagIwoLUc9B63E5e2NpD1YcQEZ2CA4YWbIAghPKHCTaidWNILCvcCrtbk24mLKMuO3n77m82367+pEcLj+x/o3uLFp9t1Fkv6mpAXvEhKQRQhSWmUYU9FSagJDeCIi3SSlsaXeSbKEkxS2juLRfEIIduromzv28scNyiKghMiB1tRujqLReGobyACNyQph0e0loMO3KBSmfAakZg68dI+3s4bVJj2grVBVOPtskGF6YEM84CXBhWmiYpkImCeoUElM5k8ZZsMVg0JSs7aoMK0ECz+4QLN1aDCtJFSRAMsjCaFbSmPaeAO21My3Z6i2gpx6m5P4eKBycdzewrXWjD5UNtT0k17ivVmvud8q8EU5EOzapjRzIFxzMcA88g27Snp6OFAONpTuBSKSAE/R9qzh51hPYNP+QaDiQYW/kDwqXXwqcHgM+ejgRnKY3sK11KB9pR0055ifVvP+BZTMivrsekmU+6AU7MRpNtT0tHDAXC0p3AJwOxKbk9JDzujesZe8Izd3ypHZW1PyWicKGD4KocgSF96uAYInAFLVTkEvaBwL+BTTNkqx8mT+qA+UFEajc+q6K0tqxqCviWsTRLmwvaqhiBK4KqGIAl1TRXiSGLjUuJMlGQfahqSeIQA7WN+2M0Ss3YF3HFlqyg4IW7AUxtSTUMSjvr+IXBDNY3hEa3loPe4v7mytskoqjMwwPACUhCEEJ9QARmgv1nQIQp3CK4lTRhTUQxC+PUi2wRRhGSbtb9ZEIWaNzAQ46xgJgoSTLa5upsl+Qhx0atua+/9yxwXOYqCEwIHW7e5upsl2aivH8I2JNuGB7SWgw7bipIax7QRYrkTL+vj7bwVhWkvWAdEddQuW1GYHsgwD3hpRWGaqEgmAuYZWlGMZwZN2SaDFUKCjrO2ojAtBAt9uDxztaIwbaQUzCALlcm+Gdu+HXaiFLoTpWyLwbm7E4WLB+Yez50oXGvB3EPtRMk3nSjWG/2e860GM5APxaphRjMHxjEfA0wj23Si5KOHA+HoROFSKCIF/Bxpzx52hvUMPuUbDOYZWPYDwafWwacGg8+cjwYmKI+dKFxLBTpR8k0nivVtPeNbTEmsrMemm0u5A07NRpDuRMlHDwfA0YnCJQCzK7kTJT/sjOoZe8Ezdm8LCWlk7UQpaJwoYPhCgiAIYcEMnQAHKCQIOkThDsEnmyaMqShGXxQ4MAgTUHshQRAldCFBEIW6kgmBJImRZCZKsheVBEk+QmD0MS/rZmdFu/DsuGBVFJwQOeApBTyoc1k26vuHsDkHdI4MaC0Hvb8dxI1uszWAuO8OMjgDAwyv2wRBCOEJ1W1SHcSCXlC4F3CxFqKDOInyaPw0i76+ZQexoG8JecCLghREEVKQqYnkqSgJNYFBHJnxzZ2JggTTj44GYkk8Qnz2Kh/by/kyx3WLouCEsMGWj84GYkk46uuHwA3px+ERreWgA3ei2FbyKiee6uPtvBOFaS9YB0QF3S47UZgeyDAPeOlEYZqoSCYC5j3qREnMK9pTtslghZAg46ydKEwL+wpNtBOFaSOlYAZYWFST3FihmbEt3F0vioqOmo+4LQdX7l4ULh6YfTz3onCtBbMPtRel2vSiWO/xe863GsxBPkSrhhnNHBjHfAwwkWzTi1KNHg6EoxeFS6GIFPBzpD172BnWM/iUbzCYaWDlDwSfWgefGgw+cz4amKI89qJwLRXoRak2vSjWt/WMbzEltbIem2425Q44NRtBuhelGj0cAEcvCpcAzK7kXpTqsDOqZ+wFz1htbZTeXue3RTy+Sa5vxllZZeNKlc2vrm/zOI5Uoe7WD5V17uqYvLPnr7ZelPVqBcyJAgavaUiCENbM0Cnwg5rGx4vP9Er9m3Pa5qu/bibB321++0nzxZfN7Ped5YJ7tG5EWR1rnhYmbzwR9YbCvYHPNR865IsG+KPGG9+9/9H995dlDGvh4mDx88VPVqe8V1GUHh3ESNnCmNmmom4jrD8S5rvWsoUkStiyhSRJP787SNDpc5JOysq4Y2cmirIHhQtRPEIQ9jEHbGeCKlovcyvHFa6i4ITAAU9fHq1KlY1MsBQuROGoLyACN1C4AEa0loPe44Zly6XsjUh035ZkcAYGGF4kCoIQ4hMqEuUbliUdonCH4DrRhDEVxSCEXy+6TRBFSLfZGpYlUah5AwCJ40llXg6YiaIEE26OjmVRPkJk9Krc2osAleNmR1FwQuhgKzdHx7IoG/UFRNiGhNvwgNZy0IE7TmxSLHHi5X28XXeccO0Fq32oktphxwnXAxnmAR8dJ1wTFclEwDxDx4lxUWjKNhmsAxKUnK3jhGshWM7DBZqj44RrI6UsBlhYRpPCJryYFu6w4yTVHSfZuuirEmfHCRsPzD5+O07Y1oLZh9hxopKu40RZL+Z7zrcazEE+NKuGGc0cGMd8DDCRbNFx0tj+cCDsHSdsCkWkgJ8j7dnDzrCewad8g8FMAwt/IPjUOvjUYPCZ89HAFOWv44Rtqf+Oky7ovHC8rWd8iymplfXYdLMpd8Cp2QjCHSddsGkHwN5xwiYAsyu146R5djqjesZe8Izd32KCpVe8mcGmNE4UMHwxQRCEsGSGToEDFBMEHaJwh+DTTRPGVBSDsCJImILaiwmCKKGLCYIo1LVMACRu4p/t/htJlL0oJkjyESKjj4lZNz1L27Vnx1WpouCE0AHPKeBBncuyUV9AhG2omDA8oLUc9B63CifWLpCM6gwMMLxwEwQhhCdUuEm3Cgt6Q+HewFUbu1X4aO0JfePVVl3Cgh4jRHkvAlEQRUggGgtCT0VJqOkJ4EiySWJ+I2eiKMH0oaNLWBKPEH+9ysP2Nj3luB9RFJwQONjy0HW8iSgc9QVE4Ib04fCI1nLQgZtNjDG1UXzKiVf08XbebMK0Fyz0oYJtl80mTA9kmAe8NJswTVQkEwHzDM0mmcnkKdtksARIEHLWZhOmhWAlD9dnrmYTpo2UihhgYZJPKqMXZ2wLd9hskutmk6Kt9yp3swkXD8w+nptNuNaC2YfabKI2zSbWq/ee860Gc5AP0aphRjMHxjEfA0wk2zSbqNHDgXA0m3ApFJECfo60Zw87w3oGn/INBjMNrPyB4FPr4FODwWfORwNTlMdmE66lAs0matNsYn1bz/gWU1Ir67HpZlPugFOzEaSbTdTo4QA4mk24BGB2JTebqMPOqJ6xFzxj97dmkVqbTXIaJwoYvmYhCEJYM0OnwNI1C0FvKNwb+FyTXbNYH2+yOpw9jopo/PU0OntYv3j77W9SKxiC/iMsRBImvvYKhiBK4AqGIAl1ARXgKCdRkZtIZqIk+1DAkMQjBGMfc8FuRpi3y92OC1hFwQlxA57GkAoYknDU9w+BGypgDI9oLQe9x53JlvJBIxYLqjMwwPBiURCEEJ9QsRigM1nQIQp3CK4XTRhTUQxC+PUi2wRRhGSbtTNZEIWaNwCQbBKltuPpBEmC6TZXY7IkHyEwehVu7TV+ynEvoyg4IXKwhZurMVmSjfr+IWxDum14QGs56MCNJ5kJr1Fi7muDyj7ezhtPmPaCRT9USO2y8YTpgQzzgJfGE6aJimQiYJ6h8USZTJ6yTQbLgQQhZ208YVoIVvVwfeZqPGHaSKmOARYm5SQ1jvOMbeEOG0+qo+Mij9rab+luPOHigdnHc+MJ11ow+1AbT8pN44n1pr3nfKvBHORDs2qY0cyBcczHABPJNo0n5ejhQDgaT7gUikgBP0fas4edYT2DT/kGg5kGFv5A8Kl18KnB4DPno4EpymPjCddSgcaTctN4Yn1bz/gWU1Ir67HpZlPugFOzEaQbT8rRwwFwNJ5wCcDsSm48KQ87o3rGXvCM3d9aQmZtPKlonChg+FqCIAhhyQydAgeoJQg6ROEOwaebJoypKAZhRZAwBbXXEgRRQtcSBFGoa5kASDZJlLGbZSZKshe1BEk+QmD0MS/rZmdVu/TsuPlUFJwQOeApBTyoc1k26vuHsA3VEoYHtJaD3uOG4czWA5JHVGdggMF1myQIITyhuk24YVjSGwr3Bi7a/DQMJ1Eajc/K6K3tDjyR9B4h4vvQipIoQlrRKLCeipJQUxXAUU5UpEwkM1GSYFLR3i4sikcIxT6VYt7eoZc7bkUUBSfEDbZSdLULi8JR3z8EbkAqAiNay0EHbjsxBqJG/LnvDqr6eLtuO+HaC5b8UO22w7YTrgcyzAM+2k64JiqSiYB5hraT3GTylG0yWAwk6Dhb2wnXQrCmh8szR9sJ18Z+8N+27SSfRJY1Oq6Fu2s7yRPddpKuK7957Gw7YeOB2cdv2wnbWjD7ENtO8rhrO8mt1+0951sN5iAfolXDjGYOjGM+BphItmg7aWx/OBD2thM2hSJSwM+R9uxhZ1jP4FO+wWCmgZU/EHxqHXxqMPjM+WhgivLXdsK21H/bSRd0Xjje1jO+xZTUynpsutmUO+DUbAThtpMu2LQDYG87YROA2ZXadtI8O51RPWMveMbub/lC2dpO8oTGiQKGL18IghDWzNApsHT5QtAbCvcGPtdkly/ayoWKkmh8VmxduRB0HGEFkjDjtVcuBFECVy4ESagrpwBHMSmjykQyEyXZh8qFJB4hCvuYBHZTwaRd53bctSoKTogb8PyFVLmQhKO+fwjcUOVieERrOeg9bk5W1iaXlOoMDDC8ShQEIcQnVCXKNydLOkThDsGFogljKopBCL9eZJsgipBsszUnS6JQ8wYAkk4qa8eJIEkw3eZoThblIwRGr8KtvbAvd9zAKApOiBxs4eZoThZlo75/CNuQbhse0FoOOnDHibHS3iixzIVXRn28nXecMO0Fq32okNplxwnTAxnmAS8dJ0wTFclEwDxDx4lxgXPKNhmsAxKEnLXjhGkhWM7D9Zmr44RpI6UsBliYZpPCtmDGtHCHHSdKd5zkbdE3c3eccPHA7OO544RrLZh9qB0n2abjxHrn3nO+1WAO8qFZNcxo5sA45mOAiWSbjpNs9HAgHB0nXApFpICfI+3Zw86wnsGnfIPBTAMLfyD41Dr41GDwmfPRwBTlseOEa6lAx0m26Tixvq1nfIspqZX12HSzKXfAqdkI0h0n2ejhADg6TrgEYHYld5xkh51RPWMveMbuby0ht3acKBonChi+liAIQlgyQ6fAAWoJgg5RuEPw6aYJYyqKQVgRJExB7bUEQZTQtQRBFOpaJgCiJklsm9IKkuxFLUGSjxAYfczLutmZapeeHXegioITIgc8pYAHdS7LRn3/ELahWsLwgNZy0KtO4evrJLq9UePb6+p6nJU3ybi8vCnG11maX2XqLrlV60EPq9tsPSA51RkYYHjdJghCCE+obnvQGPv54vX9j+7/TrfE3r+je4Y/1I2uy17Zd5bK7hP9fc0fbJqEqyjK9A9+sFJ+S3m3ql384+L/rTXeePH+4heN4PvF4lcmhz0RdZjCHYbrOg/NxPoYlGrrZmJBxxHygRclKYgipCRTE8lTURJqIgM44miSmbv8Z6IowZSko5tYEo8Qqb0KyfaSvdxxbaIoOCFwsIWks5tYEo76AiJwQ0pyeERrOejAXSnGQNRow8KJF/fxdt6VwrQXrAii0m6XXSlMD2SYB7x0pTBNVCQTAfMMXSnGw8qnbJP7MVmwK4VpIVjyw/WZqyuFaSOldAZYqMpJYdSQM7aFO+xKKXVXStUWhgt3VwoXD8w+nrtSuNaC2YfalVJsulKsF/I951sN5iAfolXDjGYOjGM+BphItulKKUYPB8LRlcKlUEQK+DnSnj3sDOsZfMo3GMw0sPIHgk+tg08NBp85Hw1MUR67UriWCnSlFJuuFOvbesa3mJJaWY9NN5tyB5yajSDdlVKMHg6AoyuFSwBmV3JXSnHYGdUz9oJn7LK6Ae2G1TzWuatj8s6ev1q7UpzXDD3mRAHDVzcEQQhrZugUWPocFEFvKNwb+FyTXbroHeOeR+OnWfT1LesXgt4jLEMSpr32+oUgSuD6hSAJdfkU4IiLSW7thBFE2Yf6hSQeIRb7mAp2E8KyXe123MkqCk4IHPAshlS/kISjvoAI3FD9YnhEaznoPe5gLqydMBXVGRhgeK0oCEKIT6hWDNDBLOgQhTsEl4smjKkoBiH8etFtgihCus3awSyIQs0bAEg5KY1z5ZkoSDDZ5mpgluQjxEWvuq292C933NQoCk4IHGzd5mpglmSjvn4I25BsGx7QWg46cNuJsdz+1aKInHhJH2/XbSdce8GSH6qjdth2wvVAhnnAR9sJ10RFMhEwz9B2ElsW6rg2g9VAgpCz9Z1wLQSLerg+c/SdcG3sR/8t+07SaFJYlBfXwt31nRTxUfORrEu/ReTsO2HjgenHb98J21ow/RD7Toqo6zsprDfyPedbDSYhH6JVw4xmDoxjPgaYSbboO2lsfzgQ9r4TNoUiUsDPkfbsYWdYz+BTvsFgpoGVPxB8ah18ajD4zPloYIry13fCttR/30kXdF443tYzvsWU1Mp6bNrp1EDAqdkIwn0nXbBpB8Ded8ImALMrte+keXY6o3rGXvCM3d9aQmnrOymc9ww95kQBg9cSJEEIa2boHFi+liDpEIU7BJ9vmjCmohiEJUHCFNRaS5BECVxLkEShLmYCINkkj4wdWjNRkn0oJojyEQKjj3lZNzuL12vPheOGVFFwQuSApxTwoM5l2ajvH8I2UEwABrSWg97jfuHS1gNSJFRnYIDhdZsgCCE8obpNuF9Y0hsK9wYu2tj9wm2rcBpl0fgs2faoE0nHEYK9F5koiCIkE1MTyVNREmqWAjiqSRIbSWaiJMFUor1TWBSPEIW9isT2lr3CcW+iKDghbrBFoqtTWBSO+v4hcEMqcXhEaznowC0nlQmv0X2pEy/t4+285YRpL1jtQ2XbLltOmB7IMA94aTlhmqhIJgLmmVpOcpPNU7bNYCGQIOSsLSdMC8F6Hq7PXC0nTBspdTHEwqRsAp9thY5p4w6bTjLddKLaum/qbjrh4oEJyHPTCddaMAFRm07STdOJ9VK+53yrwTTkQ7dqmNHMgXHMxwBzyTZNJ+no4UA4mk64FIpIAT9H2rOHnWE9g0/5BoO5Bhb/QPCpdfCpweAz56OBScpj0wnXUoGmk3TTdGJ9W8/4FlOSK+ux6SZU7oBTsxGkm07S0cMBcDSdcAnA7EpuOkkPO6N6xl7wjF09Mpd3xd1tOi6zLB1nKi/Hl0UcjRMVJ9ndTZFd3+yg6aSyNp1kNE4UMHzxQhCkLz1cAwTOgh+s1X/YzGI/XnyxeD1u/vWq+eqX686TV80ffNH8n16+X01y31/8LD4oInMzwBNRLyjcC/g004QxFcUgLAUSZp72EoIgSuASgiAJdQkT4EjLbJIq2+4JQZZ9KCJI4hGioY/JWDcly9olZ8fNqKLghMgBzyMeLb+UTb62FREk4ahvIAI3VEQYHtFaDnqPW4Qra6uJojoDAwyv1gRBCPEJVWsBWoQFHaJwh2wt3AQxCOHXi3ATRBESbtYWYUEUat4AQOIqmcSFsdg0E2UJptxcTcKSfITQ6FW6tTfsFY4rE0XBCbGDLd1cTcKSbNQ3EGEbUm7DA1rLQYdt/8iMY9posdyJl/Xxdt7+wbQXrLuhUmqX7R9MD2SYB7y0fzBNVCQTAfMetX9k5hXkKdtksCJHkHLW7g+mhWBhDVdoru4Ppo2UAhVgYZPCjE6csQ3cYetHoVs/yrb6mrtbP7h4YPLx3PrBtRZMPtTWj3zT+mG9+e4532owBfmQrBpmNHNgHPMxwDyyTetHPno4EI7WDy6FIlLAz5H27GFnWM/gU77BYKKBdT8QfGodfGow+Mz5aGCG8tj6wbVUoPUj37R+WN/WM77FlMzKemy6yZQ74NRsBOnWj3z0cAAcrR9cAjC7kls/8sPOqJ6xFzxj97aYkEXW1o+CxokChi8mCIIQVszQGXCAYoKgQxTuEHy2acKYimL0RYEDgzADtRcTBFFCFxMEUahLmQBIEwUTY0PLTJRkL0oJknyEwOhjXtbNzop25dlxE6koOCFywFMKeFDnsmzU9w9hcw7oHBnQWg56f1t2G91mawJxX8BjcAYGGF63CYIQwhOq26RadgW9oHAv4GKtEaIfrMWrhsRc8aCCY7+58Gh5KEsVRenqiBFbzUHQZ4T47kUZCqIIKUOjnHoqSkJNTABHMskz4wrATJQkmDB0dAdL4hECr1dd2F5dVzguIxQFJ8QNti50HjEiCUd9/xC4IWE4PKK1HHTgHhPbEl3lxFN9vJ33mDDtBQt8qFLbZY8J0wMZ5gEvPSZMExXJRMA8Q4+JUVpM2SaDpT+CjrP2mDAt7Es00R4Tpo2UShhgYZJNSuMtXjO2hbtrMimjo+Yjbuu8lbvJhIsHZh/PTSZca8HsQ20yqTZNJtZ77p7zrQZzkA/RqmFGMwfGMR8DTCTbNJlUo4cD4Wgy4VIoIgX8HGnPHnaG9Qw+5RsMZhpY+QPBp9bBpwaDz5yPBqYoj00mXEsFmkyqTZOJ9W0941tMSa2sx6abTbkDTs1GkG4yqUYPB8DRZMIlALMrucmkOuyM6hl7wTN2f4sVsa3JZF3GgjlRwODFCkkQwpoZOgUWKlZIekHhXsDnmP1ixefN1P1H93+nf3P/zqp68VkzA9Unpb+z/L5PtMtYZY2j9YHyce6sXUi6kLAGSZjzWmsXkihhaxeSJP0c7yBBp9DFpNFPJpKZKMke1C5E8Qhx2Mc0sJ0MltF6pbt03HIqCk6IG/AMhlK7EIWjvn8I3EDtAhjRWg56j5uRY1tTS+m+UcjgDAwwvE4UBCHEJ1QnyjcjSzpE4Q7BJaMJYyqKQQi/XmSbIIqQbLM1I0uiUPMGAJJOitQYAGeiJMF0m6MZWZSPEBi9Crf2rrzScfmhKDghcrCFm6MZWZSN+v4hbEO6bXhAaznowD0nNiWWOPHyPt6ue0649oL1PlRI7bDnhOuBDPOAj54TromKZCJg3qOeE2U714RrMlgJJAg5W88J10KwoIfrM0fPCddGSmEMsDBpcpgyWThjW7jDnpNU95xk67JvmTh7Tth4YPbx23PCthbMPsSekzLpek5K60V3z/lWgznIh2bVMKOZA+OYjwEmki16ThrbHw6EveeETaGIFPBzpD172BnWM/iUbzCYaWDhDwSfWgefGgw+cz4amKL89ZywLfXfc9IFnReOt/WMbzEltbIem2425Q44NRtBuOekCzbtANh7TtgEYHal9pw0z05nVM/YC56x+1tLSKw9JymNEwUMX0sQBCEsmaFT4AC1BEGHKNwh+HTThDEVxSCsCBKmoPZagiBK6FqCIAp1LRMAySZpYtlGIUmyF7UEST5CYPQxL+tmZ2m79Oy4dVQUnBA54CkFPKhzWTbq+4ewDdUShge0loNe6rYovb3Ob4t4fJNc34yzssrGlSqbX13f5nEcqULdrR0TVrcZ9Wmj2zKqMzDA8LpNEIQQnlDd9qBX+ONGo/34YS2i+eqv799tvun14pPmiy8Xn96/s+xwjdaibdX3mhYmbzwR9YbCvYGLtocO+aIB1u3B373/0f33l02/1uNL3jy9pBGxn+rW4vt3tLNeLbuLXy1LQY0ivv/xqkXYGAqnoh4jRHkv+lAQRUgfpiaSp6Ik1PQEcJSTXCkTyUyUJJg8dLQIS+IRwq9XddhelVc6Lj8UBSfEDbY6dF1+KApHff8QuCF5ODyitRx04FYTY0htBJ9y4hV9vJ23mjDtBct8qF7bZasJ0wMZ5gEvrSZMExXJRMA8Q6uJ8bmask0GC4AEHWdtNWFaCNbxcHnmajVh2kiphwEWNnHE6MQZ28AddprkutOkaIu9yt1pwsUDk4/nThOutWDyoXaaqE2nifVOved8q8EU5EOzapjRzIFxzMcA88g2nSZq9HAgHJ0mXApFpICfI+3Zw86wnsGnfIPBRAMLfyD41Dr41GDwmfPRwAzlsdOEa6lAp4nadJpY39YzvsWUzMp6bLrJlDvg1GwE6U4TNXo4AI5OEy4BmF3JnSbqsDOqZ+wFz9j9rVik1k6TnMaJAoavWAiCEJbM0BmwdMVC0BsK9wY+1XzokNeLj3TVonegif3Q9cXPFz/pH15iq0wIeoawwkiY0dorE4IogSsTgiTUlVGIo0pzE8lMlGQfKhOSeIQw62OW18318nYd23Flqig4IW7AExTS4SWScNT3D4EbqkwMj2gtB73HDceWukAjAwuqMzDA8DJQEIQQn1AZGKDhWNAhCncIrgRNGFNRDEL49SLbBFGEZJu14VgQhZo3IJAstzUcC5IE022uhmNJPkJg9Crc2ov3SsdNiqLghMjBFm6uhmNJNur7h7AN6bbhAa3loJv//flKvGVvu5XZX99ef+cb3/qmwRMMYZaZMBtF5roXKFVJH9PWWWK3lSK22uYSo7FvsY3tP2MOx4KC6mf6aNtVz8KbC2rrBpP77x0s20W+0CtLS+n16f3fNmrrExNWo53KP5mx2R5FRTvcdkFxXeiujo6LKtYf+nCFSumPQn80f1BGsf5I9YfSH4X+0H+Q6K+lefORlc1Hbq5OHfO9kNG9gFchNPqJRj/R6Cca/USjn2j0E41+otFPNPqJRj/R6Cca/USjn2j0E41+YkM/4aMrOjpevmjITzX5qSY/1eSnmvxUk59q8lNNfqrJTzX5qSY/1eSnmvxUk59q8lMb+SmfHH+v+aljXWKtjmrtgVp7oNYeqLUHau2BWnug1h6otQdq7YFae6DWHqi1B2rtgdrmgZrtgUdVtwEP0B75c419rrHPNfa5xj7X2Oca+1xjn2vsc419rrHPNfa5xj7X2Oca+9yGfc7HxjMlsVrXUF9o6gtNfaGpLzT1haa+0NQXmvpCU19o6gtNfaGpLzT1haa+0NQXNuoLHvXyeV9R69T7Zy7d4K8nNbPW8yonw6PrBAM0pDa2WttRmdaCvUBc0bD4eLn+8o4+O1/vnOmX5pbLLno3TPP1Dw4W/3D/3cXnK0WxPFj/o6MDvbDT/PFn939//2P9gyb8J2z8fk6V7EVlmqhIJgLmPepFNZaSpmyDwQYhwgKQtROVaSHY54Ov67g6UZk29hP/lp2oWZpOSmOJe8Y2cXe9qFXUdoK5L9ljk4H5ht6GWqaFvQ2Vay2YcqhtqJtL9krHJXtsq8HUs92Urlvh0nde2TGO+RhgCmHMybrOsM0le+XAJXtsCkWkgJ8j7dnDzrDHEyOuwWCWgRcLgbhTg3FnzqcCMxOtA9Uec17wLRXoQN3cr2d/Uc/4FlMyKuuJ6RZf3bGmZiNId6Bu7tdzx5lzPgGYWIlzWv3sdEY9no1yjNXW3kZprq7jq3F+l1+O4/j2blxFWaLXvC+z6/Q2T5PrFY91ovpXlz5bD/QE0DJdrSIaJEpnmtI6oCjTWhPIW6IghPIaOuP9ZW+S+8mDxfLFpwfN5PV3ep71T4tf6w2Vr/XHp/ffvf/hqiPz8TT5E/0dq0MiXuo76povLKfJ/9dvfes/jE+/2cySm7/5t/rbD86PD+a3375rKL65+p44iaL77+VRpG+3+9zk4CeiDla4g/EJ6+Lnj47d6Bck2i9+1jiumdoeXHzzG//Tt791ffT2299s/ui79+82U91/WbaDfLlcWvh03ei6+I3+kh6eX47zxrE/+b+srvF73bhvtTm2+eEfN79p/v7mr/hVM2v+XfO7l/ff7f5r9z/8k43bmw/t+KOD+79djui761NABlppJYeEUFn1MCWXJBFpyTCG06eiHH0h4uDwMb2XRAnWkGFvpBXFIyQMH/PUdrZatXfGVY5bAEXBCVEDnmI9aqRNI9uwzmXpqG8gQjfQkQEMaS0HHe6Mj8zWGFu5r8op+2y7radwrQUXtVB1uat6Chc/w/B91FO4JiqSiYB5j+opucngKdtgcKXLh3hjWgiuWhFEmb2ewrWRsvqDWJglibmHa8Y2cYf1lGS9rlnFznoKmwzMN37rKWxrwZRDrKdUcVdPqaxXyj3nWw2mHh86VcOMZg6MYz4GmEK2qKc0tj8cCHs9hU2hiBTwc6Q9e9gZ9qiewjYYzDKw2AfiTg3GnTmfCsxM/uopbEv911O6ePPC8aKe8S2mZFTWE9NNndyxpmYjCNdTujjTDoC9nsImABMrtZ7SPDudUY/qKSxjtbXldZymaRaP8zIvxtntVTq+vL29Gd+k+U12l11eJ3frEbFOVB0zdd5k1VpPSWiQKF34eoogCGF5DJ3xPqinLA+y1Cdc3r+3PjT7+8s/+LSZwb7Uc98Plkdyf7Z4tT618h/175qfevV//O3B1779rb/+zurr0+tv/U//47e+eVB/6y+/dfDW5d3dX94e9Aom99/LnEUTQS8q3Iv4rBQtTH3e/OuL9Wnkyw2y7cLCh+036uqKLjp1g6B/drXd9svFl9qN/67179e+df0//7X+wlGvjPIP41gdbZy9qpHoItZytD5ZFUeMb+JU1PWEZU4f82tBEpniiDk6PhUloS7OIhwqzyZ5ZmKZibIEq4/kWVHZSySShIQc4GPq2U1Ak3Y93XGLqSg4IXbAsyZaiUSSjvoWInRDJZLhIa3loEOWSFITW6M5Uydb1WfbcYmEaS24ToUKxp2VSJj4GYbvpUTCNFGRTATMe1QiMbYqTNkGg4tXPiQc00JwIYoizewlEqaNlAUdwMI0m2TKZOGMbeEOKyTtLddV6q6QcMnAdOO5QsK1Fsw41ApJuqmQWC/Ke863Gsw8PmSqhhnNHBjHfAwwg2xTIUlHDwfCUSHhUigiBfwcac8edoY9rpBwDQaTDKz1gbhTg3FnzqcCE5PHCgnXUoEKSbqpkFhf1DO+xZSEynpiupmTO9bUbATpCkk6ejgAjgoJlwBMrOQKSXrYGfW4QsIxdpWiisu4rK7Hl9c30Ti7iqLxZdz8tiqjpMzLIr2q1tHfOk91TNR5c1VrhSSjQaJ04SskgiB9yeEaHXDCO7yw/2hO26uOfGLywxNRPyjcD/i00uSKT1fXrOq9F+1hn58vf/NB453PHlSQHjnuq395dfvXy4LG+fTpxfOvnq1KGfnDqsWb/4VlYeRX+s/+Idc+rqJRM7tNsjdvf+2XOYx5cSrqfcJSpY85siBJ4DKHIAl1gRXgaFRXWSkTykwUJViVoyjKSWQ8d/SZLCAhjPuYPXZzyPZi0Mpx1asoOCFywBMffFTnsnDUVxCBG6pxDI9oLQcdssaRmdga1ahcbFXUZ9txjYNpLbjShEq+ndU4mPgZhu+lxsE0UZFMBMx7VOMozapiyjYZXIDyoeCYFoKLSRRlZq9yMG2kLMoAFpbpxLbvlmngDoscebvY6L7dlU0G5hvPRQ6utWDKoRY5Nre7Vo7bXdlWg6nHh0zVMKOZA+OYjwGmkG2KHJvbXauB213ZFIpIAT9H2rOHnWGPixxcg8EcA2t9IO7UYNyZ86nAvOSxyMG1VKDIsbnY1f6invEtpuRT1hPTTZ3csaZmI0gXOTYXu7rjzDmfAEys5CKHvtjVHGMueMYuVeJ1FqdxFI+jpLocZ6rMmmnrbTHOq8ubKL67ubq8XL+w1omqY6bOm6xaixw5DRKlC1/kEAQhrI6hM97hIsdPFr9a/LO+s3Tx/1n8ZvGL9RVem8X29f4OvXYfr7Z3OHZ3CDpH4c7BJ5smjKkoBmEh0McEVJAkcAlBkIS6fglwVMkkss1nBUmCVRDKJJqYz4l8JgtIiJE+pmbdBK29wLNyXMkqCk4IHPCsAh/VuSwc9Q1E4IYqCMMjWstBh6wgKBNbI8kKJ1vcZ9txBYFpLbiMg+qpnVUQmPgZhu+lgsA0UZFMBMwzVBCMD9WUbTK4uuNDwDEtBFdqKMLMXkFg2khZ8QAsVNmkMuauGdvCHZYQynYpr3CXELhkYMLxXELgWgvmHGoJodiUEKz3ez7nWw3mHh86VcOMZg6MYz4GmEO2KSEUo4cD4SghcCkUkQJ+jrRnDzvDHpcQuAaDSQYW+0DcqcG4M+dTgYnJYwmBa6lACaHYlBCsL+oZ32JKQmU9Md3cyR1rajaCdAmhGD0cAEcJgUsAJlZyCaE47Ix6XELgGLvU3vH15WWeX49vi/h2nKV3N+PL7DYeF7dpchNd3d2qa7Xisc5UHVN13mzVWkJwXYZpgETpwpcQBEEIy2PolJdeQtAZZLk/4LurrQP693EUjfQ/zvKBoGMU7hh8pmnCmIpiEFYBfcw+BUn6QsBBQpml2soHgiTUxUuAI48mmXkhdiaKEq5+EFeTNDUBPpMFJARIH/OybnZWtqvNpWOGJglOiBzwlAIf1bksHPUVROCG6gfDI1rLQYesH+QmtkaPVU62pM+24/oB01pwDQcVUzurHzDxMwzfS/2AaaIimQiYl4AXe3MNBhd2fOg3poXgIg1Fl9mrB0wbKYsdgIVpWU5SZTJxxjZxZ+WDMmov2K3cF3uzycB847l8wLUWTDnU8sHmYu/KcbE322ow9fiQqRpmNHNgHPMxwBSyTflgc7F3NXCxN5tCESng50h79rAz7HH5gGswmGVgrQ/EnRqMO3M+FZiZPJYPuJYKlA82F3vbX9QzvsWUjMp6YrqpkzvW1GwE6fLB5mJvd5w55xOAiZVcPtAXe5tjzAXPWG0tdmui5rFOVB0zdd5k1VI+KNcvOAyJ0oUuH4iCEFbH0BnvcPlgzy72FnWwwh2MT1i3uNj74PfgWm/RASEsi24/IRclkSmomDieinL0ZYiDw8PkXhQlWDnFeq23LB4hXfiYpa7nqg3Taul9/QsT+LEsOCFqwBOs/pi67qyQpaO+gQidu5qCDGktBx2ymmJs4WnkqfMyuCrts+20msK2FlzSQrXljqopbPwMw/dQTWGbqEgmAuY9qqYYy4lTtsHgOpcP8ca0EFyzIogyazWFbSNl7QexMNG5yygeZ2wbd1hOSVbLmo3prnIKnwxMOF7LKXxrwZxDK6c05rTllLWbTVY/51sN5h4fQlXDjGYOjGM+BphD+OUUbfvDgbCWU/gUikgBP0fas4edYf1yCt9gMM3Aah+IOzUYd+Z8KjA1eSun8C31Xk7ZxJsXjhf1jG8xJaWynphu7uSONTUbQbacsokz7QBYyyl8AjCxEssp+tnpjOqXU3jGamuxGxY1j3Wm6piq82ar1nJKQoNE6cKXUwRBCOtj6JR3P+/1FvWiwr2IT0vRutTe3+st6nrCOqePCbYgiUx1xLLdRJSEujqLcKSJnq7b5uuCMMEqJK6LvWUJCUnAx9yzm4Em7Yq6/WJvWXBC8ICnTbQiiSQd9TVE6IaKJMNDWstBhyySGG8xaURn6mTL+mw7LpIwrQUXqlDFuLMiCRM/w/C9FEmYJiqSiYB5j4okxirhlG0wuHrlQ8MxLQRXoijazF4kYdpIWdFBLMzT</t>
  </si>
  <si>
    <t>SWashs3YJu6wRpK1a5XOm735ZGC+8Vwj4VoLphxqjSTd1EjsN3vzrQZTjw+dqmFGMwfGMR8DTCHb1EjS0cOBcNRIuBSKSAE/R9qzh51hj2skXIPBLAOLfSDu1GDcmfOpwMzksUbCtVSgRpJuaiT2m735FlMyKuuJ6aZO7lhTsxGkayTp6OEAOGokXAIwsZJrJOlhZ9TjGgnH2FWKQm5o1DzWiapjps6brFprJBkNEqULXyMRBOlLDtfogDPe4aV93s3eon5QuB/weeX/P93sLep9wlqlj0myIEngQocgCXWFFeEoqkkZ2ebcgizB6hyOq71lAQlx3Mf0sZtEZu2auP1qb1lwQuiAZz74qM5l4ajvIAI3VOUYHtFaDjpklaMysTWyUTnZVJ9tx1UOprXgUhOq+XZW5WDiZxi+lyoH00RFMhEw71GVw3a1N9tkcAXKh4RjWgiuJlGkmb3OwbSRsioDWFglE5WZLJyxLdxhmSNvlxudd3vzycCE47nMwbUWzDnUMofalDnsd3vzrQZzjw+dqmFGMwfGMR8DzCHblDnU6OFAOMocXApFpICfI+3Zw86wx2UOrsFgkoHFPhB3ajDuzPlUYGLyWObgWipQ5lCbMof9bm++xZSEynpiurmTO9bUbATpMocaPRwAR5mDSwAmVnKZQx12Rj0uc3CMXcpE6BpJzWOdqTqm6rzZqrXMkdMgUbrwZQ5BEMLyGDrlHS5zeLzbW9Q5CncOPts0YUxFMQgrgT5moIIkgYsIgiTUBUyEI4onhV4sfMwyE2UJVkRw3O4tC0iIkj4mZ90ULW+XnO23e8uCE0IHPK/AR3UuC0d9BxG4oSLC8IjWctAhiwixcXrVqLLCCZf34XZcRWBaC67koJJqZ1UEJn6G4XupIjBNVCQTAfMMVQTjQzVlmwwu8PjQcEwLwcUaijazVxGYNlIWPQAL82ISG5PXjG3hDqsIZbua57zem08GZhzPVQSutWDOoVYRik0VwX69N99qMPf4EKoaZjRzYBzzMcAcsk0VoRg9HAhHFYFLoYgU8HOkPXvYGfa4isA1GEwysNoH4k4Nxp05nwpMTB6rCFxLBaoIxaaKYL/em28xJaGynphu8uSONTUbQbqKUIweDoCjisAlABMruYpQHHZGPa4icIxdam/oMknNY52qOubqzOmqtYzgvivzESWKF76MIAhCWCBD57z0MgLzfm9RxyjcMfhU04QxFcUgrAP6mH4KkvSVgIOEMk21lRAESajLlwBHkU6qyDabFUQJV0Gw3+8tC0gIkD4mZt30rGzXm+33e8uCEyIHPKfAR3UuC0d9BRG4oQrC8IjWctDN//78aJXu/8wlz7xWEmzCrHJApmpX+xGMz+FbbGvB1RxUVbEqCasjJ3+yeH/x04PFhwexvujss8XqxrPlZVvNN3y+eLk81FPf1vVy8fnqy6/v/2ZZZPjx8q4uk2OesB2TYY7xUmNgmqhIJgLmpf0aQ/PAHbW/Mj54U7bx4EKQD7nHtBBc1KHIOHu1gWkjZXEEsDAtzBf1zNgG7q7YEEdHzUesPxL9keqPTH8o/ZHrj0J/lPqjaj4S/ROJ/omkO4HeeZE43ytgQqMXKuK4sh34+ad8c8GcRq1UVJtKhf0mcb7VYG7zIYg1zGjmwDjmY4CZaJtKRTV6OBCOSgWXQhEp4OdIe/awM+xxpYJrMJig4FkFELRqHbRqHbRqHbRqHbRqHbRqHbRqHbRqHbRqHbRqHbRqHbRqHbRqMGjN+R4BEyKtyuEIWC/4pgqUOapNmcN+DTnfYkomZz1u3QzPHahqNoJ0maMaPRwAR5mDSwCmZXKZozrsjHpc5uAYu5yh5NfX2eVVNVZplI+z7CoaX0XJzbhIry+T7OY6U/nVisc6j3YsKDDn0rYyx7pfD6ZE8YKXOSRBCKt46IT8X5oZ+GfryxzeXW6A+PsHc+fmS58sKxv9q7PbCkcejRLjnOCJqCsU7gp8fmvCmIpiEJYn8Znu/Q/u3zWhfE0URaSyEZmXFZ6KkvRTrYMEnTg3gS+13CMhSRKssKEmuVGiPZPFIwREH7O4di4Xt9cyx46btkXBCXEDnoCgYzqXRaO+fQjaQFEDGM9aDnol1tLyLkqvynGUZGqcFVk+vrxLr8ZVdlNlaZFHV+kOxJpxxbQRazHZFRBeeLEmCEKITahY+9f791YXaOkKyGv98eGy3UQXQz5fqrT0SI3MBasnorAKh91ajgliEMKqFzkmiCIix/Qq3WOQp6Ig1HwAYKhcTYwkM1GSYGosmlRGvGeyeISI51WNxW32dlwsLQpOCBtsNWYb07ksGvXtQ9CG1NjweNZy0Es1Vl3eXRaXN9fjJI+ycXZ1V47LOEnHaVJlSZZnqizWOiWkGjNOhRs1llBdgeGFV2OCIITYRFZjnfJKjG/oE1EwhYNtrbwEMQgh1IvyEkQRUV6ppTFEEoQa+wGMOLYugwmCBBReieWQcVE8QnDzKrzaizdjx12qouCEqLGF8DKP6VwWjfryIWhDwmt4PGs56KXwukmr/DrN0nEW3V6PszS6HV/lKh5f35W35WUc3SVF9nZw4ZWZXNEIr5TqCgwvvPASBCHEJlR4/XrxevFy8fFA1fJg2V38RfOl95bnjny47A/+UNct2QVNQT8p3E9b6zhBDEJE9qLjBFFkdNwkN5E8FSWh5hKAI07VpEhMKDNRlGBSLlaTylbSlOQjxEuvWi5tc7/j5lFRcELkYGs566DOZdmoLyDCNiTmhge0loNendZ7VeUqSm/HqiyrRviV5fiquMub30bXl3q7V3J5+3ZwMadMrmjEXEZ1BYYXXswJghCCEyrm/lWfEbf4dKnZPlzu+Vp8vJRnv2u+/LHWdvrOvYP7HzR/2oi4o4PmJ36x+KdGBOq99++vpNxvzNsvn4g6Q+HO2FqxCWIQ4i6u2Jox+8iE8jVRFBHFFk1SZUJ5KopCzRgASJxOYnMNaSaKEkyyKWXZKPBMlo8QFb1KtvZGuNhxx58oOCF0sCWbdVDnsmzUFxBhG5JswwNay0Gv1t+uiiKvonJ8WdzejLPbu9vxZXwbjePsOrpJry5v7uK7t4NLNuOUuZFsiuoKDC+8ZBMEIQQnVLL9VO+zX11i/J8Xr+6/d//u/Xv6WN/7dxa/bUTbF4uPl6pMOc48kiRWOPHWukwQgxBcCbpMn7nw0eTAPC5fEwUSUWfxxHzJzFNRFGpyAEDSaqJKI8pMFCWYOsvsWwQk8Qjxz6s4U20ud1xxJwpOiB9scWYb07ksGvX1Q9CGtNnweNZy0EttdnuX5vlNfjWO47gcZ3F+Pb68vlbLRbjb5mu3ZbJ+2ENqM2OprNFmOdUVGF54bSYIQohNDG32gb52odFn371/7/5H93/X/P7HB3+kNw3oLQNf3v+4EWqfLj7442GtJugBhXtga60miEGItR61miCQkFYzN0g+FUWhJgsAJCsmsRllJooSTKslk9Km1STxCPHQq1Zrb0WKHfdciYIT4gdbq9nGdC6LRn39ELQhrTY8nrUc9FKrJeXNpUqb74iKPG6+N7ocX5XqdlyWd9FNGV02P7B2TEitZuxjbLSa6yB1oyswvPBaTRCEEJtQrfbLN46o/PtVIfOLxQfLPrYPFh/qcyuXuu3Vqi+tUKMsGkVHWbTcbmBVa4I+ULgPtlZrghiEaOtRrQkCiag1+9EbgiTUbAFwuI7eECQJptWyJrQbR+qZLB8hIHoVa0Wb3B23PomCE8IHW6xZB3Uuy0Z9/xC2IbU2PKC1HPSq6nmbZWUcRePLKL0bZ8nd1fiqitLx3WV8E5WZuk2zy7eDq7XK5IpGrbkOVzcvMkJ44dWaIAghOG2h1lw7CAClJsivcP6tlZogBiHUelRqgkAiSi0zL8I/FSWhZgqAIy7sl5lKogSTank+qWz7QyX5CNHQq1Rr7wqJHbe/iIIT4gdbqlkHdS7LRn0BEbYhqTY8oLUc9FKqRbdXxdX1XTK+vNaLcFc3jaK7TfNxen19lV3fqLKM1k97SKlmu21+Hc0IvsD4wms1QRBCdIK12uZmmUc3wTS/vf/x4nN9f8ywijN544moNxTuja2VmyAGIfLiys2xD1QQRUizGTdPPhUloaYMgCNW5STNTCgzUZRgmi2bVMaReiaLRwiKXiVb1WZ4x00louCEwMGWbLYxncuiUV8/BG1IsQ2PZy0HvVRs+V0Z5Xc30fguiRp1d51X4/KmqsbXt7dZlKd3l1G2jrBBFZuxJPDVMiGf8ovxBVdskiCE4IQqtp8sj1L7YinEVttAl3sKXq1OuL1/5//X3r/2SnJcd97oV9nwK2nvzkZeIvIyAF/QfGhha9Ts1s5uVmW6DaOuM8SRSUPinOec58CAJY7Gc2DPyMf2AQaSxxrb44MBzhuKJi1Koijg+QS7v9ETkXVpdlZmxD9W5cqolJuwS7u7qnb/fytWxloR/7zcf6y33Xbd2dX9T+7/8v7v7//h/r/d/636///+h7vnBH7rSSCjq/u/7ArIW6wBkXhAzm3aODEc5l68aeu/FJQThaVp63lI+zdYSVyrBsCRPMw6Vza3rCCjtWx53nv6Giufw7Q4ZM8WH+5eHxueRsAK7jBvkHu23kF9wsvmevghbJamDRjQkg96f63BYh0ni22wXS7XgUhi1epFyywIV0mRr2KxSZL9oI/atHV27appc74ZMMY3ftPGCOIwO8FNm+rPfqMfRdDcVu2zqxfff/GD5l5rx7uyNQ3bZ/qpzr/Sf/niz/etmj69TbV0/3z/pf6O3ovTd/lQrV3zbhTrxxjEYXgdy+6Lv99iDZXEQ3V2O8eI4TAtO7RzfY9R5iRh6eb6Lx3lRHGtJwCI6dJRTpTRGjp9szmZdAF+kxfQYc4ctKM73AE/NjzRgBXcYeogd3T9o/qEF871EETgbC2dfURLPujdSW7ROorWsgiWcqtvA7IKg7wQuhEMozQM4+XWyz5cZwKoli52jQXGN35LxwjiMD2hLd1fNleFfvbiT4Pmnmyf3/+6MUnTa9HXhzHySZzv7D6MEcNhMsX7sH4vlBOFpRELH2ayC+UbrCiuVQAAifOHcTfKLSvKaI1Y/3WhrHgO89ygbdjhfvix4fkGrOAOMwe5Deu/LpQVzfXwQ9BsTZh9PEs+aN2FmZqrnmfJ0xqrvo2yxAAniqwNd3zwPabVpVtKHyZKqtRiuy80+12y2vZ00RdZsCX62/svd7fUuP+Xq+bc8f2ZZfrZAnoH6+orZ5Bp43K3wfX5/c+v7v/6/sf3P7m6/+Qq0vfd0I/p/MXV4ZS0z++/0PfqaP7/c/X6xcmZaj+9/2lXYN4iB0Zggdn3Un/43veQvOuS+L+RJUoniYC85OrFf9kN3kMd0X8I5EO1BNv/1HmYvE0W356ue8TjTV7/ZhtRYbt/61GI927Rw7B7h/YbZI3tytCjEW3Kkuhh0ed2EhWe9Fs9Ep16rZPidft7b9/dPb7bl6/y2aOvqW5DPFAvUr+k+iXTL7l+KdRLEuqXSL/E+iXRL/obify6npU0sa58D8LO4vdNekDAYnYMSPlH333yftfscnr1blH03AD239LlgvXsKBcZLh29m91Y/dt9nLtUf4uuGqxrQ7TAGub61oDxiI4BVqEjRm+u9GjXsq9fHYg+infoFNKRAs4jHdmbo7CW4Md0wWBxgtcRwHxV6vmq1PNVqeerUs9XpZ6vSj1flXq+KvV8Ver5qtTzVannqxKcr57QgwHWwT8eaq76Nl1q7iAVGaYnL+epbxsO8Du6YpcCTsq044LOPEeVZIQYLPAfnjk/HQagj+ApnQCsyB86zU06ojdHUS2xz2hiL9WbiLtP9lOLaOFGieKNb00wgrR7FdPwgOtwd2uCkU/ifPhatQvjbVYMhw1GfNVqsCYYUca2JhhRXPdGAZA4UavgzsuUb1lRLsGa4MRzmOeGWJcdV2eHR4XEhme/sII7zBzwkgId0ye8aK6HH4Jmsybs41nyQV/sdVpx9w6t6sGkaygwvPF7MEYQh7kJ7cFGuEyLMSASD8jZTRsjhsPUizdthsu0GFGYmra+y7QYSVyLBsChn9fX51wwkozWspmu0+Lkc5gXB+3ZDo8QiQ2PhGEFd5g4yD2b6TotTjbX4w9hszVt9gEt+aAv9nZIcff5HKppS11DgeGN37QxgjhMTmjTxnw3JM5oSDwaZ3dsjBgOEy/esRm22RhRWDq23rshcZK4VgyAI0oUSSa6WG5ZWUbr2fpvh8SK5zArDtqyHZ4kEhueDMMK7jBzkFu2/tshsaK5Hn8Imq1js49nyQd9sU+GiR92TlmqY8tcQ4Hhjd+xMYI4zE1wx8bxZBjOGEg8Bmf3aYwYDrMt3qfZ7jfOCcTSrfU+GYaTxLVaABzFQ1l07hTespKM16v1PxmGlc9hQhy0WTs8SCQ2PBmGFdxh+qA3a/1PhmFlcz3+EDZbt2Yf0JIP+mKfDBM/lF2hUN2a6c7rnaHA8Mbv1hhBHCanM7q1854Mw8kvcf6zOzVGDIepdsBOjRGIpVPrfTIMJ4lrpQA4Ihk+jGXRxXLLyjJar2Z4NAwrn8N0OGivdniSSGx4NAwruMMEQu7VDI+GYWVzPQIRNluvZh/Qkg96f89K5PnMY/dqaVcoVK9WuIYCwxu/V2MEcZic0F7tJ/p6e309+NX9x6pt++L+c31GW7Ob9vGLH119TV+n/5l64zcvftRcbvDx15uGTobqo190ReAt1ghIPAJnd2uMGA6T7YDdGiMQS7cWPdyfLHLarjGiuBYLACQpHhZp5ybFLSvKaN2a4WIDTjyH+XDQZu3wEJHY8FAYVnCH+YPcrBkuNuBEcz38EDRbr2Yfz5IPerevtsyytAjzYJFt1oHYbDfBItqEQSRW4TpZLtbbaPt89F6tc7H8Zp6YbrXe3bZCeKP3apwgDnMToVf7G9Wn/fDFD5qLDf5ZtWg/u/9Y/fSptTfjJJY48bm9GSeGw9w6XG/GCcTUm/XdLJwTxbU4ACBJ8lCmPTtpnCij9WbiYdrTm7HiOcx/Q/ZmyeFZIYnh4S+s4A7zB7k36xvTJ7xorocfgmbpzYDxLPmgm94sWhTreJVGgerX9J5bIoNlVOTBpsjCaL1cZ1Jsno/em3Xuo6rezHTP9M5QYHjj92aMIA5zE9qb/XT3QBfdm/1Yn5v24qMX//Hq/n+qtuwXzf7Zz+6/VK+f7i/51I9xefFD/UQX/fpQ9vQFb7FGQeJROLtfY8RwmG8d+rW+G01ykozdqDGiuFYKAMTYqDGijNaohT33SvsmL57DZDhoo3Z4AkhieKYLK7jDxEFu1CIZhw+Tzq3fJ7x0rkcgQmfr1exDWvJBN71atixSGSabQOa5vsFHngfLbJuqP4arxWKRpvFi83z0Xq1z1lK9WuwaCgxv/F6NEcRhekJ7tf91/xvVl+l7pn22v2nH/afNWWo/V3/9qX5Qn3743tWL/6ze/fL+kwdX6ht/d/9X939//9/uf3L/490Zbf/QfVS/xRoMiQfj7JaNEcNh5nVo2Xpv2MGJwtKzqZIhu1C+wYriWjEAEP1Aq76WjZFktJZNyv6ejZPPYVIctGc7PDAkMTwAhhXcYeYg92y9g/qEl831+EPYbB2bfUBLPuid85kU6SoRSSDCzarxRoNlKqNgtc03+SIKt83142N3bFFnAqiWLXGNBcY3fsvGCOIwO6Et29+rRuwz1Zt9rm+udniY8is371B/9Yur5sYev1Z/9VHz2OVPmsfJ6Gcxk2/mwRknicfp7G6OEcNhTsa7uf6beXCisHRzSfc5r99gJXEtJgBHFKnC2H1nhFtWltHaOQVY9LVznHwOE+ag7VxyqP6Gx5qwgjtMHeR2rndQn/CyuR6BCJutnbMPaMkH3bRzxWK7yBbrVRCnoVCt3zYP8ihOgiQuRCxSIfNs3+eM2s51Xtau2jnhGguMb/x2jhHEYXZC27n/pRu0Fx/d/6Zpy5IH8rr7TO+3WMEkDnZ2/8WI4TCJDtJ/MaLw9F+ds/83WEFcJ38Ao5BF9318b1lJRmu+wodxzwWfrHgOs9ugvdfhBveJ4YEFrOAO0wa59+ob0ye8aK5HH4Jma73s41nyQTetl0jybZgs8yCMhQxEJtJgsU2WQSHWhUiyNFwmy+fjt16dC0bVeknXWGB847dejCAOk5Nz66Wv7PxSvzSPKmgexvzFsR3rbpjfYoWVOOzZ7RgjhsO8Okg7xojC0o5FsgvkG6wgrgUBwBBZ8VB2otyyoozYjxWdeN/kxXOY8gbtxw73rk8MDyNgBXeYN87ox7rH9Akvmuvhh6DZ+jH7eJZ80LohM/VZPQ8fpfVYSRecarBSI1zehjs+KRXT6tI4pQ8TJVVqsd23yvxdstr2dNEXWbA7+lvVBTWXWN7/y1Vzzd7+OQHaVLz/Z9UvfcVC1CeONWfz339+//Or+7++//H9T67uP7mKdFOl26lfXB0eMPD5/Rf62s3m/z9Xr1+cPHfgp/c/7QrMW+TACCww+07qD9/7HpJ3XRL/N7JE6SQRkBdfvfgvu8F7qCP6D4FKuAeHnzoT722y+PZ03SMeb/H6LzkgKmx3bz0KHTq3h2H3iTHfIGtsVwbTU5kBhWpJ/DDpdFtvyRJPGi7Dk+3hZuukep0+LF61G9kD9ZLrl0K9iFC/RPol1i+JfhH6ReqXVL9k++fEJ8393HueE/9NeizAQnaMxRDPiv+3dLlgLTvKRUZKR2//vPh/u49zl+pv0VWDNW2I9lfDXN8aMB7RMcAKdMRwf2680v7qQPRRvEOnkI4UcB7pyN4chbUEP6YLBgsTvIYApqpST1WlnqpKPVWVeqoq9VRV6qmq1FNVqaeqUk9VpZ6qSnCqekKPA1j+/nioaerbdKm5g1RkhJ68nKK+bTi27+iKXeo2KcmO6zjz9FSSEWKwrH945tR0GIA+gqd0ArAYf+g0LemI3hxFtcQ+o4lt1iPpaiUWyyKQSZgGQizDYBnG6yBLVotYrFdCpqO7E0m3oarWzuabqJ9QonjjmxOMIA47dejy+x/VevtXlpN8yWfyMoZC4qHAV7NdGG+zYrRbBwMGvq41WBeMKCzWRe+DXjhJXDdPAY4seViEncb8LSvKaN6F7L/nESeew4w4xOLtuIQ7PBckMTzohRXcYeKA1x3omD7hRXM9/BA043g+Qcaz5IO+2HNJku6HoqpuzXwb9a5QQHjjd2uMIA5zE9qtnXkqCSOsxGHP7scYMRym1UH6MUYUln6s91QSRhDXegBgJGkhu584esuKMlo7ZjiVhBPPYcobtB07PPojMTzLhRXcYd4gt2OGU0k40VwPPwTN1o7Zx7Pkg77Yq6qS7sWwascK11BgeOO3Y4wgDnOTcztmv6iKEUziYGe3XowYDlPoIK0XIwpL69V7URUjiOvcD2BkSRF230r3lhVlxNar96oqTjyH6W3Q1uvwJI/E8GQWVnCHeeOM1qv3qipONNfDD0GztV728Sz5oC/2/kRJ92rxzVyYb4TeEQoMb/TWixPEYW5CWy9vtyfijJPE43RuJ8eJ4TAjD9HJcaLwdHJ9tyfiJHGtJQBHnqcP86KT5ZaVZbReznB7IlY+hwlzyGZOHB79IQyPcmEFd5g6yM2c4fZErGyuRyDCZunmgAEt+aAv9jl7yUPZFQrVzZlvld4VCghv/G6OEcRhckK7uQGes8dJLHHis/syRgyHyRXvy2zP2eMEYunO+h/fwoniWhwAkFjmD9OsZ6uNk2W09qz/QXuseA4T4KDd2eFhH8Lw/BZWcIcJhNyd9T9ojxXN9fhD0GzNmX08Sz7opjnDHpg8dnPWuaJUzVnsGgoMb/zmjBHEYW4iNGcfv/hT1YF9rk3PF//1xf9b/flHV1/Tp6Hpk9B+8+JHqlP75f3HX7c3a4wRkHgEzm7WGDEc5toBmzVGIKZmrdtx/wYrimuxAECSMOs5veeWFWW0Xi1+mPf1apx4DvPhoL3a4TEfwvDcFlZwh/mD3Kv1jekTXjTXww9Bs/Vq9vEs+aCbXi3O1wuZqE+EWRqpz4aLYJnLTZDn23Cdhwv1hX1gxuzVOl0y1aslrqHA8Mbv1RhBHOYmtFf76VfucfQXO4vz1/cfN7box/ef6BsfNX3b5zubM5PXIrwOH4iwOX+tt1tjjIHEY3B2t8aI4TDbDtitMQKxdGu9V3NykrhWC4DDdDUnJ8pozZrou8ndN3n5HGbEQbu1w1M8hOGxLKzgDvMHuVvrHdQnvGyuByDCZmvX7ANa8kHvfM+NEHkUhsEibJ6hvF0GyyJMgu0iWoe5kJtELJ6P3q51TlqqXROuocDwxm/XGEEcJqcz2jXTGWlAq8bIL3H+s1s1RgyHqXbAVo0RiKVVE90ru2+wkrhWCoAjimT2MO97hh4nzGjNWpo+LHquOGDlc5gPB23WDs/9EIbnuLCCO8wg5Gatd1Cf8LK5HoIIm61Zsw9oyQfdNGvhZpktV9s4WKz0PtxyrXq6TZIGyWq1FKu1zPNwn+1jNmtFVyhUsyZdQ4Hhjd+sMYI4TE5ws/by5uQnNxNXf3zxo/sv9C3I7W1cVzTeYo2GxKNxduvGiOEw8eKtm+HCAkYUpqats8/5BiuJa8UAOKIwUf1n93OsbllhRmvaxMPunvSbvHgO0+KgPdvh2SDC8KwXVnCHqYPcs/WN6RNeNNcDEEGztWz28Sz5oPenri3WcbLYBtvlch2IJFbfipZZEK6SIl/FYpMk+zEfs2WLOv1w1bOlrrHA+Mbv2RhBHCYntGf7a9Wg/UbfK6256POzqxfff/GD5krQ4zWjTW/2mX7KzK/0X7748z/cP2LmE/UXH+sn0Ojv6Mbu/pfaN929G8X6PmtxqNo52X1z8rdYQyXxUJ3d0DFiOMzKeEPX+1gXThKWfs5wKQIjims9AUDMlyIwsozWz0WJfCiTLsBv8gI6TJqDdnTpoQMwPMiEFdxh7iB3dP2j+oQXzvUYROBsPZ19REs+6J1nGq2jaC2LYCm3her/VmGQF2IbiFUYpWEYL7diP8+O2tNFXbFQPZ3z/YAxvvF7OkYQh+kJ7en+srnK4LMXfxqo/2meXdBsuaXXoq8RY+STON/ZjRgjhsNkijdihp01RhSWTix8mMkulG+worhWAQAkysXDrHMH+pYVZbRGzHCdASeewzw3aBt2uHG9MDyIgBXcYeYgt2GG6ww40VwPPwTN1oTZx7Pkgx71IcqiC051Vebb+hZtOL8PUaaqbU8Xv3UPUaYGRmCBGeIhylSJ0kkiIO/kIcry+BBl2e3ovU0W356u+R6iTFXY7t84H6JM1diuDGc+RDmKwodp2iXxlizR30OUhX50stSPTpb60clSPzpZ6kcnS/3oZKkfnSz1o5Olftiy1A9blsX+yaSiud9770OUybEAC9nAD1EmywVrmeNDlEV+fIiy6L2v/rfoqsGaNkT7q2Gubw0Yj+gYYAU64yHKSvurA9FH8Q6dQjpSwHmkI3tzFNYS/JguGCxM8BoCmKpKPVWVeqoq9VRV6qmq1FNVqaeqUk9VpZ6qSj1VlXqqKsGp6gk9DmD5G/AhymSpuYNUZISevJyivm04tu/oil3qNinJjus48/RUkhGYH6J8nJoOA9BH8JROABbjD52mJR3Rm6OolthnNLGXakmIvocoi8KNEsUb35FgBHHYqUOX3+6OBCOfxPnwJWoXxtusGA77ivhi1eBIMKKM7UgworhuiQIgefyw6L3zESPKJTgSnHgO89wQS7LjwuzwABFheCAMK7jDzAGvJtAxfcKL5nr4IWg2R8I+niUf9MVendVzqcWbajXpGgoMb/QejBPEYW5CezDmq7M4oyHxaJzbsXFiOMy7Q3RsnCgsHVvv1VmcJK4VA+FI9SkknSy3rCyjdWz9F2ex4jnMikN2bPLwkBBpeOoLK7jDzEHu2PovzmJFcz3+EDRLxwaMZ8kHfbH3qhR9T0+W5lusd4QCwxu/Y2MEcZib4I6N416VnDGQeAzO7tMYMRxmW7xPs90AiROIpVvrvVclJ4lrtQA4kuRh1H0nmVtWlPGatf57VbLyOcyIg3Zrh6eGSMNTYFjBHeYPerfWf69KVjbXAxBhs7Vr9gEt+aAv9l6Vou+JyzJ2DQWGN367xgjiMDmd0a6dd69KTn6J85/dqjFiOEy1A7ZqjEAsrVrvvSo5SVwrBcAh4/BhFPZtrDGyjNarGW5VycrnMB0O2qsdnhoiDU+BYQV3mEDIvZrhVpWsbK5HIMJm69XsA1ryQV/sI/tE3/OU9/dOcAgFhjd+r8YI4jA5ob0awyP7OCMg8Qic3a0xYjhMtgN2a4xALN1a/yP7OFFciwUCkuQPk26WW1aW0dq1/jPXWPEcJsRBu7XDQ0Ok4SkwrOAOEwi5W+s/c40VzfX4Q9BszZp9PEs+6N3GGvQs5rGbtbQrFKpZE66hwPDGb9YYQRzmJkKz9jeqUfvhix+8+Eh1Zf+serSf3X+sfvrU3pwxEkuc+OzmjBHDYW4dsDljBGJqzvruOMmJ4locEJAofRgVSRfLLSvLaM2Zmsf7mjNOPIcJcNDm7PCQEGl46gsruMMEQm7O+sb0CS+a6/GHoNmaM/t4lnzQTXMWLYp1vEqjQDVsetctkcEyKvJgU2RhtF6uMyk2z0dvzjqtDNWcSddQYHjjN2eMIA5zE9qc/XR3W3DdnP1Yn5724qMX//Hq/n+qvuwXzQ7az+6/VK+f7m8arm8G/uKH+r7g+vWh7GkM3mKNgsSjcHbDxojhMN86NGx9dyviJBm7U2NEca0UCIixU2NkGa1TC3tuvfFNXjyH2XDQTu3wbBBpeNYLK7jDzEHu1CJt1iedWfuEl871EETobM2afUhLPujdTlpSpKtEJIEIN6tmry1YpjIKVtt8ky+icBtn4vnozVqn7a2atdQ1FBje+M0aI4jD9IQ2a39//+X9Z/ef6htwvHzAyytXg6q/+sVVc6Xor9VffdQ8CuaT5g6X+vkw9KtDGeMk8Tid3c4xYjhMyng7Z7g6lBGFpZ9Lurflv8FK4lpLEI4if5hknSy3rCyjtXORfFj09XOcfA4T5qD93OG5INLwpBdWcIep44x+rmdQn/CyuR6BCJutm7MPaMkH3XRzxWK7yBbrVRCnoQjEcpsHeRQnQRIXIhapkHm273PG7OaKrlCobi5zDQWGN343xwjiMDmh3dz/0v3Zi4/uf9N0ZckDed19ss1brGASBzu7/WLEcJhDB2m/GFF42q/Oyf8brCCucz+CkURF96r0lhVltOYrfBj3XUDAiecwvQ3aex0eByINj3dhBXeYN8i9V9+YPuFFcz38EDRb62Ufz5IPumm9RJJvw2SZB2EsZCAykQaLbbIMCrEuhFq4hctk+Xz01qvvucnS8b69KN/4vRcjiMPk5Nx76SsFvtQvnzR2p34+zBfHfqz7yYhvscJKHPbsfowRw2FeHaQfY0Rh6cf0AwxOQb7BCuJaEBCMVBbd68pbVpQR+7Hue/d+kxfPYcobtB/LD/Xb8OQRVnCHeeOMfqx7TJ/workefgiarR+zj2fJB73rx9LVSiyWRSCTMA2EWIbBMozXQZasFrFYr4RMffRjnZVd9WOFcywgvvH7MUYQh8kJ7cf+8f7T3YMFDL4m2bxkDIXEQ3F2t8aI4TDrDtKtMaKwdGv9N0tjJHGtFwCH8WZpjCijtWuy/6IBTjyHGXHQdu1w73ppeBYBK7jDxEFu1/rG9Akvmuvhh6DZ2jX7eJZ80Oq/P/hKn6K7sN83tWWDPi1ZdsG+maem2/gmMmvDjvK05Lj7+VS/S1bbnj7OfFryf7//WLVTP2vuMqufhnz/c/3yheMzlHdPSL7SJ47pPTLdll3pywGaZuyzq+RBrH7ng6vm3/jVi/+qmjF96w3Vv32/+e2qg1P/rj777OPd05Wv9Bf1b7r/5Er/3p0EperF95uW7xddMX2LHFOBxXSIBy1TJUoniYC85Pig5S6hb5OFtmd5vocqUxW2uz7OhypTNbYLypkPVY5D/czLzpnolqyR5anK+PUCZNlgbSI8ADmOep9/TFYLVifH5x+n4fH5x2nvnfG/RVcNVimnBhdNjUd02WAhOON5x2l4/Wrg+4L/Dp1COlLAeaMje3MU1hL8mC4YrBnkVUFfpjyhSwaLiOOjiXsnkG/TleYOSpEkePJy8vi2YfK4oyt2KX5DpkNJlsz8JOLjpHEIeF/Qn9IJwKr4odOEoSN6cxTVEvuMJlavPL/SEfcuOb+3WX343gfvdzAQVp2yC0AtOU23Ik9k3httWCtl1dkp9nfJYtuHoyGw4KLzb/ZnUOgd+WahqE+l+OX951261aou+je3ZPEnnUi/eqdm5DTVnz36mqqP8QP1IvRLql9y9ZKF+kW/kek3Mv1Gpt/I9Ru5fiPXb+T6jVy/Ueg3Cv1God8o9BuFeqMIQ/0S6xehX1L9ot+I9BtR37YeOXjtfggIHj676Yi9oyP2jo7YOzpi7+iIvaMj9o6O2Ds6Yu/oiL2jI/aOjtg7OmLv6Ii9oyP2jo7YOzpi7+iIvaMj9o6O2Ds6Yu/oiL2jI/aOjtg7OmLv6Ii9oyP2Tl/E3qFHTLpHDJ9NVcAe64A91gF7rAP2WAfssQ7YYx2wxzpgj3XAHuuAPdYBe6wD9lgH7LEO2GMdsMc6YI91wB7rgD3WAXusA/ZYB+yxDthjHbDHOmCPdcAe64A97gvYY3rA8NkFrvedgSt14EoduFIHrtSBK3XgSh24Ugeu1IErdeBKHbhSB67UgSt14EoduFIHrtSBK3XgSh24Ugeu1IErdeBKHbhSB67UgSt14Mq+wJXkwJ20HJbAuR2XT3W0nupoPdXReqqj9VRH66mO1lMdrac6Wk91tJ7qaD3V0Xqqo/VUR+upjtZTHa2nOlpPdbSe6mg91dF6qqP1VEfrqY7WUx2tpzpaT3W0nvZF6yk9Wnh34NjhqGA908F6poP1TAfrmQ7WMx2sZzpYz3SwnulgPdPBeqaD9UwH65kO1jMdrGc6WM90sJ7pYD3TwXqmg/VMB+uZDtYzHaxnOljPdLCe6WA908F61hesZ7Rg+dnVl93b5KrDik0MqhsGO6wBN/WlYVOfqBbcLkH7q39stsk/bnbr99v6X9x/dv8v6scv1U/61j0/0M3Xix9e3X/adGL6mm99++vjXx4bNP3HQ4OmflsX91tk7nZ/wbnxTpQonSQC8g7d74u/uHq0+O57H1zdvffBd967+tr9j+9/eqW9k6tQHRHxwziM5dcfXt3/w/3n97/5N1f3fxPILrK3yWTgrgu+U99/EgdVIrjLMsxWPVGjy24ForBT3i1ZHssu/UkZvP29t+/uHt/t3en9Wij5uj7bSktv9izCzjL1TToZWI7cN/KTODPs5FPlgiXJdSc/frmT3/sgjm/RVYOl6bzF8+EklTS+vjVgPKJjgJWGsIw9btLF168OhGFnn0ohHSngPNKRvTkKO13dUQWDNQbe2QcmnhKceJ7QqcCy5Lb5XyRh0b/7T5XKsPsfv9z97z1S7+iKXeopKWUOZ1BZJpuSjMDtBsTXrw6AwQ2gEoCl1XGtrHPnKOp0uUoRq9Uu5TJeFHIbpEW4DcRisQ7y9UoEm2UiN3m+DFeHKta7kv2jxZCXDUj92gWp1rOJGyRK17XmNUC5rHu7QH6XFcThFFl0Sfy3XetfbT4clrqff3U1tr+F7ZPvfvD+hx9cpWG4+/P9T/Qpa+q7n+jHFDQXIPwnvbj+mb4KoTmlbf+5vwni9P4nD5ofssMP+f1PmqsSfnL//73/q+an/9/9f9v/3f9QP/31H8bNz/90/z+aX3P/U/XBf/jDR4/vmj/9WP21PhHuKmn++Df3P97/a1exWtNcqXV6sfuf3aNGmw+Ih8nDIrxSv+mv7v+paxzfYh1HiY+jy/o5kA+v4qi5r7Aif6ij8Dv3f33/d/d/f/8PVyKTQRxGqX6AxF9dRVcqtL9Rn9afvbr/6yv96NYrlQ2fJjoq/3j/367072h+nRqlX+uM+KIZXH3eYq7e0Q+aeHD14j/rx4Y1F518vDsd8VfNaY76j8X+U1dqDH+tkqz59t7d+oV+52OVM99X3/1Ej8uL/9hszOgPfKwW/XpA9SmNL37Y7Nb8qjm/8vPmnMfmhnyf3/9cZZs++/FwscuPvn51own+5v5/XqW7f/jF95s8fvGRGv0mP79svvvrKxURnd0/aH7vZ1/Z7Ln/8kFztqb69/X5nx83j0P7XMvdXUjzAy1XfUeT/kvz3LQdjcr3z/cX33yqA7k/nfMqaE4c3W9s/KDZctpfLP1SzYs/30VOxVf9Y581h8+P9Df1Oaj/on7n7sj80e54+vnuN+4U6yP3891f/FL9A39+OFN09/1/aA4/fb7oLxvJn7/4s/2fmt/2y72An+1l6TB8ub9Z9ZfNaanqn21ubf1nzdmn+p/qi+hDFdKr5tuf6ceTvBptJeUf1T9/yIzPDueyfrI/P7aZOPSHP37xQ5VSH+2no980Z8n+sjmd9hM9Nb34i/3vbc6ybUQ+vPrKtpH+LfpFTTn6ZNz9Z3+x+3VfOav2qOFzlWiN5uadzxTn582/0gzxz5uzff+luQnk93d//Zv9vSD1/SMP47T/95rP6TzR7/xcJ4JKaK3+P+2zdvdFpfOHh9+4u8/ky2NG/cavP+yajN5mnYwcLj8YZMuLEYXluqXOhuUbrByul00gFH3bZ4wYo12xZDgZlhPPoR0bYhvouBl0eGZZangGHSu4w5QB72Cc7DUWIkwfpp3Xoz7hxXM9/BA8y1VLwJiWfND6KnPTKnBIP7NzkavWf8LAJsP+FTkm1WVdh/iZRLXtGWNyfiaRW2Dcg/iZRInSSSIg7ww/82v3v+qcAt4m04H7zYM0eESJ4OaxQ+Nm8DSJGl32YAGFokvdLVmdR0tTHpwFYbY0qWRgRRra0qTKBauSq6UpXlqavU9E+xZdNVidhuhlNcz1rQHjER0DLDbnWJri+tWBMFiaVArpSAHnkY7szVHYqaVJFQyWGHhBAEw8JTjxPKFTgVVpSEuTKpXB0hQvLc3eI/WOrtilnJJS5ri8Mk82JRmB29IU168OgMHSpBKApdXZ0hQ3R1GnliZF7IVamj2LRLWklW6QKN34liYjiMMeGroqfm1p/lPXOL7FOo4SH0eXJfRuLfyqrWmyNH/12tJ8bWm+tjSnYGkyTkYO/sQgO16MKKNamowcrp4KQNHZW96yUlyCo8mJ59CNDbELdNwLOjw7NjU8DpgV3GHGgDcwHB1NTjzXow/Bszma9jEt+aDHdDSTLja1/EuNbFGbzbOjSVQL7hmja7fxHU0it8C4B3E0iRKlk0RAHt3RTA2OJpEO3G4epL8jSgT3jh36NoOjSdTosgWLKOxSd0tW59HRzA7GQmp2NKlkYEUa2tGkygWrkqujmb50NHsfNPstumqwOg3Ry2qY61sDxiM6BlhsznE00+tXB8LgaFIppCMFnEc6sjdHYaeOJlUwWGLgBQEw8ZTgxPOETgVWpSEdTapUBkczfelo9h6pd3TFLuWUlDLH5ZV5sinJCNyOZnr96gAYHE0qAVhanR3N9OYo6tTRpIi9UEcz6XU0TU8d7YBE6cZ3NBlBHPbQ0FXxa0fzn7rG8S3WcZT4OLosobscTduFmn2u5t83sfrH3R7Jp8fNjo9fG52vjc7XRuelGJ2Mc1R7hWKYowbZCGNEGdXoZORwtVqoFLesFJdgdHLiOTRpQ2wOHbeIsoMplhm2iTjBHWYMeF/D0ejkxHM9+hA845g+Qca05IMe0+gUXWxqVWh69rEM4zabZ6OTqBbcSkaXdOMbnURugXEPYnQSJUoniYA8utGZGYxOIh24Cz1If0eUCG4pO/RtBqOTqNFlZxZR2KXulqzOo9FZHPyG3Gx0UsnAijS00UmVC1YlV6Mzf2l05gajk6oarE5D9LIa5vrWgPGIjgEWm3OMzvz61YEwGJ1UCulIAeeRjuzNUdip0UkVDJYYeEEATDwlOPE8oVOBVWlIo5MqlcHozF8anb1H6h1dsUs5JaXMcXllnmxKMgK30ZlfvzoABqOTSgCWVmejM785ijo1OiliL9ToFL1GZ+EGidKNb3QygjjsoaGr4tdG5z91jeNbrOMo8XF0WULvTvodxOf86asO2y4hfqUNnMaDagyjndP0q5fezlfNHJ0Bn6v1/Ec7T1CbXH/aWJgH9+pLbWh9rsZF//3BY1K/5cVHB1OtMdK0kfnlVWMVNsmlt3DUr/3RcIbrw8tzXB9c3b35LS0wuVJ0f/XaYH1tsF6Wwco4NzrYJYNswDGijGqwMnK4WjxUiltWikswWDnxHJrDITaljltTxcGMKwzbU5zgDjMGvJ/iaLBy4rkefQiezWC1j2nJBz2mwSq72N7MM9Pj4GWYtNn8GqxUteAWNrqUHN1gpXILjHsIg5UqUTpJBOTRDdaoM+veJqOBW99DNHdUieA+tkPT1u+uUjW6bAcDCmWXuluyOn/uahbtTY4sNLqrZDKwHA3srpLlgiXJ0V3NwqO7uotzl+pv0VWDpWmIRlbDXN8aMB7RMcBKc4a7qrS/OhD97iqZQjpSwHmkI3tzFHbirpIFgyUGXg0AE08JTjxP6FRgVRrQXSVLHd5dPU443zYcqXd0xS7llJQyh7WVZbIpyQjM7upxojkMQL+7SiYAS6uru6py5yjqxF0lidVqQxmvQpFngUxEEYjlNg4WaboOZLaVYRZGSZzuD4PelaxhKU9bzfa5q1nkBonSje6ucoI4bKChS+Lx3dWdK/Dx/ScHq/R/DOKoDmCocg6dxIfOZcm8O7n4wcFRjSTgqO4f8Rk9kL3Xjv6mWYh/X5tRjaP1sTZCVdR/or6g/5EeW7OAbM0olJd6IekDy5Wk7kbn8+fvj2J1aqJXbc7GXHttdP6WG52cc5aDbTHIXhgjyphGJyeHq9UCUMguiltWigswOlnxHPq0IfaHjrtE0d4U2/3QBf6IF9xhxoC3NtyMTlY816MPwbMYncCYlnzQYxqdaRebWhjGRjbRZvNsdBLVgrvJ6KpufKOTyC0w7kGMTqJE6SQRkHeO0dl/KSkVD9yJHqTBI0oEt5UdGjeD2UnU6LI7CyhMutTdktV5NDuTg+cQm81OKhlYkoY2O6lywbLkanbGL83O2GB2UlWD5WmIZlbDXN8aMB7RMcBqc47ZGV+/OhAGs5NKIR0p4DzSkb05Cjs1O6mCwRIDrwiAiacEJ54ndCqwKg1pdlKlMpid8Uuzs/dIvaMrdimnpJQ5rq/Mk01JRuA2O+PrVwfAYHZSCcDS6mx2xjdHUadmJ0WsVouduqt5elezhuU8bUXba3YmbpAo3fhmJyOIwyYauiwe3+ycyKWknOMo8XF0WUPvF8OvWp/AhaSvbc/Xtudr23PytifjhOVgYgyyK8aIMqrtycjharwAFH07bIwUl2B7cuI5dGxD7BQd94uSg0WWGPaMOMEdZgx4k6M9piJMcoPtyYnnevQheDbb0z6mJR/0mLZn54CqJaIwssk2m2fbk6i2PWNMzvYkcguMexDbkyhROkkE5J1jez7s3C16mwwH7kgP0t4RJYLbyw5tm8H0JGp02aUFFHaeAXJLVufR9JQH70GYTU8qGViQhjY9qXLBouRqeoqXpqcwmJ5U1WBxGqKV1TDXtwaMR3QMsNacY3qK61cHwmB6UimkIwWcRzqyN0dhp6YnVTBYYuD1ADDxlODE84ROBValIU1PqlQG01O8ND17j9Q7umKXckpKmePqyjzZlGQEbtNTXL86AAbTk0oAllZn01PcHEWdmp4UsRdqema9pqd0g0Tpxjc9GUEcttDQRfFr0/OfusbxLdZxlPg4uqygm6Xwg6Gv9vxb9f3//qC5/e39zxu/Rrtmv3rxF4dMaT6g7amdYdT4doe9kc9eOqO/fcbo4L6ojuDHzT2Cd4JfOpD6u/quxPe/1B/ZSWh06d/1ipep/nmtuDmY//TFR9oPbcbmv+ivvvhBo++wo6U+9itF9Wf6EN1tcDW3SG6eCNu4pHvPbme2fqkZrnY3yNVW58EnVH/4tPE7P967d//n/3/3ZfVLldBmVL7f4P6sibQaiP/zV2fatWOatQ88mbUPdui/aY6NQwqpsf1oP44qOPtJ98t9kk41Gf612NKMJcXBZBpk35IRZVRbmpHD1RgDKPr2QBkpLsGW5sRz6KmH2Ms77ujJg4UpDbt6nOAOMwa8DXWyYZyLwmBLc+K5Hn0Ins2Wto9pyQc9pi3d+aQftYhPjWxpm82zLU1UC+78oyvw8W1pIrfAuAexpYkSpZNEQN55trThelwiIOgbDNLiESWCJoBD62awpokaXfbSAYWiS90tWZ1Hazo7OESp2ZqmkoFFaWhrmioXLEyu1nT60ppODdY0VTVYoIZoZzXM9a0B4xEdA6w351jT6fWrA2GwpqkU0pECziMd2ZujsFNrmioYLDHwmgCYeEpw4nlCpwKr0pDWNFUqgzWdvrSme4/UO7pil3JKSpnjCss82ZRkBG5rOr1+dQAM1jSVACytztZ0enMUdWpNU8ReqDWd91rTmRskSje+Nc0I4rCNhi6MX1vT/9Q1jm+xjqPEx9FlFX1cDr+2p1/b0wM7kiyW5Gt/+rU//a/On2asK+1VpaGuDLJ5yYgyqj/NyOHqkAEUoovilpXiEvxpTjyHxnqIDb3jtl528DIzw9YeJ7jDjAHvRTn605x4rkcfgmcc0yfImJZ80GP600UXm1rJ50a2rM3m2Z8mqgW3/9Fl+Pj+NJFbYNyD+NNEidJJIiDvDH+676JpIhpoGwzS3BElgh6AQ9NmcKaJGl220hGFnfJuyfI8WtPFwSHKzdY0lQysR0Nb01S5YE1ytabzl9Z0brCmqarB2jREJ6thrm8NGI/oGGCpOceazq9fHQiDNU2lkI4UcB7pyN4chZ1a01TBYI2BlwPAxFOCE88TOhVYloa0pqlSGazp/KU13Xuk3tEVu9RTUsocF1fmyaYkI3Bb0/n1qwNgsKapBGBpdbam85ujqFNrmiJWq8UefqR5epeyhrU8bTnba00XbpAo3fjWNCOIww4auiYe35q+utzn4jIOncSHzmXNrBa/r/rQZ3rQeyvqi53xrA2e3f5G4z/tLOkvtf93/8vXN4p2cpyfP3+/ORx+vrMav9DbTzvbsbnx86/0n4MXP7r/+Ys/V/H9UsX3PNt23LtAe/Jt/7W4mYzzkoM3MciGFyPKqG4mI4ern4JQ9G2eMWJcgp3JiefQjA2xCXTcCioO1ldh2A7iBHeYMuD9i5OdxixLDHYmJ57r4Yfg2exM+5iWfNBj2pndE9GbeR4a4fI2nF8/k6oW3DNG126j+5lUboFxD+FnUiVKJ4mAvHP8zP6rbal44H7zEC0eVSK4eezQuvV7mlSNLnuwgELRpe6WrM6fpZlHe2chD42WJpkMrEkDW5pkuWBZcrQ08/Boae7i3KX6W3TVYHkaopvVMNe3BoxHdAyw2pxhaSrtrw5Ev6VJppCOFHAe6cjeHIWdWJpkwWCJgZcEwMRTghPPEzoVWJUGtDTJUoe3NI8TzrcNR+odXbFLOSWlzGGBZZlsSjICs6V5nGgOA9BvaZIJwNLqammq3DmKOrE0SWK1WuwMXc3Tu5w1rOeJS9o+TzOP3ChRvNE9TU4Qh200dF08vqc5kcttOcdR4uPosojer4YfOF1sCzwC97XR+drofG103l+W0ck5Pzm4FoPsgjGijGl0cnK4Oi0AheiiuGWluACfkxXPoUEbYmfouD8U7T2x3Q9d4I94wR1mDHhTw83nZMVzPfoQPIvPCYxpyQc9qs/ZtySMjXBFG86zz0lUC24ko+u58X1OIrfAuAfxOYkSpZNEQN4ZPqe87mJ7m8wG7kAP0t4RJYLbyQ5tm8HkJGp02ZUFFMoudbdkdR5NzuTgNcRmk5NKBhakoU1OqlywJrmanPFLkzM2mJxU1WBtGqKV1TDXtwaMR3QMsNScY3LG168OhMHkpFJIRwo4j3Rkb47CTk1OqmCwxMDrAWDiKcGJ5wmdCqxKbiZnFGayb9b5Nl0rg8sZv3Q5ew/VO7pil3pKypnj8so825RkBG6XM75+dQAMLieVAKytzi5nfHMUdepyUsRqtdiJu5qndzFrWM0TF7S9LmfiRonije9yMoI4bKKhq+LxXc7LvXKTc+gkPnQuq2a9/H3V1WzMwU8bV+3z+09ffHS/v/nvzpfTNt8/NwbKl40Xc7SXei/vvP+7vev59m2iwvfjxsD5dO8y/Wh3B9Fm2PXmilrA/+jB4ZajnzVW3f7375zS3b1Qv7IJ8/nVwURTSve/de8V/es1TJtIBxTbVAVEW2i/agLyqTasf6mE/dcXf6Z/nfY9d5ssP9h7mBrxK6pe/PnJ0O2s0ckYqw99OatdE8rbrBOKg68wyFYVI8qoTiQjh6sXAlDILopbVopLcCI58RyaqCG2b46bOMnBtUoMGzmc4A4zBrzzcJKvqYzDfieSE8/16EPwbE6kfUxLPuhRncjOxalatgkTXBS24Tw7kUS14G4vuuYa34kkcguMexAnkihROkkE5J3lRBouuSTygVvFg7R4RIngvq9D62ZwI4kaXXZPEYVd6m7J6jy6kfJgCgizG0klA4vS0G4kVS5Yl1zdSPHSjRQGN5KqGqxPQ7SzGub61oDxiI4Blptz3Ehx/epAGNxIKoV0pIDzSEf25ijs1I2kCgZLDLwmACaeEpx4ntCpwKo0qBtJ1crgRoqXbmTvoXpHV+xST0k5c1ximWebkozA7UaK61cHwOBGUgnA2ursRoqbo6hTN5IiVqvFTq/VPL0LWsOKnrio7XUjpRslije+G8kI4rCRhq6Mx3cjp3LNJeM4SnwcXZbRh/XwsPZk+6LM1/bka3vytT1JtCcZJxUHs2GQvStGlFHtSUYOV4OESnHLSnEJ9iQnnkNXNcR+znFXRx6sLGnY2eEEd5gx4K0IR3uSE8/16EPwbPakfUxLPuhR7cmkC06t41IjXNSG82xPEtWC27/oImx8e5LILTDuQexJokTpJBGQd4Y9mXahvU1GA7eNB+nuiBLBPWCHrs3gTBI1uuykAgpll7pbsjqPzmR2MAhSszNJJQPr0dDOJFUuWJJcncn0pTOZGpxJqmqwNA3RyWqY61sDxiM6BlhpznEm0+tXB8LgTFIppCMFnEc6sjdHYafOJFUwWGLg5QAw8ZTgxPOETgVWJTdn0nwzWKpUBmMyfWlM9h6pd3TFLuWUlDLHxZV5sinJCNzGZHr96gAYjEkqAVhanY3J9OYo6tSYpIjVarGzbTVP71LWsJYnLmd7jcnMjRLFG9+YZARx2EJD18TjG5MXfJkk49BJfOhc1sxq8fuqDal4jfd+7X/I5Y+/kgMfN/5ic8NLbRD+cu/m6DuV/g81dD+/390Cdm9xNgnztd19NRuXa78x8vXfai9x8FvDvvYQL8pDZJwM2u2/YTIYZJeJEWVUD5GRw9XFAChkF8UtK8UleIiceA4N0BA7L8f9l+zgN2WGPRhOcIcZA940ONneK0RouNkqJ57r0YfgGcf0CTKmJR/0qB6i6IJTS67cCBe34Tx7iES14EYtul4a30MkcguMexAPkShROkkE5J3jIRqucCTigZu8g3R4RIngjq1D52bwEYkaXTY+AYWdJ1TcktV59BGLw3Z+bvYRqWRgTRraR6TKBcuSq4+Yv/QRc4OPSFUNlqchulkNc31rwHhExwCrzTk+Yn796kAYfEQqhXSkgPNIR/bmKOzUR6QKBksMvCQAJp4SnHie0KnAqjSkj0iVyuAj5i99xN4j9Y6u2KWcklLmuMAyTzYlGYHbR8yvXx0Ag49IJQBLq7OPmN8cRZ36iBSxWu2iWG22i00aLBahWtKmWRbk+WoTbJM0XiZFHMv1esfTu5w1rOeJS9peH7Fwo0TxxvcRGUEcttHQdfHIPuL9XwdxfP+Tq2Z//5OrF99Xf//8xUfP9xc46v9988nbb5V/OHvL2Unc/RsHJzEjOYmMgyfxwXNZOe+XwG5uYv+TJF+7ia/dxNdu4ss9JMYJwcEbGGSviRFlVDeRkcPVzwAo+vatGClGcxMTIeJ+Q5GT0KETGmIL5rgRUxzMp8KwGcMJ7jBpwLsHjoYiJ57rAYjg2QxF+5iWfNCjGoqyC+7NvAiNcEkbzq+hSFUL7tiiC6fRDUUqt8C4hzAUqRKlk0RA3hmGYnbdxfY2mQ3c6h2iw6NKBPdtHTq3fjeRqtFl+xNRKLvk3ZLl+bMTi2i/q1+ERjuRTAZWpIHtRLJcsCg52olFeLQTd3HuUv0tumqwOA3Ry2qY61sDxiM6BlhrzrATlfZXB6LfTiRTSEcKOI90ZG+Owk7sRLJgsMbACwJg4inBiecJnQosS252ovmGqWStw/uJxxnn24ZD9Y6u2KWgknLmsL6yzDYlGYHZTzzONIcB6PcTyQRgbXX1E1XuHEWd+IkksVotdoqs5uldzRqW88QVbZ+fWERulCje6H4iJ4jDLhq6LB7ZT7zo6xI5h07iQ+eybNbr3w4r8cx7pFoe4fgT9ft2btHH+raojbGkf8G/Vt/win5D09fuYb97qCL+4/t/vP+bq12qfKLGVQ3elR7QT/Qe3O5PIxuMnHOEg1cwyPYTI8qYBiMnh6u/gVDILoxbVozRHMb+6xVZ8RwaoyG2ZI4bM9Heitr90AX+iBfcYcqAdxPc7nnKiud6+CF4FnsRGNOSD3pUezHtglNLsdgIJ9pwnu1FolpwBxddR41vLxK5BcY9iL1IlCidJALyzrIX+y9YpPKB27+D9HhEieBerkPvZrAYiRpddkQBhaJL3S1ZnUeHMTls9Mdmh5FKBhaloR1GqlywLrk6jPFLhzE2OIxU1WB9GqKd1TDXtwaMR3QMsNyc4zDG168OhMFhpFJIRwo4j3Rkb47CTh1GqmCwxMBrAmDiKcGJ5wmdCqxKgzqMVK0MDmP80mHsPVTv6Ipd6ikpZ45LLPNsU5IRuB3G+PrVATA4jFQCsLY6O4zxzVHUqcNIEavVYg/y0Dy9C1rDip64qO11GBM3ShRvfIeREcRhIw1dGY/vME7kkYyc4yjxcXRZRh/Ww8NbjpbHMr62HF9bjv9qLUfGecLBPxhkO4oRZVTLkZHD1fMAKEQXxS0rxSU4jpx4Do3SEFs0x42a5OBOJYbNGk5whxkD3l1wdBw58VyPPgTP5jjax7Tkgx7VcewcUbU0E0Y42Ybz7DgS1banjMk5jkRugXEP4jgSJUoniYA8uuMYh9ddbG+T2cCt4EHaO6JEcF/XoW0zuI1EjS67o4DCzq24W7I6j26jPGz6C7PbSCUDC9LQbiNVLliTXN1G8dJtFAa3kaoarE1DtLIa5vrWgPGIjgGWmnPcRnH96kAY3EYqhXSkgPNIR/bmKOzUbaQKBksMvB4AJp4SnHie0KnAqjSo20jVyuA2ipduY++hekdX7FJPSTlzXF6ZZ5uSjMDtNorrVwfA4DZSCcDa6uw2ipujqFO3kSJWq8VOodU8vYtZw2qeuKDtdRulGyWKN77byAjisImGrorHdxsv+HpGxqGT+NC5rJr18vdVc/FcY9FwLWOZho311Lh3Ly2nz3ce2WeN0finv90W492b39IUh2i8NhQHNhTHvwMq50HvsPc/yHYSI8qobiEjh6tfAVD0bU0xUlyCW8iJ59DoDLHFctxokQdnSRo2WzjBHWYMeHegPaZpEgrZM65PePFcjz4Ez+YW2se05IMe1S3Mu+DU0io1wqVtOM9uIVEtuCOLrovGdwuJ3ALjHsQtJEqUThIBeWe4hZ1Z9zYZDdzJHaS7I0oEt2UdujaDWUjU6LK5CSjs68iI6jyahdlhzz41m4VUMrAeDW0WUuWCJcnVLExfmoWpwSykqgZL0xCdrIa5vjVgPKJjgJXmHLMwvX51IAxmIZVCOlLAeaQje3MUdmoWUgWDJQZeDgATTwlOPE/oVGBVcjMLjc9SJEtl8ArTl15h75F6R1fsUk5JKXNcXJknm5KMwO0VptevDoDBK6QSgKXV2StMb46iTr1CithL9QrzXq8wc6NE8cb3ChlBHLbQ0DXxa6/wMHRvsQ6dxIfOZc2sFr8PTq9DNDxFsW0FvnyK4l82BtVuHF+1io7u38PfQvfPcIHhw9dO4OSdQMZDut3EGw7pQfaKGFFGdQIZOVy9CICib9+JkeISnEBOPIc2Zoj9k+MuSnZwjTLDTgonuMOMAS/9TzbpjA9CZMVzPfoQPOOYPkHGtOSDHtUJLLrg1MIpN8JlbTjPTiBRLbjdiq56xncCidwC4x7ECSRKlE4SAXlnOIHxdRfb22Q2cJ92kPaOKBHcdHVo2wxWIFGjy94loLCvJSOq82gFFocd+dxsBVLJwII0tBVIlQvWJFcrMH9pBeYGK5CqGqxNQ7SyGub61oDxiI4BlppzrMD8+tWBMFiBVArpSAHnkY7szVHYqRVIFQyWGHg9AEw8JTjxPKFTgVXJzQq0XDdI1crgBeYvvcDeQ/WOrtilnpJy5ri8Ms82JRmB2wvMr18dAIMXSCUAa6uzF5jfHEWdeoEUsZfqBRa9XmDhRonije8FMoI4bKKhq+LXXuBh6N5iHTqJD53Lqlkvf1+bga/NwNdmYJ8ZyHhMO2ztD7JbxIgyqhnIyOFqRwAUfTtPjBSXYAZy4jn0MUPsoBz3UYqDcVQY9lI4wR1mDHjx73gTUU4816MPwbOZgfYxLfmgxzQD484j9c1ifwT3weVtOK9mIFktuOGKLnvGNgPJ3ALjHsAMJEuUThIBeWeZgb2PLSTzgbu1A7R4ZIng1qtD69ZrCJI1umxgAgq72zKyOm+GYBFGu335Qt9pp98QpJOBRWlYQ5AuF6xLboagknMwBPdx7lL9LbpqsD4N0c5qmOtbA8YjOgZYbuiGoNb+6kD0GoJ0CulIAeeRjuzNUVjbEKQLBksMvCYAJp4SnHie0KnAqjSgIUjXOrgh+HLG+bbhUL2jK3app6Sc2S+xbLNNSUbgNQRfzjSHAeg1BOkEYG11NAR17hxFtQ1BmlitFnsyhubpXdAaVvTERW2PIahmJzdKFG9sQ5AVxGEjDV0Zj28ITuOxhazjKPFxdFlGH9bDHQ7hmXcXtTy2sNdKfNDYYY1vtbNyvmIuXv023mj09bMMf+s9RtaZwcExGGQDihFlRI+RlcPV5QAo+jazGCn8e4y8eA6t0RCbMsetmWjnR+1/6AJ/xAvuMGPA+wlOHiMvnuvRh+CZPUZkTEs+6FE9xr7FWGyEK9pwnj1GolpwDxddSY3vMRK5BcY9iMdIlCidJALyzvAYky60t8lo4N7vIN0dUSK4kevQtRnsRaJGl+1QQGHnIN+S1Xm0F5PDLn9sthepZGA9GtpepMoFS5KrvRi/tBdjg71IVQ2WpiE6WQ1zfWvAeETHACvNOfZifP3qQBjsRSqFdKSA80hH9uYo7NRepAoGSwy8HAAmnhKceJ7QqcCq5GYvmm49SpfK4C7GL93F3iP1jq7YpZySUua4uDJPNiUZgdtdjK9fHQCDu0glAEurs7sY3xxFnbqLFLFaLXbKrObpXcoa1vLE5Wyvu5i4UaJ447uLjCAOW2jomnh8d/FiLzdkHTqJD53Lmlktfg9e4tW5lxv+WA3KzxoH6zO12r7/pHFk/uz+4wfNp9QSXD+K8NMXH7308X751W/sP7ZzMLWh82edH3s44HMMH0zMX3xtLE7GWLz6yn7Ubuw+aWxy7cLvPvuL3a+70lPfPkEPGj5XWdZobt75THF+3vwrzQD/XEnQQ/zr3W/Sf73LOz15fnocpf2/13xOj4V+5+c6DVQ2a/X/aZ+yuy8qnT88/Eb19i++esio3/j1PqOUccZzsD0G2UpjRBnVKGXkcLVqAIq+bTlGikswSjnxHLq8IbaXjptMycFUSwwbTZzgDjMGvDPidGdWXjzXow/Bsxml9jEt+aBHNUo7V89qXSlMcHHYhvNslBLVgrvR6KJwfKOUyC0w7kGMUqJE6SQRkHeGUSq60N4mo4G72IN0d0SJ4Ja0Q9dmMEqJGl12dgGFnRPhLVmdR6NUHvwKYTZKqWRgPRraKKXKBUuSq1EqXhqlwmCUUlWDpWmITlbDXN8aMB7RMcBKc45RKq5fHQiDUUqlkI4UcB7pyN4chZ0apVTBYImBlwPAxFOCE88TOhVYlYY0SqlSGYxS8dIo7T1S7+iKXcopKWWOiyvzZFOSEbiNUnH96gAYjFIqAVhanY1ScXMUdWqUUsReqlHas0RUC1rpRonijW+UMoI4bKGha+LXRulh6N5iHTqJD53Lmlktfh+cXnQ5hE/6G200vvjh/cFJ1H5p6yO7N7S9pB2ejwd0QF8boK8NUBYDtOvAf5v1wHfY/R9kR4kRZVS/kJHD1bEAKPp2pxgpLsEv5MRzaHaG2GU57rXIg7ckDfstnOAOMwa8QeDoF3LiuR59CJ7NL7SPackHPapf2HniglpepUa4qA3n2S8kqgU3ZdG10fh+IZFbYNyD+IVEidJJIiDvDL9QdqG9TUYDN3MH6e6IEsGdWYeuzeAXEjW6bHAiCrvU3ZLVefQLs8O2fWr2C6lkYD0a2i+kygVLkqtfmL70C1ODX0hVDZamITpZDXN9a8B4RMcAK805fmF6/epAGPxCKoV0pIDzSEf25ijs1C+kCgZLDLwcACaeEpx4ntCpwKo0pF9IlcrgF6Yv/cLeI/WOrtilnJJS5ri4Mk82JRmB2y9Mr18dAINfSCUAS6uzX5jeHEWd+oUUsZfqFya9fmHmRonije8XMoI4bKGha+LXfuFh6N5iHTqJD53LmlktfofyC/9SDfkXjX/VjGVjx+zMrq7rI3+rzcEHr93B3wp3sO9yQsbjvN3ZG47zQTaQGFFGtQcZOVwNCirFLSvFJdiDnHgOvc0QmyrHrZXsYCVlhu0VTnCHGQPeD3C0BznxXI8+BM84pk+QMS35oEe1B0UXnFpN5Ua4uA3n2R4kqgX3YNGl0Pj2IJFbYNyD2INEidJJIiCPbg8mseHRjkQ8cP92kA6PKBHcjHXo3AwWIVGjy54morBL3S1ZnUeLsDjs1Odmi5BKBtakoS1CqlywLLlahPlLizA3WIRU1WB5GqKb1TDXtwaMR3QMsNqcYxHm168OhMEipFJIRwo4j3Rkb47CTi1CqmCwxMBLAmDiKcGJ5wmdCqxKbhZhFKdqddPrEVK1MniE+UuPsPdQvaMrdqmnpJw5rrDMs01JRuD2CPPrVwfA4BFSCcDa6uwR5jdHUaceIUWsVos9S0Tz9K5nDQt64pq21yMs3ChRvPE9QkYQh300dGE8vkc4lUc7Mo6jxMfRZRW9Xw6reU80pmFqMQ3j/VMbhf7sqWn49y9+8OKjxmT70ZV2tu4/VjmizaaPmoz5+Er/A82/dXViE0Zxj0/45Yvv7zdhft3Yel+eWofhvx7rsPHv9L04f6k9Me0O7vepPtG/XYE13/zNztprbLj7vzz5y4+v9qHVx9vV/jjUkvs/r8Pwa8X3g+YA7//63gl8xYhU4//izw5upv67XUIcf83LAVYf/K+v/MIXHzn4mA8Muh7q61u/bP706S6zdqO0m3J+rnPuN83f/3PjY+oR+/hftSvKOJk5eByD7JkxoozqijJyuPoyVIpbVopLcEU58Ry6uSH2kY67ScXBQSsMO0qc4A4zBrwFcnJqcRblsmdcn/DiuR59CJ7NFbWPackHPaorKrvg3iyi0AiXtOH8uqJUteC2M7r4G90VpXILjHsIV5QqUTpJBOSd4Yom111sb5PZwP3qIdo7qkRw89mhbeu3RKkaXbZwEYVd6m7J6vxZolG0dyai0GiJksnAgjSwJUqWC9YkR0s0Co+W6C7OXaq/RVcN1qYhWlkNc31rwHhExwBLzRmWqNL+6kD0W6JkCulIAeeRjuzNUdiJJUoWDJYYeD0ATDwlOPE8oVOBVcnNEo2TXPQtbb5N1zq8JXqccb5tOFTv6Ipd6ikpZw7LK8tsU5IRmC3R40xzGIB+S5RMANZWV0tU5c5R1IklShKr1WKn+Wqe3sWsYTVPXND2WaJR5EaJ4o1uiXKCOGyioavi8S3Ry71sknPoJD50LqtmvfztsEC1mfjp/e7RkJ+++Eg7OS/+otn5+Gznh/1zY8fojZBfvbRkjjbpb1o26f3f7W3St2+T0MUrPb2k8rfSKzVZpQ92QXswvGXa6Zk+mLpp+uC1a+rFNeWc/Bw8kEG21RhRxnRNOTlcfRsqxS0rxQW4pqx4Dg3fEFtNxw2naO+w7X7oAn/EC+4wY8C7JCf5moWZ6pj6LiZl5XM9/BA+i20KDGrJBz2qbZp2wak1ZmyEE204z7YpUS24NY0uEMe3TYncAuMexDYlSpROEgF5Z9im4rqL7W0yG7inPUh/R5QIblA79G0G25So0WWbF1AYd6m7JavzaJsmB/ciNtumVDKwIA1tm1LlgjXJ1TaNX9qmscE2paoGa9MQvayGub41YDyiY4Cl5hzbNL5+dSAMtimVQjpSwHmkI3tzFHZqm1IFgyUGXhAAE08JTjxP6FRgVRrUNqVqZbBN45e2ae+hekdX7FJPSTlzXF6ZZ5uSjMBtm8bXrw6AwTalEoC11dk2jW+Ook5tU4rYS7VN017bNHGjRPHGt00ZQRx20dBV8Wvb9DB0b7EOncSHzmXVrJe/B9s0VvBn2aaonxrH3W7q3iL7kfqndwba1158f2fXqF+53y75+pWWyeepPpikqRqQTNXBb2H74PQOtifx73Q6eX1O9ekXf66NyN1Q/iu2NhknKAejYpCtL0aUUa1NRg5XbwWg6NtGY6S4BGuTE8+hKRtiO+i4KZQcXLDEsDHECe4wY8A7GSdHXRLmsey3Njn5XA8/hM9mbdoHteSDVv/9wZ80/z14uTHbuzb83mb14XsfvN8RDYelYed8pFaDwoCYpPDDNPs1uiz0ulfmv0tW2U4sQyTBVdzf7LvDXzVt1q5D/Yv9Sq5ZbOn25wcv/nzXcuuz2poP/fqw2Ptqf/fn+sTEXdt7aFO+6OJX6yXxb27JQTiZN/ujcN60ubddZN8USdUv3PXjm1pa9Dt9ot+hi5buovF9LKX5cZ/mx3TN+OFCn4b3W+Td2kuy9pMtT4t2twR52if4KV0wPss7bnIqvc/69D6j6W2y4/kYVap311IaZce9YYZVutWp3lNwiDrxQ+9SKtXV15qluN4u+fl+c+Nj9ecv9Lc7c0+VManLGDFCY5extK+MUfWPUca6Rb9DFy3dRTvNVI/7ND+ma8aPpbPLWLf2kqydvYx1C35KF4yXAVIZ69b7jKa3mWj32cFex3orWWpUDt+JZ7hK9lDH5FTq75Kl4gcgWsx+2mzP/1mz7fvV4tWlW9WZVNcZovix60zWV2eo+seoM92i36GLlu6inaaSx32aH9M142l+dp3p1l6StbPXmW7BT+mC8WmaVGe69T6j6f1qRmvdv2+qN+dfxhDvzvroAlDlxvSsrySVvQHHZBJqzcOo55L+3yWLbU/ZQ1zA0Kx2fnFwTq/uP2mc5C/2513svPFmxdQYk806qLHLtff4a325c+N433+qLezD4kmftfHpwQNuzrZv/virprbtrnZ4Wd2ujva5Wri9+M/Bvb4G4teNi/6z5oLZ7z+8ajzqLxoD/8u9+bt3k5WqF/8f9Ydf3n+sLdGj0uNSUP3tf2xENsvDg9ydEf/w6wfb//j8268aqt//ikq1fPzk4IfvruXdOaza2G4uPX7xF7tzAn6wO8mlcYS/1Nbt540/31yrrK8m/vj+X7qS4i1yUrTrIOfVHUSJ0kkiIO/+73Y58uCrpxXp/2suwFErej18+mSGL18u9H+zP0nin/ee+KfNOQJdoG+TQdsO1tmXetx/0WkV/B5ZIXhOrYONbbjSg6ix3XCceaVHlIj8YSq7NN6SNbJc7+FgQFNlg2XZ/WKOLBcP484F1r+lqwWrs+u1HNnLazl6Hx/6LbpqsEw7LavQ1HhElw0WEsJq6nhGdXb9auAN125QKaQjBZw3OrI3R2GnyyuqYLBmkM946MuUJ3TJ</t>
  </si>
  <si>
    <t>YBFxuzCjfwL5Nl0pw2UZ2cvLMnonjzu6YpfiN2Q6lGTJ3JdhZNevBtxwGQaVAKyKjktunStHUadLborYr55Q8+/fW68377+lVqZPmoWpJkiXq3i5XITBRmxlIPJwG+R5tg0WIgkXiRTRer3YffK4UNe3Un8FfvOdzTGXXuXf/YtwzerchKiKB1URic4RrPLOkGjydjRQ1GZ421MsRIhnqsaqiwd1H1bNhNWehiEsPH0V1ZtvFg/efLOP6803GcC+sozqT9H+XbFBUjTqvpSxKgxHbCyzziO2K/8g+Y7516O5pmpuJxek2TG5ejSrjCOI/soGmb/EiboTx3in0ljmfjOnW3RNFj1K6nSL1jlFUN10Xr5zp7urqYw3Hopl4Td3ukXXZNGj5E63aJ1UBNVf2eD0lzvJgyoOVWeVRuJBleX5gypP++ai2ASZhn7zKXlQa5Bag9QapO4Dqckgo+RYohonTfLmmxrlzTc1i2qYemB0UhJoLmLeUhkXhbF6iYqejDNdXxAbzh0dJeNUnmn5dZ/8mix/lDzTuaX169mrG0AnI4HgInJLqrRSk1ms0itWeSbCB5VM1TSn/pyqv8/U3xXq74ru86cq41nAseF0r1EyT6qkUxOcgqsVXK3gagVXK1m1gqsVXK3g6h64mgw3Sl5KnZF6yot1bsY6TRXgm28qQjUl6r9L9buZfqPQb/Rg6hQncH5lNXByakIM2go7eti96dnBehLJ3b0Eooe990B513ieX5z230AE9Bq+goJn6X7bDdA/I+sXzvpx5XeA8jlZuXRRTp8H93dcAlAqMkp7trOjuCbRU0B/TdYP+hGU2UwF9eYg7HRmogjWitdbsc6zaBHkkdwEIkzTIF+tomCTJMU22SarYrt53iq97Unrjxa9V48OM3Edpq+0GTA1eMYJLHULBRqDzkPNin7+4ZZa07ViQ25SZLlcbRbbpAikEKtAZPk2WKShDES0zNfRcrFOZHgxKZJBKWIyPDrjhcXAV4pkQIpwIbdvGj12S5Nb2d+Nus2Bg7+VttlHbWns+mdk/bwtjV35nKy8fRDZ6+gZSVQCKBUZZYyWxq6/JutnbWnym4Ow05aGInhy9aqA6pXJheoIBRoDX/WqsKZrxYbcpIiItlmYLYsgizaZ+kQYBXm6jYNssY2LdSq38nK63jhEUiQ2mU2d8cJi4ClF4tCeImzIk1sYxRGUIiZPqTNeWAx8pUgEpAgXcnP604PjSey+N/bi2BqLd2OzreO1Cwb0z8j6hbN+XPkdoHxOVt4+qOyt1xlJVAIoFRllhC4Y0F+T9XN2wXF8cxB20gWTBGvFm00sN9tNESxllAVRtMmDPNzIIAxlKNM8jwq5n6MuoH4lUP0ye4cdkzkWA1/1K7Gma8WGfKhfh6tw9Bzvo4B1D7TsplbIoshE/yXLY1Qqu3swI+vnrVR25XOy8vbhY58eh8qWiqx5jJJkj3lN1s9Xkrp0qlJEEaqV5sU6TkMRq5W57qm38SoosjAMojAuFsVWhrE8Ob3DWymCDIS4Zze9LxRoDHyVIsBAYEPe7dmtkzjcLrJguREiEEkSBQuZb4JC5lGyXBabOL+cbgXas4t7NrD644XFwFeKAHt2bMi7FNnm8WapPrYUqzgQUbEKlotkG4RxJPM4i+RSFpeSIgm0IZP07E4Y4gXFwFOKJMCGDBvyblt3ERZFGkZBsVjLQH0+DPJNugw222Qt40UUpcv1xaQItOZJehYA/fHCYuArRYA1Dxvy7oIuKRfLaJXqdFKfFettkEfZIpBREq9FsY6yvP3kKH8pIqEUka7xwmLgK0XsLXPFhjw5cyiB2tXEuXfDYuArRYB2lQ15chZzArWriXvvBsXAV4oA7SobsqdTojrHVRgbrqL/0skR9tKEvWGckfULZ/248jtA+ZysvH202Pd1hsqWiqx5hL00IOY1Wf/Ye2kkoVOrPAJa4ghjv38aCjQGniqPAJY4bMiT618FtMQR0jVeWAx8pQiwxGFDntwqWEBLHGHs97vihcXAV4oASxw25MntpQloiSOM/X7nIQXFwFeKAEscNuTJ7chLaEdeOrZlaAw8pYi0t8wVG/LkfD0JtavSvXeDYuArRYB2lQ15cmcHSKhdldI1XlgMfKUI0K6yIXvaS3vjMOD2q2/flWk3+/4kc69bbID+GVm/cNaPK78DlM/JytsHkX2754wkKgGUiowyws4boL8m6+fbeXtDBfXmIOxkB44keHL1Clo7y56FZF8o0Bj4qlfA2pkNuUkRtUwSqRRFkEbNOjtXjZBcZcF2ma3DdZTLNL2chVEOpYj5YtyOeGEx8JUi9gumKzbk6a2doe0V2bPX0B8vLAa+UgTYXmFDntw+fgpdpJyar9ilb2r7SZEUuEiZDXlybmAK7cCl5it26daYpxQBduDYkD2vnVP79ZjvprGRvf/uzCOsnQH9M7J+4awfV34HKJ+TlbcPIvuC7YwkKgGUiowywtoZ0F+T9XOundP45iDsZO1MEjy5egXZAanpCt2OUKAx8FWvADuADXl6Xa+AUkS4xguLga8UEUCKcCFPbu2cQo7R/pmgDvHCYuArRQDHiA15cjtwKXRb29S8X90RLywGvlLE7ilUbMiT28dPoX381Lyp3REvLAa+UgTYx2dD9r12tm9Qv5saN6izsM0+6trZrn9G1i+c9ePK7wDlc7Ly9kFkX7CdkUQlgFKRUcZYO9v112T9rGvn/OYg7HTtTBE8uXoFOUa6FruEAo2Br3oFOEZsyJPrejPIMcqM9klXvLAYeEqRDHCM2JAnt3bOIMcoM9onXfHCYuArRQDHiA15cjtwWQyliHG/uiteWAx8pYjdU6jYkCe3j59B+/iZcVO785CCYuArRYB9fDZk9d8f6Hnk+QXdUzST3bD7mz14faxdZt8unZH1C2f9uPI7QPmcrLx91NhXaENlS0XWPMKqGIh5TdbPtyru0vnmmyShU1sNZ9DubdazldkXCjQGvioQsHvLhjy5aw8zaMMk69k96I8XFgNfKQJsmLAhT241nEOr4dx8g82ueEEx8JQiObAaZkOe3H0Qcmipk5tvsNkRLywGvlIEWOqwIU/ubio5dD5KLl3jhcXAV4rYW+aKDXlye2o51K7mzr0bFgNfKQK0q2zIk9tTy6F2NXfv3aAY+EoRoF1lQ/Z8PkphN67eLczGVdRmH3OLDdA/I+sXzvpx5XeA8jlZefsgsm/3nJFEJYBSkVFG2HkD9Ndk/Xw7b2+ooN4chJ3swJEET61eFdDauTDbqiehQGPgqV4VwNqZDXlyXW8BOcmF2VbtiBcWA18pAjjJbMiT24EroO2Vwmyrdh1SUAx8pQiwvcKGPLmz2groirBCuMYLi4GvFAGuCGNDnpwbWEA7cIV0jRcWA18pAuzAsSH7XjvbL3V6t0iN7HGbfdS1s13/jKxfOOvHld8Byudk5e2DyL5gOyOJSgClIqOMsXa266/J+lnXzunNQdjp2pkieHL1CrIDCuOFeKehQGPgq14BdgAb8vS6XugegoX5yqeOeGEx8JUi9qvTKjbk6a2dIceoKFzjhcXAV4oAjhEb8uR24KIQuiRMfcw1YlgUPCWJ4rFnCR/05PbyFQiWJuat7a4DC4qCtzQBtvP5oPU1HU2qnJwy2w7F9zarD9/74H2GSJTPHn1NISYP1EuqXwr1EkX6Rf9dlPUFxbSDHTtc4w6h4UsjzVNrnlrz1Jqn1jy15qn7eGo6T3udBPHASyWN8+abmke/ps1roV8Vkn5t/r4HSn+WQqWx9islnZg+Ljd64zgv2XfK1axk2iqP/W70IAQzOoFwJsC13yHa53Tt0kU7fYY7zvV2mIoOM8J2D0JQ0wk4N3yUqpujtI5piqJZi05ztbpfrbNArvXKLtoWqh9bNE1ZkuVFkS2T9fOL6bEgH0t9zC0YaBS89ViAk8UH3aTJNk+z1Wq7CdZbGQUiT9NgsRZZsE3i5UqGqUg3q8tJE8jLUh9zjRgWBW9pArhZfNCe7SzV2lnp1ZCbt8aTNv24fY6dYEYnYO5z7NrndO3tg8leWM9IpRKBqegwo/Q5doKaTsDb56Q3R2kdfQ5F8/QKGGRuqY+5BQONgrcCBthbfNATbIchg0t9zDViWBS8pQlgcfFBN1uOD3b3kVHgmt/v/o7dzVEpYLJz4szrfWYQghmdgLnvsWuf07W3Dy57oT0jlUoEpqLDjNL32AlqOgFv31PcHKV19D0UzVp0EuXr1WIdB5FYpIGItS0bb4pApGkmlyuRZdn2+aUUtAizWiOT69gRDDQKvgpahFitbNC+F+6R3UFUQ252EP0WMIBgRifgLWCA9jlde/tgss+YZ6RSicBUdJgxChhAUNMJWAtYFN0cpZ0WMJLm6RWwGCtgJlO5IxhoFLwVMOCCPT7ow4psD66Ndx8rsp6hFt3UUSKSIk/87jhHdmNpRidgLlx27XO69vZBZJ8ph0qZii56lAJlD3tNJ+ArUF1CdVmiKNVSo0SfEb2NAtV6qxkpDhe7012XxSJaRlG+zbOTc9L8lSXoWV7qY27BQKPgrSzZXZCKD9r7usq+m66G3LybLnuP1FHKk51gRidgLk927XO69vbBZJ8nz0ilEoGp6DCjlC07QU0n4Ctbel2V3RyldRQwiubpFTDM6YrMps9JMNAoeCtgiNPFBn08uT5p50E7FNAZ26RI7E6uj8MHVZTE+iVTL0KfVy/0T1Kql1Sfa5/qP2b6c5n+nFpOqhd9Jn6uf8r1T4X+qVA/xaHoi6V5mz3rnQHacxgUEXwa252Tr8JQ6zDUOgy1DkOtw1DrMNQ6DLUOQ63DUOsw1DoMtQ5DrcNQ6zDUOgy1DkPdF4aaHoZRTuVXYVCvKg76NdOvojmJXzQ/q1io17Q5uT9t/iZrPp81n1cB0a/NBQB583Pe/Fw0Pxf6576w6MmWEpdmsn1+gVsTcf8dqoso87w1Eds3Qmd0At7eD9A+p2uXLtrJM2/3/EgWPUaPB4S9phPw9Xg9kw1JaSO1WCyLMEwCuRRJIIpFFuTLRRzkIk3jPJRinW2eX0pnF0N3L4vi/luldwYDjYKvzi62X4hS8UHvzohMt3K92CyCJF4WQRRtNsEiCuNgHaVptFiFy2Vx0vj5SxPslH49lG4Rw6LgLU2QU/rZoHdnRIZZvkyKOIiTxSoQ24UMcpku1LJhVeSrbJMstuJy0gQ7cTbuWTT3RwyLgrc0se9uVHzQTZqs4iKJ42gZrItEfVbEIsjjMAw20bIolplqxTcXNJtAt/1QH3ONGBYFb2liPzuu4oPezSbbPEy36zDYxuE2EKu0CPJ1UQSrzUaEabJdhCK7mDRJsFs6JI6NGhoFX2mS2Pvoig/64ObvR93XkvlooyT2cxtUCpjObYhzrw8ZQAhmdALhTIBrv0O0z+na2weXfU13RiqVCExFhxljiQ0Q1HQCviX2GzquN0dpp4ttkuZmZ2+RbJJYSrXi0ucoFZssWC5XeRBnhap/UZwXi8u5R1GCLbYT480EToOBRsFbQUMW22zQu75Hrbyz1SYJllGeByKVcaC+vdRL9HW0TBfrXF7O5YcJdpuFRLhGDIuCtzSxn9pU8UHv7sC6VC2SXIWBWISR+kSsvpWuM7XsKopwm682MpKXkybYnkwiXSOGRcFbmiB7MmzQTZpk8TZep0UepMtIBCIvkqAQ200QputcrDdFuL6kNMFOPktS14hhUfCWJsjJZ2zQh1XU/gmfvlZRPUPdc8ZCmOVxERaeV0v2cy5mdALhTIBrv0O0z+na2weRvT0fKmUquuhRVkX2sNd0Ar5VUZdQvRaiKNVSRRJt1yIUQbhW05LqdNKgKKJI9ceb5Wq1DaM4vpgnDkcCu9ZU9Fx22RcMNAq+ypJArjVlg96dTpZk+SqLZBAtV6rTCbcyyNdhEURyUUTxJhSrYn05aRJjadKzf9AfMSwK3tLEvtFT8UH7PnVe2DcM1JCbNgySLG3Tj9rFAAQzOgFvFwNon9O1tw8mezk9I5VKBKaiw4zR3QAENZ2Ar7t5Q8f15ijttM8haZ5eAcM284RwCwYaBW8FDNnMY4OeYDuMbeYJ6RoxLAre0gTZzGODbtKkKIrlNt8sg3WeikCINNM7OmGgb02XRIvlNlxcjjUgsM08YdrX6owYFgVvaYJs5rFBHzbzor2TeFm7eaJnuyBK4jhJhd/dPGHfmpnRCYQzAa79DtE+p2tvH0X2xmuolKnookfpd+1hr+kEfP1ul1Dd5VKUNnVJrldptI0DIRP1ImQRLMUiC5arZbJIl/pxcPtp5wLqksR282TPxlZfMNAo+KpLEtnNY4Oe3om/EtvNkz0bW/0Rw6LgLU2Q3Tw26Omd+CuxNbMUrhHDouAtTZA1Mxv0scu9yItlZU9zHyVqehSGp5uN0eVK+/JkRicQzgS49jtE+5yuvX0U2dutoVKmooseo8sFwl7TCUbvcklKtdRMNTPxVizVmlufe7XeroPFVmSBXOaLOFEzV345TyuOJHYbFNnb8ncHA42Ct7pkX5FVfNDT2/JPscVQ2rsu6IsYFgVfaZIiiyE26GP7si+Xl9W+pD3NfSyTMBbC7/2zU/vyZEYn4G1fAO1zuvb2UWSvo0OlTEUXPUb7AoS9phOM3r6QlGqpW7FZFmm6CJab3ZX8yyAPt8sgDGUo0zyPCnk5m3QptqxOhVsw0Ch4q0vIspoNukkTuSmyjcilWnNvVQ1bLtOgWIhNIMPNWsZxul2u08tJE8xjTHta/v6IYVHwlib2FVnFB+37lLvUfgsLNeRZN/3eYe2/L90oXYydYEYnYO5i7NrndO3tg8leTs9IpRKBqegwo3Q3doKaTsDX3byh43pzlNbR51A0T6+AYds0qfnGrSfBQKPgrYAh2zRs0BNsh7G7EKWFa8SwKHhLE+QuRGzQx22a/XSh66qPbZpj45PZd63eVR8yhCP2fMUkQDCjE/A2PoD2OV17++iyV9ozUqlEYCo6zBiND0BQ0wlYG58svDlKO218SJq16PUmitP1dhsk8Tq89Lt0ZtgN0zLTs+A6goFGwVdFy5AbprFB+165Z/atWDXkPRuc+3qe9x6zoxQwO8GMTsBcwOza53Tt7YPJPmOekUolAlPRYUYpYHaCmk7AW8D0DdL20joKGEXz9AoYdoO0zHzl4Ekw0Ch4K2D2SzwrPujjkqzYkftyzl9WNLtho3JAGMIRF36fngEQzOgEzBXNrn1O194+uuxT6BmpVCIwFR1mlIpmJ6jpBLwVTdwcpXVUNIpmLXq5ydJltg2DdR5HgYijJFiESxmsxbpYhnke5dv9KcyXUNGw63oz6RYMNAreKhpyXS8b9K7xEXEmsyxS1W+VX3zjg3nuWeoaMSwK3tIE8dzZoP9khy038XIjg2K11PaG1E9rWceBKBIRxXm0yovLuUtAhj1fIzPZfJ0Rw6LgLU3sfmzFBz2966cyzADNTF5gZ8SwKHhLE8QAZYP2vg9o9/XUkJt9vaJNP+6qyU4woxMIZwJc+x2ifU7X3j6Y7G36GalUIjAVHWaUVZOdoKYT8K6aipujtI5VE0Xz5ApYjl1Bk5tcvY5goFHwVcByu/1a8UFPrx3OMb8zN1l/nRHDouAtTRC/kw167yqsZJ4t8iDdik0gFttlsFyrl2KRZmGUrxZZfDk3zcpjLE3MFktHxLAoeEsTuxdW8UFPb6sux8yn3OzDdEQMi4K3NEHMJzZo36um3L69roZcmOjzk4tWR101AQQzOoFwJsC13yHa53Tt7YPJ3qafkUolAlPRYcZYNQEENZ2AddWUa69pL+101UTSPL0ChnlNuXQLBhoFbwUM8ZrYoKfnNeWY15SbbJfOiGFR8JYmiNfEBj3BxTXmNeUm26UzYlgUvKUJ4jWxQU9wqw7zmnLjdWddEcOi4C1NEK+JDfpwyl7s+Y7UL5dR9v12lQOmveu4kO1wjLuMshPM6ATCmQDXfodon9O1t48ue99+RiqVCExFhxllGWUnqOkEvMsobT7tpXUsoyiaG9HFYlmEYRLIpUj0k3ezIF8udAlM0zgPpVhnm+eXUtEKzHwqzJeUnQQDjYKvilYg5hMb9PRchQIznwrzdWcdEcOi4C1NEPOJDXp6y6gCM58Kkw/TfWBBUfCWJoj5xAY9vWVUgZlPhcmH6YwYFgVvaYKYT2zQvs2nwr7froZcGOiT02eUj7pqAghmdALhTIBrv0O0z+na2weTvU0/I5VKBKaiw4yxagIIajoB66qp0ObTXtrpqomkeXoFDDOfCukWDDQK3goYYj6xQU+wHcbMp8Lsw3REDIuCtzRBzCc26AkurjHzqTD7MJ03dUGi4C1NEPOJDXqCW3WY+VSYfZiuAwuKgrc0QcwnNmhtPmnw5549p8K+za6G3rxl3f9g9FFWT3aCGZ1AOBPg2u8Q7XO69vZBZW/Xz0ilEoGp6DCjrJ7sBDWdgHf1pD2nvbSO1RNFsxa9LNZyIZI8iBdREYg03wZLqWezVOTrdbRex/Ji2uI4hDwn9TG3YKBR8FTIFI81ays+6CZNksWqyDdJGsjVWqreaJUFRRSlQV5kq2i1ipbrdHE5aQJ5TupjrhHDouAtTQDPiQ+6SRPsWauXkiaQ56Q+5hoxLAre0gTwnPigJ7dlF4eQ56Q+5hoxLAre0gTwnPigPXtOcWjfZldDLgz0SR636cdcNSEEMzqBcCbAtd8h2ud07e2Dyd6mn5FKJQJT0WFGWDUhBDWdgHPVpFTdHKWdrJpomqdXwCDPSX3MLRhoFLwVMMBz4oOeYDsMeU7qY64Rw6LgLU0Az4kPeoKLa8hzUh9zjRgWBW9pAnhOfNAT3KqDPCf1MdeIYVHwliaA58QH3VzwtPMn24nQjsX3NqsP3/vgfYZQlM8efa2Ko/BBpReAldQ/pWHRFwvzxjX+hEMICO99NUWtKWpNUWuKuo+iplO0m1+IAu5/NYRqc5V29aow3nxTNj/3geiWmEKiUU4u8B894yKVcZFQL3GsXpLmJVcvQr8h9BsiUy9SZ2bavEj1kumfMv1Trn/K9edy/bWi7/CNzDvt+KM9oIg4p2ykUlaFodZhqHUYah2GWoeh1mGodRhqHYZah6HWYah1GGodhlqHodZhqHUY6r4w1PQwjJPzkc55FQf1qgKhXpPda65fRfOuaN5V0VCvsjlG0t2r1K9Z83PW/Jw3P+fN5/PmN/SEpTnaCHH5yhHk+ypVFTprDXtXfchAmYRh7+iPsfcFEMzoBMKZANd+h2if07VLF+30GfnQDgEwFR1mjL0vgKCmE7DufUXRzVFaxzRF0dxsasjNugjzIlhupFqyLDd5kK+XSRBu4zxdxOvlcrHPsgtYhkSYxxeZ7K6OYKBR8LUMiRCPjw26SZPNYpOsl0UUpIVYBSLRGyBJtlQL3aVaxKS5CC/nDMk4wjy+yHh/v66IYVHwliaIx8cGfbw9xw5cNwY++p6eoZbd1FEi8iyXXh8FqcRZx21GJ2Dub+za53Tt7YPIXlCHSpmKLnqUPsYe9ppOwNfHdAnV3QtFabOJGsoiCvNNkKYrfZK/TIMiS2WwKmKxEatwmS8vx7mLsL32qGfbuS8YaBS8lSVkr50NukmTPM3jVbbOgmWShYFIN9ugWIllkBRJWGyLxSLZXM5ee1RgadKztdcfMSwK3tLEfjJ3xQe9m02S5SLKozBIolSlVBTlQRFulsFqExdrucqTMEsvJk1i7LTYuGdhaDiwoCj4SpPYvoKv+KAPTe6+qdKDfzlNbtzT2sehWuTFqWhTj9rkxvbFyYxOIJwJcO13iPY5XXv7ILJ3W0OlTEUXPUaTC4S9phOM3uSSlDZlKcoXaVqsAimXhep0kmVQLDerIBfJZrtRdWybXMxFzHGMnZ6ms94lGGgUvJUl+4Ks4oPencW4WOSqjBVBliYiEOG2CBZypV7COFptErnNInk5aYKtheKeZUF/xLAoeEsTZC3EBt2kybaQcpOskiCS+VLfuzsP8nBdBGEoQ5nmeVTIk9NN/KUJthaKe5YF/RHDouAtTZC1EBv09M6JTrC1UNKzLDAcWFAUfKVJgqyF2KA9XdTTM7Q9zZVa8WUyif2ufRJ7IzujEwhnAlz7HaJ9TtfePmjsTfhQKVPRRY+x9gHCXtMJRl/7kJROrwxha59EugUDjYK3MoSsfdigp7dETrC1T9JvifREDIuCtzRB1j5s0Ied273Po/l97Ny+cUwC+6UFKgWMlxaEXm/khBDM6ATMXY1d+5yuvX1w2cvrGalUIjAVHWaUbsdOUNMJ+LqdN3Rcb47SOvoeimYtehMtk0SssmAlV5EqfiIOFkJGwXYh4kKussU23T8G6RIKGrZLk/RsWPQFA42Ct4KG7NKwQU+vPRbY/b6E6YqLzohhUfCVJgK53xcbtKddmmOfI+x7VGrIjWev5353bwCCGZ2At88BtM/p2tsHk72wnpFKJQJT0WHG6HMAgppOwNrnCH35iei7/ISkeXoFLMYKWOwWDDQK3goYcvkJG/T02mGBXX4ijFdidEUMi4K3NLFvWVd80N77HPtdtdSQCyO914fBIgQzOgFzn2PXPqdrbx9M9sJ6RiqVCExFhxmlz7ET1HQC3j5H32JuL62jz6FonpxBITAfS0i3YKBR8FbAEB+LDXqC7TB2izmRukYMi4K3NEFuMccG7b3Psbt4ash7XLw9vV/fCiCY0QmY+xy79jlde/tgshfWM1KpRGAqOswofY6doKYT8PY52c1RWkefQ9E8vQKG3dVQmG/wR9+b7zrmrPADHHd2t7Xig55gO4zZm8Lo9HVFDIuCtzRB7E026MP5OtF+X8/XfdS6x1r2nVQtkyTKpd+NHGl3GWZ0At4GB9A+p2tvH0X2ijpUylR00WM0MkDYazoBXyPTJVTf/pGitGlfEn3xVJEEeSjWgZDpIliEy02QLOOwEMt1km2L55dSlyTmM8i+6057goFGwVddkojPwAbdpEmxjfJom4igyDMRiM0iDpZhuAnWUqxXmyzfhtvLsaMktpsnpWvEsCh4SxNkN48Nenr3E5HYWemyZ2XYHzEsCt7SxL6Er/igp3d3IokthmTPuqA/YlgUvKUJshhig/6Ty3j6dJzaT2V8N07NpzIW7SiMujYCCGZ0AuFMgGu/Q7TP6drbB5W9ST8jlUoEpqLDjLFmAghqOgHfmukNHdebo7TT1RNJ8+RWTyl2z4DUfGPtk2CgUfBVyFL7Sr/ig57e6imNsTQxnv7YFTEsCt7SBDnnkw16equnFNuLSY2nP3ZFDIuCtzRB9mLYoKe3ekoFlibCNWJYFLylif18wIoP2vcpM6l9J0oNuTTR5/3PHBtl1WQnmNEJhDMBrv0O0T6na28fTPY2/YxUKhGYig4zyqrJTlDTCXhXTfLmKK1j1UTR3KyaoPMmLqWAYed8pqlbMNAoeCtgyDmfbNATbIcxMyE1n2bWETEsCt7SBDET2KAnuLjGTsBLzeeidUQMi4K3NEFOwGODnuBWHeY5pT32i2H+haLgLU0Qz4kN2veqKbNvr7+rPmSk9/tcL4BgRicQzgS49jtE+5yuvX0w2dv0M1KpRGAqOswYqyaAoKYTsK6aMu01ZX1eE0nz5ApYhnlNmfkuGh2PrcGi4KuAZYjXxAY9vXY4w7ymzGi7dEUMi4K3NEG8Jjbo6S2uM8xrysy32qA/BMtXmiBeExv09LymDPOaMuEaMSwK3tIE8ZrYoL2vmuzb62rIpZHe7xl6AMGMTiCcCXDtd4j2OV17+2Cyt+lnpFKJwFR0mFFWTXaCmk7Au2rSXtNeWseqiaJ5cl5ThnlNujy7BAONgrcChnhNbNATbIcxrykz2y70s5B8pQniNbFBT3BxjXlNmdl2oZ/T6CtNEK+JDXqCW3WY15SZbRf6GdK+0gTxmtigjzd72A+7/h+vFzrl9v32d9WHTOGIonY4Rl1GAQQzOoFwJsC13yHa53Tt7aPL3refkUolAlPRYcZYRgEENZ2AdRmVa/Mp7zOfSJqb/jiURRTmmyBNV6pJWsg0KLJUBqsiFhuxCpf58nKWUTlmPuVGH+Y0GGgUfFW0HDGf2KCnt4zKMfMpN/ownRGDouAtTRDziQ16eq5CjplPudGH6YoYFgVvaYKYT2zQvl2F3O6pqCEXJvoibNOP2w7bCWZ0AuFMgGu/Q7TP6drbB5O9/zojlUoEpqLDjNIO2wlqOgFvO6xvbr+X1tEOUzRPzlXIsdth5dItGGgUvBUwuxdW8UFPsB3GzKc8dY0YFgVvaYKYT2zQE1xcY+ZTbvRhOiMGRcFbmiDmExu093bY7qmoITd6KoXn3WE7wYxOIJwJcO13iPY5XXv7YLL3X2ekUonAVHSYUdphO0FNJ+Bth/Wzu/O+Z3eTNE+vgGF+Z260/k6DgUbBWwFD/E426Om1wwX27O7C6Kh0RgyKgq80KezWV8UHPb3d4QLzmgqj7dIVMSwK3tIE8ZrYoH23w4XdQlFDbrRQirhNP2o7DBDM6ATCmQDXfodon9O1tw8me/91RiqVCExFhxmjHQYIajoBaztcxDdHaaftMEnz5HaHC8zeLIxO32kw0Ch4K2CIvckGPcF2GLu2rhCuEcOi4C1N7NZXxQc9vcV1gXlNhXSOGBQFb2mCeE1s0M3JxA16Ow/aofjeZvXhex+8zxCJ8tmjrynE7EGlb1xaJXGkX/Qfk0S/6L8TUr1I/YbUb6T6jTTVL/rdLNYv+iNZrl5y/blc6Bf9YbUcVy/6G4X+RqG+IcJYv0j9or6hjiL9IvSL+oaIQ/2S6JdUv+hvJPpdrUUI/ZPQX5P6I1qQ0IKE1iIy/W6mf9IKRK5/UjNgJcNQv8i+EU5NIxydjHBvnwaNE96q6cGp9eDUenBqPTi1HpxaD06tB6fWg1Prwan14NR6cGo9OLUenFoPTq0Hp9aDU+vBqfXg1Hpwaj04tR6cWg9OrQen1oNT68Gp9eDUenBqPTi1HpxaD06tB6fWg1Prwan14NR6cGo9OLUenFoPTq0Hp9aDU+vBqfXg1Hpwaj04tR6cWg9OrQen7hucmj447RYUGhy4C9Vjo5vN7MGbb+rRUa9qePRr8zdqgPRr8/dqiNSrbN6Vzbtp864aJv3afEYNlH5tPqmGSr3mzedVqPRr8y01XPq1+W7RfLfQ39VDpl9l86q/q0dNv4rmVX9XD5x+TZrXtHltvps0n2l06uHTr81vkM0nG7WiUSsanXoQ9Wvzc6NNj6N6LfTPeiT1a/dQ6mhRxvIrM+RlPVuz6Nl3jxIZikjFui8zR9kpsLsdMzqBcCbAtd8h2ud07dJFO7my9lQaquhRdgTsYa/pBHw7An2TDUWplrpW8/ki2a6DMIplINZJrBaDYh1sozxfbpabUByOYP+dexJCfof6mFsw0Ch46twVjzVXKz7o3QJvk6XLbBsG6zyOAqF+q75kUAbq88UyzPMo30aXkyYxliY9e2f9EcOi4C1N7JucFR90kybbOM3CfLEMsk2iPpus1WJwkYsgiqJkG60XRbJZX06aQNtF6mOuEcOi4C1NgO0iPugmTVZxkcRxtAzWRbIKhIhFkMdhGGyiZVEssyhVv+Ny0gQ651R9zDViWBS8pQlwzikf9M6jEOssW22SYKkqUiBSGQeLZLMMRLFYR8t0sc7l6nLSBLqThfqYa8SwKHhLE3sfXfFBezLZu4c2MnZgovv59g/GWSIrcdZxmtEJhDMBrv0O0T6na28fNPa12lApU9FFj7BERsJe0wnGXiLTlE6uDEXY2icyLgNOg4FGwVcZipC1Dxv0btt2HSehXMRBWERb1dnkm2CxXWVBlC8XSZSmYrm9mFMCkwhb+0TCNWJYFLylCbL2YYNu0kSsRbQNozhIFnKt1kkiDBZFvlUN8GKVFUUuF9HFWOVKO5YmxmVAV8SwKHhLE2TtwwY9vQ23CFv7RMZlQFfEsCh4SxNk7cMGPb3t+xjbvo8dGzU0Cr7SJLb30RUf9OEufvs0uChXOYl7OrIwjaJM77y1qEddMsf2nnJGJxDOBLj2O0T7nK69fRDZ125DpUxFFz3GkhkIe00nGH3JTFLaLJmhU4wvpSxhayF9xLoEA42Ct7KErIXYoHdroSSRIipEEG0XmyCKNuqz4SYLwlCGMlWdTiHjy0kTbC0U9ywL+iOGRcFbmiBrITboi9rgj3ta+T2l1+daKnHWcZrRCZi7Fbv2OV17+6Cxl82hUqaiix6lW7GHvaYTjN+tUJRqqdlmm0fhdhkUkVpwH+aixWWWoQRbRCc968m+YKBR8FWGEmQRzQY9vaY2wXygxNzhdz3nE4qCtzSxL8AqPuiL6lYS0U0ZqWVdkp4+g3zUbiWxLz5mdALebgXQPqdrbx809rI5VMpUdNFjdCtA2Gs6wejdCknp9MoQtmhOetaPfcFAo+CtDCGLZjboJk2SfLWIQ7EKlssiDYS+kHuZRKm+kHsbL6JtJFbictIEMxCTXi+tL2JYFLyliX0BVvFBX1S3IoytexS2KUftVoR98TGjEwhnAlz7HaJ9TtfePmjsZXOolKnoosfoVoCw13SC0bsVktLJ7a0IbNEsjOvH02CgUfBVhgSyaGaDnl5TKzDDUAjXiGFR8JYm9gVYxQd9Wd1KT+u+p/R6G3ElzjpOMzoBc7di1z6na28fNPayOVTKVHTRo3Qr9rDXdILxuxWK0umVIWzRLIy2WNfzz7AoeCtDyKKZDXp6Ta3EDENp7vA7IoZFwVeaSPsCrOKDvqhuRZpb97hNOWq3Iu2LjxmdgLdbAbTP6drbB429bA6VMhVd9BjdChD2mk4werdCUjq9MoQtmqVwCwYaBW9lCFk0s0FPr6mVmGEozR1+R8SwKHhLE/sCrOKDvqxuxdy6e73TpBJnHacZnYC5W7Frn9O1tw8ae9kcKmUquuhRuhV72Gs6wfjdCkXp5MpQii2aU/P6sevGRlAUfJWhFFk0s0FPr6lNMcMwNXf4HRHDouAtTewLsIoP+nBF8/5uKr6uaH7jmAT2x7SoFDA+piXye+0QQDCjE/B2NYD2OV17++Cyl9czUqlEYCo6zBjdDkBQ0wn4up03dFxvjtJO+x6SZi16d6XjQk7iItcU26VJhVsw0Ch4K2jILg0b9ATbY+gRSupjrhHDouAtTYBHKPFBe9qlednn2Peo1JD37FE19CL0ex4vQDCjEzD3OXbtc7r29sFkL6xnpFKJwFR0mFH6HDtBTSfg7XPSm6O0jj6Honl6BSzDCljmFgw0Ct4KWGbN2ooPeoL7O9gpVmnPnmh/xLAoeEsT+5Z1xQftvc8prPRqyAsjvd8zgAGCGZ2Auc+xa5/TtbcPJnthPSOVSgSmosOM0ufYCWo6AW+fU9wcpXX0ORTNkytgGeZjZT2WTl8w0Cj4KmAZ4mOxQU+vHc4iLE0i14hhUfCWJhGSJlzQvvuczO7iqSHvcfH29HGbftQ+ByCY0Ql4+xxA+5yuvX0w2QvrGalUIjAVHWaMPgcgqOkErH1OFt8cpZ32OSTN0ytgCVbATCZeRzDQKHgrYHa3teKDnmA7jNmbmXCNGBYFb2mC2Jts0N77HLtrp4ZcGun9nnUMEMzoBMx9jl37nK69fTDZC+sZqVQiMBUdZpQ+x05Q0wl4+xx5c5TW0edQNE+vgGGXx2SpWzDQKHgrYHa3teKDnmA7jNmbmdnpo5/J7StNEHuTDdp7n2N37dSQm1070aYft8+xE8zoBMx9jl37nK69fTDZC+sZqVQiMBUdZpQ+x05Q0wl4+5z85iito8+haJ5eASuwAmY28U6CgUbBWwGzu60VH/T02uEcszdzs9PXETEsCr7SJEfsTTZo331Obnft1JCbXbv+59KP0ecABDM6AW+fA2if07W3DyZ7YT0jlUoEpqLDjNHnAAQ1nYC1z8mjm6O00z6HpHl6BSzGCpjZxOt4OjAWBW8FzO62VnzQ02uHc8zezM1OX0fEsCh4SxPE3mSD9t7n2F07NeTCSO/3CdoAwYxOwNzn2LXP6drbB5O9sJ6RSiUCU9FhRulz7AQ1nYC3zxE3R2kdfQ5F8/QKGHbBcC7dgoFGwVsBs7utFR/0BNthzN7MU9eIYVHwliaIvckG7b3Psbt2asjNrp3fp1kCBDM6AXOfY9c+p2tvH0z2wnpGKpUITEWHGaXPsRPUdALePie7OUrr6HMomrVo7Gl2l1LAsAuGc7OJR3+mX9cxZ4Uf4Lizu60VH/QE22HM3szNTh/9CaG+0gSxN9mgffc5hd21e1d9yEjv9z6BAMGMTsDb5wDa53Tt7YPJXljPSKUSganoMGP0OQBBTSdg7XOK8OYo7bTPIWmeXAErsAuGC7OJR78XWtcxZ4Uf4Lizu60VH/T09nMKzN4szE5fR8SwKHhLE8TeZIP23ufYXTs15GbXrmjTj9vn2AlmdALmPseufU7X3j6Y7IX1jFQqEZiKDjNKn2MnqOkEvH2Ovh9y0Xc/ZJLm6RUw7ILhQrgFA42CtwJmd1srPugJtsOYvVlI14hhUfCWJoi9yQbtvc+xu3ZqyFMT/enz0Mftc+wEMzoBc59j1z6na28fTPbCekYqlQhMRYcZpc+xE9R0At4+R98PeS+to8+haJ5eAcMuGC6MJt5pMNAoeCtgdre14oNu0gR7RsSlpAlmbxZGp68rYlgUvKUJYm+yQXvvc+yunRpyo2t3+iT1cfscO8GMTsDc59i1z+na2weTvbCekUolAlPRYUbpc+wENZ2At8/R90PeS+vocyiap7afo29LDxQw9TG3YKBR8FTAFI81ays+6Mm1w/quvlCaGJ2+rohhUfCWJoC9yQftuc8Rod21U0NudO1On8E+Zp+DEMzoBKx9DqJ9TtfePpjshfWMVCoRmIoOM0KfgxDUdALOPkepujlKO+lzaJqnV8CgC4bVx9yCgUbBWwGzu60VH/QE22HI3lQfc40YFgVvaQLYm3zQ3vscu2unhlwa6b3eDxkhmNEJmPscu/Y5XXv7YLIX1jNSqURgKjrMKH2OnaCmE/D2OfLmKK2jz6Fonl4Bgy4YVh9zCwYaBW8FzO62VnzQE2yHIXtTfcw1YlgUvKUJYG/yQXvvc+yunRpys2vn9X7ICMGMTsDc59i1z+na2weTvbCekUolAlPRYUbpc+wENZ2At8/Jb47SOvociubpFTDogmH1MbdgoFHwVsDsbmvFBz29djjC7M3I7PTRbw3sKU0ixN5kg/bd50R2104Nudm183o/ZIRgRifg7XMA7XO69vbBZC+sZ6RSicBUdJgx+hyAoKYTsPY5UXRzlHba55A0T6+AxVgBM5t49FsDdx1zVvgBjju721rxQU+vHY4wezMyO330WwP7ShPE3mSD9t7n2F07NeTCSO/1fsgIwYxOwNzn2LXP6drbB5O9sJ6RSiUCU9FhRulz7AQ1nYC3zxE3R2kdfQ5F8/QKGHTBsPqYWzDQKHgrYHa3teKDnmA7jNmbUeoaMSwK3tIEsTfZoL33OXbXTg252bXzej9khGBGJ2Duc+za53Tt7YPJXljPSKUSganoMKP0OXaCmk7A2+dkN0dpHX0ORfP0Chh0wbD6mFsw0Ch4K2B2t7Xig55gO4zZm5HZ6aPfGthXmiD2Jhu07z4ntrt276oPGem93g8ZIZjRCXj7HED7nK69fTDZC+sZqVQiMBUdZow+ByCo6QSsfU4c3hylnfY5JM2TK2AxdsFwbDbx6LcG7jrmrPADHHd2t7Xig27SBHtGxKWkCWZvxmanryNiWBS8pQlib7JBe+9z7K6dGnKza+f1fsgIwYxOwNzn2LXP6drbB5O9sJ6RSiUCU9FhRulz7AQ1nYC3z0lujtI6+hyKZi16tUmyLFknwUIsNoEQYR4ssuUmyGOZieUqinP9KPRLKWDYBcP6mHYJBhoFbwXM7rZWfNATbIcxe1MPpVvEsCh4SxPE3mSD9t7n2F07NeSpiT4O2/Tj9jl2ghmdgLnPsWuf07W3DyZ7YT0jlUoEpqLDjNLn2AlqOgFvn5PeHKV19DkUzdMrYNgFw7HRxDsNBhoFbwXM7rZWfNDTszdjzN6MjU5fV8SwKHhLE8TeZINW//2BJi924Hpx9Pte+x67i6dSwOTiJb77HjvBjE7A3PfYtc/p2tsHl73QnpFKJQJT0WFG6XvsBDWdgLfvKW6O0jr6HormZn8nLpI4jpbBukhWapEfC7W+D8NgEy2LYplFabbZH+MXUNAS7ALixGTqdQQDjYKvgpbY3deKD3rXHot1lq02SbCM8jwQqYyDRbJZBqJYrKNluljncnU5aYLZnYnJ+euMGBYFb2mC2J1s0E2aLIu1XIgkD+JFVKjP5ttgKRdxkKciX6+j9TqW+eWkCWZ3JibnrzNiWBS8pQlid7JB71ZR4TZeS7EMFkspA5EshUquJAwWcptvc7nJwuKC0gS7mjMxOSydEcOi4C1N7FZYxQfte7c4sVsqasiFgV6fdNPXKI6xagIIZnQC4UyAa79DtM/p2tsHk71NPyOVSgSmosOMsWoCCGo6AeuqKdFXc+6lna6aSJq16EUah4sw2QbZdqG3DKMoWGy3m0DIdbxdbMKV3C6fX0wBw+zORLoFA42CtwKG2J1s0BNsh7GrOROzw9IRMSwK3tLEboVVfNATXFxj3lNitmG6nsMDRcFbmiDeExv0BLfqMO8pMdswHRHDouAtTRDviQ3a+6rJvr2uhty0Va3PQe9rFEdZNdkJZnQC4UyAa79DtM/p2tsHk71NPyOVSgSmosOMsmqyE9R0At5Vk/aa9tI6Vk0UzZMrYALzmoTxArLTYKBR8FXABOI1sUFPrx0WmNckjFeZdUUMi4K3NEG8Jjbo6S2uBeY1CZPt0hkxLAre0gTxmtigmzSJwjCJizQJ0nAlAjXxbIO8yNZBnqs3olW6WBbp5aQJ5jUJ49U8XRHDouAtTRCviQ3a96pJ2LfX1ZALI73fJ94BBDM6gXAmwLXfIdrndO3tg8nepp+RSiUCU9Fhxlg1AQQ1nYB11SS017SXdrpqImnWosU6CVdRsg62qk8ORCiKoJDJRk1qeb5K1J+X0fr5xRQwzGsS0i0YaBS8FTDEa2KDnmA7jHlNInWNGBYFb2mCeE1s0BPcg8G8JmG2XToihkXBW5ogXhMbtPd22G6hqCE3Wyh+H4wIEMzoBMKZANd+h2if07W3DyZ7/3VGKpUITEWHGaUdthPUdALedlg/GFH0PRiRpHl6BQy7c6gwOyodD3/DouCtgNmtr4oPenomgsS8Jmm2XboeJQlFwVeaSMRrYoOe3qpJYl6TNNsuHRHDouAtTRCviQ16eiaCxLwmabZdOiKGRcFbmiBeExu071WTtFsoasjNForfx6wCBDM6gXAmwLXfIdrndO3tg8nepp+RSiUCU9Fhxlg1AQQ1nYB11ST1bRz30k5XTSTNWjR21cKlFDDsNo5SuAUDjYK3Ama3vio+6Am2w5jXJKVrxLAoeEsTxGtig57eHozEvCaZukYMi4K3NEG8JjZo7+2w3UJRQ262UPw+jRcgmNEJhDMBrv0O0T6na28fTPb+64xUKhGYig4zSjtsJ6jpBLztsH5K3V5aRztM0dyIXsdJqKtbWESqJxL5RvVEqyyI8uUiidJULLcX1Odgl9JJs6PS8cRRLAreCpjd+qr4oCfYDmNekzTbLh0Rw6LgLU0Qr4kNukmTdRIWi2S7DsIoloFYJ+pja7EOtlGeLzfLTSjiy2mHU8xrSs22S0fEsCj4SpMU8ZrYoJs02YgsyuQ6CRK5UJ8VhQzyJF8F23ibbreLKE0WF5QmmNeUmm2XjohhUfCWJojXxAY9va26FPOaUrPt0hExLAre0gTxmtigfS+uU/v2uhpy81a130fAAwQzOoFwJsC13yHa53Tt7YPJvpo7I5VKBKaiw4yxuAYIajoB6+I61V5T2uc1kTRr0dgtHi+lgGFeUyrcgoFGwVsBQ7wmNugJtsOY15RK14hhUfCWJojXxAY9vT2YFPOaUrPt0hExLAre0gTxmtigp3e+b4pd15Sat7c7IoZFwVua2H2Iig96es51im38p+Y98I6IYVHwlibIxj8btPfFtX0/Ww25eT/75Gnk4y6u7QQzOoFwJsC13yHa53Tt7YPJvpo7I5VKBKaiw4yyuLYT1HQC3sW1vofeXlrH4pqieXIFLMO8psxsu5wEA42CrwKWIV4TG/T02uEM85oys+3SETEsCt7SBPGa2KCnt7jOMK8pM9suHRHDouAtTRCviQ16epZkht1DLzNvb3dEDIuCtzSx+xAVH7TvVVNm389WQy6M9EWbftRVE0AwoxMIZwJc+x2ifU7X3j6Y7G36GalUIjAVHWaMVRNAUNMJWFdNmb6H3l7a6aqJpFmLxi7ivZQChnlNmXQLBhoFbwUM8ZrYoCfYDmNeU5a6RgyLgrc0QbwmNugJLq4xrykz2y4dEcOi4C1NEK+JDXqCW3WY15SZbZeOiGFR8JYmiNfEBu191WTfXldDbtyqTsI2/birJjvBjE4gnAlw7XeI9jlde/tgsrfpZ6RSicBUdJhRVk12gppOwLtq0l7TXlrHqomieXIFLMe8ptxou5wGA42CrwKWI14TG/T02uEc85pyo+3SFTEsCt7SBPGa2KCnt7jOMa8pN9ouXRHDouAtTRCviQ26SRPsmQeXkiaY15QbbZeuiGFR8JYmiNfEBu171ZTbt9fVkAsj/ckzfkddNQEEMzqBcCbAtd8h2ud07e2Dyd6mn5FKJQJT0WHGWDUBBDWdgHXVlGuvaS/tdNVE0jw5rynHvKZcugUDjYK3AoZ4TWzQE2yHMa8pT10jhkXBW5ogXhMb9AQX15jXlBttl66IYVHwliaI18QGPcGtOsxryo22S1fEsCh4SxPEa2KD9r5qsm+vqyE3b1XHbfpxV012ghmdQDgT4NrvEO1zuvb2wWRv089IpRKBqegwo6ya7AQ1nYB31aS9pr20jlUTRfPkCliBeU2F2XY5CQYaBV8FrEC8Jjbo6bXDBeY1FWbbpSNiWBS8pQniNbFBT29xXWBeU2G2XToihkXBW5ogXhMb9PSuayowr6kw2y4dEcOi4C1NEK+JDdr3qqmwb6+rIRdG+pNHQY+6agIIZnQC4UyAa79DtM/p2tsHk71NPyOVSgSmosOMsWoCCGo6AeuqqdBe017a6aqJpHl6BQzzmgrpFgw0Ct4KGOI1sUFP71aLBeY1FWbbpSNiWBS8pQniNbFBT3DVhHlNhdl26YgYFgVvaYJ4TWzQE9yDwbymwmy7dEQMi4K3NEG8JjboJk22UqwWmQiDzXK9CES2yIJFuJTBUsh8G682YZFsLydNsIfnFObt7Y6IYVHwliZ2H6Lig1b//YEGV9/5fWMa2Fd1Z0ThiQzt+9rvqg8ZopDEXk/oRAhmdALhTIBrv0O0z+na2weVfVV3RiqVCExFhxlhkY0Q1HQCzkW2UnVzlHayyKZp1qKjMJGrzTYPtstI39ReNdMLkcsgjEO5WK636/By+h0ZQp6T+phbMNAoeCpkiseatRUf9ORWTzKEPCf1MdeIYVHwliaA58QHPbkTHWQIeU7qY64Rw6LgLU0Az4kPenKLbBlCD9FRH3ONGBYFb2li9yMqPmjP1qQM7fvaasilgV4kok0/7qrJTjCjEwhnAlz7HaJ9TtfePpjsbfoZqVQiMBUdZpRVk52gphPwrprkzVFax6qJonl6BQzynNTH3IKBRsFbAQM8Jz7oye0SyxDynNTHXCOGRcFbmgCeEx/0BBfXkOekPuYaMSwK3tIE8Jz4oJs0KeR6lUbbOBCqtVYrLFmobFJ5tVwtk0W6TGVzQumlpAnkOamPuUYMi4K3NAE8Jz5o7Tk1qXKyydIOxfc2qw/f++B9hkiUzx59rZJR9EC9FOolztRLIvWL/qOI9UuuXqT+SNq86HdT/W6mP5zrj+T6p0L/VKQPqjSMemIZmTe+43YsextnKCJ476zDUOsw1DoMtQ5DrcNQ6zDUOgy1DkOtw1DrMNQ6DLUOQ63DUOsw1DoMtQ5DrcNQ94Whpoeh3X1DYYAbcB0F1WerMOjXQr+qQKhXFQn92vyNioV+zfWrbD6Z7l6bz6TNZ7LmW3nzybz5uWh+VlF5882+sOh/kxKXxhfZHzjP/di33bNl1LN5G6ZJpBpRr894UOKsU9+MTiCcCXDtd4j2OV27dNFOnnl75keq6DE2FoCw13QCvo2FvsmGorSxTYplmMZpGqzXhSrvizAPim24DNb5SmnLsyhdF88vpbOLsP3wSLgFA42Cr84uQvbD2aCbNIlXcpmEIg/y9VZvOERhUCzkMgiXK/UXuWods+XlpAm26xT1bMD0RwyLgrc0QXad2KCbNMnTPF5la7U6SLJQrSk326BYiWWQFElYbIvFItlcznZChG0nRD0r6/6IYVHwlibIdgIbdLNOfLDrbv9fu173cprcuKdlj8NQNe1Z2qYetcmN7SeQzegEwpkA136HaJ/TtbcPInu3NVTKVHTRYzS5QNhrOsHoTS5JadPkys26UJ8JlhspA7Hc6GK2TIJwG+fpIl4vl4t9Dl1AWYqxU8jino6/LxhoFHyVpdi+IKv4oJs0EXm4VTUrDUQuk0BkmyhYrJIwSES4zuLNNhRJeDlpgq2F9MTuFjEsCt7SBFkLsUHvHPhtHqbbdRhs41BfIZoWKqWKIlhtNkL1R9tFKLLLSRNsLRT3LAv6I4ZFwVuaIGshNmhPp5D1DG1PK99QJmHcphy3qbUvRmZ0AuFMgGu/Q7TP6drbB429uxoqZSq66FGaWnvYazrB+E0tRenkylAC3dlPJqYOvyMYaBR8laHEvgCr+KCn19Qm2NonMS0DOiOGRcFbmiBrHzbo6S2RE2ztkwjXiGFR8JYmyNqHDdpTU/vGcdDtp4KrIZfd9Pvzm/zu4AIEMzqBcCbAtd8h2ud07e2Dyd51nZFKJQJT0WHGaIIBgppOwNcEv6HjenOUdtoOkzRPr4BhuzJJzwZFXzDQKHgrYMiuDBv0btW0WOTLZFkEWZqIQKgGKVjIlXoJ42i1SeQ2iy4oTbDrIhLzJQJd+1hQFLylCXJdBBv0BBfX2IkMifkSAfp2p680sW8EVXzQ3tth++n+asgLI33Wph+3HbYTzOgEwpkA136HaJ/TtbcPJnv/dUYqlQhMRYcZpR22E9R0At52uLg5SutohymaJ1fABLY7LMyPQDkJBhoFXwVMILvDbNDTWzUJ7B5cwvwIlI6IYVHwlibIPbjYoA8nbO47gss6YVP03CtIpXmsmny/VyUJ+92OZnQC3v4G0D6na28fRPaCOlTKVHTRY/QxQNhrOgFfH9MlVF9YSVHalKUsTDbhWtUsmS8Dka5XwWJTbIJCLJZis5XbaLW/SvISyhL0/AX1MbdgoFHwVpbsW9AVH/QEm1xsM0/07Gv1RwyLgrc0QTbz2KB979II+x6VGnLzHlXeph+3i7ETzOgEzF2MXfucrr19MNnL6RmpVCIwFR1mlO7GTlDTCfi6mzd0XG+O0jr6HIrm6RUw7L46wrxldRIMNAreCph9b7Hig27SZCPSrFhvV8Eq3SwCEW5UO7TNlsEml4tcLsOVEJdzb2OJbeZJ875WR8SwKPhKE4ls5rFBH3Zp9rPFZe3SyJ4zF3fdnfT7iA9pP/dyRifg7W8A7XO69vZBZC+oQ6VMRRc9Rh8DhL2mE/D1MV1C9Y2vKEqbyWZZpFKt1gOZ50UglnkeLLNtqv4YrhaLRZrGi83ziylL2DnDUrgFA42Ct7KEnDPMBr1rcuN1qpIsCrZrVbhEuNC358/TQERbWUTLpcij7eWkCXZmnkxdI4ZFwVuaIGfmsUHvmtztYh0ni22wXS7XgUjiOFhEyywIV0mRr2KxSZL0ctIEO+VK9t9GpSdiWBS8pYl9BV/xQe/ujigX6zAVcSCzMAlEul0GRZotgiTexstNWKQrWVxMmqTYWijtWRb0RwyLgq80SZG1EBv0YS20TwNfa6HjHnBq9+9VChifoZXE7WiMukYCCGZ0AuFMgGu/Q7TP6drbB5e9WT8jlUoEpqLDjLF2AghqOgHf2ukNHdebo7TTVRRJsxYtNmGaLUMZqMlNFT+Zy6BYbpbBcr1VTXYeJuFqP2FdQkGLsYLWs6TsCwYaBW8Fzb7ir/igd6dExNtoHa3CIFqtYrXiWqtWeqO+utlGm7QQaZLHy8tJE+z5dqnxUW9dEcOi4C1N7KfvVHzQu/Z4UazjVRqpdVayDUScyGAZFXmwKbIwWi/XmRSby0kTbE8mFa4Rw6LgLU2QPRk2aN+nRKT284bUkEsDvUj8ntgJEMzoBMKZANd+h2if07W3DyZ7/3VGKpUITEWHGaUdthPUdALedlhfx72X1tEOUzRPr4Bhu8Vpz8ZpXzDQKHgrYMhuMRv0BFdN2Kmfac9ZkP0Rw6LgLU2QUz/ZoCe4asJMhdR8tlnXOdVQFLylCWIqsEHr3WIN/tzPLnH3EGfGO13ncZt21PY3s+/uz+gEwpkA136HaJ/TtbcPHnu/NVTKVHTRY7S5QNhrOgFfm9slVD8SjqJ0cl1Lhu31Zj3bnn3BQKPgqxxlyF4vG/T0upYM28TLhGvEsCh4SxNkE48NukmTOF7KzVasgjBNZRBF+gpufeVcGMpQNUx5VMgLmk2wpXLWs2rsjxgWBW9pgiyV2aB97/Vm9hWgGnLjClCEbfpxm107wYxOIJwJcO13iPY5XXv7YLJ3XWekUonAVHSYUZpgO0FNJ+Brgt/Qcb05SutohymatWgZbcU2XKieKF2sDrPYJr7QAobtzmTGjYrTYKBR8FbAkN0ZNugJrpqwqySzwjViWBS8pQlylSQb9PRWTTl2ZnBuvGCwK2JYFHylSW7fCKr4oHdFR0arpRTrYCG220BsVBO9zFd5IDebYrNYxHkeX869ZXLslme58e5fnfMvFAVvaWI/S7Tig/a9asrtO1BqyHt2oPb0fi+qBQhmdALhTIBrv0O0z+na2weTvU0/I5VKBKaiw4yxagIIajoB66opj2+O0k5XTSTN0ytg2JnAuemk2I5goFHwVsCQM4HZoKe3asoxEyEXrhHDouAtTRATgQ16gqsm7FaLuXSNGBYFb2liP0u04oOe3lZdjnlNeY/tYph/oSh4SxPEa2KD9r5qsm+vqyE3b1XHbfpxV012ghmdQDgT4NrvEO1zuvb2wWRv089IpRKBqegwo6ya7AQ1nYB31aS9przPayJp3uXQalnkyTrYrDZJIIp1ESy3i2UQ53Ij1+kiS9d7rEsoYJjXlJttl5NgoFHwVsAQr4kNeoKrJsxrys22S0fEsCh4SxPEa2KDnt6qqcC8psJsu3REDIuCrzQpEK+JDXp6W3UF5jUVZtulI2JYFLylCeI1sUH7XjUV9u11NeTmreqkTT/qqgkgmNEJhDMBrv0O0T6na28fTPY2/YxUKhGYig4zxqoJIKjpBKyrpkJ7TXtpp6smkubJtcMF5jUVZtvlJBhoFLwVMMRrYoOeYDuMeU2FcI0YFgVvaYJ4TWzQ07tgpcC8pkK6RgyLgrc0QbwmNmjv7bDdQlFDbrZQRJt+3HbYTjCjEwhnAlz7HaJ9TtfePpjs/dcZqVQiMBUdZpR22E5Q0wl42+H05iitox2maJ5eAcPuOlOYHZWTYKBR8FbA7NZXxQc9wVUT5jUVZtulI2JYFLylCeI1sUFPcNWEeU2F2XbpiBgWBW9pgnhNbNCTMxHSEPKa1MdcI4ZFwVOaKB57mvBB/8n+iQdRuB/+535uZvXGMQvsnorKAfMd02U7HGMuoxCCGZ1AOBPg2u8Q7XO69vbRZe/bz0ilEoGp6DAjLKMQgppOwLmMUqpujtJOllE0zVp0uEjzzSaKg2ItEt1LZ7qXzi9yGZWGMVbRYrdgoFHwVtHsXljFB92kSbHYLrLFehXEaShUk7RVS64oToIkLkQsUtVcZxeUJpD5pD7mGjEsCt7SBDCf+KAn2B9D5pP6mGvEsCh4SxPAfOKDbtJETVabZKUW5cusiPXMU+jLGBYXWnQg80l9zDViWBS8pQlgPvFB72aTzTKOMqnKki5QYr1VybXZFuqriyxfblRiRevLSRPoQif1MdeIYVHwliZ2Y6Lig27SBHtk5aWkCeQEqI+5RgyLgrc0AZwAPugmTbBHVl5KmkBOgPqYa8SwKHhLE8AJ4INu9u4a06idB+1QfG+z+vC9D95niET57NHXqjQKH6iX3gCY9rhVxrcD0LvFAmHguyxae621133aa7r29uYKpB3eX9HS33xTa9ev3eL1NgtFfSN/p14vfrzuBkf2zfF308i0OZ4kee8YjbEbDBDM6ATCmQDXfodon9O1Sxft9BnqMFcDMBUdZozdYICgphOw7gZH4c1R2uk0RdKsRS9Wq+UqX2TBRoiXq7PVZS7MI+giKfUxt2CgUfDVI0V2D6Pig/4Tv8/oeVnI7HviaujNe+JeH12JEMzoBMyFzK59TtfePqjsM+cZqVQiMBUdZpRCZieo6QS8hSy+OUrrKGQUzVr0Nl6LKE2SYJPkxcUXMsyviszWTcdz17AoeCtkiF/FBr1b7Gv2pJ0I7VhAS01SKParfalW+4noi4AwRcDhQQoQBj757Ff7Uq32e7TXdO3jrPalXu33iNfvU9Q3W43eMypVGRXH+kXnVpzrBIv6EkwaMfF7zkJUzgmWqgRTKLVGqTVK3YdS01HGybdU55ti0a9N7ikanYHdOE2GEni+koG+9pu6cFQB69nfjxJRJHHkuR23OxQzOoFwJsC13yHa53Tt0kU7eebqmZuookdpu+1hr+kEfG1332RDUdo0ULEUS7HcBIuVTAKxiItA23JBkcXLTSaXq1gsn19Msw1dPKE+5hYMNAremm3g4gk+6CZN8jSPV9k6C5ZJFgYi3WyDYiWWQVIkYbEtFotkk19MmsTY5mLcs8/WHzEsCr7SJEY2F9mgDxdP7CdvX93LcZMxtu+rqBQw7lEIv9dOAAQzOgFvVwNon9O1tw8ue3k9I5VKBKaiw4zR7QAENZ2Ar9t5Q8f15ijttO8hadaiV3KzLsK8CJYbKQNVBfMgXy+TINzGebqI18vlYp9ll1DQsE3G2LjfdhoMNAreChqyycgGPcG+BzspXk/9bhHDouAtTZCT4tmgPd9qJ43t53qrIZcGeuG7z7ETzOgEzH2OXfucrr19MNkL6xmpVCIwFR1mlD7HTlDTCXj7HHlzlNbR51A0T6+AYddh6FRyCQYaBW8FDLkOgw16gu0wdh1GbLokoTNiWBS8pYl9y7rig96fPKZncb/7OvbLDNTQGy8zEP1nqo/S79gJZnQC5n7Hrn1O194+qOwF9oxUKhGYig4zSr9jJ6jpBLz9Tn5zlNbR71A0T87PijE/K+6xdvqCgUbBWyFD/Cw26CZNlsvVZrFNikDVxFUgsnwbLNJQlb9oma+j5WKdyPBi0iTBbgaWGK8c6IoYFgVfaZLYL/Go+KB97+skdjdPDbn5eSp++xyAYEYn4O1zAO1zuvb2wWQvrGekUonAVHSYMfocgKCmE7D2OYm+91fSd+8vkubpFbAYK2AmM68jGGgUvBUwu+ta8UFPrx1OMJszMT+Dhd4Z+koTxOZkgz7eOCFu50E7FNB51aRI7E58T/Tp7iLSL5l6kYl+KdRLqt/I9BuZfiPXb+T6LPlcv1voU+UL/ZEif1BlYaRfhH5RH8703RiyKNEvqX5R38j0yfWZPrk+0yfXZ4n+RqK/kehvCP0Nob8h9DeE/obU35D6G1J/I9XfSPU3Uv2NTH8j09/I9Dcy/Y1cfyOXfaMpDKOZKHy02EJjgtfb3Wn7iT5ZXw1ErQei1gNR64Go9UDUeiBqPRC1HohaD0StB6LWA1Hrgaj1QNR6IGo9ELUeiFoPRK0HotYDUeuBqPVA1Hogaj0QtR6IWg9ErQei1gNR64Go9UDUeiBqPRC1HohaD0StB6LWA1Hrgaj1QNR6IGo9ELUeiFoPRN03EDV9IEa56CBpLjRQI6FfM/2qxkK/Fvo1bd7Nmnez5t28eTdvLlXIm88UzQULRfPJQl+woIdFv4rmVX8ra26coYdGv6bNq/5u1lzskDUXO2TNxQ56gPRr892k+a5oviua74rmu6L5rmy+K5vvyua7afPdtPlu2nw3a76bNd/Nmu9mzXfz5rs9Q9Zc9EMYMz1oF3lhRdLj64SpyGWW+bXmE7szNaMTCGcCXPsdon1O1y5dtJMrY0/1oIoeZalmD3tNJ+BbqvVNNhSlWmq22eZRqO9WFcXRpd8nM8FuWZb07Mr3BQONgrfO226fVHzQu9upbvMw3a7DYBuH20CsUvXZdVEEq81GhGmyXYQiu5g0EdhGtOjZk+2PGBYFX2kikI1oNmhPG9E9Q9uzWxGHYV4koddHWCtx1nGa0Ql4uxVA+5yuvX3Q2MvmUClT0UWP0a0AYa/pBKN3KySl0ytD2HnuQrgFA42CtzKEnOfOBr07m7SI18U2Xwfb7UJ/Vp8rlq3jIE7idJGuCpEn4nLSBDubVPR0+P0Rw6LgLU3sC7CKD/qyupWe1n1P6fUJw0qcdZxmdALmbsWufU7X3j5o7GVzqJSp6KJH6VbsYa/pBON3KxSlkytDEls0y571Y18w0Cj4KkMSWTSzQU+vqZXYORLS3OF3RAyLgrc0sS/AKj7oi+pWpDBS+nWCpH3xMaMT8HYrgPY5XXv7oLGXzaFSpqKLHqNbAcJe0wlG71ZISqdXhrBFszSvH+m73V1HlBWefFS9LEPIopkNeoJNLWYYSnOH33XRKhQFb2liX4BVfNAX1a2k5tbd76UHqX3xMaMTCGcCXPsdon1O194+aOxlc6iUqeiix+hWgLDXdILRuxWS0smVoRRbNKfm9WPHydNYFHyVoRRZNLNBT6+pTTHDMBWuEcOi4C1N7Auwig/6sroVc+vef573KN2KffExoxMwdyt27XO69vZBYy+bQ6VMRRc9SrdiD3tNJxi/W6EonV4ZwhbNqXn9eBIMNAreyhCyaGaDnl5Tm2GGYWbu8DsihkXBV5pk9gVYxQd9Ud1KZm7d/T7EN7MvPmZ0At5uBdA+p2tvHzT2sjlUylR00WN0K0DYazrB6N0KSen0yhC2aM6EWzDQKHgrQ8iimQ16ek1thhmGmbnD74gYFgVvaWJfgFV80JfVrZhbd7+Phsvsi48ZnYC5W7Frn9O1tw8ae9kcKmUquuhRuhV72Gs6wfjdCkXp5MpQji2ac/P6sePxV1gUfJWhHFk0s0FPr6nNMcMwN3f4XU9Jg6LgLU3sC7CKD/pP9o+G29d7Pfg+7r/yxjEJ7DfcUilgfK6Q7H8c8RhdDUAwoxPwdjWA9jlde/vgspfXM1KpRGAqOswY3Q5AUNMJ+LqdN3Rcb47STvsekmYtOioW22y7SYJciCQQMs2DRRaFQSyjWGzXmVitL6jvwXZpcuEWDDQK3goaskvDBj3B9lhiaSJdI4ZFwVua2J8HVfFBe9qlednn2Peo1JD37FHtbiwq/V4jDRDM6ATMfY5d+5yuvX0w2QvrGalUIjAVHWaUPsdOUNMJePuc9OYoraPPoWieXgHDnvmVZ27BQKPgrYAhz/xig55gO4ydYpWbHi/UGTEsCt7SxL5lXfFBe+9z7M8TUkNeGOn9Xl0NEMzoBMx9jl37nK69fTDZC+sZqVQiMBUdZpQ+x05Q0wl4+5zi5iito8+haJ5cASswH6swPfaqIxhoFHwVsALxsdigp9cOFxGWJsbHC3VFDIuCtzSxPweq4oP23ecUdhdPDXmPi7en93tdNkAwoxPw9jmA9jlde/tgshfWM1KpRGAqOswYfQ5AUNMJWPucIr45Sjvtc0iap1fAsGd9FcbHXp0GA42CtwJmd1srPugmTcJks0o3WRSs49U6EHkhgkLma336RhpFoczktricNMHszUK4RgyLgrc0QexNNmjvfY7dtVNDLo30fq/oBghmdALmPseufU7X3j6Y7IX1jFQqEZiKDjNKn2MnqOkEvH2OvDlK6+hzKJqnV8Cwy2OK1C0YaBS8FTC721rxQU+wHcbszcLs9NGvkveVJoi9yQbtvc+xu3ZqyM2und9rwQGCGZ2Auc+xa5/TtbcPJnthPSOVSgSmosOM0ufYCWo6AW+fk98cpXX0ORTN0ytgBVbACrdgoFHwVsDsbmvFBz25djgLIXtTfcw1YlgUPKWJ4rGnCR+05z4nC+2unRpys2vn9SpyhGBGJ2DtcxDtc7r29sFkL6xnpFKJwFR0mBH6HISgphNw9jlK1c1R2kmfQ9M8vQIWYwXMbOJ1XEuLRcFbAbO7rRUf9OTa4SyE7E31MdeIYVHwliaAvckH7b3Psbt2asiFiT4N2/Tj9jl2ghmdgLnPsWuf07W3DyZ7YT0jlUoEpqLDjNLn2AlqOgFvnyNujtI6+hyK5ukVMOiCYfUxt2CgUfBWwOxua8UHPbnT1bMQsjfVx1wjhkXBW5oA9iYftPc+x+7aqSE3unap1/vnIAQzOgFzn2PXPqdrbx9M9sJ6RiqVCExFhxmlz7ET1HQC3j4nuzlK6+hzKJqnt58DXTCsPuYWDDQK3gqY3W2t+KAn2A5D9qb6mGvEsCh4SxPA3uSD9t3nRHbX7l31ISN93KYftc8BCGZ0At4+B9A+p2tvH0z2wnpGKpUITEWHGaPPAQhqOgFrnxOFN0dpp30OSbMWvRTLMI7CRZAvtiIQqUiDZbQogu1qka6iRITZYvH8UgpYBF0wrD7mFgw0Cr4KWGR3Wys+6Om1wxFmb0ZGp68rYlgUvKUJYm+yQXvvc+yunRpyo2uXJm36cfscO8GMTsDc59i1z+na2weTvbCekUolAlPRYUbpc+wENZ2At89Jbo7SOvociubpFTDogmH1MbdgoFHwVsDsbmvFBz29/ZwIszcj6RoxLAre0gSxN9mgvfc5dtdODXlqpPd6P2SEYEYnYO5z7NrndO3tg8leWM9IpRKBqegwo/Q5doKaTsDb56Q3R2kdfQ5F8/QKGHTBsPqYWzDQKHgrYHa3teKDnmA7jNmbkdnp64gYFgVvaYLYm2zQ3vscu2unhrww0nu9HzJCMKMTMPc5du1zuvb2wWQvrGekUonAVHSYUfocO0FNJ+Dtc4qbo7SOPoeieXIFLMYuGI7NJl7HPV+xKPgqYLHdba34oKfXDseYvRmbnT76rYF9pQlib7JB++5zYrtrp4bc7Np5vR8yQjCjE/D2OYD2OV17+2CyF9YzUqlEYCo6zBh9DkBQ0wlY+5w4vjlKO+1zSJqnV8CwC4Zjs4lHvzVw1zFnhR/guLO7rRUf9ATbYcze1FO/W8SwKHhLE8TeZIP23ufYXTs15NJI7/V+yAjBjE7A3OfYtc/p2tsHk72wnpFKJQJT0WFG6XPsBDWdgLfPkTdHaR19DkWzFo1dNXopBQy7YFinkksw0Ch4K2B2t7Xig55gO4zZm7HZ6aPfGthXmiD2Jhu09z7H7tqpITe7dl7vh4wQzOgEzH2OXfucrr19MNkL6xmpVCIwFR1mlD7HTlDTCXj7nPzmKK2jz6Fonl4Bwy4Yjgu3YKBR8FbA7G5rxQc9vXY4wezNxOz0dUQMi4KvNEkQe5MN2nefk9hdOzXkZtfO7/2QAYIZnYC3zwG0z+na2weTvbCekUolAlPRYcbocwCCmk7A2uck+n7ISd/9kEmaJ2dIJDFWwMwmHv3WwF3HnBV+gOPO7rZWfNDTa4cTzN5MzE4f/dbAvtIEsTfZoL33OXbXTg25MNFnYZt+3D7HTjCjEzD3OXbtc7r29sFkL6xnpFKJwFR0mFH6HDtBTSfg7XP0/ZD30jr6HIrm6RUw7ILhRLoFA42CtwJmd1srPugJtsOYvZmkrhHDouAtTRB7kw3ae59jd+3UkBtdu8zv/ZABghmdgLnPsWuf07W3DyZ7YT0jlUoEpqLDjNLn2AlqOgFvn6Pvh7yX1tHnUDRPz5DALhhOjCbeaTDQKHgrYHa3teKDnmA7jNmbSeEaMSwK3tIEsTfZoH33OcLu2r2rPmSkj9v0o/Y5AMGMTsDb5wDa53Tt7YPJXljPSKUSganoMGP0OQBB</t>
  </si>
  <si>
    <t>TSdg7XOEvh+y6LsfMknz5AqYwC4YFkYT7zQYaBR8FTBhd1srPujptcMCszeF0enrihgWBW9pgtibbNDe+xy7a6eG3OjaZX7vhwwQzOgEzH2OXfucrr19MNkL6xmpVCIwFR1mlD7HTlDTCXj7HH0/ZNF3P2SS5ukVMOyCYSHcgoFGwVsBs7utFR/0BNthzN4U0jViWBS8pQlib7JBe+9z7K6dGvLUSO/3fsgAwYxOwNzn2LXP6drbB5O9sJ6RSiUCU9FhRulz7AQ1nYC3z9H3Q95L6+hzKJqnV8CwC4a1YpdgoFHwVsDsbmvFBz3BdhizN4XZ6euIGBYFb2mC2Jts0N77HLtrp4bc7Nr5vR8yQDCjEzD3OXbtc7r29sFkL6xnpFKJwFR0mFH6HDtBTSfg7XP0/ZD30jr6HIpmLRo7y/BCCpjELhiWZhOPfmvgrmPOCn/+cSftbmvFBz29dlhi9qY0O330WwP7ShPE3mSD9t3nSLtrp4bc7Nr5vR8yQDCjE/D2OYD2OV17+2CyF9YzUqlEYCo6zBh9DkBQ0wlY+xyp74e8l3ba55A0T6+AYRcMS7OJR781cNcxZ4Uf4Lizu60VH/QE22HM3pTCNWJYFLylCWJvskF773Psrp0acmmk93s/ZIBgRidg7nPs2ud07e2DyV5Yz0ilEoGp6DCj9Dl2gppOwNvn6Psh76V19DkUzdMrYNgFwzJ1CwYaBW8FzO62VnzQE2yHMXtTmp0++q2BfaUJYm+yQXvvc+yunRpys2vn937IAMGMTsDc59i1z+na2weTvbCekUolAlPRYUbpc+wENZ2At8/R90OWffdDJmmeXgHDLhiWhVsw0Ch4K2B2t7Xig55eO5xi9mZqdvo6IoZFwVeapIi9yQbtu89J7a6dGnKza+f3fsgAwYxOwNvnANrndO3tg8leWM9IpRKBqegwY/Q5AEFNJ2Dtc1J9P+S0737IJM3TK2AxVsDMJh791sBdx5wVfoDjzu62VnzQ02uHU8zeTM1OH/3WwL7SBLE32aC99zl2104NuTDR52Gbftw+x04woxMw9zl27XO69vbBZC+sZ6RSicBUdJhR+hw7QU0n4O1z9P2Q99I6+hyK5ukVMOyC4VS6BQONgrcCZndbKz7oXTu8WsXhZi2DzapYqZ5oHQf5Yp0FK5GkSyG38Uaml5MmmL2Zpq4Rw6LgLU0Qe5MN2nufY3ft1JAbXbvc7/2QAYIZnYC5z7Frn9O1tw8me2E9I5VKBKaiw4zS59gJajoBb5+j74e8l9bR51A0T28/B7tgODWaeKfBQKPgrYDZ3daKD3qC7TBmb6aFa8SwKHhLE8TeZIP23edkdtfuXfUhI33cph+1zwEIZnQC3j4H0D6na28fTPbCekYqlQhMRYcZo88BCGo6AWufk+n7IWd990MmaZ5cAcuwC4Yzo4l3Ggw0Cr4KWGZ3Wys+6Om1wxlmb2ZGp68rYlgUvKUJYm+yQXvvc+yunRpyo2uX+70fMkAwoxMw9zl27XO69vbBZC+sZ6RSicBUdJhR+hw7QU0n4O1z9P2Qs777IZM0a9HYXcAupYBhFwxnwi0YaBS8FTC721rxQU+wHcbszUy6RgyLgrc0QexNNmjvfY7dtVNDnhrp/d4PGSCY0QmY+xy79jlde/tgshfWM1KpRGAqOswofY6doKYT8PY5+n7Ie2kdfQ5F8/QKGHbBcGY28ei3Bu465qzwAxx3dre14oOeYDuM2ZuZ2emj3xrYV5og9iYbtPc+x+7aqSE3u3Z+74cMEMzoBMx9jl37nK69fTDZC+sZqVQiMBUdZpQ+x05Q0wl4+xx9P+S9tI4+h6J5cgUsxy4Yzs0mXsc9X7Eo+Cpgud1trfigp9cO55i9mZudPvqtgX2lCWJvskH77nNyu2unhtzs2vm9HzJAMKMT8PY5gPY5XXv7YLIX1jNSqURgKjrMGH0OQFDTCVj7nFzfD3kv7bTPIWmeXgHDLhjOzSYe/dbAXcecFX6A487utlZ80NM7PyfH7M1cuEYMi4K3NEHsTTZo732O3bVTQy6N9H7vhwwQzOgEzH2OXfucrr19MNkL6xmpVCIwFR1mlD7HTlDTCXj7HH0/5L20jj6Honl6BQy7YDhP3YKBRsFbAbO7rRUf9ATbYczezM1OH/3WwL7SBLE32aDVf3+wyxXRToR2LL63WX343gfvM4SifPboa4qxeFBlRaRfEv0i9UumX9QbeRjpl0S/SP2S6Rf9Rqz/LknVi8jVSxr2hdBk/SUyboewt8JBccCLnIavNXyt4WsNX2v4WsPXGr7W8LWGrzV8reFrDV9r+FrD1xq+7oOv6fDt4gjBw/VRs+syWDxQr4pevybNq2xes+ZVv6tDoF+T5lU2r1nz2rwbN3+vAqFeVSTUa08o9L9GiUVjouwPDPU/v+91bWC3t9Q0WRgp/Z7TBhDM6ATCmQDXfodon9O1Sxft9Bn3WHzsMBUdZpS1gZ2gphPwrg2017uX1jFNUTRr0ZswSeUqWgbpNl0EUbTZBkUoYl3+F2KVbNIkXj2/lKavwLzewmR7dgQDjYKvpq9AvF42aN+bW4XdwlRDbrYw/T4EAyCY0Ql4CxigfU7X3j6Y7DPmGalUIjAVHWaMAgYQ1HQC1gJW6JtDF303hyZp1qLzVZQkiYiCNE+zQGyWSbDYbNbBOknXYisWq3gbPr+YAhZjBczsaHbc6B+LgrcCZreeKz5o7wXMbmGqITdbmH6fbgAQzOgEzAXMrn1O194+mOwz5hmpVCIwFR1mlAJmJ6jpBLwFTF89XfRdPU3S3GwUJdkiyotVsFitw0AswzBYROqPRR7GeZpnybLYHyGXUMCw0wu0YpdgoFHwVsCQ0wvYoL0XMLujqoZcmujVyt1rAbMTzOgEzAXMrn1O194+mOwz5hmpVCIwFR1mlAJmJ6jpBLwFTJ9esJfWUcAomrXobCWiJAqjIIyLRSBkLtR8tsmCtFisw2i7Xi4Wl+MbF9jpBUXqFgw0Ct4KGHJ6ARu09wJmd83VkBtd88Lv/cgBghmdgLmA2bXP6drbB5N9xjwjlUoEpqLDjFLA7AQ1nYC3gOn7ke+ldRQwimYtWkarxSJNV8EmizaBSLbrYCE2UZBtkngdLrcbudpn2SUUMOyC/cJ47fppMNAoeCtgyAX7bNDeC5jdt1ZDbvKARRH3HrOjFDA7wYxOwFzA7NrndO3tg8k+Y56RSiUCU9FhRilgdoKaTsBbwPRJHHtpHQWMolmLxpz8yyhgeQidxKE+5hYMNAqeCpjisWZtxQftuYDlod23VkNu9IALr3cQRghmdALWAoZon9O1tw8m+4x5RiqVCExFhxmhgCEENZ2As4ApVTdHaScFjKZZi8ac/EspYDFWwIznM5wGA42CtwIGnMTBB+29gNl9azXkRg+48HoaPUIwoxMwFzC79jlde/tgss+YZ6RSicBUdJhRCpidoKYT8Baw5OYoraOAUTRr0ZiTfykFDDqJQ33MLRhoFLwVMOAkDj5o7wXM7lurIZdGeq/3/EQIZnQC5gJm1z6na28fTPYZ84xUKhGYig4zSgGzE9R0At4CJm+O0joKGEWzFo05+ZdSwKCTONTH3IKBRsFbAQNO4uCD9l7A7L61GnKzB+z1Zo4IwYxOwFzA7NrndO3tg8k+Y56RSiUCU9FhRilgdoKaTsBbwLKbo7SOAkbRrEVjTv6lFDDoJA71MbdgoFHwVsCAkzj4oPXda9SX9Uzv844ceWj3r9XQm7zgRHpeidkJZnQC5kJm1z6na28fVPaZ84xUKhGYig4zSiGzE9R0At5CVtwcpXUUMopmLVqkq5VYLItAJmEaCLEMg2UYr4MsWS1isV4JmS6fX0ohi7CTOSLzzSk6FiVYFHwVsgg5mYMNepcmSb4Nk2WuVm1CBiITabDYJsugEOtCJFkaLpMLShPo6QvqY84Rg6LgLU3sRn/FB92kSbHYLrLFehXEaSgCsdzmQR7FSZDEhYhFqlb7WXw5aRJjaWIymTsjhkXBW5ogzjobdJMm66RIV4l+5Eu4WakWOtwEy1RGwWqbb/JFFG7jTFxOmkC3wlcfc40YFgVvaWJ3XSs+6N0u8bJIZZhsApnnhUqpPA+W2TZVfwzVEkytweLF5nLSBLM5I+EaMSwK3tIEsTnZoHezyTLL0iLMg0W2WQdis90Ei2gTBpFYhetkuVhvo+3lpAn0pG/1MdeIYVHwliZ2C6zig96dtr5N0nSdLoMoivJARKn20FeymYM26u82+WE34xLSBPOcotQ1YlgUvKUJ4jmxQTdpEufrhUzUJ8IsjdRnw0WwzOUmyFUXvM7DhfpCcTlpAt2XXH3MNWJYFLylid2PqPigd0VnI4Rac4fBIky2gYi3y2BZhEmwXUTrMBdyk4jF5aQJZgBE5rtPd82/UBS8pQliALBB7x6GsVlmy9U2VvONnnmWa5VNmyQNktVqKVZr1d2EF1R0CixNHPca0Sh4SxP7pnDFBz25h2HkMbYLGztvSGJR8JUmMbILywa9b2EX6zhZbIPtcqna3SRWyRUtsyBcJUW+isUmSdLLSRNsFzZ23pDEouAtTZBdWDboXW8SraNoLYtgKbd68bwKg7wQOrnCKA3DeLm9pNkE24WNnTcksSh4SxNkF5YN2vfZdbF9c/HdZk3WSy8Kr48QRAhmdALhTIBrv0O0z+na2weT3QU/I5VKBKaiw6TOMK6p9BQhqOkErCclxPr6prjv+iaS5ukVMGzjXx/TLsFAo+CtgCEb/2zQE1w1YRv/eijdIoZFwVuaIBv/bNDT24OJsY3/2LQH3hkxLAre0gTZ+GeDnt7Gf4xt/MemPfDOiGFR8JYmyMY/G/T0Nv5jbOM/Np8E31WmoSh4SxNk458Nenpuc4xt/MemPfDOiGFR8JYmyMY/G/T0zl1JsI3/xHxbua4DC4qCrzRJkI1/NujdDT8WxTpeqdqkUkfPPIkMllGRB5siC6P1cp1JsbmcNME2/hPz7bs6IoZFwVuaIBv/bNDTO2EywTb+E9MeeGfEsCh4SxNk458NenqnXyfY6deJ414jGgVvaWLfFK74oKd3MUeC7cImwjViWBS8pQmyC8sGPb1LwxJsFzaRrhHDouAtTZBdWDZo325zYt9cVENu3lz0+kxvhGBGJxDOBLj2O0T7nK69fTDZ7c0zUqlEYCo6TOoM45pKTxGCmk7A6jYn6c1R2qnbTNLcFDDoOuhLKWDYxn9i3gPveLw1FgVvBQzZ+GeDnmCfg238J+Y98K6IQVHwlibIxj8b9ARXTdjGf2LeA++IGBYFb2mCbPyzQU9vD0ZgG//CvAfeETEsCr7SRCAb/2zQ0/OHBLbxL8x74F0Rg6LgLU2QjX826Om5zQLb+BfmPfCOiGFR8JYmyMY/G/T0TnES2Ma/MO+Bd0QMi4K3NEE2/tmgp3eKk8A2/oVwjRgWBW9pgmz8s0FP77xagW38C+kaMSwK3tIE2fhng57eRasCO/1aOO41olHwlib2TeGKD3p61/wIbBdWOG9IYlHwlibILiwbtG8bUdg3F9WQmzcXizb9qDYiQDCjEwhnAlz7HaJ9TtfePpjsvtUZqVQiMBUdJnWGcU2lpwhBTSdgtRFFfnOUdmojkjRPr4BhG//CvAd+Egw0Ct4KGLLxzwY9vVWTxDb+pXkPvCNiWBR8pYlENv7ZoKe3VSexjX9p3gPviBgWBW9pgmz8s0FPb6tOYhv/0rwH3jX/QlHwlibIxj8b9PT8IYlt/EvzHnhHxLAoeEsTZOOfDXp6brPENv6lcI0YFgVvaYJs/LNBT+9qRIlt/EvpGjEsCt7SBNn4Z4Oe3ilOEtv4l+Y98K4DC4qCtzRBNv7ZoKd3wqTENv6leQ+8I2JYFLylCbLxzwY9vdOvJXb6tXTca0Sj4C1N7JvCFR/09C7mkNgurHTekMSi4C1NkF1YNmj13x805Dvw6LmfB/R2D3Vqvn+433vepvZt0RmdQDgT4NrvEO1zuvb2QWT3q4ZKmYouOnUW7ZoyT5Gw13QCVpswDW+O0k5tQpJmPfNo4ft0eTnltPPne5vVh+998P7wKfRG+ezR1xRb/EC9CP2S6pdcvWShftFvZPqNTL+R6Tdy/Uau38j1G7l+I9dvFPqNQr9R6DcK/Uah3ijCUL/E+kXol1S/6Dci/UbUN+Wn5rvi49fNQuHDk1nHrNYxq3XMah2zWses1jGrdcxqHbNax6zWMat1zGods1rHrNYxq3XMah2zWses1jGrdcxqHbNax6zWMat1zGods1rHrNYxq/tiVtNj1j52oJjBh48OmT5K4gf6VTSvafOa61cVN/3avJs172bNu1nzbt68mzfv5s27efNu3rxbNO8WzbtF827RvFvod3UY9WvcvIrmNW1em3ej5t2eYGp1lGheQDNxPEcptXsNqskweQ1JGvbmzChNhp1gRidgbjLs2ud07dJFO71CHLp0AKaiw4zSfNgJajoBb/MR3xyldUxTFM1a9FIu40Uht0Fa6NtmLxbrIFcLo2CzTOQmz5fhKrocHzDFfMDUZIl1BAONgq/VcYr4gGzQvk+yTe32lhpyYaCXoecCZieY0QmYC5hd+5yuvX0w2WfMM1KpRGAqOswoBcxOUNMJeAuYuDlK6yhgFM3TK2CY9ZxKt2CgUfBWwBDrmQ3aewGzO6pqyFMjfdR7zI5SwOwEMzoBcwGza5/TtbcPJvuMeUYqlQhMRYcZpYDZCWo6AW8B0zeb20vrKGAUzdMrYNjZDqnJ+O8IBhoFbwUMOduBDdp7AbOb+GrITSa+DOPeY3aUAmYnmNEJmAuYXfucrr19MNlnzDNSqURgKjrMKAXMTlDTCXgLmL7MMe27zJGkeXoFDDvBJi3cgoFGwVsBQ06wYYP2XcAy+zkH76oPGemT3mN2jAIGEMzoBLwFDNA+p2tvH0z2GfOMVCoRmIoOM0YBAwhqOgFrAcv0CThZ3wk4JM1adCjjVSjyLJCJ0Bdr6+tx03QdyGwrwyyMkljXxgspYBl2ZW1mOm+hIxhoFHwVsAy5spYN2nsBs/vW7zZnxhvoRe8xO0oBsxPM6ATMBcyufU7X3j6Y7DPmGalUIjAVHWaUAmYnqOkEvAVMn8SR9Z3EQdI8uRVYhp3EkZnOZ+gIBhoFbwUMOYmDDdp7AbP71mrIhZFe9h6zoxQwO8GMTsBcwOza53Tt7YPJPmOekUolAlPRYUYpYHaCmk7AW8D0SRx7aR0FjKJ5egUMO4kjk27BQKPgrYAhJ3GwQXsvYHbfWg15aqRPe4/ZUQqYnWBGJ2AuYHbtc7r29sFknzHPSKUSganoMKMUMDtBTSfgLWD6JI69tI4CRtE8vQKGncSRmc9nOAkGGgVvBQw5iYMN2nsBs/vWasjNHrDfi80BghmdgLmA2bXP6drbB5N9xjwjlUoEpqLDjFLA7AQ1nYC3gOmTOLK+kzhImqfngWEncWSFWzDQKHgrYMhJHGzQvgtYbvet31UfMtL7fWY7QDCjE/AWMED7nK69fTDZZ8wzUqlEYCo6zBgFDCCo6QSsBSzXJ3HkfSdxkDRPbgWWYydx5ObzGToenINFwVcBy5GTONigvRcwu2+thtzsAft9WhBAMKMTMBcwu/Y5XXv7YLLPmGekUonAVHSYUQqYnaCmE/AWMH0SR953EgdJ8+RWYDl2EkduPp+h64koUBS8FTDkJA42aO8FzO5bqyEXJvrI7504AIIZnYC5gNm1z+na2weTfcY8I5VKBKaiw4xSwOwENZ2At4Dpkzj20joKGEXz9FZg2EkcuXQLBhoFbwUMOYmDDdp7AbP71mrIUyO93ztxAAQzOgFzAbNrn9O1tw8m+4x5RiqVCExFhxmlgNkJajoBbwHTJ3HspXUUMIrm6a3AsJM4cuP5DKfBQKPgrYAhJ3GwQXsvYHbfWg250QOO4t5jdpQCZieY0QmYC5hd+5yuvX0w2WfMM1KpRGAqOswoBcxOUNMJeAuYPokj7zuJg6RZi14Uq812sUmDxSJUs1iaZUGerzbBNknjZVLEsVyvn19MAcNO4sgLt2CgUfBWwJCTONigfRewwu5bv6s+ZKT3eycOgGBGJ+AtYID2OV17+2Cyz5hnpFKJwFR0mDEKGEBQ0wlYC1ihT+Io+k7iIGme3AqswE7iKIznM5wGA42CrwJWICdxsEF7L2B231oNudEDjvzeiQMgmNEJmAuYXfucrr19MNlnzDNSqURgKjrMKAXMTlDTCXgLmD6Jo+g7iYOkeXIeWIGdxFEYz2c4DQYaBW8FDDmJgw3aewGz+9ZqyIWR3u+dOACCGZ2AuYDZtc/p2tsHk33GPCOVSgSmosOMUsDsBDWdgLeA6ZM49tI6ChhF8/RWYNhJHIV0CwYaBW8FDDmJgw3aewGz+9ZqyFMjvd87cQAEMzoBcwGza5/TtbcPJvuMeUYqlQhMRYcZpYDZCWo6AW8B0ydx7KV1FDCK5ukVMOwkjsJ8PkPHTSmwKHgrYMhJHGzQ3guY3bdWQ272gP3eiQMgmNEJmAuYXfucrr19MNlnzDNSqURgKjrMKAXMTlDTCXgLmD6Jo+g7iYOkeXoFDDuJoyjcgoFGwVsBQ07iYIP2XMCK0O5bv6s+ZKT3eicOhGBGJ2AtYIj2OV17+2Cyz5hnpFKJwFR0mBEKGEJQ0wk4C5hSdXOUdlLAaJqn5oEVIXQSh/qYWzDQKHgqYIrHmrUVH7T3Amb3rdWQmz1gr3fiQAhmdALmAmbXPqdrbx9M9hnzjFQqEZiKDjNKAbMT1HQC3gIW3xyldRQwiuaprcCKEDqJQ33MLRhoFLwVMOAkDj5o7wXM7lurIRcm+tjrnTgQghmdgLmA2bXP6drbB5N9xjwjlUoEpqLDjFLA7AQ1nYC3gImbo7SOAkbRPL0CBp3EoT7mFgw0Ct4KGHASBx+09wJm963VkKdGeq934kAIZnQC5gJm1z6na28fTPYZ84xUKhGYig4zSgGzE9R0At4Clt4cpXUUMIrm6RUw6CQO9TG3YKBR8FbAgJM4+KC9FzC7b62G3OgBx3HvMTtKAbMTzOgEzAXMrn1O194+mOwz5hmpVCIwFR1mlAJmJ6jpBLwFLL85SusoYBTN0/PAoJM41MfcgoFGwVsBA07i4IP2XcAiu2/9rvqQkd7rnTgQghmdgLeAAdrndO3tg8k+Y56RSiUCU9FhxihgAEFNJ2AtYJE+iSPqO4mDpHlyK7AIO4kjMp7PcBoMNAq+CliEnMTBBu29gNl9azXkRg849nonDoRgRidgLmB27XO69vbBZJ8xz0ilEoGp6DCjFDA7QU0n4C1g+iSOqO8kDpLm6RUw7CSOyHg+w2kw0Ch4K2DISRxs0Oq/P/iT5j/1K6K4nQzteHxvs/rwvQ/eZwhH+ezR1xSn7AuAMAQgSXHvAiLA5x4tu+6TXdNlt2cbSDY84WjVel7plq3foehuUsh7BqV9GSSNSLHnDOqWXdNlj5NB3bKb3CLo1sL1FUOeUyjrS6HUyIQv3yEC5xTqll3TZY+TQt2ym+Qi6G4moX3G6Mno943NjX09QMmjLh7VuJhswCT1ej8pJc7ahczoBMKZANd+h2if07VLF+3kqadnwqGKHmW5ZQ97TSfgXW5lN0dpHfMORfOxj/6T33nwld/5O//md34vUn/zyi/bfeXBV37L4W++9+H/8zub7yny39l+8P6H+n9XH3zng+/qHxbf/XdL/dt+L/49qfp6tV75nfcXf6T/gafv/dHme1fvbP73q7sP/mjxvvrXvvfe/6HeiOIHv/Mf3l9vvvud997Xn3v/A/U/6muL77z3797Xeal/7b//4Lvv/R/q31p8R33iO5vth+rr//fNdz98b9X8zUp9bPNd9Xf/+3cXf/x08/9Q3/nwu/9ho37LUiFuvttoXX7w4Ycf/NHuJ/2XpaY4/IMPOhDC5j+1+njwO+v3Fv/ug/f1v0X5diOY9M3vvvfv/j3xqx9+8MeUL6pvbt/7TgOq/1fnp/rA9z74jhp+nQvrt3q/qxNj8d0PTz9wyAWdDP/hj5ab7/7eB99VabZLIP3TWx+s9b/yjc37m++qIKvP/fF3P/hwV8f1p77zwer/tlHpd/jrjdayO6jUX773/r9XM9mHWvz/BcZYZ5U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</si>
  <si>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</si>
  <si>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</si>
  <si>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</si>
  <si>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</si>
  <si>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</si>
  <si>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</si>
  <si>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</si>
  <si>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</si>
  <si>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</si>
  <si>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</si>
  <si>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</si>
  <si>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</si>
  <si>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</si>
  <si>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</si>
  <si>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</si>
  <si>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</si>
  <si>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</si>
  <si>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</si>
  <si>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</si>
  <si>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</si>
  <si>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</si>
  <si>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</si>
  <si>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</si>
  <si>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</si>
  <si>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</si>
  <si>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</si>
  <si>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</si>
  <si>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6.3</t>
  </si>
  <si>
    <t>Отделка, столярные работы, мебель и оборудование</t>
  </si>
  <si>
    <t>1.1.1.1</t>
  </si>
  <si>
    <t>6.3.1</t>
  </si>
  <si>
    <t>Отделка нежилых помещений</t>
  </si>
  <si>
    <t>1.1.1.1.1</t>
  </si>
  <si>
    <t>6.3.1.5</t>
  </si>
  <si>
    <t>Отделка СКБ</t>
  </si>
  <si>
    <t>1.1.1.1.1.1</t>
  </si>
  <si>
    <t>6.3.1.5.1</t>
  </si>
  <si>
    <t>Полы</t>
  </si>
  <si>
    <t>1.1.1.1.1.1.1</t>
  </si>
  <si>
    <t>6.3.1.5.1.1</t>
  </si>
  <si>
    <t xml:space="preserve">Подготовка полов под финишное покрытие </t>
  </si>
  <si>
    <t>1.1.1.1.1.1.1.1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</si>
  <si>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</si>
  <si>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</si>
  <si>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</si>
  <si>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2 этаж</t>
  </si>
  <si>
    <t>м2</t>
  </si>
  <si>
    <t>b30e711e-fd2e-4402-9c1c-fd9dc1b88c63</t>
  </si>
  <si>
    <t>406d96a2-5db4-4f45-9273-4d1b12717a82</t>
  </si>
  <si>
    <t>8a7cac49-151b-40fd-a08b-5e72f8ff4034</t>
  </si>
  <si>
    <t>1.1.1.1.1.1.1.1.1</t>
  </si>
  <si>
    <t>Наливной пол_ / Унифицированный по ПИК-СТАНДАРТ</t>
  </si>
  <si>
    <t>кг</t>
  </si>
  <si>
    <t>298925264.843695</t>
  </si>
  <si>
    <t>16194152.843695</t>
  </si>
  <si>
    <t>df4d871a-815e-4066-8cc1-e339f3f3c9fe</t>
  </si>
  <si>
    <t>1.1.1.1.1.1.1.1.2</t>
  </si>
  <si>
    <t>Грунтовка универсальный ЛАСТИМИН_ / УНКОНТ ЛЮКС LP51 А</t>
  </si>
  <si>
    <t>298925264.1139608</t>
  </si>
  <si>
    <t>16194152.1139608</t>
  </si>
  <si>
    <t>bbceaf39-544c-478f-a605-41b8d1bad350</t>
  </si>
  <si>
    <t>1.1.1.1.1.1.1.2</t>
  </si>
  <si>
    <t>Устройство наливных полов с огрунтовкой поверхности и проклейкой демпферной лентой / толщ. до 10 мм</t>
  </si>
  <si>
    <t>3 этаж</t>
  </si>
  <si>
    <t>1.1.1.1.1.1.1.2.1</t>
  </si>
  <si>
    <t>298925366.1139608</t>
  </si>
  <si>
    <t>19810509.1139608</t>
  </si>
  <si>
    <t>1.1.1.1.1.1.1.2.2</t>
  </si>
  <si>
    <t>Лента кромочная демпферная_/8*100мм/20м</t>
  </si>
  <si>
    <t>пог. м</t>
  </si>
  <si>
    <t>298925366.55045</t>
  </si>
  <si>
    <t>19810509.55045</t>
  </si>
  <si>
    <t>41f707b9-71e7-4101-86f2-7af29d65f5fe</t>
  </si>
  <si>
    <t>1.1.1.1.1.1.1.2.3</t>
  </si>
  <si>
    <t>298925366.843695</t>
  </si>
  <si>
    <t>19810509.843695</t>
  </si>
  <si>
    <t>1.1.1.1.1.1.1.3</t>
  </si>
  <si>
    <t>6.3.1.5.1.1.7.1</t>
  </si>
  <si>
    <t xml:space="preserve">Замоноличивание мест прохождения стояков труб </t>
  </si>
  <si>
    <t>Замоноличивание проходок инж. сетей в перекрытиях 2-3 этаж, 3 этаж-кровля.</t>
  </si>
  <si>
    <t>м3</t>
  </si>
  <si>
    <t>c6b72d85-3f72-4415-9bd5-121dffd3d013</t>
  </si>
  <si>
    <t>dc62b021-05c5-449f-ae46-459af710dd98</t>
  </si>
  <si>
    <t>1.1.1.1.1.1.1.3.1</t>
  </si>
  <si>
    <t>Смесь цементно-песчаная М200</t>
  </si>
  <si>
    <t>298925266.19141</t>
  </si>
  <si>
    <t>19810929.19141</t>
  </si>
  <si>
    <t>ee25efe9-b517-11e8-80e5-005056881952</t>
  </si>
  <si>
    <t>1.1.1.1.1.1.1.4</t>
  </si>
  <si>
    <t>6.3.1.5.1.1.11.3</t>
  </si>
  <si>
    <t>Устройство стяжки СКБ / армированная сеткой от 41 мм до 60мм</t>
  </si>
  <si>
    <t>2 этаж. Стяжка полусухая армированная, толщиной 50 мм.
Тип: П18, П-18.1</t>
  </si>
  <si>
    <t>ab62b66c-87c5-4996-bbcc-d9044c8dc3c3</t>
  </si>
  <si>
    <t>52f6b76b-892a-4180-890e-fe6cef6a41a6</t>
  </si>
  <si>
    <t>1.1.1.1.1.1.1.4._</t>
  </si>
  <si>
    <t>Толщина стяжки 50 мм</t>
  </si>
  <si>
    <t>1.1.1.1.1.1.1.4.1</t>
  </si>
  <si>
    <t>Фиксатор арматуры Звездочка_/15/4-16</t>
  </si>
  <si>
    <t>шт</t>
  </si>
  <si>
    <t>298925268.55160</t>
  </si>
  <si>
    <t>17497283.55160</t>
  </si>
  <si>
    <t>89d26042-545e-4f2c-9700-1029a9f50251</t>
  </si>
  <si>
    <t>1.1.1.1.1.1.1.4.1._</t>
  </si>
  <si>
    <t>225249743.55160</t>
  </si>
  <si>
    <t>1.1.1.1.1.1.1.4.2</t>
  </si>
  <si>
    <t>Фиброволокно_/7-12мм</t>
  </si>
  <si>
    <t>298925268.55232</t>
  </si>
  <si>
    <t>17497283.55232</t>
  </si>
  <si>
    <t>bd320fa7-be44-4331-a58e-95813bb9e282</t>
  </si>
  <si>
    <t>1.1.1.1.1.1.1.4.2._</t>
  </si>
  <si>
    <t>225249743.55232</t>
  </si>
  <si>
    <t>1.1.1.1.1.1.1.4.3</t>
  </si>
  <si>
    <t>Сетка эл/св_/100*100*5</t>
  </si>
  <si>
    <t>298925268.55156</t>
  </si>
  <si>
    <t>17497283.55156</t>
  </si>
  <si>
    <t>bf82eb44-b4c2-419c-ba3f-021582715b59</t>
  </si>
  <si>
    <t>1.1.1.1.1.1.1.4.3._</t>
  </si>
  <si>
    <t>225249743.55156</t>
  </si>
  <si>
    <t>1.1.1.1.1.1.1.4.4</t>
  </si>
  <si>
    <t>Портландцемент_/М500</t>
  </si>
  <si>
    <t>298925268.54610</t>
  </si>
  <si>
    <t>17497283.54610</t>
  </si>
  <si>
    <t>4a099601-9ad5-4c20-8e6b-ef3d52a116bd</t>
  </si>
  <si>
    <t>1.1.1.1.1.1.1.4.4._</t>
  </si>
  <si>
    <t>225249743.54610</t>
  </si>
  <si>
    <t>1.1.1.1.1.1.1.4.5</t>
  </si>
  <si>
    <t>Песок_ / речной / мытый</t>
  </si>
  <si>
    <t>298925268.57723</t>
  </si>
  <si>
    <t>17497283.57723</t>
  </si>
  <si>
    <t>655ab1c6-b4c5-44df-817a-5132d49d1788</t>
  </si>
  <si>
    <t>1.1.1.1.1.1.1.4.5._</t>
  </si>
  <si>
    <t>225249743.57723</t>
  </si>
  <si>
    <t>1.1.1.1.1.1.1.4.6</t>
  </si>
  <si>
    <t>298925268.55045</t>
  </si>
  <si>
    <t>17497283.55045</t>
  </si>
  <si>
    <t>1.1.1.1.1.1.1.4.6._</t>
  </si>
  <si>
    <t>225249743.55045</t>
  </si>
  <si>
    <t>1.1.1.1.1.1.1.4.7</t>
  </si>
  <si>
    <t>298925268.1139608</t>
  </si>
  <si>
    <t>17497283.1139608</t>
  </si>
  <si>
    <t>1.1.1.1.1.1.1.4.7._</t>
  </si>
  <si>
    <t>225249743.1139608</t>
  </si>
  <si>
    <t>1.1.1.1.1.1.1.5</t>
  </si>
  <si>
    <t>2 этаж. Стяжка полусухая армированная, толщиной 60 мм</t>
  </si>
  <si>
    <t>1.1.1.1.1.1.1.5._</t>
  </si>
  <si>
    <t>Толщина стяжки 60 мм</t>
  </si>
  <si>
    <t>1.1.1.1.1.1.1.5.1</t>
  </si>
  <si>
    <t>298925367.1139608</t>
  </si>
  <si>
    <t>17497284.1139608</t>
  </si>
  <si>
    <t>1.1.1.1.1.1.1.5.1._</t>
  </si>
  <si>
    <t>225249798.1139608</t>
  </si>
  <si>
    <t>1.1.1.1.1.1.1.5.2</t>
  </si>
  <si>
    <t>298925367.55045</t>
  </si>
  <si>
    <t>17497284.55045</t>
  </si>
  <si>
    <t>1.1.1.1.1.1.1.5.2._</t>
  </si>
  <si>
    <t>225249798.55045</t>
  </si>
  <si>
    <t>1.1.1.1.1.1.1.5.3</t>
  </si>
  <si>
    <t>298925367.57723</t>
  </si>
  <si>
    <t>17497284.57723</t>
  </si>
  <si>
    <t>1.1.1.1.1.1.1.5.3._</t>
  </si>
  <si>
    <t>225249798.57723</t>
  </si>
  <si>
    <t>1.1.1.1.1.1.1.5.4</t>
  </si>
  <si>
    <t>298925367.54610</t>
  </si>
  <si>
    <t>17497284.54610</t>
  </si>
  <si>
    <t>1.1.1.1.1.1.1.5.4._</t>
  </si>
  <si>
    <t>225249798.54610</t>
  </si>
  <si>
    <t>1.1.1.1.1.1.1.5.5</t>
  </si>
  <si>
    <t>298925367.55156</t>
  </si>
  <si>
    <t>17497284.55156</t>
  </si>
  <si>
    <t>1.1.1.1.1.1.1.5.5._</t>
  </si>
  <si>
    <t>225249798.55156</t>
  </si>
  <si>
    <t>1.1.1.1.1.1.1.5.6</t>
  </si>
  <si>
    <t>298925367.55232</t>
  </si>
  <si>
    <t>17497284.55232</t>
  </si>
  <si>
    <t>1.1.1.1.1.1.1.5.6._</t>
  </si>
  <si>
    <t>225249798.55232</t>
  </si>
  <si>
    <t>1.1.1.1.1.1.1.5.7</t>
  </si>
  <si>
    <t>298925367.55160</t>
  </si>
  <si>
    <t>17497284.55160</t>
  </si>
  <si>
    <t>1.1.1.1.1.1.1.5.7._</t>
  </si>
  <si>
    <t>225249798.55160</t>
  </si>
  <si>
    <t>1.1.1.1.1.1.1.6</t>
  </si>
  <si>
    <t>Устройство стяжки СКБ / армированная сеткой от 41 мм до 60 мм</t>
  </si>
  <si>
    <t>3 этаж. Стяжка толщиной 60 мм. Тип: П-14</t>
  </si>
  <si>
    <t>1.1.1.1.1.1.1.6.1</t>
  </si>
  <si>
    <t>298925368.55160</t>
  </si>
  <si>
    <t>19810928.55160</t>
  </si>
  <si>
    <t>1.1.1.1.1.1.1.6.2</t>
  </si>
  <si>
    <t>Смесь цементно-песчаная сухая_/М150</t>
  </si>
  <si>
    <t>298925368.54611</t>
  </si>
  <si>
    <t>19810928.54611</t>
  </si>
  <si>
    <t>a1146549-61c5-4487-b5c7-fb7d0d185669</t>
  </si>
  <si>
    <t>1.1.1.1.1.1.1.6.3</t>
  </si>
  <si>
    <t>298925368.55156</t>
  </si>
  <si>
    <t>19810928.55156</t>
  </si>
  <si>
    <t>1.1.1.1.1.1.1.6.4</t>
  </si>
  <si>
    <t>298925368.55045</t>
  </si>
  <si>
    <t>19810928.55045</t>
  </si>
  <si>
    <t>1.1.1.1.1.1.1.6.5</t>
  </si>
  <si>
    <t>298925368.1139608</t>
  </si>
  <si>
    <t>19810928.1139608</t>
  </si>
  <si>
    <t>1.1.1.1.1.1.1.7</t>
  </si>
  <si>
    <t>2 этаж. Стяжка толщиной 60 мм. П-14</t>
  </si>
  <si>
    <t>1.1.1.1.1.1.1.7.1</t>
  </si>
  <si>
    <t>298925369.1139608</t>
  </si>
  <si>
    <t>20229446.1139608</t>
  </si>
  <si>
    <t>1.1.1.1.1.1.1.7.2</t>
  </si>
  <si>
    <t>298925369.55045</t>
  </si>
  <si>
    <t>20229446.55045</t>
  </si>
  <si>
    <t>1.1.1.1.1.1.1.7.3</t>
  </si>
  <si>
    <t>298925369.55156</t>
  </si>
  <si>
    <t>20229446.55156</t>
  </si>
  <si>
    <t>1.1.1.1.1.1.1.7.4</t>
  </si>
  <si>
    <t>298925369.54611</t>
  </si>
  <si>
    <t>20229446.54611</t>
  </si>
  <si>
    <t>1.1.1.1.1.1.1.7.5</t>
  </si>
  <si>
    <t>298925369.55160</t>
  </si>
  <si>
    <t>20229446.55160</t>
  </si>
  <si>
    <t>1.1.1.1.1.1.1.8</t>
  </si>
  <si>
    <t>2 этаж. Стяжка толщиной 50 мм. Тип: П18, П-18.1</t>
  </si>
  <si>
    <t>1.1.1.1.1.1.1.8.1</t>
  </si>
  <si>
    <t>298925370.55160</t>
  </si>
  <si>
    <t>20229516.55160</t>
  </si>
  <si>
    <t>1.1.1.1.1.1.1.8.2</t>
  </si>
  <si>
    <t>298925370.54611</t>
  </si>
  <si>
    <t>20229516.54611</t>
  </si>
  <si>
    <t>1.1.1.1.1.1.1.8.3</t>
  </si>
  <si>
    <t>298925370.55156</t>
  </si>
  <si>
    <t>20229516.55156</t>
  </si>
  <si>
    <t>1.1.1.1.1.1.1.8.4</t>
  </si>
  <si>
    <t>298925370.55045</t>
  </si>
  <si>
    <t>20229516.55045</t>
  </si>
  <si>
    <t>1.1.1.1.1.1.1.8.5</t>
  </si>
  <si>
    <t>298925370.1139608</t>
  </si>
  <si>
    <t>20229516.1139608</t>
  </si>
  <si>
    <t>1.1.1.1.1.1.1.9</t>
  </si>
  <si>
    <t>6.3.1.5.1.1.11.4</t>
  </si>
  <si>
    <t>Устройство стяжки СКБ / армированная сеткой от 61мм до 80мм</t>
  </si>
  <si>
    <t>2 этаж. Стяжка полусухая армированная, толщиной 65 мм</t>
  </si>
  <si>
    <t>69309f48-e9fb-4ccc-8a31-9b4745ed871a</t>
  </si>
  <si>
    <t>23adf7dc-e836-4d8a-ab74-26a79242b402</t>
  </si>
  <si>
    <t>1.1.1.1.1.1.1.9._</t>
  </si>
  <si>
    <t>Толщина стяжки 65 мм</t>
  </si>
  <si>
    <t>1.1.1.1.1.1.1.9.1</t>
  </si>
  <si>
    <t>298925269.55160</t>
  </si>
  <si>
    <t>17497285.55160</t>
  </si>
  <si>
    <t>1.1.1.1.1.1.1.9.1._</t>
  </si>
  <si>
    <t>225249744.55160</t>
  </si>
  <si>
    <t>1.1.1.1.1.1.1.9.2</t>
  </si>
  <si>
    <t>298925269.55232</t>
  </si>
  <si>
    <t>17497285.55232</t>
  </si>
  <si>
    <t>1.1.1.1.1.1.1.9.2._</t>
  </si>
  <si>
    <t>225249744.55232</t>
  </si>
  <si>
    <t>1.1.1.1.1.1.1.9.3</t>
  </si>
  <si>
    <t>298925269.55156</t>
  </si>
  <si>
    <t>17497285.55156</t>
  </si>
  <si>
    <t>1.1.1.1.1.1.1.9.3._</t>
  </si>
  <si>
    <t>225249744.55156</t>
  </si>
  <si>
    <t>1.1.1.1.1.1.1.9.4</t>
  </si>
  <si>
    <t>298925269.54610</t>
  </si>
  <si>
    <t>17497285.54610</t>
  </si>
  <si>
    <t>1.1.1.1.1.1.1.9.4._</t>
  </si>
  <si>
    <t>225249744.54610</t>
  </si>
  <si>
    <t>1.1.1.1.1.1.1.9.5</t>
  </si>
  <si>
    <t>298925269.57723</t>
  </si>
  <si>
    <t>17497285.57723</t>
  </si>
  <si>
    <t>1.1.1.1.1.1.1.9.5._</t>
  </si>
  <si>
    <t>225249744.57723</t>
  </si>
  <si>
    <t>1.1.1.1.1.1.1.9.6</t>
  </si>
  <si>
    <t>298925269.55045</t>
  </si>
  <si>
    <t>17497285.55045</t>
  </si>
  <si>
    <t>1.1.1.1.1.1.1.9.6._</t>
  </si>
  <si>
    <t>225249744.55045</t>
  </si>
  <si>
    <t>1.1.1.1.1.1.1.9.7</t>
  </si>
  <si>
    <t>298925269.1139608</t>
  </si>
  <si>
    <t>17497285.1139608</t>
  </si>
  <si>
    <t>1.1.1.1.1.1.1.9.7._</t>
  </si>
  <si>
    <t>225249744.1139608</t>
  </si>
  <si>
    <t>1.1.1.1.1.1.1.10</t>
  </si>
  <si>
    <t>Устройство стяжки СКБ / армированная сеткой от 61мм до 80 мм</t>
  </si>
  <si>
    <t>3 этаж. Стяжка толщиной 65 мм. Тип: П-12, П-13, П-15, П-16.</t>
  </si>
  <si>
    <t>1.1.1.1.1.1.1.10.1</t>
  </si>
  <si>
    <t>298925371.1139608</t>
  </si>
  <si>
    <t>19811234.1139608</t>
  </si>
  <si>
    <t>1.1.1.1.1.1.1.10.2</t>
  </si>
  <si>
    <t>298925371.55045</t>
  </si>
  <si>
    <t>19811234.55045</t>
  </si>
  <si>
    <t>1.1.1.1.1.1.1.10.3</t>
  </si>
  <si>
    <t>298925371.55156</t>
  </si>
  <si>
    <t>19811234.55156</t>
  </si>
  <si>
    <t>1.1.1.1.1.1.1.10.4</t>
  </si>
  <si>
    <t>298925371.54611</t>
  </si>
  <si>
    <t>19811234.54611</t>
  </si>
  <si>
    <t>1.1.1.1.1.1.1.10.5</t>
  </si>
  <si>
    <t>298925371.55160</t>
  </si>
  <si>
    <t>19811234.55160</t>
  </si>
  <si>
    <t>1.1.1.1.1.1.1.11</t>
  </si>
  <si>
    <t>2 этаж. Стяжка толщиной 65 мм. Тип: П-12, П-13, П-15, П-16.</t>
  </si>
  <si>
    <t>1.1.1.1.1.1.1.11.1</t>
  </si>
  <si>
    <t>298925372.55160</t>
  </si>
  <si>
    <t>20229448.55160</t>
  </si>
  <si>
    <t>1.1.1.1.1.1.1.11.2</t>
  </si>
  <si>
    <t>298925372.54611</t>
  </si>
  <si>
    <t>20229448.54611</t>
  </si>
  <si>
    <t>1.1.1.1.1.1.1.11.3</t>
  </si>
  <si>
    <t>298925372.55156</t>
  </si>
  <si>
    <t>20229448.55156</t>
  </si>
  <si>
    <t>1.1.1.1.1.1.1.11.4</t>
  </si>
  <si>
    <t>298925372.55045</t>
  </si>
  <si>
    <t>20229448.55045</t>
  </si>
  <si>
    <t>1.1.1.1.1.1.1.11.5</t>
  </si>
  <si>
    <t>298925372.1139608</t>
  </si>
  <si>
    <t>20229448.1139608</t>
  </si>
  <si>
    <t>1.1.1.1.1.1.2</t>
  </si>
  <si>
    <t>6.3.1.5.1.2</t>
  </si>
  <si>
    <t>Гидроизоляция, тепло-звукоизоляция, утепление</t>
  </si>
  <si>
    <t>1.1.1.1.1.1.2.1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</si>
  <si>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</si>
  <si>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</si>
  <si>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405b7847-8cb0-4821-ac01-f56e7770b070</t>
  </si>
  <si>
    <t>8a135a98-3599-429e-b287-6354f720abc7</t>
  </si>
  <si>
    <t>1.1.1.1.1.1.2.1.1</t>
  </si>
  <si>
    <t>Праймер битумный_ / Технониколь №01</t>
  </si>
  <si>
    <t>298925272.55059</t>
  </si>
  <si>
    <t>16194157.55059</t>
  </si>
  <si>
    <t>68251cd7-5dc5-41f9-86a1-86f378997b3d</t>
  </si>
  <si>
    <t>1.1.1.1.1.1.2.1.2</t>
  </si>
  <si>
    <t>Гидроизоляционная мастика_/ТЕХНОНИКОЛЬ №31</t>
  </si>
  <si>
    <t>298925272.55060</t>
  </si>
  <si>
    <t>16194157.55060</t>
  </si>
  <si>
    <t>f867ccfe-df51-4866-ad47-f32bc50646ec</t>
  </si>
  <si>
    <t>1.1.1.1.1.1.2.2</t>
  </si>
  <si>
    <t>1.1.1.1.1.1.2.2.1</t>
  </si>
  <si>
    <t>298925373.55060</t>
  </si>
  <si>
    <t>19811382.55060</t>
  </si>
  <si>
    <t>1.1.1.1.1.1.2.2.2</t>
  </si>
  <si>
    <t>298925373.55059</t>
  </si>
  <si>
    <t>19811382.55059</t>
  </si>
  <si>
    <t>1.1.1.1.1.1.2.3</t>
  </si>
  <si>
    <t>6.3.1.5.1.2.4.5</t>
  </si>
  <si>
    <t>Устройство тепло-звукоизоляции полов / Рулонный материал / в 1 слой</t>
  </si>
  <si>
    <t>9e39c19a-3e5a-48a9-81d4-c19cd118ebe6</t>
  </si>
  <si>
    <t>df4f9fc0-265b-42df-a3b8-2eeb21d35d10</t>
  </si>
  <si>
    <t>1.1.1.1.1.1.2.3.1</t>
  </si>
  <si>
    <t>Подложка из полистирола / isolon 500 1502</t>
  </si>
  <si>
    <t>Техноэласт Акустик - 5мм</t>
  </si>
  <si>
    <t>298925274.2462658</t>
  </si>
  <si>
    <t>16676511.2462658</t>
  </si>
  <si>
    <t>318dcad2-14a6-429c-b2e9-46675bc4777f</t>
  </si>
  <si>
    <t>1.1.1.1.1.1.2.4</t>
  </si>
  <si>
    <t>1.1.1.1.1.1.2.4.1</t>
  </si>
  <si>
    <t>Техноэласт Акустик 5мм</t>
  </si>
  <si>
    <t>298925374.2462658</t>
  </si>
  <si>
    <t>19811550.2462658</t>
  </si>
  <si>
    <t>1.1.1.1.1.1.2.5</t>
  </si>
  <si>
    <t>6.3.1.5.1.2.5.1</t>
  </si>
  <si>
    <t>Утепление полов керамзитом</t>
  </si>
  <si>
    <t>d1874649-5209-4eb5-a757-57b5fb147650</t>
  </si>
  <si>
    <t>62097f98-2dd6-4f79-887b-f40e5ac30e13</t>
  </si>
  <si>
    <t>1.1.1.1.1.1.2.5._</t>
  </si>
  <si>
    <t>1.1.1.1.1.1.2.5.1</t>
  </si>
  <si>
    <t>Керамзит_ / фр 10-20</t>
  </si>
  <si>
    <t>298925276.54646</t>
  </si>
  <si>
    <t>16675472.54646</t>
  </si>
  <si>
    <t>131465f1-2749-420a-ba3f-b9a1b118f872</t>
  </si>
  <si>
    <t>1.1.1.1.1.1.2.5.1._</t>
  </si>
  <si>
    <t>213439833.54646</t>
  </si>
  <si>
    <t>1.1.1.1.1.1.2.6</t>
  </si>
  <si>
    <t>2 и 3 этаж
47,6*0,15+16*0,615+18,5*0,375</t>
  </si>
  <si>
    <t>1.1.1.1.1.1.2.6.1</t>
  </si>
  <si>
    <t>298925375.54646</t>
  </si>
  <si>
    <t>19811691.54646</t>
  </si>
  <si>
    <t>1.1.1.1.1.1.3</t>
  </si>
  <si>
    <t>6.3.1.5.1.3</t>
  </si>
  <si>
    <t>Устройство покрытия полов</t>
  </si>
  <si>
    <t>1.1.1.1.1.1.3.1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</si>
  <si>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</si>
  <si>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</si>
  <si>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2 этаж. Тип: КР-1, КР-6</t>
  </si>
  <si>
    <t>ba238fec-d7fc-420d-944a-4b6d4b8cbc4b</t>
  </si>
  <si>
    <t>f56b84ba-3593-441c-a94c-fbcf59225a06</t>
  </si>
  <si>
    <t>1.1.1.1.1.1.3.1._</t>
  </si>
  <si>
    <t>1.1.1.1.1.1.3.1.1</t>
  </si>
  <si>
    <t>Клей плиточный/ Унифицированный по ПИК-СТАНДАРТ</t>
  </si>
  <si>
    <t>Клей для плитки Стройбриг Базакс АС10 серый класс С0 Т 25 кг</t>
  </si>
  <si>
    <t>298925279.54632</t>
  </si>
  <si>
    <t>16194165.54632</t>
  </si>
  <si>
    <t>29ab9003-5b43-49a7-8ba2-846628054d7e</t>
  </si>
  <si>
    <t>1.1.1.1.1.1.3.1.1._</t>
  </si>
  <si>
    <t>225291733.54632</t>
  </si>
  <si>
    <t>1.1.1.1.1.1.3.1.2</t>
  </si>
  <si>
    <t>Керамический гранит Kerama Marazzi Дайсен SG610300R 600x600x9мм обрезной светлый серый</t>
  </si>
  <si>
    <t>Керамогранит Kerama Marazzi SG502120R 200х800х11 мм,
Фрегат медовый бежевый (не ниже КМ1)</t>
  </si>
  <si>
    <t>298925279.1747271</t>
  </si>
  <si>
    <t>16194165.1747271</t>
  </si>
  <si>
    <t>f6f5daea-32b9-11ee-a102-d1661ac0bb93</t>
  </si>
  <si>
    <t>1.1.1.1.1.1.3.1.2._</t>
  </si>
  <si>
    <t>225291733.1747271</t>
  </si>
  <si>
    <t>1.1.1.1.1.1.3.1.3</t>
  </si>
  <si>
    <t>Керамическая плитка Pietra Pienza_ / светло-серый Матовый / K909010R0001VTP0/напольная / 600*600*8мм</t>
  </si>
  <si>
    <t>Керамогранит Kerama Marazzi Про Матрикс DD602020R и Джиминьяно DD642220R, 600х600х9мм.</t>
  </si>
  <si>
    <t>298925279.54681</t>
  </si>
  <si>
    <t>16194165.54681</t>
  </si>
  <si>
    <t>6078b392-23ac-4fa5-856a-42c98c7e3af4</t>
  </si>
  <si>
    <t>1.1.1.1.1.1.3.1.3._</t>
  </si>
  <si>
    <t>Керамогранит Kerama Marazzi Про матрикс DD602020R
600x600х9 мм, серый светлый и Kerama Marazzi Джиминьяно DD642220R 600x600х9 мм,</t>
  </si>
  <si>
    <t>225291733.54681</t>
  </si>
  <si>
    <t>1.1.1.1.1.1.3.1.4</t>
  </si>
  <si>
    <t>Затирка Цезерит СE33_/04 серебристо-серый</t>
  </si>
  <si>
    <t>298925279.54637</t>
  </si>
  <si>
    <t>16194165.54637</t>
  </si>
  <si>
    <t>c293221b-d93c-4424-8200-e1b99b7167e3</t>
  </si>
  <si>
    <t>1.1.1.1.1.1.3.1.4._</t>
  </si>
  <si>
    <t>225291733.54637</t>
  </si>
  <si>
    <t>1.1.1.1.1.1.3.1.5</t>
  </si>
  <si>
    <t>Грунтовка универсальный ЛАСТИМИН_ / LP-51 А</t>
  </si>
  <si>
    <t>298925279.54634</t>
  </si>
  <si>
    <t>16194165.54634</t>
  </si>
  <si>
    <t>6f806fd0-f20f-4c69-8d99-cee4063fa047</t>
  </si>
  <si>
    <t>1.1.1.1.1.1.3.1.5._</t>
  </si>
  <si>
    <t>225291733.54634</t>
  </si>
  <si>
    <t>1.1.1.1.1.1.3.2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</si>
  <si>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</si>
  <si>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</si>
  <si>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</si>
  <si>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</si>
  <si>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</si>
  <si>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1.1.1.1.1.1.3.2.1</t>
  </si>
  <si>
    <t>Клей для линолеума</t>
  </si>
  <si>
    <t>Клей акриловый для гибких напольных покрытий Kesto Plus 4 кг</t>
  </si>
  <si>
    <t>298925281.702694</t>
  </si>
  <si>
    <t>16195443.702694</t>
  </si>
  <si>
    <t>1a3e3255-5ba6-49e7-bbc8-279e1b1289a0</t>
  </si>
  <si>
    <t>1.1.1.1.1.1.3.2.2</t>
  </si>
  <si>
    <t>Грунтовка _ / универсальная водно-дисперсионная</t>
  </si>
  <si>
    <t xml:space="preserve">Грунт универсальный Стройбриг Ластимин LP51 A </t>
  </si>
  <si>
    <t>298925281.737422</t>
  </si>
  <si>
    <t>16195443.737422</t>
  </si>
  <si>
    <t>64d77ce3-b188-4652-a3eb-49ad1b6ad85c</t>
  </si>
  <si>
    <t>1.1.1.1.1.1.3.2.3</t>
  </si>
  <si>
    <t>Сварочный шнур для линолеума (для объектов СКБ)_ / Tarkett / Сварочный шнур для спортивного линолеума серого для школы / 91542</t>
  </si>
  <si>
    <t>298925281.765920</t>
  </si>
  <si>
    <t>16195443.765920</t>
  </si>
  <si>
    <t>8b06f5c0-4a01-4923-b6d7-85990f8ce515</t>
  </si>
  <si>
    <t>1.1.1.1.1.1.3.2.4</t>
  </si>
  <si>
    <t>Линолеум (для объектов СКБ)_ / 4 мм  / TEAL / Omnisports ACTION R40 / Tarkett / - / Спортивный линолеум для школы цветной</t>
  </si>
  <si>
    <t>298925281.1757614</t>
  </si>
  <si>
    <t>16195443.1757614</t>
  </si>
  <si>
    <t>72f2d698-6b14-4893-94fe-06d84de90d15</t>
  </si>
  <si>
    <t>1.1.1.1.1.1.3.3</t>
  </si>
  <si>
    <t>6.3.1.5.1.3.8.1</t>
  </si>
  <si>
    <t>Установка стыковочных профилей</t>
  </si>
  <si>
    <t>2 этаж. ПР-4</t>
  </si>
  <si>
    <t>76703cd4-c8ff-4e22-abbd-2d5e394281cf</t>
  </si>
  <si>
    <t>d8cca10c-4815-473b-a7ff-575551ece3f3</t>
  </si>
  <si>
    <t>1.1.1.1.1.1.3.3._</t>
  </si>
  <si>
    <t>1.1.1.1.1.1.3.3.1</t>
  </si>
  <si>
    <t>Профиль T-образный ПМЮ-01_ / серебро матовое / 2700*30</t>
  </si>
  <si>
    <t>298925283.54698</t>
  </si>
  <si>
    <t>16296644.54698</t>
  </si>
  <si>
    <t>431fd404-0d93-4656-9911-5bebccf01228</t>
  </si>
  <si>
    <t>1.1.1.1.1.1.3.3.1._</t>
  </si>
  <si>
    <t>207829091.54698</t>
  </si>
  <si>
    <t>1.1.1.1.1.1.3.3.2</t>
  </si>
  <si>
    <t>Жидкие гвозди универсальные_/</t>
  </si>
  <si>
    <t>Клей монтажный акриловый Момент Fix Универсал белый 380 мл</t>
  </si>
  <si>
    <t>298925283.54854</t>
  </si>
  <si>
    <t>16296644.54854</t>
  </si>
  <si>
    <t>3378c715-1bc1-40f5-8d09-15a912e04c9d</t>
  </si>
  <si>
    <t>1.1.1.1.1.1.3.3.2._</t>
  </si>
  <si>
    <t>207829091.54854</t>
  </si>
  <si>
    <t>1.1.1.1.1.1.3.4</t>
  </si>
  <si>
    <t>3 этаж. ПР-3, ПР-4</t>
  </si>
  <si>
    <t>1.1.1.1.1.1.3.4.1</t>
  </si>
  <si>
    <t>298925376.54854</t>
  </si>
  <si>
    <t>19812816.54854</t>
  </si>
  <si>
    <t>1.1.1.1.1.1.3.4.2</t>
  </si>
  <si>
    <t>Т-образный профиль ПМЮ 01 (2700х30мм), цвет - серебро матовое</t>
  </si>
  <si>
    <t>298925376.54698</t>
  </si>
  <si>
    <t>19812816.54698</t>
  </si>
  <si>
    <t>1.1.1.1.1.1.3.4.3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</si>
  <si>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</si>
  <si>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</si>
  <si>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298925376.1746203</t>
  </si>
  <si>
    <t>19812816.1746203</t>
  </si>
  <si>
    <t>999bf8eb-d864-4467-94f0-c50631abf0ac</t>
  </si>
  <si>
    <t>1.1.1.1.1.1.3.5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</si>
  <si>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</si>
  <si>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</si>
  <si>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2 этаж. ПЛ-1</t>
  </si>
  <si>
    <t>7c078883-0b0a-4435-9703-ce38f86f609d</t>
  </si>
  <si>
    <t>b85c85d4-a58d-4d1f-9fee-8d36cd9ba4e9</t>
  </si>
  <si>
    <t>1.1.1.1.1.1.3.5._</t>
  </si>
  <si>
    <t>1.1.1.1.1.1.3.5.1</t>
  </si>
  <si>
    <t>Керамический гранит Kerama marazzi_ / Светлый серый /  DD600300R, Estima LF01 UnitileVento grey PG  / 600х600х10мм</t>
  </si>
  <si>
    <t>Плинтус из керамогранита Kerama Marazzi Про матрикс
DD602200R/6BT 600x95х9 мм, цвет светло-серый</t>
  </si>
  <si>
    <t>298925285.1275875</t>
  </si>
  <si>
    <t>16293721.1275875</t>
  </si>
  <si>
    <t>95dc61f2-4532-4459-b4a7-bcb3a6b65492</t>
  </si>
  <si>
    <t>1.1.1.1.1.1.3.5.1._</t>
  </si>
  <si>
    <t>Плинтус из керамогранита Kerama Marazzi Про матрикс
DD602200R/6BT 600x95 х9 мм, цвет светло-серый</t>
  </si>
  <si>
    <t>213223641.1275875</t>
  </si>
  <si>
    <t>1.1.1.1.1.1.3.5.2</t>
  </si>
  <si>
    <t>298925285.54637</t>
  </si>
  <si>
    <t>16293721.54637</t>
  </si>
  <si>
    <t>1.1.1.1.1.1.3.5.2._</t>
  </si>
  <si>
    <t>213223641.54637</t>
  </si>
  <si>
    <t>1.1.1.1.1.1.3.5.3</t>
  </si>
  <si>
    <t>298925285.54634</t>
  </si>
  <si>
    <t>16293721.54634</t>
  </si>
  <si>
    <t>1.1.1.1.1.1.3.5.3._</t>
  </si>
  <si>
    <t>213223641.54634</t>
  </si>
  <si>
    <t>1.1.1.1.1.1.3.6</t>
  </si>
  <si>
    <t>6.3.1.5.1.3.11.1</t>
  </si>
  <si>
    <t>Установка напольного плинтуса ПВХ, включая установку розетт на трубы отопления</t>
  </si>
  <si>
    <t>2 этаж. ПЛ-2</t>
  </si>
  <si>
    <t>a6ed7b54-c77d-4d10-9d5c-b7da0ffb75ae</t>
  </si>
  <si>
    <t>731f9601-2164-4cd3-bfb7-8a3e805eb858</t>
  </si>
  <si>
    <t>1.1.1.1.1.1.3.6._</t>
  </si>
  <si>
    <t>1.1.1.1.1.1.3.6.1</t>
  </si>
  <si>
    <t>Плинтус  ПВХ SMARTPROFILE AQUA37  / 95*37ММ 2,2М</t>
  </si>
  <si>
    <t>Плинтус гибкий ПВХ Dollken WL 100 0146, цвет светло-серый RAL 7046, КМ2</t>
  </si>
  <si>
    <t>298925287.1572559</t>
  </si>
  <si>
    <t>16293719.1572559</t>
  </si>
  <si>
    <t>76542f4b-c5c0-4dfd-af47-5b8a23f80859</t>
  </si>
  <si>
    <t>1.1.1.1.1.1.3.6.1._</t>
  </si>
  <si>
    <t>213445470.1572559</t>
  </si>
  <si>
    <t>1.1.1.1.1.1.3.6.2</t>
  </si>
  <si>
    <t>298925287.54854</t>
  </si>
  <si>
    <t>16293719.54854</t>
  </si>
  <si>
    <t>1.1.1.1.1.1.3.6.2._</t>
  </si>
  <si>
    <t>213445470.54854</t>
  </si>
  <si>
    <t>1.1.1.1.1.1.3.7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</si>
  <si>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</si>
  <si>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</si>
  <si>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</si>
  <si>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</si>
  <si>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1.1.1.1.1.1.3.7._</t>
  </si>
  <si>
    <t>1.1.1.1.1.1.3.7.1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</si>
  <si>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</si>
  <si>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</si>
  <si>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298925289.1579985</t>
  </si>
  <si>
    <t>16296636.1579985</t>
  </si>
  <si>
    <t>f4eb966a-beb9-11eb-80fb-005056881952</t>
  </si>
  <si>
    <t>1.1.1.1.1.1.3.7.1._</t>
  </si>
  <si>
    <t>225302444.1579985</t>
  </si>
  <si>
    <t>1.1.1.1.1.1.3.7.2</t>
  </si>
  <si>
    <t>Кварц-виниловая плитка / SPC VIVA Series с защитным слоем 0,3мм</t>
  </si>
  <si>
    <t>Плитка ПВХ Forbo Effekta Professional 8060 T Light Concrete PRO 500х500х2 мм, защитый слой 0,8 мм, цвет светло-серый, КМ2</t>
  </si>
  <si>
    <t>298925289.1745760</t>
  </si>
  <si>
    <t>16296636.1745760</t>
  </si>
  <si>
    <t>5e97e485-cef1-4bb6-9a4e-50ed5226fbd6</t>
  </si>
  <si>
    <t>1.1.1.1.1.1.3.7.2._</t>
  </si>
  <si>
    <t>225302444.1745760</t>
  </si>
  <si>
    <t>1.1.1.1.1.1.3.8</t>
  </si>
  <si>
    <t>1.1.1.1.1.1.3.8.1</t>
  </si>
  <si>
    <t>Плитка ПВХ Forbo Effekta Professional 8060 T Light Concrete PRO 500х500х2 мм, защитный слой 0,8 мм, цвет светло-серый, КМ2</t>
  </si>
  <si>
    <t>298925377.1745760</t>
  </si>
  <si>
    <t>19813231.1745760</t>
  </si>
  <si>
    <t>1.1.1.1.1.1.3.8.2</t>
  </si>
  <si>
    <t>298925377.1579985</t>
  </si>
  <si>
    <t>19813231.1579985</t>
  </si>
  <si>
    <t>1.1.1.1.1.1.3.9</t>
  </si>
  <si>
    <t>6.3.1.5.1.3.16.4</t>
  </si>
  <si>
    <t>Установка напольного плинтуса / полимерного на клею</t>
  </si>
  <si>
    <t>3 этаж. ПЛ-2</t>
  </si>
  <si>
    <t>c9eb628d-6a9a-4823-a035-3a8c813e3e45</t>
  </si>
  <si>
    <t>1e8e5096-f9d4-45e8-8fba-752768fac6e1</t>
  </si>
  <si>
    <t>1.1.1.1.1.1.3.9.1</t>
  </si>
  <si>
    <t>Плинтус для линолеума (для объектов СКБ) 100 мм WL 100 Dark Gray 0146 Dollken Плинтус для линолеума для детского сада и школ</t>
  </si>
  <si>
    <t>298925291.1747273</t>
  </si>
  <si>
    <t>19813576.1747273</t>
  </si>
  <si>
    <t>de126dff-32d0-11ee-a102-d1661ac0bb93</t>
  </si>
  <si>
    <t>1.1.1.1.1.1.3.10</t>
  </si>
  <si>
    <t>1.1.1.1.1.1.3.10.1</t>
  </si>
  <si>
    <t>298925378.1747273</t>
  </si>
  <si>
    <t>19971569.1747273</t>
  </si>
  <si>
    <t>1.1.1.1.1.1.3.11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</si>
  <si>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</si>
  <si>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</si>
  <si>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</si>
  <si>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</si>
  <si>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1.1.1.1.1.1.3.11.1</t>
  </si>
  <si>
    <t>Плиточный клей_ / Унифицированный по ПИК-СТАНДАРТ</t>
  </si>
  <si>
    <t>298925293.1570753</t>
  </si>
  <si>
    <t>19813577.1570753</t>
  </si>
  <si>
    <t>be76b7f0-d821-4213-a0b5-d4d9b08818f1</t>
  </si>
  <si>
    <t>1.1.1.1.1.1.3.11.2</t>
  </si>
  <si>
    <t>Плинтус керамогранитный Дайсен SG211200R/3BT 600х95мм светло-серый</t>
  </si>
  <si>
    <t>Плинтус из керамогранита, Kerama Marazzi Про Матрикс DD602200R/6BT, 600х95х9мм, светло-серый</t>
  </si>
  <si>
    <t>298925293.1747282</t>
  </si>
  <si>
    <t>19813577.1747282</t>
  </si>
  <si>
    <t>d4275771-32c8-11ee-a102-d1661ac0bb93</t>
  </si>
  <si>
    <t>1.1.1.1.1.1.3.11.3</t>
  </si>
  <si>
    <t>Затирка Цезерит СE33_/13 атрацит</t>
  </si>
  <si>
    <t xml:space="preserve"> Ceresit CE33 04 серебристо-серый
</t>
  </si>
  <si>
    <t>298925293.54635</t>
  </si>
  <si>
    <t>19813577.54635</t>
  </si>
  <si>
    <t>255e2be5-9cb1-4b52-84d2-49341281c898</t>
  </si>
  <si>
    <t>1.1.1.1.1.1.3.11.4</t>
  </si>
  <si>
    <t>298925293.54634</t>
  </si>
  <si>
    <t>19813577.54634</t>
  </si>
  <si>
    <t>1.1.1.1.1.1.3.12</t>
  </si>
  <si>
    <t>1.1.1.1.1.1.3.12.1</t>
  </si>
  <si>
    <t>298925379.54634</t>
  </si>
  <si>
    <t>19820657.54634</t>
  </si>
  <si>
    <t>1.1.1.1.1.1.3.12.2</t>
  </si>
  <si>
    <t>298925379.54635</t>
  </si>
  <si>
    <t>19820657.54635</t>
  </si>
  <si>
    <t>1.1.1.1.1.1.3.12.3</t>
  </si>
  <si>
    <t>Керамическая плитка Коллиано_ / Серый / SG913000N / 300*300*8мм</t>
  </si>
  <si>
    <t>Плинтус из керамогранита Kerama Marazzi Коллиано SG913000N, 300х100х8мм, серый, затирка Ceresit CE 33 13 антрацит</t>
  </si>
  <si>
    <t>298925379.758696</t>
  </si>
  <si>
    <t>19820657.758696</t>
  </si>
  <si>
    <t>dec587a8-6f4e-4afb-bdfb-9a67018ca72c</t>
  </si>
  <si>
    <t>1.1.1.1.1.1.3.12.4</t>
  </si>
  <si>
    <t>298925379.1570753</t>
  </si>
  <si>
    <t>19820657.1570753</t>
  </si>
  <si>
    <t>1.1.1.1.1.1.3.13</t>
  </si>
  <si>
    <t>1.1.1.1.1.1.3.13.1</t>
  </si>
  <si>
    <t xml:space="preserve">Клей для плитки Стройбриг Базакс АС10 серый класс С0 Т 25 кг
</t>
  </si>
  <si>
    <t>298925380.1570753</t>
  </si>
  <si>
    <t>19972701.1570753</t>
  </si>
  <si>
    <t>1.1.1.1.1.1.3.13.2</t>
  </si>
  <si>
    <t>Керамогранит, Kerama Marazzi Про Матрикс DD602200R/6BT, 600х95х9мм, светло-серый</t>
  </si>
  <si>
    <t>298925380.1747282</t>
  </si>
  <si>
    <t>19972701.1747282</t>
  </si>
  <si>
    <t>1.1.1.1.1.1.3.13.3</t>
  </si>
  <si>
    <t xml:space="preserve">затирка Ceresit CE33 04 серебристо-серый, КМ0
</t>
  </si>
  <si>
    <t>298925380.54635</t>
  </si>
  <si>
    <t>19972701.54635</t>
  </si>
  <si>
    <t>1.1.1.1.1.1.3.13.4</t>
  </si>
  <si>
    <t>298925380.54634</t>
  </si>
  <si>
    <t>19972701.54634</t>
  </si>
  <si>
    <t>1.1.1.1.1.1.3.14</t>
  </si>
  <si>
    <t>6.3.1.5.1.3.20.1</t>
  </si>
  <si>
    <t>Устройство покрытия пола СКБ с затиркой и укрытием ДВП / из керамогранитной плитки до 0,2м2/шт</t>
  </si>
  <si>
    <t>2 этаж. КР-4</t>
  </si>
  <si>
    <t>081b575c-aa66-4b70-9cd0-d5d89da79337</t>
  </si>
  <si>
    <t>65901f49-c07c-422e-a40b-cfafb585dc26</t>
  </si>
  <si>
    <t>1.1.1.1.1.1.3.14.1</t>
  </si>
  <si>
    <t>298925295.54632</t>
  </si>
  <si>
    <t>19973764.54632</t>
  </si>
  <si>
    <t>1.1.1.1.1.1.3.14.2</t>
  </si>
  <si>
    <t>Керамогранит Kerama Marazzi Коллиано SG913000N, 300х300х8мм</t>
  </si>
  <si>
    <t>298925295.758696</t>
  </si>
  <si>
    <t>19973764.758696</t>
  </si>
  <si>
    <t>1.1.1.1.1.1.3.14.3</t>
  </si>
  <si>
    <t>298925295.54635</t>
  </si>
  <si>
    <t>19973764.54635</t>
  </si>
  <si>
    <t>1.1.1.1.1.1.3.14.4</t>
  </si>
  <si>
    <t>298925295.54634</t>
  </si>
  <si>
    <t>19973764.54634</t>
  </si>
  <si>
    <t>1.1.1.1.1.1.3.15</t>
  </si>
  <si>
    <t>3 этаж. КР-4</t>
  </si>
  <si>
    <t>1.1.1.1.1.1.3.15.1</t>
  </si>
  <si>
    <t>298925381.54634</t>
  </si>
  <si>
    <t>19987963.54634</t>
  </si>
  <si>
    <t>1.1.1.1.1.1.3.15.2</t>
  </si>
  <si>
    <t>298925381.54635</t>
  </si>
  <si>
    <t>19987963.54635</t>
  </si>
  <si>
    <t>1.1.1.1.1.1.3.15.3</t>
  </si>
  <si>
    <t xml:space="preserve"> Kerama Marazzi Коллиано SG913000N, 300х300х8мм</t>
  </si>
  <si>
    <t>298925381.758696</t>
  </si>
  <si>
    <t>19987963.758696</t>
  </si>
  <si>
    <t>1.1.1.1.1.1.3.15.4</t>
  </si>
  <si>
    <t>298925381.54632</t>
  </si>
  <si>
    <t>19987963.54632</t>
  </si>
  <si>
    <t>1.1.1.1.1.1.3.16</t>
  </si>
  <si>
    <t>6.3.1.5.1.3.20.2</t>
  </si>
  <si>
    <t>Устройство покрытия пола СКБ с затиркой и укрытием ДВП / из керамогранитной плитки от 0,2м2/шт</t>
  </si>
  <si>
    <t>2 этаж. КР-1</t>
  </si>
  <si>
    <t>69ce9bf3-5e4c-42a6-9cb7-1bf6547475ea</t>
  </si>
  <si>
    <t>abd27be4-9992-44fb-b098-3b2370fa29b6</t>
  </si>
  <si>
    <t>1.1.1.1.1.1.3.16.1</t>
  </si>
  <si>
    <t>Плиточный клей_ /  Унифицированный по ПИК-СТАНДАРТ</t>
  </si>
  <si>
    <t>298925296.739258</t>
  </si>
  <si>
    <t>19973763.739258</t>
  </si>
  <si>
    <t>b9d5a438-2a19-468f-b5a2-8648dd1dd258</t>
  </si>
  <si>
    <t>1.1.1.1.1.1.3.16.2</t>
  </si>
  <si>
    <t>Керамический гранит Kerama marazzi_ / Серый светлый / SG614800R/Напольный/Королевская дорога / 600*600*11</t>
  </si>
  <si>
    <t>Керамогранит, Kerama Marazzi Про Матрикс DD602020R, 600х600х9мм, светло-серый</t>
  </si>
  <si>
    <t>298925296.720769</t>
  </si>
  <si>
    <t>19973763.720769</t>
  </si>
  <si>
    <t>3ac98e36-5cd5-4ac7-9116-897c1cc1bd6a</t>
  </si>
  <si>
    <t>1.1.1.1.1.1.3.16.3</t>
  </si>
  <si>
    <t>298925296.54637</t>
  </si>
  <si>
    <t>19973763.54637</t>
  </si>
  <si>
    <t>1.1.1.1.1.1.3.16.4</t>
  </si>
  <si>
    <t>298925296.54634</t>
  </si>
  <si>
    <t>19973763.54634</t>
  </si>
  <si>
    <t>1.1.1.1.1.1.3.17</t>
  </si>
  <si>
    <t>3 этаж. КР-1</t>
  </si>
  <si>
    <t>1.1.1.1.1.1.3.17.1</t>
  </si>
  <si>
    <t>298925382.54634</t>
  </si>
  <si>
    <t>19973766.54634</t>
  </si>
  <si>
    <t>1.1.1.1.1.1.3.17.2</t>
  </si>
  <si>
    <t>298925382.54637</t>
  </si>
  <si>
    <t>19973766.54637</t>
  </si>
  <si>
    <t>1.1.1.1.1.1.3.17.3</t>
  </si>
  <si>
    <t>298925382.720769</t>
  </si>
  <si>
    <t>19973766.720769</t>
  </si>
  <si>
    <t>1.1.1.1.1.1.3.17.4</t>
  </si>
  <si>
    <t>298925382.739258</t>
  </si>
  <si>
    <t>19973766.739258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</si>
  <si>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</si>
  <si>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</si>
  <si>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</si>
  <si>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</si>
  <si>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</si>
  <si>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</si>
  <si>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</si>
  <si>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</si>
  <si>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</si>
  <si>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 xml:space="preserve">2эт - 1826,61м.п., 3эт. - 2045,25м.п.
</t>
  </si>
  <si>
    <t>376b0b05-e1f7-4eb4-858c-54cfc94012c5</t>
  </si>
  <si>
    <t>7942ddbf-4120-45ca-9456-f48a3ec42d9b</t>
  </si>
  <si>
    <t>1.1.1.1.1.2.1.1.1</t>
  </si>
  <si>
    <t>Шпатлевка гипсовая_ / белая / Унифицированная по ПИК-СТАНДАРТ, 30кг</t>
  </si>
  <si>
    <t>298925300.54622</t>
  </si>
  <si>
    <t>19813870.54622</t>
  </si>
  <si>
    <t>c5ed9089-be55-4be8-8db3-0f286a2dbba5</t>
  </si>
  <si>
    <t>1.1.1.1.1.2.1.1.2</t>
  </si>
  <si>
    <t>Лента армирующая ( серпянка)_/150мм</t>
  </si>
  <si>
    <t>298925300.55040</t>
  </si>
  <si>
    <t>19813870.55040</t>
  </si>
  <si>
    <t>eae3db91-694c-4324-837b-5cb2a168407e</t>
  </si>
  <si>
    <t>1.1.1.1.1.2.1.2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</si>
  <si>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</si>
  <si>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</si>
  <si>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</si>
  <si>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a4be7dcf-ce5e-4104-94f3-5ba02bfd9c0c</t>
  </si>
  <si>
    <t>1.1.1.1.1.2.1.2._</t>
  </si>
  <si>
    <t>1.1.1.1.1.2.1.2.1</t>
  </si>
  <si>
    <t>Штукатурка гипсовая_ / Унифицированная по ПИК-СТАНДАРТ, 30кг</t>
  </si>
  <si>
    <t>Штукатурка гипсовая Старатели Старт 30 кг</t>
  </si>
  <si>
    <t>298925302.54616</t>
  </si>
  <si>
    <t>16677750.54616</t>
  </si>
  <si>
    <t>b059108e-66ce-4a56-9765-c924e4c0b8b7</t>
  </si>
  <si>
    <t>1.1.1.1.1.2.1.2.1._</t>
  </si>
  <si>
    <t>213487858.54616</t>
  </si>
  <si>
    <t>1.1.1.1.1.2.1.2.2</t>
  </si>
  <si>
    <t>Грунтовка БЕТОН-КОНТАКТ_/</t>
  </si>
  <si>
    <t>298925302.54633</t>
  </si>
  <si>
    <t>16677750.54633</t>
  </si>
  <si>
    <t>8682c7d7-b370-46ef-9c4b-39309f9aa3e8</t>
  </si>
  <si>
    <t>1.1.1.1.1.2.1.2.2._</t>
  </si>
  <si>
    <t>213487858.54633</t>
  </si>
  <si>
    <t>1.1.1.1.1.2.1.2.3</t>
  </si>
  <si>
    <t>Профиль маячковый_/ПМ6</t>
  </si>
  <si>
    <t>298925302.55029</t>
  </si>
  <si>
    <t>16677750.55029</t>
  </si>
  <si>
    <t>b3ba1810-316e-4118-90eb-ce29d5c83076</t>
  </si>
  <si>
    <t>1.1.1.1.1.2.1.2.3._</t>
  </si>
  <si>
    <t>213487858.55029</t>
  </si>
  <si>
    <t>1.1.1.1.1.2.1.3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</si>
  <si>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</si>
  <si>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</si>
  <si>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</si>
  <si>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110a99a0-6a0d-45b9-b62a-cc3e037ec5cf</t>
  </si>
  <si>
    <t>d4ebd7f1-3692-4517-9566-1d8cb406007d</t>
  </si>
  <si>
    <t>1.1.1.1.1.2.1.3._</t>
  </si>
  <si>
    <t>Шпатлёвка базовая</t>
  </si>
  <si>
    <t>1.1.1.1.1.2.1.3.1</t>
  </si>
  <si>
    <t>Шпаклевка гипсовая Старатели базовая белая 20 кг</t>
  </si>
  <si>
    <t>298925304.54621</t>
  </si>
  <si>
    <t>16211417.54621</t>
  </si>
  <si>
    <t>b18a669c-55b9-4a3b-9bec-843efe930f3c</t>
  </si>
  <si>
    <t>1.1.1.1.1.2.1.3.1._</t>
  </si>
  <si>
    <t>220089264.54621</t>
  </si>
  <si>
    <t>1.1.1.1.1.2.1.3.2</t>
  </si>
  <si>
    <t>Уголок малярный_ / L=3м /25х25 мм</t>
  </si>
  <si>
    <t>298925304.18405</t>
  </si>
  <si>
    <t>16211417.18405</t>
  </si>
  <si>
    <t>6aa8b3b9-7634-40f9-a5c9-a021ce35f715</t>
  </si>
  <si>
    <t>1.1.1.1.1.2.1.3.2._</t>
  </si>
  <si>
    <t>220089264.18405</t>
  </si>
  <si>
    <t>1.1.1.1.1.2.1.3.3</t>
  </si>
  <si>
    <t>Лента армированная Серпянка 150мм</t>
  </si>
  <si>
    <t>298925304.7431</t>
  </si>
  <si>
    <t>16211417.7431</t>
  </si>
  <si>
    <t>f955e3c3-158b-11e8-80d9-005056881952</t>
  </si>
  <si>
    <t>1.1.1.1.1.2.1.3.3._</t>
  </si>
  <si>
    <t>220089264.7431</t>
  </si>
  <si>
    <t>1.1.1.1.1.2.1.3.4</t>
  </si>
  <si>
    <t>298925304.54634</t>
  </si>
  <si>
    <t>16211417.54634</t>
  </si>
  <si>
    <t>1.1.1.1.1.2.1.3.4._</t>
  </si>
  <si>
    <t>220089264.54634</t>
  </si>
  <si>
    <t>1.1.1.1.1.2.1.4</t>
  </si>
  <si>
    <t>2 этаж. Шпатлёвка финишная</t>
  </si>
  <si>
    <t>1.1.1.1.1.2.1.4._</t>
  </si>
  <si>
    <t>Шпатлёвка финишная</t>
  </si>
  <si>
    <t>1.1.1.1.1.2.1.4.1</t>
  </si>
  <si>
    <t>298925383.54634</t>
  </si>
  <si>
    <t>16211418.54634</t>
  </si>
  <si>
    <t>1.1.1.1.1.2.1.4.1._</t>
  </si>
  <si>
    <t>213475324.54634</t>
  </si>
  <si>
    <t>1.1.1.1.1.2.1.4.2</t>
  </si>
  <si>
    <t>Шпаклевка гипсовая Старатели финишная 20 кг</t>
  </si>
  <si>
    <t>298925383.54621</t>
  </si>
  <si>
    <t>16211418.54621</t>
  </si>
  <si>
    <t>1.1.1.1.1.2.1.4.2._</t>
  </si>
  <si>
    <t>213475324.54621</t>
  </si>
  <si>
    <t>1.1.1.1.1.2.1.5</t>
  </si>
  <si>
    <t>6.3.1.5.2.1.8.5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</si>
  <si>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</si>
  <si>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</si>
  <si>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2d82ee91-3b80-41a0-9d47-bde670b317cb</t>
  </si>
  <si>
    <t>235f7698-b192-4ccd-97e9-3a61b0165ad1</t>
  </si>
  <si>
    <t>1.1.1.1.1.2.1.5.1</t>
  </si>
  <si>
    <t xml:space="preserve">Шпатлевка финишная TERRACO HANDYCOAT ALL PURPOSE </t>
  </si>
  <si>
    <t>298925306.1276350</t>
  </si>
  <si>
    <t>19976869.1276350</t>
  </si>
  <si>
    <t>e1b334c7-c5c1-4c42-a451-fa4295c7af60</t>
  </si>
  <si>
    <t>1.1.1.1.1.2.1.5.2</t>
  </si>
  <si>
    <t>298925306.54634</t>
  </si>
  <si>
    <t>19976869.54634</t>
  </si>
  <si>
    <t>1.1.1.1.1.2.1.6</t>
  </si>
  <si>
    <t>3 этаж. Шпаклевка финишная для высококачественной отделки.</t>
  </si>
  <si>
    <t>1.1.1.1.1.2.1.6.1</t>
  </si>
  <si>
    <t>298925384.54634</t>
  </si>
  <si>
    <t>19976870.54634</t>
  </si>
  <si>
    <t>1.1.1.1.1.2.1.6.2</t>
  </si>
  <si>
    <t>298925384.1276350</t>
  </si>
  <si>
    <t>19976870.1276350</t>
  </si>
  <si>
    <t>1.1.1.1.1.2.1.7</t>
  </si>
  <si>
    <t>2 этаж. Шпаклевка базовая.</t>
  </si>
  <si>
    <t>1.1.1.1.1.2.1.7.1</t>
  </si>
  <si>
    <t>298925385.54621</t>
  </si>
  <si>
    <t>19976875.54621</t>
  </si>
  <si>
    <t>1.1.1.1.1.2.1.7.2</t>
  </si>
  <si>
    <t>298925385.54634</t>
  </si>
  <si>
    <t>19976875.54634</t>
  </si>
  <si>
    <t>1.1.1.1.1.2.1.8</t>
  </si>
  <si>
    <t>3 этаж. Шпаклевка базовая.</t>
  </si>
  <si>
    <t>1.1.1.1.1.2.1.8.1</t>
  </si>
  <si>
    <t>298925386.54634</t>
  </si>
  <si>
    <t>19976876.54634</t>
  </si>
  <si>
    <t>1.1.1.1.1.2.1.8.2</t>
  </si>
  <si>
    <t>298925386.54621</t>
  </si>
  <si>
    <t>19976876.54621</t>
  </si>
  <si>
    <t>1.1.1.1.1.2.1.9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</si>
  <si>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</si>
  <si>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</si>
  <si>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e388f40d-4345-407c-81b7-1708677a4264</t>
  </si>
  <si>
    <t>717f7355-64c8-4161-814c-7a062cbe592c</t>
  </si>
  <si>
    <t>1.1.1.1.1.2.1.9._</t>
  </si>
  <si>
    <t>1.1.1.1.1.2.1.9.1</t>
  </si>
  <si>
    <t>Штукатурка цементная</t>
  </si>
  <si>
    <t>Штукатурка цементная Основит Техно РС21 M 25 кг</t>
  </si>
  <si>
    <t>298925308.726518</t>
  </si>
  <si>
    <t>16678913.726518</t>
  </si>
  <si>
    <t>6340f993-804d-456a-a0be-3b2094bd37f9</t>
  </si>
  <si>
    <t>1.1.1.1.1.2.1.9.1._</t>
  </si>
  <si>
    <t>225331855.726518</t>
  </si>
  <si>
    <t>1.1.1.1.1.2.1.9.2</t>
  </si>
  <si>
    <t>Сетка штукатурная_/пластиковая/5*5</t>
  </si>
  <si>
    <t>298925308.55050</t>
  </si>
  <si>
    <t>16678913.55050</t>
  </si>
  <si>
    <t>9f181f34-9874-4ea2-b00e-d54dce78f0f0</t>
  </si>
  <si>
    <t>1.1.1.1.1.2.1.9.2._</t>
  </si>
  <si>
    <t>225331855.55050</t>
  </si>
  <si>
    <t>1.1.1.1.1.2.1.9.3</t>
  </si>
  <si>
    <t>298925308.55029</t>
  </si>
  <si>
    <t>16678913.55029</t>
  </si>
  <si>
    <t>1.1.1.1.1.2.1.9.3._</t>
  </si>
  <si>
    <t>225331855.55029</t>
  </si>
  <si>
    <t>1.1.1.1.1.2.1.9.4</t>
  </si>
  <si>
    <t>298925308.54633</t>
  </si>
  <si>
    <t>16678913.54633</t>
  </si>
  <si>
    <t>1.1.1.1.1.2.1.9.4._</t>
  </si>
  <si>
    <t>225331855.54633</t>
  </si>
  <si>
    <t>1.1.1.1.1.2.1.10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</si>
  <si>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</si>
  <si>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</si>
  <si>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</si>
  <si>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e4f57127-f115-40dc-b6d0-d9a56d151517</t>
  </si>
  <si>
    <t>acc164cf-7b33-4903-b102-0aeda99aeeb4</t>
  </si>
  <si>
    <t>1.1.1.1.1.2.1.10.1</t>
  </si>
  <si>
    <t>298925309.726518</t>
  </si>
  <si>
    <t>16211497.726518</t>
  </si>
  <si>
    <t>1.1.1.1.1.2.1.10.2</t>
  </si>
  <si>
    <t>298925309.55050</t>
  </si>
  <si>
    <t>16211497.55050</t>
  </si>
  <si>
    <t>1.1.1.1.1.2.1.10.3</t>
  </si>
  <si>
    <t>298925309.55029</t>
  </si>
  <si>
    <t>16211497.55029</t>
  </si>
  <si>
    <t>1.1.1.1.1.2.1.10.4</t>
  </si>
  <si>
    <t>298925309.54633</t>
  </si>
  <si>
    <t>16211497.54633</t>
  </si>
  <si>
    <t>1.1.1.1.1.2.1.11</t>
  </si>
  <si>
    <t>2 этаж. Штукатурка по блоку, ГСП, ПГП. Толщина слоя согласованна с ПГ</t>
  </si>
  <si>
    <t>1.1.1.1.1.2.1.11.1</t>
  </si>
  <si>
    <t>298925387.54634</t>
  </si>
  <si>
    <t>19976809.54634</t>
  </si>
  <si>
    <t>1.1.1.1.1.2.1.11.2</t>
  </si>
  <si>
    <t>298925387.55029</t>
  </si>
  <si>
    <t>19976809.55029</t>
  </si>
  <si>
    <t>1.1.1.1.1.2.1.11.3</t>
  </si>
  <si>
    <t>298925387.55050</t>
  </si>
  <si>
    <t>19976809.55050</t>
  </si>
  <si>
    <t>1.1.1.1.1.2.1.11.4</t>
  </si>
  <si>
    <t>298925387.726518</t>
  </si>
  <si>
    <t>19976809.726518</t>
  </si>
  <si>
    <t>1.1.1.1.1.2.1.12</t>
  </si>
  <si>
    <t>3 этаж. Штукатурка по ЖБ. Толщина слоя согласованна с ПГ.</t>
  </si>
  <si>
    <t>1.1.1.1.1.2.1.12.1</t>
  </si>
  <si>
    <t>298925388.726518</t>
  </si>
  <si>
    <t>19976810.726518</t>
  </si>
  <si>
    <t>1.1.1.1.1.2.1.12.2</t>
  </si>
  <si>
    <t>298925388.55050</t>
  </si>
  <si>
    <t>19976810.55050</t>
  </si>
  <si>
    <t>1.1.1.1.1.2.1.12.3</t>
  </si>
  <si>
    <t>298925388.55029</t>
  </si>
  <si>
    <t>19976810.55029</t>
  </si>
  <si>
    <t>1.1.1.1.1.2.1.12.4</t>
  </si>
  <si>
    <t>298925388.54633</t>
  </si>
  <si>
    <t>19976810.54633</t>
  </si>
  <si>
    <t>1.1.1.1.1.2.1.13</t>
  </si>
  <si>
    <t>3 этаж. Штукатурка по блоку, ГСП, ПГП. Толщина слоя согласованна с ПГ</t>
  </si>
  <si>
    <t>1.1.1.1.1.2.1.13.1</t>
  </si>
  <si>
    <t>298925389.54634</t>
  </si>
  <si>
    <t>19976811.54634</t>
  </si>
  <si>
    <t>1.1.1.1.1.2.1.13.2</t>
  </si>
  <si>
    <t>298925389.55029</t>
  </si>
  <si>
    <t>19976811.55029</t>
  </si>
  <si>
    <t>1.1.1.1.1.2.1.13.3</t>
  </si>
  <si>
    <t>298925389.55050</t>
  </si>
  <si>
    <t>19976811.55050</t>
  </si>
  <si>
    <t>1.1.1.1.1.2.1.13.4</t>
  </si>
  <si>
    <t>298925389.726518</t>
  </si>
  <si>
    <t>19976811.726518</t>
  </si>
  <si>
    <t>1.1.1.1.1.2.1.14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</si>
  <si>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</si>
  <si>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</si>
  <si>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e97400ea-ba91-4266-8e4d-399c9b83bcf7</t>
  </si>
  <si>
    <t>635cc207-b262-46f6-8a6a-9126054e7be7</t>
  </si>
  <si>
    <t>1.1.1.1.1.2.1.14.1</t>
  </si>
  <si>
    <t>298925311.54616</t>
  </si>
  <si>
    <t>19976797.54616</t>
  </si>
  <si>
    <t>1.1.1.1.1.2.1.14.2</t>
  </si>
  <si>
    <t>298925311.55029</t>
  </si>
  <si>
    <t>19976797.55029</t>
  </si>
  <si>
    <t>1.1.1.1.1.2.1.14.3</t>
  </si>
  <si>
    <t>298925311.54633</t>
  </si>
  <si>
    <t>19976797.54633</t>
  </si>
  <si>
    <t>1.1.1.1.1.2.1.15</t>
  </si>
  <si>
    <t>2 этаж. Штукатурка по блоку и ПГП. Толщина слоя согласованна с ПГ</t>
  </si>
  <si>
    <t>1.1.1.1.1.2.1.15.1</t>
  </si>
  <si>
    <t>298925390.54634</t>
  </si>
  <si>
    <t>19976798.54634</t>
  </si>
  <si>
    <t>1.1.1.1.1.2.1.15.2</t>
  </si>
  <si>
    <t>298925390.55029</t>
  </si>
  <si>
    <t>19976798.55029</t>
  </si>
  <si>
    <t>1.1.1.1.1.2.1.15.3</t>
  </si>
  <si>
    <t>298925390.54616</t>
  </si>
  <si>
    <t>19976798.54616</t>
  </si>
  <si>
    <t>1.1.1.1.1.2.1.16</t>
  </si>
  <si>
    <t>1.1.1.1.1.2.1.16.1</t>
  </si>
  <si>
    <t>298925391.54616</t>
  </si>
  <si>
    <t>19976799.54616</t>
  </si>
  <si>
    <t>1.1.1.1.1.2.1.16.2</t>
  </si>
  <si>
    <t>298925391.55029</t>
  </si>
  <si>
    <t>19976799.55029</t>
  </si>
  <si>
    <t>1.1.1.1.1.2.1.16.3</t>
  </si>
  <si>
    <t>298925391.54633</t>
  </si>
  <si>
    <t>19976799.54633</t>
  </si>
  <si>
    <t>1.1.1.1.1.2.1.17</t>
  </si>
  <si>
    <t>3 этаж. Штукатурка по блоку и ПГП. Толщина слоя согласованна с ПГ</t>
  </si>
  <si>
    <t>1.1.1.1.1.2.1.17.1</t>
  </si>
  <si>
    <t>298925392.54634</t>
  </si>
  <si>
    <t>19976800.54634</t>
  </si>
  <si>
    <t>1.1.1.1.1.2.1.17.2</t>
  </si>
  <si>
    <t>298925392.55029</t>
  </si>
  <si>
    <t>19976800.55029</t>
  </si>
  <si>
    <t>1.1.1.1.1.2.1.17.3</t>
  </si>
  <si>
    <t>298925392.54616</t>
  </si>
  <si>
    <t>19976800.54616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</si>
  <si>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</si>
  <si>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</si>
  <si>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</si>
  <si>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</si>
  <si>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</si>
  <si>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</si>
  <si>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f7aae9ad-9ef7-46b1-ad33-1414658c2aa3</t>
  </si>
  <si>
    <t>e7683a8f-89f8-42b7-bab7-4698ac09e748</t>
  </si>
  <si>
    <t>1.1.1.1.1.2.2.1._</t>
  </si>
  <si>
    <t>1.1.1.1.1.2.2.1.1</t>
  </si>
  <si>
    <t>Профиль для внешнего угла, ПО Г10 2700х20мм / серебро матовое / 2700*30</t>
  </si>
  <si>
    <t>298925314.1275312</t>
  </si>
  <si>
    <t>16211621.1275312</t>
  </si>
  <si>
    <t>d309a3fd-0125-4d32-8d4d-f188bebe0423</t>
  </si>
  <si>
    <t>1.1.1.1.1.2.2.1.1._</t>
  </si>
  <si>
    <t>213504123.1275312</t>
  </si>
  <si>
    <t>1.1.1.1.1.2.2.1.2</t>
  </si>
  <si>
    <t>298925314.1570753</t>
  </si>
  <si>
    <t>16211621.1570753</t>
  </si>
  <si>
    <t>1.1.1.1.1.2.2.1.2._</t>
  </si>
  <si>
    <t>213504123.1570753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</si>
  <si>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</si>
  <si>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</si>
  <si>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</si>
  <si>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298925314.758691</t>
  </si>
  <si>
    <t>16211621.758691</t>
  </si>
  <si>
    <t>f26708ab-7e31-43d6-9a84-1113f1da93ed</t>
  </si>
  <si>
    <t>1.1.1.1.1.2.2.1.3._</t>
  </si>
  <si>
    <t>213504123.758691</t>
  </si>
  <si>
    <t>1.1.1.1.1.2.2.1.4</t>
  </si>
  <si>
    <t>298925314.54637</t>
  </si>
  <si>
    <t>16211621.54637</t>
  </si>
  <si>
    <t>1.1.1.1.1.2.2.1.4._</t>
  </si>
  <si>
    <t>213504123.54637</t>
  </si>
  <si>
    <t>1.1.1.1.1.2.2.1.5</t>
  </si>
  <si>
    <t>298925314.737422</t>
  </si>
  <si>
    <t>16211621.737422</t>
  </si>
  <si>
    <t>1.1.1.1.1.2.2.1.5._</t>
  </si>
  <si>
    <t>213504123.737422</t>
  </si>
  <si>
    <t>1.1.1.1.1.2.2.2</t>
  </si>
  <si>
    <t>1.1.1.1.1.2.2.2._</t>
  </si>
  <si>
    <t>1.1.1.1.1.2.2.2.1</t>
  </si>
  <si>
    <t>298925393.737422</t>
  </si>
  <si>
    <t>16211622.737422</t>
  </si>
  <si>
    <t>1.1.1.1.1.2.2.2.1._</t>
  </si>
  <si>
    <t>213504145.737422</t>
  </si>
  <si>
    <t>1.1.1.1.1.2.2.2.2</t>
  </si>
  <si>
    <t>Затирка Цезерит СE33_ /  10 манхетен.</t>
  </si>
  <si>
    <t>затирка Ceresit 07</t>
  </si>
  <si>
    <t>298925393.847323</t>
  </si>
  <si>
    <t>16211622.847323</t>
  </si>
  <si>
    <t>2d2305a2-091f-448e-afc7-18ba31664bf8</t>
  </si>
  <si>
    <t>1.1.1.1.1.2.2.2.2._</t>
  </si>
  <si>
    <t>213504145.847323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</si>
  <si>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</si>
  <si>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</si>
  <si>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</si>
  <si>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298925393.720742</t>
  </si>
  <si>
    <t>16211622.720742</t>
  </si>
  <si>
    <t>4d41f012-3a5d-4340-a98f-e1ac79985a17</t>
  </si>
  <si>
    <t>1.1.1.1.1.2.2.2.3._</t>
  </si>
  <si>
    <t>213504145.720742</t>
  </si>
  <si>
    <t>1.1.1.1.1.2.2.2.4</t>
  </si>
  <si>
    <t>298925393.1570753</t>
  </si>
  <si>
    <t>16211622.1570753</t>
  </si>
  <si>
    <t>1.1.1.1.1.2.2.2.4._</t>
  </si>
  <si>
    <t>213504145.1570753</t>
  </si>
  <si>
    <t>1.1.1.1.1.2.2.2.5</t>
  </si>
  <si>
    <t>298925393.1275312</t>
  </si>
  <si>
    <t>16211622.1275312</t>
  </si>
  <si>
    <t>1.1.1.1.1.2.2.2.5._</t>
  </si>
  <si>
    <t>213504145.1275312</t>
  </si>
  <si>
    <t>1.1.1.1.1.2.2.3</t>
  </si>
  <si>
    <t>6.3.1.5.2.2.3.1</t>
  </si>
  <si>
    <t>Окраска поверхности стен с предварительной огрунтовкой / в 2 слоя</t>
  </si>
  <si>
    <t>4e3bc906-0db6-44b9-a51f-3faacce2570c</t>
  </si>
  <si>
    <t>06e17c10-70e2-43fc-bd7c-7ca0ad9465c8</t>
  </si>
  <si>
    <t>1.1.1.1.1.2.2.3._</t>
  </si>
  <si>
    <t>1.1.1.1.1.2.2.3.1</t>
  </si>
  <si>
    <t>298925316.54634</t>
  </si>
  <si>
    <t>16211512.54634</t>
  </si>
  <si>
    <t>1.1.1.1.1.2.2.3.1._</t>
  </si>
  <si>
    <t>206117306.54634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</si>
  <si>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</si>
  <si>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</si>
  <si>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</si>
  <si>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298925316.44160</t>
  </si>
  <si>
    <t>16211512.44160</t>
  </si>
  <si>
    <t>43354194-1fae-11e9-80e7-005056881952</t>
  </si>
  <si>
    <t>1.1.1.1.1.2.2.3.2._</t>
  </si>
  <si>
    <t>206117306.44160</t>
  </si>
  <si>
    <t>1.1.1.1.1.2.2.4</t>
  </si>
  <si>
    <t>1.1.1.1.1.2.2.4._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</si>
  <si>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</si>
  <si>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</si>
  <si>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</si>
  <si>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298925394.391225</t>
  </si>
  <si>
    <t>16211513.391225</t>
  </si>
  <si>
    <t>7ef810fb-9121-11e9-80ea-005056881952</t>
  </si>
  <si>
    <t>1.1.1.1.1.2.2.4.1._</t>
  </si>
  <si>
    <t>206117308.391225</t>
  </si>
  <si>
    <t>1.1.1.1.1.2.2.4.2</t>
  </si>
  <si>
    <t>298925394.54634</t>
  </si>
  <si>
    <t>16211513.54634</t>
  </si>
  <si>
    <t>1.1.1.1.1.2.2.4.2._</t>
  </si>
  <si>
    <t>206117308.54634</t>
  </si>
  <si>
    <t>1.1.1.1.1.2.2.5</t>
  </si>
  <si>
    <t>1.1.1.1.1.2.2.5._</t>
  </si>
  <si>
    <t>1.1.1.1.1.2.2.5.1</t>
  </si>
  <si>
    <t>298925395.54634</t>
  </si>
  <si>
    <t>16211514.54634</t>
  </si>
  <si>
    <t>1.1.1.1.1.2.2.5.1._</t>
  </si>
  <si>
    <t>213223687.54634</t>
  </si>
  <si>
    <t>1.1.1.1.1.2.2.5.2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</si>
  <si>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</si>
  <si>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</si>
  <si>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298925395.847327</t>
  </si>
  <si>
    <t>16211514.847327</t>
  </si>
  <si>
    <t>38ca204c-bb96-4810-b316-411f2a1f14c4</t>
  </si>
  <si>
    <t>1.1.1.1.1.2.2.5.2._</t>
  </si>
  <si>
    <t>213223687.847327</t>
  </si>
  <si>
    <t>1.1.1.1.1.2.2.6</t>
  </si>
  <si>
    <t>1.1.1.1.1.2.2.6._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</si>
  <si>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</si>
  <si>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</si>
  <si>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298925396.391225</t>
  </si>
  <si>
    <t>16211515.391225</t>
  </si>
  <si>
    <t>1.1.1.1.1.2.2.6.1._</t>
  </si>
  <si>
    <t>206117310.391225</t>
  </si>
  <si>
    <t>1.1.1.1.1.2.2.6.2</t>
  </si>
  <si>
    <t>298925396.54634</t>
  </si>
  <si>
    <t>16211515.54634</t>
  </si>
  <si>
    <t>1.1.1.1.1.2.2.6.2._</t>
  </si>
  <si>
    <t>206117310.54634</t>
  </si>
  <si>
    <t>1.1.1.1.1.2.2.7</t>
  </si>
  <si>
    <t>1.1.1.1.1.2.2.7._</t>
  </si>
  <si>
    <t>1.1.1.1.1.2.2.7.1</t>
  </si>
  <si>
    <t>298925397.54634</t>
  </si>
  <si>
    <t>16211516.54634</t>
  </si>
  <si>
    <t>1.1.1.1.1.2.2.7.1._</t>
  </si>
  <si>
    <t>206117311.54634</t>
  </si>
  <si>
    <t>1.1.1.1.1.2.2.7.2</t>
  </si>
  <si>
    <t>Матовая водно-дисперсионная краска для высококачественной отделки Antega Строитель моющаяся, цвет - зеленый RAL NCS S 2060-G40Y, КМ1</t>
  </si>
  <si>
    <t>298925397.391225</t>
  </si>
  <si>
    <t>16211516.391225</t>
  </si>
  <si>
    <t>1.1.1.1.1.2.2.7.2._</t>
  </si>
  <si>
    <t>206117311.391225</t>
  </si>
  <si>
    <t>1.1.1.1.1.2.2.8</t>
  </si>
  <si>
    <t>1.1.1.1.1.2.2.8._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</si>
  <si>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</si>
  <si>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</si>
  <si>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298925398.391225</t>
  </si>
  <si>
    <t>16211517.391225</t>
  </si>
  <si>
    <t>1.1.1.1.1.2.2.8.1._</t>
  </si>
  <si>
    <t>206117312.391225</t>
  </si>
  <si>
    <t>1.1.1.1.1.2.2.8.2</t>
  </si>
  <si>
    <t>298925398.54634</t>
  </si>
  <si>
    <t>16211517.54634</t>
  </si>
  <si>
    <t>1.1.1.1.1.2.2.8.2._</t>
  </si>
  <si>
    <t>206117312.54634</t>
  </si>
  <si>
    <t>1.1.1.1.1.2.2.9</t>
  </si>
  <si>
    <t>1.1.1.1.1.2.2.9._</t>
  </si>
  <si>
    <t>1.1.1.1.1.2.2.9.1</t>
  </si>
  <si>
    <t>298925399.54634</t>
  </si>
  <si>
    <t>16211518.54634</t>
  </si>
  <si>
    <t>1.1.1.1.1.2.2.9.1._</t>
  </si>
  <si>
    <t>206117313.54634</t>
  </si>
  <si>
    <t>1.1.1.1.1.2.2.9.2</t>
  </si>
  <si>
    <t>298925399.391225</t>
  </si>
  <si>
    <t>16211518.391225</t>
  </si>
  <si>
    <t>1.1.1.1.1.2.2.9.2._</t>
  </si>
  <si>
    <t>206117313.391225</t>
  </si>
  <si>
    <t>1.1.1.1.1.2.2.10</t>
  </si>
  <si>
    <t>6.3.1.5.2.2.8.1</t>
  </si>
  <si>
    <t>Лакокрасочные работы СКБ / окраска стен / в 2 слоя</t>
  </si>
  <si>
    <t>2 этаж. СТ-1.1</t>
  </si>
  <si>
    <t>4c24ca93-b856-4913-a3fe-bc768660074c</t>
  </si>
  <si>
    <t>923030ab-0b8a-4717-9906-e76b6d6d03d6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</si>
  <si>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</si>
  <si>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</si>
  <si>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</si>
  <si>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298925318.44169</t>
  </si>
  <si>
    <t>19990349.44169</t>
  </si>
  <si>
    <t>433541a5-1fae-11e9-80e7-005056881952</t>
  </si>
  <si>
    <t>1.1.1.1.1.2.2.10.2</t>
  </si>
  <si>
    <t>298925318.54634</t>
  </si>
  <si>
    <t>19990349.54634</t>
  </si>
  <si>
    <t>1.1.1.1.1.2.2.11</t>
  </si>
  <si>
    <t>2 этаж. СТ-1.2</t>
  </si>
  <si>
    <t>1.1.1.1.1.2.2.11.1</t>
  </si>
  <si>
    <t>298925400.54634</t>
  </si>
  <si>
    <t>19990351.54634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</si>
  <si>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</si>
  <si>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</si>
  <si>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298925400.391225</t>
  </si>
  <si>
    <t>19990351.391225</t>
  </si>
  <si>
    <t>1.1.1.1.1.2.2.12</t>
  </si>
  <si>
    <t>2 этаж. СТ-1.3</t>
  </si>
  <si>
    <t>1.1.1.1.1.2.2.12.1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</si>
  <si>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</si>
  <si>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298925401.391225</t>
  </si>
  <si>
    <t>19990352.391225</t>
  </si>
  <si>
    <t>1.1.1.1.1.2.2.12.2</t>
  </si>
  <si>
    <t>298925401.54634</t>
  </si>
  <si>
    <t>19990352.54634</t>
  </si>
  <si>
    <t>1.1.1.1.1.2.2.13</t>
  </si>
  <si>
    <t>2 этаж. СТ-1.4</t>
  </si>
  <si>
    <t>1.1.1.1.1.2.2.13.1</t>
  </si>
  <si>
    <t>298925402.54634</t>
  </si>
  <si>
    <t>19990353.54634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</si>
  <si>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</si>
  <si>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</si>
  <si>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298925402.391225</t>
  </si>
  <si>
    <t>19990353.391225</t>
  </si>
  <si>
    <t>1.1.1.1.1.2.2.14</t>
  </si>
  <si>
    <t>2 этаж. СТ-1.5</t>
  </si>
  <si>
    <t>1.1.1.1.1.2.2.14.1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</si>
  <si>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</si>
  <si>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298925403.391225</t>
  </si>
  <si>
    <t>19990354.391225</t>
  </si>
  <si>
    <t>1.1.1.1.1.2.2.14.2</t>
  </si>
  <si>
    <t>298925403.54634</t>
  </si>
  <si>
    <t>19990354.54634</t>
  </si>
  <si>
    <t>1.1.1.1.1.2.2.15</t>
  </si>
  <si>
    <t>2 этаж. СТ-1.7</t>
  </si>
  <si>
    <t>1.1.1.1.1.2.2.15.1</t>
  </si>
  <si>
    <t>298925404.54634</t>
  </si>
  <si>
    <t>19990355.54634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</si>
  <si>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</si>
  <si>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</si>
  <si>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298925404.391225</t>
  </si>
  <si>
    <t>19990355.391225</t>
  </si>
  <si>
    <t>1.1.1.1.1.2.2.16</t>
  </si>
  <si>
    <t>2 этаж. СТ-1.11</t>
  </si>
  <si>
    <t>1.1.1.1.1.2.2.16.1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</si>
  <si>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</si>
  <si>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298925405.391225</t>
  </si>
  <si>
    <t>19990350.391225</t>
  </si>
  <si>
    <t>1.1.1.1.1.2.2.16.2</t>
  </si>
  <si>
    <t>298925405.54634</t>
  </si>
  <si>
    <t>19990350.54634</t>
  </si>
  <si>
    <t>1.1.1.1.1.2.2.17</t>
  </si>
  <si>
    <t>2 этаж. СТ-1.13</t>
  </si>
  <si>
    <t>1.1.1.1.1.2.2.17.1</t>
  </si>
  <si>
    <t>298925406.54634</t>
  </si>
  <si>
    <t>19990914.54634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</si>
  <si>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</si>
  <si>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</si>
  <si>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298925406.391225</t>
  </si>
  <si>
    <t>19990914.391225</t>
  </si>
  <si>
    <t>1.1.1.1.1.2.2.18</t>
  </si>
  <si>
    <t>2 этаж. СТ-2.1</t>
  </si>
  <si>
    <t>1.1.1.1.1.2.2.18.1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</si>
  <si>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</si>
  <si>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298925407.847327</t>
  </si>
  <si>
    <t>19990916.847327</t>
  </si>
  <si>
    <t>1.1.1.1.1.2.2.18.2</t>
  </si>
  <si>
    <t>298925407.54634</t>
  </si>
  <si>
    <t>19990916.54634</t>
  </si>
  <si>
    <t>1.1.1.1.1.2.2.19</t>
  </si>
  <si>
    <t>2 этаж. СТ-2.16</t>
  </si>
  <si>
    <t>1.1.1.1.1.2.2.19.1</t>
  </si>
  <si>
    <t>298925408.54634</t>
  </si>
  <si>
    <t>19990917.54634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</si>
  <si>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</si>
  <si>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</si>
  <si>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298925408.391225</t>
  </si>
  <si>
    <t>19990917.391225</t>
  </si>
  <si>
    <t>1.1.1.1.1.2.2.20</t>
  </si>
  <si>
    <t>2 этаж. СТ-1.8</t>
  </si>
  <si>
    <t>1.1.1.1.1.2.2.20.1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</si>
  <si>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</si>
  <si>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298925409.391225</t>
  </si>
  <si>
    <t>19990915.391225</t>
  </si>
  <si>
    <t>1.1.1.1.1.2.2.20.2</t>
  </si>
  <si>
    <t>298925409.54634</t>
  </si>
  <si>
    <t>19990915.54634</t>
  </si>
  <si>
    <t>1.1.1.1.1.2.2.21</t>
  </si>
  <si>
    <t>3 этаж. СТ-1.1</t>
  </si>
  <si>
    <t>1.1.1.1.1.2.2.21.1</t>
  </si>
  <si>
    <t>298925410.54634</t>
  </si>
  <si>
    <t>19991512.54634</t>
  </si>
  <si>
    <t>1.1.1.1.1.2.2.21.2</t>
  </si>
  <si>
    <t>298925410.44169</t>
  </si>
  <si>
    <t>19991512.44169</t>
  </si>
  <si>
    <t>1.1.1.1.1.2.2.22</t>
  </si>
  <si>
    <t>3 этаж. СТ-1.2</t>
  </si>
  <si>
    <t>1.1.1.1.1.2.2.22.1</t>
  </si>
  <si>
    <t>298925411.391225</t>
  </si>
  <si>
    <t>19991513.391225</t>
  </si>
  <si>
    <t>1.1.1.1.1.2.2.22.2</t>
  </si>
  <si>
    <t>298925411.54634</t>
  </si>
  <si>
    <t>19991513.54634</t>
  </si>
  <si>
    <t>1.1.1.1.1.2.2.23</t>
  </si>
  <si>
    <t>3 этаж. СТ-1.3</t>
  </si>
  <si>
    <t>1.1.1.1.1.2.2.23.1</t>
  </si>
  <si>
    <t>298925412.54634</t>
  </si>
  <si>
    <t>19991514.54634</t>
  </si>
  <si>
    <t>1.1.1.1.1.2.2.23.2</t>
  </si>
  <si>
    <t>298925412.391225</t>
  </si>
  <si>
    <t>19991514.391225</t>
  </si>
  <si>
    <t>1.1.1.1.1.2.2.24</t>
  </si>
  <si>
    <t>3 этаж. СТ-1.4</t>
  </si>
  <si>
    <t>1.1.1.1.1.2.2.24.1</t>
  </si>
  <si>
    <t>298925413.391225</t>
  </si>
  <si>
    <t>19991515.391225</t>
  </si>
  <si>
    <t>1.1.1.1.1.2.2.24.2</t>
  </si>
  <si>
    <t>298925413.54634</t>
  </si>
  <si>
    <t>19991515.54634</t>
  </si>
  <si>
    <t>1.1.1.1.1.2.2.25</t>
  </si>
  <si>
    <t>3 этаж. СТ-1.5</t>
  </si>
  <si>
    <t>1.1.1.1.1.2.2.25.1</t>
  </si>
  <si>
    <t>298925414.54634</t>
  </si>
  <si>
    <t>19992002.54634</t>
  </si>
  <si>
    <t>1.1.1.1.1.2.2.25.2</t>
  </si>
  <si>
    <t>298925414.391225</t>
  </si>
  <si>
    <t>19992002.391225</t>
  </si>
  <si>
    <t>1.1.1.1.1.2.2.26</t>
  </si>
  <si>
    <t>3 этаж. СТ-1.7</t>
  </si>
  <si>
    <t>1.1.1.1.1.2.2.26.1</t>
  </si>
  <si>
    <t>298925415.391225</t>
  </si>
  <si>
    <t>19992003.391225</t>
  </si>
  <si>
    <t>1.1.1.1.1.2.2.26.2</t>
  </si>
  <si>
    <t>298925415.54634</t>
  </si>
  <si>
    <t>19992003.54634</t>
  </si>
  <si>
    <t>1.1.1.1.1.2.2.27</t>
  </si>
  <si>
    <t>3 этаж. СТ-1.8</t>
  </si>
  <si>
    <t>1.1.1.1.1.2.2.27.1</t>
  </si>
  <si>
    <t>298925416.54634</t>
  </si>
  <si>
    <t>19992004.54634</t>
  </si>
  <si>
    <t>1.1.1.1.1.2.2.27.2</t>
  </si>
  <si>
    <t>298925416.391225</t>
  </si>
  <si>
    <t>19992004.391225</t>
  </si>
  <si>
    <t>1.1.1.1.1.2.2.28</t>
  </si>
  <si>
    <t>3 этаж. СТ-1.13</t>
  </si>
  <si>
    <t>1.1.1.1.1.2.2.28.1</t>
  </si>
  <si>
    <t>298925417.391225</t>
  </si>
  <si>
    <t>19992001.391225</t>
  </si>
  <si>
    <t>1.1.1.1.1.2.2.28.2</t>
  </si>
  <si>
    <t>298925417.54634</t>
  </si>
  <si>
    <t>19992001.54634</t>
  </si>
  <si>
    <t>1.1.1.1.1.2.2.29</t>
  </si>
  <si>
    <t>3 этаж. СТ-2.1</t>
  </si>
  <si>
    <t>1.1.1.1.1.2.2.29.1</t>
  </si>
  <si>
    <t>298925418.54634</t>
  </si>
  <si>
    <t>19992005.54634</t>
  </si>
  <si>
    <t>1.1.1.1.1.2.2.29.2</t>
  </si>
  <si>
    <t>298925418.847327</t>
  </si>
  <si>
    <t>19992005.847327</t>
  </si>
  <si>
    <t>1.1.1.1.1.2.2.30</t>
  </si>
  <si>
    <t>3 этаж. СТ-2.10</t>
  </si>
  <si>
    <t>1.1.1.1.1.2.2.30.1</t>
  </si>
  <si>
    <t>Краска негорючая моющаяся Protect Decor_ / NCS S 0570-Y10R</t>
  </si>
  <si>
    <t>Краска негорючая ANTEGA СТРОИТЕЛЬ НГ, NCS S 1502-Y, 1 класс истирания, КМ0</t>
  </si>
  <si>
    <t>298925419.763411</t>
  </si>
  <si>
    <t>19992006.763411</t>
  </si>
  <si>
    <t>ce3773d3-a4ae-4408-a7be-82574bc12881</t>
  </si>
  <si>
    <t>1.1.1.1.1.2.2.30.2</t>
  </si>
  <si>
    <t>298925419.54634</t>
  </si>
  <si>
    <t>19992006.54634</t>
  </si>
  <si>
    <t>1.1.1.1.1.2.2.31</t>
  </si>
  <si>
    <t>3 этаж. СТ-2.16</t>
  </si>
  <si>
    <t>1.1.1.1.1.2.2.31.1</t>
  </si>
  <si>
    <t>298925420.54634</t>
  </si>
  <si>
    <t>19992007.54634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</si>
  <si>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</si>
  <si>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</si>
  <si>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298925420.391225</t>
  </si>
  <si>
    <t>19992007.391225</t>
  </si>
  <si>
    <t>1.1.1.1.1.2.2.32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</si>
  <si>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</si>
  <si>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</si>
  <si>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</si>
  <si>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8d513ad3-1fbc-4730-be59-389995ce51d8</t>
  </si>
  <si>
    <t>a0ecae9b-7c0c-412d-a794-953bf76fc42d</t>
  </si>
  <si>
    <t>1.1.1.1.1.2.2.32.1</t>
  </si>
  <si>
    <t>298925320.54637</t>
  </si>
  <si>
    <t>19977048.54637</t>
  </si>
  <si>
    <t>1.1.1.1.1.2.2.32.2</t>
  </si>
  <si>
    <t>298925320.737422</t>
  </si>
  <si>
    <t>19977048.737422</t>
  </si>
  <si>
    <t>1.1.1.1.1.2.2.32.3</t>
  </si>
  <si>
    <t>298925320.739258</t>
  </si>
  <si>
    <t>19977048.739258</t>
  </si>
  <si>
    <t>1.1.1.1.1.2.2.32.4</t>
  </si>
  <si>
    <t>Керамический гранит Kerama marazzi_ / Белый / 5009/ Калейдоскоп / 200х200</t>
  </si>
  <si>
    <t>Kerama Marazzi Калейдоскоп белый 5009 200х200х6,9мм</t>
  </si>
  <si>
    <t>298925320.758609</t>
  </si>
  <si>
    <t>19977048.758609</t>
  </si>
  <si>
    <t>70f2d54b-ab55-43b4-b130-a5f8f85e7098</t>
  </si>
  <si>
    <t>1.1.1.1.1.2.2.33</t>
  </si>
  <si>
    <t>2 этаж. СТ-6.2</t>
  </si>
  <si>
    <t>1.1.1.1.1.2.2.33.1</t>
  </si>
  <si>
    <t>Керамический гранит Kerama marazzi_ / Синий /  SG1547N /  200х200 мм</t>
  </si>
  <si>
    <t>Kerama Marazzi Калейдоскоп 5281 аквамарин-светлый 200х200х6,9мм</t>
  </si>
  <si>
    <t>298925421.1570533</t>
  </si>
  <si>
    <t>19977049.1570533</t>
  </si>
  <si>
    <t>a620a03f-7faf-4c11-affe-45d2fae0c5fb</t>
  </si>
  <si>
    <t>1.1.1.1.1.2.2.33.2</t>
  </si>
  <si>
    <t>298925421.739258</t>
  </si>
  <si>
    <t>19977049.739258</t>
  </si>
  <si>
    <t>1.1.1.1.1.2.2.33.3</t>
  </si>
  <si>
    <t>298925421.737422</t>
  </si>
  <si>
    <t>19977049.737422</t>
  </si>
  <si>
    <t>1.1.1.1.1.2.2.33.4</t>
  </si>
  <si>
    <t>298925421.54637</t>
  </si>
  <si>
    <t>19977049.54637</t>
  </si>
  <si>
    <t>1.1.1.1.1.2.2.34</t>
  </si>
  <si>
    <t>2 этаж. СТ-6.3</t>
  </si>
  <si>
    <t>1.1.1.1.1.2.2.34.1</t>
  </si>
  <si>
    <t>298925422.54637</t>
  </si>
  <si>
    <t>19977050.54637</t>
  </si>
  <si>
    <t>1.1.1.1.1.2.2.34.2</t>
  </si>
  <si>
    <t>298925422.737422</t>
  </si>
  <si>
    <t>19977050.737422</t>
  </si>
  <si>
    <t>1.1.1.1.1.2.2.34.3</t>
  </si>
  <si>
    <t>298925422.739258</t>
  </si>
  <si>
    <t>19977050.739258</t>
  </si>
  <si>
    <t>1.1.1.1.1.2.2.34.4</t>
  </si>
  <si>
    <t>Керамический гранит Kerama marazzi_ / Оранжевый / 5108/Калейдоскоп / 200х200</t>
  </si>
  <si>
    <t>Kerama Marazzi Калейдоскоп 5187 оранжевый 200х200х6,9мм</t>
  </si>
  <si>
    <t>298925422.1058901</t>
  </si>
  <si>
    <t>19977050.1058901</t>
  </si>
  <si>
    <t>10032963-60c4-424f-897d-880031c6ab96</t>
  </si>
  <si>
    <t>1.1.1.1.1.2.2.35</t>
  </si>
  <si>
    <t>2 этаж. СТ-6.4</t>
  </si>
  <si>
    <t>1.1.1.1.1.2.2.35.1</t>
  </si>
  <si>
    <t>Керамический гранит Kerama marazzi_ / Зеленый/ Калейдоскоп / 5111 / 200х200</t>
  </si>
  <si>
    <t>Kerama Marazzi Калейдоскоп 5111 зеленый, 200х200х6,9мм</t>
  </si>
  <si>
    <t>298925423.758612</t>
  </si>
  <si>
    <t>19977051.758612</t>
  </si>
  <si>
    <t>4d30c13d-fb71-4049-953e-6088c3404b1d</t>
  </si>
  <si>
    <t>1.1.1.1.1.2.2.35.2</t>
  </si>
  <si>
    <t>298925423.739258</t>
  </si>
  <si>
    <t>19977051.739258</t>
  </si>
  <si>
    <t>1.1.1.1.1.2.2.35.3</t>
  </si>
  <si>
    <t>298925423.54637</t>
  </si>
  <si>
    <t>19977051.54637</t>
  </si>
  <si>
    <t>1.1.1.1.1.2.2.36</t>
  </si>
  <si>
    <t>2 этаж. СТ-6.5</t>
  </si>
  <si>
    <t>1.1.1.1.1.2.2.36.1</t>
  </si>
  <si>
    <t>298925424.54637</t>
  </si>
  <si>
    <t>19977052.54637</t>
  </si>
  <si>
    <t>1.1.1.1.1.2.2.36.2</t>
  </si>
  <si>
    <t>298925424.737422</t>
  </si>
  <si>
    <t>19977052.737422</t>
  </si>
  <si>
    <t>1.1.1.1.1.2.2.36.3</t>
  </si>
  <si>
    <t>298925424.739258</t>
  </si>
  <si>
    <t>19977052.739258</t>
  </si>
  <si>
    <t>1.1.1.1.1.2.2.36.4</t>
  </si>
  <si>
    <t>Kerama Marazzi Калейдоскоп 5109 ярко-желтый, 200х200х6,9мм</t>
  </si>
  <si>
    <t>298925424.1058901</t>
  </si>
  <si>
    <t>19977052.1058901</t>
  </si>
  <si>
    <t>1.1.1.1.1.2.2.37</t>
  </si>
  <si>
    <t>2 этаж. СТ-8</t>
  </si>
  <si>
    <t>1.1.1.1.1.2.2.37.1</t>
  </si>
  <si>
    <t xml:space="preserve"> Kerama Marazzi Белое солнце 8000, 300х200х6,9мм</t>
  </si>
  <si>
    <t>298925425.1570533</t>
  </si>
  <si>
    <t>19977069.1570533</t>
  </si>
  <si>
    <t>1.1.1.1.1.2.2.37.2</t>
  </si>
  <si>
    <t>298925425.739258</t>
  </si>
  <si>
    <t>19977069.739258</t>
  </si>
  <si>
    <t>1.1.1.1.1.2.2.37.3</t>
  </si>
  <si>
    <t>298925425.54637</t>
  </si>
  <si>
    <t>19977069.54637</t>
  </si>
  <si>
    <t>1.1.1.1.1.2.2.38</t>
  </si>
  <si>
    <t>2 этаж. СТ-11</t>
  </si>
  <si>
    <t>1.1.1.1.1.2.2.38.1</t>
  </si>
  <si>
    <t>Ceresit 07 серая</t>
  </si>
  <si>
    <t>298925426.847323</t>
  </si>
  <si>
    <t>19977067.847323</t>
  </si>
  <si>
    <t>1.1.1.1.1.2.2.38.2</t>
  </si>
  <si>
    <t>298925426.739258</t>
  </si>
  <si>
    <t>19977067.739258</t>
  </si>
  <si>
    <t>1.1.1.1.1.2.2.38.3</t>
  </si>
  <si>
    <t>ПР-2. Профиль Y-образный алюминиевый ПО-97-02, цвет: 02 серебро матовое</t>
  </si>
  <si>
    <t>298925426.1275312</t>
  </si>
  <si>
    <t>19977067.1275312</t>
  </si>
  <si>
    <t>1.1.1.1.1.2.2.38.4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</si>
  <si>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</si>
  <si>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</si>
  <si>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298925426.1275311</t>
  </si>
  <si>
    <t>19977067.1275311</t>
  </si>
  <si>
    <t>e47175d3-35a5-4495-838c-f2f6ffa163a3</t>
  </si>
  <si>
    <t>1.1.1.1.1.2.2.38.5</t>
  </si>
  <si>
    <t>Kerama Marazzi Мечты о Париже Про Матрикс 11259R серый, 300х600х9мм</t>
  </si>
  <si>
    <t>298925426.1570533</t>
  </si>
  <si>
    <t>19977067.1570533</t>
  </si>
  <si>
    <t>1.1.1.1.1.2.2.39</t>
  </si>
  <si>
    <t>3 этаж. СТ-6.1</t>
  </si>
  <si>
    <t>1.1.1.1.1.2.2.39.1</t>
  </si>
  <si>
    <t xml:space="preserve">Kerama Marazzi Калейдоскоп белый 5009 200х200х6,9мм.
</t>
  </si>
  <si>
    <t>298925427.758609</t>
  </si>
  <si>
    <t>19988233.758609</t>
  </si>
  <si>
    <t>1.1.1.1.1.2.2.39.2</t>
  </si>
  <si>
    <t xml:space="preserve">ПР-1. Профиль Г-образный для внешнего угла ПО Г10, цвет 02, серебро матовое
</t>
  </si>
  <si>
    <t>298925427.1275311</t>
  </si>
  <si>
    <t>19988233.1275311</t>
  </si>
  <si>
    <t>1.1.1.1.1.2.2.39.3</t>
  </si>
  <si>
    <t>298925427.739258</t>
  </si>
  <si>
    <t>19988233.739258</t>
  </si>
  <si>
    <t>1.1.1.1.1.2.2.39.4</t>
  </si>
  <si>
    <t>298925427.737422</t>
  </si>
  <si>
    <t>19988233.737422</t>
  </si>
  <si>
    <t>1.1.1.1.1.2.2.39.5</t>
  </si>
  <si>
    <t>298925427.54637</t>
  </si>
  <si>
    <t>19988233.54637</t>
  </si>
  <si>
    <t>1.1.1.1.1.2.2.40</t>
  </si>
  <si>
    <t>3 этаж. СТ-6.2</t>
  </si>
  <si>
    <t>1.1.1.1.1.2.2.40.1</t>
  </si>
  <si>
    <t>298925428.54637</t>
  </si>
  <si>
    <t>19988234.54637</t>
  </si>
  <si>
    <t>1.1.1.1.1.2.2.40.2</t>
  </si>
  <si>
    <t>298925428.737422</t>
  </si>
  <si>
    <t>19988234.737422</t>
  </si>
  <si>
    <t>1.1.1.1.1.2.2.40.3</t>
  </si>
  <si>
    <t>298925428.739258</t>
  </si>
  <si>
    <t>19988234.739258</t>
  </si>
  <si>
    <t>1.1.1.1.1.2.2.40.4</t>
  </si>
  <si>
    <t>298925428.1570533</t>
  </si>
  <si>
    <t>19988234.1570533</t>
  </si>
  <si>
    <t>1.1.1.1.1.2.2.41</t>
  </si>
  <si>
    <t>3 этаж. СТ-6.3</t>
  </si>
  <si>
    <t>1.1.1.1.1.2.2.41.1</t>
  </si>
  <si>
    <t>298925429.1058901</t>
  </si>
  <si>
    <t>19989017.1058901</t>
  </si>
  <si>
    <t>1.1.1.1.1.2.2.41.2</t>
  </si>
  <si>
    <t>298925429.739258</t>
  </si>
  <si>
    <t>19989017.739258</t>
  </si>
  <si>
    <t>1.1.1.1.1.2.2.41.3</t>
  </si>
  <si>
    <t>298925429.737422</t>
  </si>
  <si>
    <t>19989017.737422</t>
  </si>
  <si>
    <t>1.1.1.1.1.2.2.41.4</t>
  </si>
  <si>
    <t>298925429.54637</t>
  </si>
  <si>
    <t>19989017.54637</t>
  </si>
  <si>
    <t>1.1.1.1.1.2.2.42</t>
  </si>
  <si>
    <t>3 этаж. СТ-6.4</t>
  </si>
  <si>
    <t>1.1.1.1.1.2.2.42.1</t>
  </si>
  <si>
    <t>298925430.54637</t>
  </si>
  <si>
    <t>19989018.54637</t>
  </si>
  <si>
    <t>1.1.1.1.1.2.2.42.2</t>
  </si>
  <si>
    <t>298925430.737422</t>
  </si>
  <si>
    <t>19989018.737422</t>
  </si>
  <si>
    <t>1.1.1.1.1.2.2.42.3</t>
  </si>
  <si>
    <t>298925430.739258</t>
  </si>
  <si>
    <t>19989018.739258</t>
  </si>
  <si>
    <t>1.1.1.1.1.2.2.42.4</t>
  </si>
  <si>
    <t xml:space="preserve"> Kerama Marazzi Калейдоскоп 5111 зеленый, 200х200х6,9мм</t>
  </si>
  <si>
    <t>298925430.758612</t>
  </si>
  <si>
    <t>19989018.758612</t>
  </si>
  <si>
    <t>1.1.1.1.1.2.2.43</t>
  </si>
  <si>
    <t>3 этаж. СТ-6.5</t>
  </si>
  <si>
    <t>1.1.1.1.1.2.2.43.1</t>
  </si>
  <si>
    <t>298925431.1058901</t>
  </si>
  <si>
    <t>19989019.1058901</t>
  </si>
  <si>
    <t>1.1.1.1.1.2.2.43.2</t>
  </si>
  <si>
    <t>298925431.739258</t>
  </si>
  <si>
    <t>19989019.739258</t>
  </si>
  <si>
    <t>1.1.1.1.1.2.2.43.3</t>
  </si>
  <si>
    <t>298925431.737422</t>
  </si>
  <si>
    <t>19989019.737422</t>
  </si>
  <si>
    <t>1.1.1.1.1.2.2.43.4</t>
  </si>
  <si>
    <t>298925431.54637</t>
  </si>
  <si>
    <t>19989019.54637</t>
  </si>
  <si>
    <t>1.1.1.1.1.2.2.44</t>
  </si>
  <si>
    <t>3 этаж. СТ-8</t>
  </si>
  <si>
    <t>1.1.1.1.1.2.2.44.1</t>
  </si>
  <si>
    <t>298925432.54637</t>
  </si>
  <si>
    <t>19989020.54637</t>
  </si>
  <si>
    <t>1.1.1.1.1.2.2.44.2</t>
  </si>
  <si>
    <t>298925432.737422</t>
  </si>
  <si>
    <t>19989020.737422</t>
  </si>
  <si>
    <t>1.1.1.1.1.2.2.44.3</t>
  </si>
  <si>
    <t>298925432.739258</t>
  </si>
  <si>
    <t>19989020.739258</t>
  </si>
  <si>
    <t>1.1.1.1.1.2.2.44.4</t>
  </si>
  <si>
    <t>Kerama Marazzi Белое солнце 8000, 300х200х6,9мм</t>
  </si>
  <si>
    <t>298925432.1570533</t>
  </si>
  <si>
    <t>19989020.1570533</t>
  </si>
  <si>
    <t>1.1.1.1.1.2.2.45</t>
  </si>
  <si>
    <t>3 этаж. СТ-11</t>
  </si>
  <si>
    <t>1.1.1.1.1.2.2.45.1</t>
  </si>
  <si>
    <t>298925433.1570533</t>
  </si>
  <si>
    <t>19989016.1570533</t>
  </si>
  <si>
    <t>1.1.1.1.1.2.2.45.2</t>
  </si>
  <si>
    <t>298925433.1275311</t>
  </si>
  <si>
    <t>19989016.1275311</t>
  </si>
  <si>
    <t>1.1.1.1.1.2.2.45.3</t>
  </si>
  <si>
    <t>298925433.739258</t>
  </si>
  <si>
    <t>19989016.739258</t>
  </si>
  <si>
    <t>1.1.1.1.1.2.2.45.4</t>
  </si>
  <si>
    <t>298925433.737422</t>
  </si>
  <si>
    <t>19989016.737422</t>
  </si>
  <si>
    <t>1.1.1.1.1.2.2.45.5</t>
  </si>
  <si>
    <t>Затирка Цезерит СE33_/16 графит</t>
  </si>
  <si>
    <t xml:space="preserve"> Ceresit 07 серая</t>
  </si>
  <si>
    <t>298925433.54636</t>
  </si>
  <si>
    <t>19989016.54636</t>
  </si>
  <si>
    <t>f54ca740-ebda-47a7-a0b5-b458f2ce093f</t>
  </si>
  <si>
    <t>1.1.1.1.1.2.2.46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</si>
  <si>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</si>
  <si>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</si>
  <si>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</si>
  <si>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9000ff2e-4eba-41cc-a074-c46fe92c125a</t>
  </si>
  <si>
    <t>543139c7-05c6-47e9-8a5c-0d2e4272c803</t>
  </si>
  <si>
    <t>1.1.1.1.1.2.2.46.1</t>
  </si>
  <si>
    <t>Керамический гранит Kerama marazzi "Радуга"_ / оранжевый / SG610100R / 600*600*11мм</t>
  </si>
  <si>
    <t>Kerama Marazzi Про Матрикс, арт. DD602020R 600х600х9мм</t>
  </si>
  <si>
    <t>298925321.54685</t>
  </si>
  <si>
    <t>19977068.54685</t>
  </si>
  <si>
    <t>1035cef8-fb15-43d3-a485-0205abdfd05c</t>
  </si>
  <si>
    <t>1.1.1.1.1.2.2.46.2</t>
  </si>
  <si>
    <t>298925321.739258</t>
  </si>
  <si>
    <t>19977068.739258</t>
  </si>
  <si>
    <t>1.1.1.1.1.2.2.46.3</t>
  </si>
  <si>
    <t>298925321.54637</t>
  </si>
  <si>
    <t>19977068.54637</t>
  </si>
  <si>
    <t>1.1.1.1.1.2.2.46.4</t>
  </si>
  <si>
    <t>298925321.737422</t>
  </si>
  <si>
    <t>19977068.737422</t>
  </si>
  <si>
    <t>1.1.1.1.1.2.2.47</t>
  </si>
  <si>
    <t>3 этаж. СТ-14</t>
  </si>
  <si>
    <t>1.1.1.1.1.2.2.47.1</t>
  </si>
  <si>
    <t>298925434.737422</t>
  </si>
  <si>
    <t>19989082.737422</t>
  </si>
  <si>
    <t>1.1.1.1.1.2.2.47.2</t>
  </si>
  <si>
    <t>298925434.54636</t>
  </si>
  <si>
    <t>19989082.54636</t>
  </si>
  <si>
    <t>1.1.1.1.1.2.2.47.3</t>
  </si>
  <si>
    <t>298925434.739258</t>
  </si>
  <si>
    <t>19989082.739258</t>
  </si>
  <si>
    <t>1.1.1.1.1.2.2.47.4</t>
  </si>
  <si>
    <t xml:space="preserve"> Kerama Marazzi Про Матрикс, арт. DD602020R 600х600х9мм</t>
  </si>
  <si>
    <t>298925434.1275875</t>
  </si>
  <si>
    <t>19989082.1275875</t>
  </si>
  <si>
    <t>1.1.1.1.1.2.3</t>
  </si>
  <si>
    <t>6.3.1.5.2.3</t>
  </si>
  <si>
    <t>Устройство подоконников, оконных откосов</t>
  </si>
  <si>
    <t>1.1.1.1.1.2.3.1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</si>
  <si>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</si>
  <si>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</si>
  <si>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</si>
  <si>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</si>
  <si>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1.1.1.1.1.2.3.1._</t>
  </si>
  <si>
    <t>1.1.1.1.1.2.3.1.1</t>
  </si>
  <si>
    <t>Штукатурка цементная, сухая, ТАНИЛИТ_/PC10</t>
  </si>
  <si>
    <t>298925324.54613</t>
  </si>
  <si>
    <t>16225738.54613</t>
  </si>
  <si>
    <t>c9b06266-dd92-4a08-9f0b-d8cdde8716d9</t>
  </si>
  <si>
    <t>1.1.1.1.1.2.3.1.1._</t>
  </si>
  <si>
    <t>206316529.54613</t>
  </si>
  <si>
    <t>1.1.1.1.1.2.3.1.2</t>
  </si>
  <si>
    <t>Профиль маячковый_/ПМ10</t>
  </si>
  <si>
    <t>298925324.55030</t>
  </si>
  <si>
    <t>16225738.55030</t>
  </si>
  <si>
    <t>2c5b3048-8dfb-4910-9a5b-0bcdfb85437b</t>
  </si>
  <si>
    <t>1.1.1.1.1.2.3.1.2._</t>
  </si>
  <si>
    <t>206316529.55030</t>
  </si>
  <si>
    <t>1.1.1.1.1.2.3.1.3</t>
  </si>
  <si>
    <t>298925324.54633</t>
  </si>
  <si>
    <t>16225738.54633</t>
  </si>
  <si>
    <t>1.1.1.1.1.2.3.1.3._</t>
  </si>
  <si>
    <t>206316529.54633</t>
  </si>
  <si>
    <t>1.1.1.1.1.2.3.2</t>
  </si>
  <si>
    <t>6.3.1.5.2.3.2.1</t>
  </si>
  <si>
    <t>Выравнивание поверхностей откосов толщ. до 5 мм с предварительной огрунтовкой поверхности</t>
  </si>
  <si>
    <t>2 и 3 этажи. Шпаклевка оконных откосов базовая.</t>
  </si>
  <si>
    <t>1bd78791-ea55-4aed-83db-0bd34db05925</t>
  </si>
  <si>
    <t>f9b8ac25-8b08-4829-b5d2-9adcab5c69cb</t>
  </si>
  <si>
    <t>1.1.1.1.1.2.3.2._</t>
  </si>
  <si>
    <t>1.1.1.1.1.2.3.2.1</t>
  </si>
  <si>
    <t>298925326.54622</t>
  </si>
  <si>
    <t>16225746.54622</t>
  </si>
  <si>
    <t>1.1.1.1.1.2.3.2.1._</t>
  </si>
  <si>
    <t>220089276.54622</t>
  </si>
  <si>
    <t>1.1.1.1.1.2.3.2.2</t>
  </si>
  <si>
    <t>Уголок малярный_/перфорированный/25*25*3000мм</t>
  </si>
  <si>
    <t>298925326.55026</t>
  </si>
  <si>
    <t>16225746.55026</t>
  </si>
  <si>
    <t>480f9c46-4853-47e1-ac30-340d72ef0430</t>
  </si>
  <si>
    <t>1.1.1.1.1.2.3.2.2._</t>
  </si>
  <si>
    <t>220089276.55026</t>
  </si>
  <si>
    <t>1.1.1.1.1.2.3.2.3</t>
  </si>
  <si>
    <t>298925326.54634</t>
  </si>
  <si>
    <t>16225746.54634</t>
  </si>
  <si>
    <t>1.1.1.1.1.2.3.2.3._</t>
  </si>
  <si>
    <t>220089276.54634</t>
  </si>
  <si>
    <t>1.1.1.1.1.2.3.3</t>
  </si>
  <si>
    <t>2 и 3 этажи. Шпаклевка оконных откосов финишная.</t>
  </si>
  <si>
    <t>1.1.1.1.1.2.3.3._</t>
  </si>
  <si>
    <t>1.1.1.1.1.2.3.3.1</t>
  </si>
  <si>
    <t>298925435.54634</t>
  </si>
  <si>
    <t>16225747.54634</t>
  </si>
  <si>
    <t>1.1.1.1.1.2.3.3.1._</t>
  </si>
  <si>
    <t>220089302.54634</t>
  </si>
  <si>
    <t>1.1.1.1.1.2.3.3.2</t>
  </si>
  <si>
    <t>298925435.55026</t>
  </si>
  <si>
    <t>16225747.55026</t>
  </si>
  <si>
    <t>1.1.1.1.1.2.3.3.2._</t>
  </si>
  <si>
    <t>220089302.55026</t>
  </si>
  <si>
    <t>1.1.1.1.1.2.3.3.3</t>
  </si>
  <si>
    <t>298925435.54622</t>
  </si>
  <si>
    <t>16225747.54622</t>
  </si>
  <si>
    <t>1.1.1.1.1.2.3.3.3._</t>
  </si>
  <si>
    <t>220089302.54622</t>
  </si>
  <si>
    <t>1.1.1.1.1.2.3.4</t>
  </si>
  <si>
    <t>1.1.1.1.1.2.3.4.1</t>
  </si>
  <si>
    <t>298925436.54622</t>
  </si>
  <si>
    <t>19821008.54622</t>
  </si>
  <si>
    <t>1.1.1.1.1.2.3.4.2</t>
  </si>
  <si>
    <t>298925436.18405</t>
  </si>
  <si>
    <t>19821008.18405</t>
  </si>
  <si>
    <t>1.1.1.1.1.2.3.4.3</t>
  </si>
  <si>
    <t>298925436.54634</t>
  </si>
  <si>
    <t>19821008.54634</t>
  </si>
  <si>
    <t>1.1.1.1.1.2.3.5</t>
  </si>
  <si>
    <t>1.1.1.1.1.2.3.5.1</t>
  </si>
  <si>
    <t>298925437.54634</t>
  </si>
  <si>
    <t>19821009.54634</t>
  </si>
  <si>
    <t>1.1.1.1.1.2.3.5.2</t>
  </si>
  <si>
    <t>298925437.54622</t>
  </si>
  <si>
    <t>19821009.54622</t>
  </si>
  <si>
    <t>1.1.1.1.1.2.3.6</t>
  </si>
  <si>
    <t>6.3.1.5.2.3.3.1</t>
  </si>
  <si>
    <t>Окраска поверхности откосов с предварительной огрунтовкой поверхности / в 2 слоя</t>
  </si>
  <si>
    <t>a655afc0-8bbc-486f-8672-9267401735db</t>
  </si>
  <si>
    <t>da736aa2-72e0-488c-9852-5241239c0b93</t>
  </si>
  <si>
    <t>1.1.1.1.1.2.3.6._</t>
  </si>
  <si>
    <t>1.1.1.1.1.2.3.6.1</t>
  </si>
  <si>
    <t>Краска Tikkurila Проф Евро 7 / RAL 9003</t>
  </si>
  <si>
    <t>298925328.1527563</t>
  </si>
  <si>
    <t>16226151.1527563</t>
  </si>
  <si>
    <t>c703e0d9-c58b-46dc-ae9e-94ab4ef5f1c1</t>
  </si>
  <si>
    <t>1.1.1.1.1.2.3.6.1._</t>
  </si>
  <si>
    <t>206326349.1527563</t>
  </si>
  <si>
    <t>1.1.1.1.1.2.3.6.2</t>
  </si>
  <si>
    <t>298925328.54634</t>
  </si>
  <si>
    <t>16226151.54634</t>
  </si>
  <si>
    <t>1.1.1.1.1.2.3.6.2._</t>
  </si>
  <si>
    <t>206326349.54634</t>
  </si>
  <si>
    <t>1.1.1.1.1.2.3.7</t>
  </si>
  <si>
    <t>1.1.1.1.1.2.3.7.1</t>
  </si>
  <si>
    <t>298925438.54634</t>
  </si>
  <si>
    <t>19821007.54634</t>
  </si>
  <si>
    <t>1.1.1.1.1.2.3.7.2</t>
  </si>
  <si>
    <t>Краска для влажных помещений Стройтекс_/белая гл/мат</t>
  </si>
  <si>
    <t>298925438.54741</t>
  </si>
  <si>
    <t>19821007.54741</t>
  </si>
  <si>
    <t>e4679dfc-c6ea-40ee-9f7b-e85a85b0c443</t>
  </si>
  <si>
    <t>1.1.1.1.1.2.3.8</t>
  </si>
  <si>
    <t>6.3.1.5.2.3.7.1</t>
  </si>
  <si>
    <t>Устройство откосов из ГКЛ на клеевом составе / в 1 слой</t>
  </si>
  <si>
    <t>bf0191ab-6901-4bea-8db7-e681d576a152</t>
  </si>
  <si>
    <t>a8f95757-9dd2-41ed-b9a6-bc0729c8286a</t>
  </si>
  <si>
    <t>1.1.1.1.1.2.3.8._</t>
  </si>
  <si>
    <t>1.1.1.1.1.2.3.8.1</t>
  </si>
  <si>
    <t>Шпаклевка д/заделки швов, ШОВСИЛК_/Т33</t>
  </si>
  <si>
    <t>298925330.54624</t>
  </si>
  <si>
    <t>16226149.54624</t>
  </si>
  <si>
    <t>7b96503e-5889-4b88-b7f6-580caaa662ae</t>
  </si>
  <si>
    <t>1.1.1.1.1.2.3.8.1._</t>
  </si>
  <si>
    <t>206326351.54624</t>
  </si>
  <si>
    <t>1.1.1.1.1.2.3.8.2</t>
  </si>
  <si>
    <t>Дюбель гвоздь_/6*60</t>
  </si>
  <si>
    <t>298925330.54837</t>
  </si>
  <si>
    <t>16226149.54837</t>
  </si>
  <si>
    <t>62d65521-fd7b-40a4-8286-41f591bb481f</t>
  </si>
  <si>
    <t>1.1.1.1.1.2.3.8.2._</t>
  </si>
  <si>
    <t>206326351.54837</t>
  </si>
  <si>
    <t>1.1.1.1.1.2.3.8.3</t>
  </si>
  <si>
    <t>Гипсовые строительные плиты_ / влагостойкий / 12,5*1200*2500</t>
  </si>
  <si>
    <t>298925330.54553</t>
  </si>
  <si>
    <t>16226149.54553</t>
  </si>
  <si>
    <t>efad23af-fbbd-4322-a1b7-0c398c24e336</t>
  </si>
  <si>
    <t>1.1.1.1.1.2.3.8.3._</t>
  </si>
  <si>
    <t>206326351.54553</t>
  </si>
  <si>
    <t>1.1.1.1.1.2.3.8.4</t>
  </si>
  <si>
    <t>Герметик_ / Универсальный, силиконовый</t>
  </si>
  <si>
    <t>298925330.54852</t>
  </si>
  <si>
    <t>16226149.54852</t>
  </si>
  <si>
    <t>15ad0642-5703-46fb-967a-32f2be096c59</t>
  </si>
  <si>
    <t>1.1.1.1.1.2.3.8.4._</t>
  </si>
  <si>
    <t>206326351.54852</t>
  </si>
  <si>
    <t>1.1.1.1.1.2.3.9</t>
  </si>
  <si>
    <t>6.3.1.5.2.3.9.1</t>
  </si>
  <si>
    <t>Зашивка приборов отопления / ГВЛВ / в 1 слой на каркасе</t>
  </si>
  <si>
    <t>3 этаж. ПО-4</t>
  </si>
  <si>
    <t>b7675009-5c31-40f5-bb35-e4c17c31972a</t>
  </si>
  <si>
    <t>d39ac62b-c48c-41cf-b101-941ac02c6231</t>
  </si>
  <si>
    <t>1.1.1.1.1.2.3.9.1</t>
  </si>
  <si>
    <t>Профиль_/стоечный/50*50*0,40/3м</t>
  </si>
  <si>
    <t>298925332.54564</t>
  </si>
  <si>
    <t>20181624.54564</t>
  </si>
  <si>
    <t>4e067b05-ad0d-4585-9beb-bdfb968030c2</t>
  </si>
  <si>
    <t>1.1.1.1.1.2.3.9.2</t>
  </si>
  <si>
    <t>Профиль_/направляющий/50*50*0,40/3м</t>
  </si>
  <si>
    <t>298925332.54566</t>
  </si>
  <si>
    <t>20181624.54566</t>
  </si>
  <si>
    <t>c2f1d1c0-1cc2-4bd4-8e05-ef1e6946382b</t>
  </si>
  <si>
    <t>1.1.1.1.1.2.3.9.3</t>
  </si>
  <si>
    <t>Плита Кнауф Файерборд_ / 2500х1200х12.5 м</t>
  </si>
  <si>
    <t>298925332.1523192</t>
  </si>
  <si>
    <t>20181624.1523192</t>
  </si>
  <si>
    <t>1a9d2c61-823f-4235-b198-e9701dbd754e</t>
  </si>
  <si>
    <t>1.1.1.1.1.2.3.10</t>
  </si>
  <si>
    <t>2 этаж. ПО-4</t>
  </si>
  <si>
    <t>1.1.1.1.1.2.3.10.1</t>
  </si>
  <si>
    <t>298925439.1523192</t>
  </si>
  <si>
    <t>20181618.1523192</t>
  </si>
  <si>
    <t>1.1.1.1.1.2.3.10.2</t>
  </si>
  <si>
    <t>298925439.54564</t>
  </si>
  <si>
    <t>20181618.54564</t>
  </si>
  <si>
    <t>1.1.1.1.1.2.3.10.3</t>
  </si>
  <si>
    <t>298925439.54566</t>
  </si>
  <si>
    <t>20181618.54566</t>
  </si>
  <si>
    <t>1.1.1.1.1.2.3.11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</si>
  <si>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</si>
  <si>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</si>
  <si>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</si>
  <si>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</si>
  <si>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1.1.1.1.1.2.3.11._</t>
  </si>
  <si>
    <t>1.1.1.1.1.2.3.11.1</t>
  </si>
  <si>
    <t>298925333.54564</t>
  </si>
  <si>
    <t>16230161.54564</t>
  </si>
  <si>
    <t>1.1.1.1.1.2.3.11.1._</t>
  </si>
  <si>
    <t>220089282.54564</t>
  </si>
  <si>
    <t>1.1.1.1.1.2.3.11.2</t>
  </si>
  <si>
    <t>298925333.54566</t>
  </si>
  <si>
    <t>16230161.54566</t>
  </si>
  <si>
    <t>1.1.1.1.1.2.3.11.2._</t>
  </si>
  <si>
    <t>220089282.54566</t>
  </si>
  <si>
    <t>1.1.1.1.1.2.3.11.3</t>
  </si>
  <si>
    <t>Лист гипсоволокнистый ГВЛВ 12,5мм Г1</t>
  </si>
  <si>
    <t>298925333.7352</t>
  </si>
  <si>
    <t>16230161.7352</t>
  </si>
  <si>
    <t>22b5ef4c-0665-11e8-80d9-005056881952</t>
  </si>
  <si>
    <t>1.1.1.1.1.2.3.11.3._</t>
  </si>
  <si>
    <t>220089282.7352</t>
  </si>
  <si>
    <t>1.1.1.1.1.2.3.12</t>
  </si>
  <si>
    <t>3 этаж. ЗШ-1</t>
  </si>
  <si>
    <t>1.1.1.1.1.2.3.12.1</t>
  </si>
  <si>
    <t>Лист гипсоволокнистый ГВЛВ 10мм Г1</t>
  </si>
  <si>
    <t>298925440.16783</t>
  </si>
  <si>
    <t>19822309.16783</t>
  </si>
  <si>
    <t>51f4f0a5-a6ac-11e8-80e2-005056881952</t>
  </si>
  <si>
    <t>1.1.1.1.1.2.3.12.2</t>
  </si>
  <si>
    <t>298925440.54564</t>
  </si>
  <si>
    <t>19822309.54564</t>
  </si>
  <si>
    <t>1.1.1.1.1.2.3.12.3</t>
  </si>
  <si>
    <t>298925440.54566</t>
  </si>
  <si>
    <t>19822309.54566</t>
  </si>
  <si>
    <t>1.1.1.1.1.2.3.12.4</t>
  </si>
  <si>
    <t>Угол пластиковый_/10*15*2,5м</t>
  </si>
  <si>
    <t>298925440.55028</t>
  </si>
  <si>
    <t>19822309.55028</t>
  </si>
  <si>
    <t>551cb54d-a4ff-4e4c-b8c8-5ee9eaa28821</t>
  </si>
  <si>
    <t>1.1.1.1.1.2.3.13</t>
  </si>
  <si>
    <t>2 этаж. ЗШ-1,  ЗШ-4</t>
  </si>
  <si>
    <t>1.1.1.1.1.2.3.13.1</t>
  </si>
  <si>
    <t>298925441.55028</t>
  </si>
  <si>
    <t>19822308.55028</t>
  </si>
  <si>
    <t>1.1.1.1.1.2.3.13.2</t>
  </si>
  <si>
    <t>298925441.54564</t>
  </si>
  <si>
    <t>19822308.54564</t>
  </si>
  <si>
    <t>1.1.1.1.1.2.3.13.3</t>
  </si>
  <si>
    <t>298925441.54566</t>
  </si>
  <si>
    <t>19822308.54566</t>
  </si>
  <si>
    <t>1.1.1.1.1.2.3.13.4</t>
  </si>
  <si>
    <t>298925441.16783</t>
  </si>
  <si>
    <t>19822308.16783</t>
  </si>
  <si>
    <t>1.1.1.1.1.2.3.14</t>
  </si>
  <si>
    <t>2 этаж. ЗШ-2</t>
  </si>
  <si>
    <t>1.1.1.1.1.2.3.14.1</t>
  </si>
  <si>
    <t>Плита Кнауф Файерборд_ / 2500х1200х9.5 м</t>
  </si>
  <si>
    <t>298925442.1523283</t>
  </si>
  <si>
    <t>19993569.1523283</t>
  </si>
  <si>
    <t>25cb983d-ece3-49d9-bfab-285e5d6a76d7</t>
  </si>
  <si>
    <t>1.1.1.1.1.2.3.14.2</t>
  </si>
  <si>
    <t>298925442.54564</t>
  </si>
  <si>
    <t>19993569.54564</t>
  </si>
  <si>
    <t>1.1.1.1.1.2.3.14.3</t>
  </si>
  <si>
    <t>298925442.54566</t>
  </si>
  <si>
    <t>19993569.54566</t>
  </si>
  <si>
    <t>1.1.1.1.1.2.3.14.4</t>
  </si>
  <si>
    <t>298925442.55028</t>
  </si>
  <si>
    <t>19993569.55028</t>
  </si>
  <si>
    <t>1.1.1.1.1.2.3.15</t>
  </si>
  <si>
    <t>2 этаж. ПО-2</t>
  </si>
  <si>
    <t>1.1.1.1.1.2.3.15.1</t>
  </si>
  <si>
    <t>298925443.54564</t>
  </si>
  <si>
    <t>19995862.54564</t>
  </si>
  <si>
    <t>1.1.1.1.1.2.3.15.2</t>
  </si>
  <si>
    <t>298925443.54566</t>
  </si>
  <si>
    <t>19995862.54566</t>
  </si>
  <si>
    <t>1.1.1.1.1.2.3.15.3</t>
  </si>
  <si>
    <t>298925443.7352</t>
  </si>
  <si>
    <t>19995862.7352</t>
  </si>
  <si>
    <t>1.1.1.1.1.2.3.16</t>
  </si>
  <si>
    <t>3 этаж. ПО-2</t>
  </si>
  <si>
    <t>1.1.1.1.1.2.3.16.1</t>
  </si>
  <si>
    <t>298925444.7352</t>
  </si>
  <si>
    <t>19995863.7352</t>
  </si>
  <si>
    <t>1.1.1.1.1.2.3.16.2</t>
  </si>
  <si>
    <t>298925444.54564</t>
  </si>
  <si>
    <t>19995863.54564</t>
  </si>
  <si>
    <t>1.1.1.1.1.2.3.16.3</t>
  </si>
  <si>
    <t>298925444.54566</t>
  </si>
  <si>
    <t>19995863.54566</t>
  </si>
  <si>
    <t>1.1.1.1.1.2.3.16.4</t>
  </si>
  <si>
    <t>298925444.55028</t>
  </si>
  <si>
    <t>19995863.55028</t>
  </si>
  <si>
    <t>1.1.1.1.1.2.3.17</t>
  </si>
  <si>
    <t>6.3.1.5.2.3.10.2</t>
  </si>
  <si>
    <t>Устройство откосов из ГКЛ на металлическом каркасе / в 2 слоя</t>
  </si>
  <si>
    <t>2 и 3 этажи. Устройство оконных откосов из ГКЛВ по каркасу из профиля</t>
  </si>
  <si>
    <t>436600db-799e-42c8-b2b7-41dcdf182bdd</t>
  </si>
  <si>
    <t>c9ccad18-16d2-4e65-95cb-7a485423fa84</t>
  </si>
  <si>
    <t>1.1.1.1.1.2.3.17.1</t>
  </si>
  <si>
    <t>Шуруп со сверлом 3,5/11</t>
  </si>
  <si>
    <t>298925335.6785</t>
  </si>
  <si>
    <t>21371558.6785</t>
  </si>
  <si>
    <t>0a68ee12-9d43-11e7-80d8-005056881952</t>
  </si>
  <si>
    <t>1.1.1.1.1.2.3.17.2</t>
  </si>
  <si>
    <t>Шуруп_/3,5*25</t>
  </si>
  <si>
    <t>298925335.54822</t>
  </si>
  <si>
    <t>21371558.54822</t>
  </si>
  <si>
    <t>9afa7adc-2604-4bf8-8123-329424645872</t>
  </si>
  <si>
    <t>1.1.1.1.1.2.3.17.3</t>
  </si>
  <si>
    <t>298925335.55028</t>
  </si>
  <si>
    <t>21371558.55028</t>
  </si>
  <si>
    <t>1.1.1.1.1.2.3.17.4</t>
  </si>
  <si>
    <t>Профиль направляющий ПН 28х27х0,6мм Сталь оцинкованная</t>
  </si>
  <si>
    <t>298925335.707712</t>
  </si>
  <si>
    <t>21371558.707712</t>
  </si>
  <si>
    <t>602e3c0d-b792-11e9-80ea-005056881952</t>
  </si>
  <si>
    <t>1.1.1.1.1.2.3.17.5</t>
  </si>
  <si>
    <t>Дюбель гвоздь_/гриб/6*40</t>
  </si>
  <si>
    <t>298925335.54833</t>
  </si>
  <si>
    <t>21371558.54833</t>
  </si>
  <si>
    <t>5eb21757-8d43-4dfd-aef9-b7a78beee91d</t>
  </si>
  <si>
    <t>1.1.1.1.1.2.3.17.6</t>
  </si>
  <si>
    <t>298925335.54553</t>
  </si>
  <si>
    <t>21371558.54553</t>
  </si>
  <si>
    <t>1.1.1.1.1.2.3.17.7</t>
  </si>
  <si>
    <t>298925335.54852</t>
  </si>
  <si>
    <t>21371558.54852</t>
  </si>
  <si>
    <t>1.1.1.1.1.2.4</t>
  </si>
  <si>
    <t>6.3.1.5.2.4</t>
  </si>
  <si>
    <t>Монтаж люков, панелей, решеток</t>
  </si>
  <si>
    <t>1.1.1.1.1.2.4.1</t>
  </si>
  <si>
    <t>6.3.1.5.2.4.2.1</t>
  </si>
  <si>
    <t>Установка люков противопожарных / в потолке</t>
  </si>
  <si>
    <t>Поставка и монтаж люков "Небоскреб" от ГК Хаммер</t>
  </si>
  <si>
    <t>14838fe6-ed64-403b-bef9-47ab2370e6a2</t>
  </si>
  <si>
    <t>65f52617-9a3b-493d-92c8-86789a080f12</t>
  </si>
  <si>
    <t>1.1.1.1.1.2.4.1.1</t>
  </si>
  <si>
    <t>Люк ревизионный противопожарный Металл 850х2100мм EI60, открывание Правое</t>
  </si>
  <si>
    <t>Люк "Небоскреб" для выхода на кровлю противопожарный (EI60) Небоскреб (2450х1250, петли по стороне 2450, вн.проем 2200x1000, поручень справа), лебедка</t>
  </si>
  <si>
    <t>298925338.757696</t>
  </si>
  <si>
    <t>19996218.757696</t>
  </si>
  <si>
    <t>accbc8a7-e442-11e9-80ec-005056881952</t>
  </si>
  <si>
    <t>1.1.1.1.1.2.4.2</t>
  </si>
  <si>
    <t>6.3.1.5.2.4.2.2</t>
  </si>
  <si>
    <t>Установка люков противопожарных / в стене</t>
  </si>
  <si>
    <t>Поставка и монтаж люков "Техно" от ГК Хаммер</t>
  </si>
  <si>
    <t>5a0dccfe-b755-49b8-bd73-b49ccc865b87</t>
  </si>
  <si>
    <t>4fe442a6-61c6-4429-8158-4627027df66d</t>
  </si>
  <si>
    <t>1.1.1.1.1.2.4.2.1</t>
  </si>
  <si>
    <t>Люк ревизионный противопожарный Металл 680х1900мм EI60, открывание Правое</t>
  </si>
  <si>
    <t>Люк "Техно" под покраску противопожарный EIS60 однопольный,  (проем 700х1800h (габаритные размеры 680х1780), запирание №4 утопленная ручка Хефеле, шариковые защелки,  замок с трехгранным ключом.</t>
  </si>
  <si>
    <t>298925339.757064</t>
  </si>
  <si>
    <t>19996219.757064</t>
  </si>
  <si>
    <t>f2d41633-e389-11e9-80ec-005056881952</t>
  </si>
  <si>
    <t>1.1.1.1.1.3</t>
  </si>
  <si>
    <t>6.3.1.5.3</t>
  </si>
  <si>
    <t>Потолки</t>
  </si>
  <si>
    <t>1.1.1.1.1.3.1</t>
  </si>
  <si>
    <t>6.3.1.5.3.1</t>
  </si>
  <si>
    <t>Черновые работы по поверхности потолков</t>
  </si>
  <si>
    <t>1.1.1.1.1.3.1.1</t>
  </si>
  <si>
    <t>6.3.1.5.3.1.1.1</t>
  </si>
  <si>
    <t>Выравнивание потолка с предварительной огрунтовкой поверхности / по ЖБ поверхности / толщ. 5 мм</t>
  </si>
  <si>
    <t>a708b664-5128-4306-a9f8-65f4a48c89df</t>
  </si>
  <si>
    <t>bcf92e37-44ee-49c2-9267-a83aebb31adb</t>
  </si>
  <si>
    <t>1.1.1.1.1.3.1.1._</t>
  </si>
  <si>
    <t>1.1.1.1.1.3.1.1.1</t>
  </si>
  <si>
    <t>Шпатлевка гипсовая_ / белая / Унифицированная по ПИК-СТАНДАРТ, 30кг (BIM)</t>
  </si>
  <si>
    <t>Шпаклевка гипсовая Старатели базовая белая 20 кг
Шпаклевка гипсовая Старатели финишная 20 кг</t>
  </si>
  <si>
    <t>298925343.1570750</t>
  </si>
  <si>
    <t>16230872.1570750</t>
  </si>
  <si>
    <t>3254b4be-ac53-4a29-ad23-972be75bc24b</t>
  </si>
  <si>
    <t>1.1.1.1.1.3.1.1.1._</t>
  </si>
  <si>
    <t>213493219.1570750</t>
  </si>
  <si>
    <t>1.1.1.1.1.3.1.1.2</t>
  </si>
  <si>
    <t>298925343.54633</t>
  </si>
  <si>
    <t>16230872.54633</t>
  </si>
  <si>
    <t>1.1.1.1.1.3.1.1.2._</t>
  </si>
  <si>
    <t>213493219.54633</t>
  </si>
  <si>
    <t>1.1.1.1.1.3.1.2</t>
  </si>
  <si>
    <t>6.3.1.5.3.1.6.1</t>
  </si>
  <si>
    <t>Подготовка поверхности СКБ / потолка / ЖБ / 5 мм</t>
  </si>
  <si>
    <t>3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</si>
  <si>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d8ade7bb-05e7-4786-90a0-891f405ecdf1</t>
  </si>
  <si>
    <t>d89f0cdd-97a2-4d68-95d2-a137bc57c6ad</t>
  </si>
  <si>
    <t>1.1.1.1.1.3.1.2.1</t>
  </si>
  <si>
    <t>298925345.54622</t>
  </si>
  <si>
    <t>16680701.54622</t>
  </si>
  <si>
    <t>1.1.1.1.1.3.1.2.2</t>
  </si>
  <si>
    <t>298925345.54633</t>
  </si>
  <si>
    <t>16680701.54633</t>
  </si>
  <si>
    <t>1.1.1.1.1.3.1.3</t>
  </si>
  <si>
    <t>2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</si>
  <si>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1.1.1.1.1.3.1.3.1</t>
  </si>
  <si>
    <t>298925445.54633</t>
  </si>
  <si>
    <t>19997129.54633</t>
  </si>
  <si>
    <t>1.1.1.1.1.3.1.3.2</t>
  </si>
  <si>
    <t>298925445.54622</t>
  </si>
  <si>
    <t>19997129.54622</t>
  </si>
  <si>
    <t>1.1.1.1.1.3.1.4</t>
  </si>
  <si>
    <t>6.3.1.5.3.1.6.6</t>
  </si>
  <si>
    <t>Подготовка поверхности СКБ / потолка / по штукатурке / 2мм</t>
  </si>
  <si>
    <t>2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</si>
  <si>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42d08cea-07ba-4dbe-a8b0-b5e7c8673109</t>
  </si>
  <si>
    <t>7a2a024b-7aa6-4bee-9d60-f94b39f3d674</t>
  </si>
  <si>
    <t>1.1.1.1.1.3.1.4.1</t>
  </si>
  <si>
    <t>298925346.1570750</t>
  </si>
  <si>
    <t>19997514.1570750</t>
  </si>
  <si>
    <t>1.1.1.1.1.3.1.4.2</t>
  </si>
  <si>
    <t>298925346.1139608</t>
  </si>
  <si>
    <t>19997514.1139608</t>
  </si>
  <si>
    <t>1.1.1.1.1.3.1.5</t>
  </si>
  <si>
    <t>3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</si>
  <si>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1.1.1.1.1.3.1.5.1</t>
  </si>
  <si>
    <t>298925446.1139608</t>
  </si>
  <si>
    <t>19997515.1139608</t>
  </si>
  <si>
    <t>1.1.1.1.1.3.1.5.2</t>
  </si>
  <si>
    <t>298925446.1570750</t>
  </si>
  <si>
    <t>19997515.1570750</t>
  </si>
  <si>
    <t>1.1.1.1.1.3.2</t>
  </si>
  <si>
    <t>6.3.1.5.3.2</t>
  </si>
  <si>
    <t>Чистовые работы по поверхности потолков</t>
  </si>
  <si>
    <t>1.1.1.1.1.3.2.1</t>
  </si>
  <si>
    <t>6.3.1.5.3.2.1.1</t>
  </si>
  <si>
    <t>Окраска поверхностей потолков с предварительной огрунтовкой поверхностей / в 2 слоя</t>
  </si>
  <si>
    <t>478a6ca3-0d25-4222-a9b0-4491b9343f07</t>
  </si>
  <si>
    <t>e8137cae-2b7d-4e33-9b8f-0ac63510ca78</t>
  </si>
  <si>
    <t>1.1.1.1.1.3.2.1._</t>
  </si>
  <si>
    <t>1.1.1.1.1.3.2.1.1</t>
  </si>
  <si>
    <t>Окраска матовой водно-дисперсионной краской для высококачественной отделки Antega Строитель (моющаяся) цвет серый шелк RAL 7044, КМ1</t>
  </si>
  <si>
    <t>298925349.391225</t>
  </si>
  <si>
    <t>16231516.391225</t>
  </si>
  <si>
    <t>1.1.1.1.1.3.2.1.1._</t>
  </si>
  <si>
    <t>206485775.391225</t>
  </si>
  <si>
    <t>1.1.1.1.1.3.2.1.2</t>
  </si>
  <si>
    <t>298925349.54634</t>
  </si>
  <si>
    <t>16231516.54634</t>
  </si>
  <si>
    <t>1.1.1.1.1.3.2.1.2._</t>
  </si>
  <si>
    <t>206485775.54634</t>
  </si>
  <si>
    <t>1.1.1.1.1.3.2.2</t>
  </si>
  <si>
    <t>1.1.1.1.1.3.2.2._</t>
  </si>
  <si>
    <t>1.1.1.1.1.3.2.2.1</t>
  </si>
  <si>
    <t>298925447.54634</t>
  </si>
  <si>
    <t>16231523.54634</t>
  </si>
  <si>
    <t>1.1.1.1.1.3.2.2.1._</t>
  </si>
  <si>
    <t>220089303.54634</t>
  </si>
  <si>
    <t>1.1.1.1.1.3.2.2.2</t>
  </si>
  <si>
    <t>Краска негорючая моющаяся Protect Decor_ / RAL 9003</t>
  </si>
  <si>
    <t>Краска огнестойкая Antega Строитель НГ, цвет - белый RAL 9003, КМ0</t>
  </si>
  <si>
    <t>298925447.758336</t>
  </si>
  <si>
    <t>16231523.758336</t>
  </si>
  <si>
    <t>892d9f8d-ffaf-4ce8-87d2-2326a6c94834</t>
  </si>
  <si>
    <t>1.1.1.1.1.3.2.2.2._</t>
  </si>
  <si>
    <t>220089303.758336</t>
  </si>
  <si>
    <t>1.1.1.1.1.3.2.3</t>
  </si>
  <si>
    <t>1.1.1.1.1.3.2.3._</t>
  </si>
  <si>
    <t>1.1.1.1.1.3.2.3.1</t>
  </si>
  <si>
    <t>Краска огнестойкая Antega Строитель НГ, цвет - темно-серый RAL 7016, КМ0</t>
  </si>
  <si>
    <t>298925448.758336</t>
  </si>
  <si>
    <t>16231517.758336</t>
  </si>
  <si>
    <t>1.1.1.1.1.3.2.3.1._</t>
  </si>
  <si>
    <t>220089304.758336</t>
  </si>
  <si>
    <t>1.1.1.1.1.3.2.3.2</t>
  </si>
  <si>
    <t>298925448.54634</t>
  </si>
  <si>
    <t>16231517.54634</t>
  </si>
  <si>
    <t>1.1.1.1.1.3.2.3.2._</t>
  </si>
  <si>
    <t>220089304.54634</t>
  </si>
  <si>
    <t>1.1.1.1.1.3.2.4</t>
  </si>
  <si>
    <t>1.1.1.1.1.3.2.4._</t>
  </si>
  <si>
    <t>1.1.1.1.1.3.2.4.1</t>
  </si>
  <si>
    <t>298925449.54634</t>
  </si>
  <si>
    <t>16231518.54634</t>
  </si>
  <si>
    <t>1.1.1.1.1.3.2.4.1._</t>
  </si>
  <si>
    <t>220089305.54634</t>
  </si>
  <si>
    <t>1.1.1.1.1.3.2.4.2</t>
  </si>
  <si>
    <t>Краска огнестойкая Antega Строитель НГ, цвет серый шелк RAL 7044, КМ0</t>
  </si>
  <si>
    <t>298925449.758336</t>
  </si>
  <si>
    <t>16231518.758336</t>
  </si>
  <si>
    <t>1.1.1.1.1.3.2.4.2._</t>
  </si>
  <si>
    <t>220089305.758336</t>
  </si>
  <si>
    <t>1.1.1.1.1.3.2.5</t>
  </si>
  <si>
    <t>1.1.1.1.1.3.2.5._</t>
  </si>
  <si>
    <t>1.1.1.1.1.3.2.5.1</t>
  </si>
  <si>
    <t>Краска огнестойкая Antega Строитель НГ, цвет голубой NCS S 2030-R80B, КМ0</t>
  </si>
  <si>
    <t>298925450.758336</t>
  </si>
  <si>
    <t>16231519.758336</t>
  </si>
  <si>
    <t>1.1.1.1.1.3.2.5.1._</t>
  </si>
  <si>
    <t>220089306.758336</t>
  </si>
  <si>
    <t>1.1.1.1.1.3.2.5.2</t>
  </si>
  <si>
    <t>298925450.54634</t>
  </si>
  <si>
    <t>16231519.54634</t>
  </si>
  <si>
    <t>1.1.1.1.1.3.2.5.2._</t>
  </si>
  <si>
    <t>220089306.54634</t>
  </si>
  <si>
    <t>1.1.1.1.1.3.2.6</t>
  </si>
  <si>
    <t>1.1.1.1.1.3.2.6._</t>
  </si>
  <si>
    <t>1.1.1.1.1.3.2.6.1</t>
  </si>
  <si>
    <t>298925451.54634</t>
  </si>
  <si>
    <t>16231520.54634</t>
  </si>
  <si>
    <t>1.1.1.1.1.3.2.6.1._</t>
  </si>
  <si>
    <t>220089307.54634</t>
  </si>
  <si>
    <t>1.1.1.1.1.3.2.6.2</t>
  </si>
  <si>
    <t>Краска огнестойкая Antega Строитель НГ, цвет зеленый RAL NCS S 2060-G40Y, КМ0</t>
  </si>
  <si>
    <t>298925451.758336</t>
  </si>
  <si>
    <t>16231520.758336</t>
  </si>
  <si>
    <t>1.1.1.1.1.3.2.6.2._</t>
  </si>
  <si>
    <t>220089307.758336</t>
  </si>
  <si>
    <t>1.1.1.1.1.3.2.7</t>
  </si>
  <si>
    <t>1.1.1.1.1.3.2.7._</t>
  </si>
  <si>
    <t>1.1.1.1.1.3.2.7.1</t>
  </si>
  <si>
    <t>Краска огнестойкая Antega Строитель НГ, цвет желтый NCS S 1070-Y20R, КМ0</t>
  </si>
  <si>
    <t>298925452.758336</t>
  </si>
  <si>
    <t>16231521.758336</t>
  </si>
  <si>
    <t>1.1.1.1.1.3.2.7.1._</t>
  </si>
  <si>
    <t>220089308.758336</t>
  </si>
  <si>
    <t>1.1.1.1.1.3.2.7.2</t>
  </si>
  <si>
    <t>298925452.54634</t>
  </si>
  <si>
    <t>16231521.54634</t>
  </si>
  <si>
    <t>1.1.1.1.1.3.2.7.2._</t>
  </si>
  <si>
    <t>220089308.54634</t>
  </si>
  <si>
    <t>1.1.1.1.1.3.2.8</t>
  </si>
  <si>
    <t>1.1.1.1.1.3.2.8._</t>
  </si>
  <si>
    <t>1.1.1.1.1.3.2.8.1</t>
  </si>
  <si>
    <t>298925453.54634</t>
  </si>
  <si>
    <t>16231522.54634</t>
  </si>
  <si>
    <t>1.1.1.1.1.3.2.8.1._</t>
  </si>
  <si>
    <t>220089309.54634</t>
  </si>
  <si>
    <t>1.1.1.1.1.3.2.8.2</t>
  </si>
  <si>
    <t>Краска огнестойкая Antega Строитель НГ, цвет оранжевый NCS S 2060-Y30R, КМ0</t>
  </si>
  <si>
    <t>298925453.758336</t>
  </si>
  <si>
    <t>16231522.758336</t>
  </si>
  <si>
    <t>1.1.1.1.1.3.2.8.2._</t>
  </si>
  <si>
    <t>220089309.758336</t>
  </si>
  <si>
    <t>1.1.1.1.1.3.2.9</t>
  </si>
  <si>
    <t>6.3.1.5.3.2.3.2</t>
  </si>
  <si>
    <t>Лакокрасочные работы СКБ / окраска потолков / в 2 слоя</t>
  </si>
  <si>
    <t>2 этаж. ПТ-1.4</t>
  </si>
  <si>
    <t>55dcd11a-c570-4894-be4e-3c3874402761</t>
  </si>
  <si>
    <t>3997b616-bcf5-4c13-ae76-75afa96c846f</t>
  </si>
  <si>
    <t>1.1.1.1.1.3.2.9.1</t>
  </si>
  <si>
    <t>Краска водно-дисперсионная / КМ1 7015</t>
  </si>
  <si>
    <t>Матовая водно-дисперсионная краска, ANTEGA СТРОИТЕЛЬ, NCS S 5030-R90B, 2 класс истирания, КМ1</t>
  </si>
  <si>
    <t>298925351.1506602</t>
  </si>
  <si>
    <t>19999841.1506602</t>
  </si>
  <si>
    <t>19af7fe3-8443-4568-a710-25124fd74cd7</t>
  </si>
  <si>
    <t>1.1.1.1.1.3.2.9.2</t>
  </si>
  <si>
    <t>298925351.54634</t>
  </si>
  <si>
    <t>19999841.54634</t>
  </si>
  <si>
    <t>1.1.1.1.1.3.2.10</t>
  </si>
  <si>
    <t>2 этаж. ПТ-1.8</t>
  </si>
  <si>
    <t>1.1.1.1.1.3.2.10.1</t>
  </si>
  <si>
    <t>298925454.54634</t>
  </si>
  <si>
    <t>19999842.54634</t>
  </si>
  <si>
    <t>1.1.1.1.1.3.2.10.2</t>
  </si>
  <si>
    <t>Матовая водно-дисперсионная краска, ANTEGA СТРОИТЕЛЬ, NCS S 2060-G40Y, 2 класс истирания, КМ1</t>
  </si>
  <si>
    <t>298925454.1506602</t>
  </si>
  <si>
    <t>19999842.1506602</t>
  </si>
  <si>
    <t>1.1.1.1.1.3.2.11</t>
  </si>
  <si>
    <t>2 этаж. ПТ-1.1</t>
  </si>
  <si>
    <t>1.1.1.1.1.3.2.11.1</t>
  </si>
  <si>
    <t>Матовая водно-дисперсионная краска, ANTEGA СТРОИТЕЛЬ, RAL 9003, белый, 2 класс истирания, КМ1</t>
  </si>
  <si>
    <t>298925455.1506602</t>
  </si>
  <si>
    <t>19999840.1506602</t>
  </si>
  <si>
    <t>1.1.1.1.1.3.2.11.2</t>
  </si>
  <si>
    <t>298925455.54634</t>
  </si>
  <si>
    <t>19999840.54634</t>
  </si>
  <si>
    <t>1.1.1.1.1.3.2.12</t>
  </si>
  <si>
    <t>2 этаж. ПТ-2.3</t>
  </si>
  <si>
    <t>1.1.1.1.1.3.2.12.1</t>
  </si>
  <si>
    <t>298925456.54634</t>
  </si>
  <si>
    <t>19999843.54634</t>
  </si>
  <si>
    <t>1.1.1.1.1.3.2.12.2</t>
  </si>
  <si>
    <t>Краска для потолка Стройтекс КМ0_ / RAL 7037</t>
  </si>
  <si>
    <t>Краска негорючая ANTEGA СТРОИТЕЛЬ, RAL 7044, 1 класс истирания, КМ0</t>
  </si>
  <si>
    <t>298925456.1270453</t>
  </si>
  <si>
    <t>19999843.1270453</t>
  </si>
  <si>
    <t>03ec6e71-d2cd-4894-958d-4ce6110575f9</t>
  </si>
  <si>
    <t>1.1.1.1.1.3.2.13</t>
  </si>
  <si>
    <t>2 этаж. ПТ-2.4</t>
  </si>
  <si>
    <t>1.1.1.1.1.3.2.13.1</t>
  </si>
  <si>
    <t xml:space="preserve">Краска негорючая ANTEGA СТРОИТЕЛЬ НГ, NCS S 1070-Y30R, 1 класс истирания, КМ0 </t>
  </si>
  <si>
    <t>298925457.1270453</t>
  </si>
  <si>
    <t>19999844.1270453</t>
  </si>
  <si>
    <t>1.1.1.1.1.3.2.13.2</t>
  </si>
  <si>
    <t>298925457.54634</t>
  </si>
  <si>
    <t>19999844.54634</t>
  </si>
  <si>
    <t>1.1.1.1.1.3.2.14</t>
  </si>
  <si>
    <t>2 этаж. ПТ-2.6</t>
  </si>
  <si>
    <t>1.1.1.1.1.3.2.14.1</t>
  </si>
  <si>
    <t>298925458.54634</t>
  </si>
  <si>
    <t>19999845.54634</t>
  </si>
  <si>
    <t>1.1.1.1.1.3.2.14.2</t>
  </si>
  <si>
    <t>Краска негорючая ANTEGA СТРОИТЕЛЬ, NCS S 5020-R70B, 1 класс истирания, КМ0</t>
  </si>
  <si>
    <t>298925458.1270453</t>
  </si>
  <si>
    <t>19999845.1270453</t>
  </si>
  <si>
    <t>1.1.1.1.1.3.2.15</t>
  </si>
  <si>
    <t>2 этаж. ПТ-2.8</t>
  </si>
  <si>
    <t>1.1.1.1.1.3.2.15.1</t>
  </si>
  <si>
    <t>Краска негорючая ANTEGA СТРОИТЕЛЬ НГ, NCS S 4020-R90B, 1 класс истирания, КМ0</t>
  </si>
  <si>
    <t>298925459.1270453</t>
  </si>
  <si>
    <t>19999846.1270453</t>
  </si>
  <si>
    <t>1.1.1.1.1.3.2.15.2</t>
  </si>
  <si>
    <t>298925459.54634</t>
  </si>
  <si>
    <t>19999846.54634</t>
  </si>
  <si>
    <t>1.1.1.1.1.3.2.16</t>
  </si>
  <si>
    <t>2 этаж. ПТ-1.2</t>
  </si>
  <si>
    <t>1.1.1.1.1.3.2.16.1</t>
  </si>
  <si>
    <t>298925460.54634</t>
  </si>
  <si>
    <t>20002013.54634</t>
  </si>
  <si>
    <t>1.1.1.1.1.3.2.16.2</t>
  </si>
  <si>
    <t>Матовая водно-дисперсионная краска, ANTEGA СТРОИТЕЛЬ, RAL 7044,
серый-шелк, 2 класс истирания, КМ1</t>
  </si>
  <si>
    <t>298925460.1506602</t>
  </si>
  <si>
    <t>20002013.1506602</t>
  </si>
  <si>
    <t>1.1.1.1.1.3.2.17</t>
  </si>
  <si>
    <t>2 этаж. ПТ-2.1</t>
  </si>
  <si>
    <t>1.1.1.1.1.3.2.17.1</t>
  </si>
  <si>
    <t>Краска негорючая ANTEGA СТРОИТЕЛЬ НГ, RAL 9003, 1 класс истирания, КМ0</t>
  </si>
  <si>
    <t>298925461.1270453</t>
  </si>
  <si>
    <t>20002014.1270453</t>
  </si>
  <si>
    <t>1.1.1.1.1.3.2.17.2</t>
  </si>
  <si>
    <t>298925461.54634</t>
  </si>
  <si>
    <t>20002014.54634</t>
  </si>
  <si>
    <t>1.1.1.1.1.3.2.18</t>
  </si>
  <si>
    <t>2 этаж. ПТ-2.5</t>
  </si>
  <si>
    <t>1.1.1.1.1.3.2.18.1</t>
  </si>
  <si>
    <t>Грунтовка _ /  универсальная глубокого проникновения</t>
  </si>
  <si>
    <t>298925462.1751832</t>
  </si>
  <si>
    <t>20002017.1751832</t>
  </si>
  <si>
    <t>b4b0210a-8af4-4646-b1a9-fca6c13407aa</t>
  </si>
  <si>
    <t>1.1.1.1.1.3.2.18.2</t>
  </si>
  <si>
    <t>Краска негорючая ANTEGA СТРОИТЕЛЬ НГ, NCS S 2030-R80B, 1 класс
истирания, КМ0</t>
  </si>
  <si>
    <t>298925462.1270453</t>
  </si>
  <si>
    <t>20002017.1270453</t>
  </si>
  <si>
    <t>1.1.1.1.1.3.2.19</t>
  </si>
  <si>
    <t>2 этаж. ПТ-2.7</t>
  </si>
  <si>
    <t>1.1.1.1.1.3.2.19.1</t>
  </si>
  <si>
    <t>Краска негорючая ANTEGA СТРОИТЕЛЬ, NCS S 5030-R90B, 1 класс истирания, КМ0</t>
  </si>
  <si>
    <t>298925463.1270453</t>
  </si>
  <si>
    <t>20002018.1270453</t>
  </si>
  <si>
    <t>1.1.1.1.1.3.2.19.2</t>
  </si>
  <si>
    <t>298925463.54634</t>
  </si>
  <si>
    <t>20002018.54634</t>
  </si>
  <si>
    <t>1.1.1.1.1.3.2.20</t>
  </si>
  <si>
    <t>1.1.1.1.1.3.2.20.1</t>
  </si>
  <si>
    <t>298925464.54634</t>
  </si>
  <si>
    <t>20002019.54634</t>
  </si>
  <si>
    <t>1.1.1.1.1.3.2.20.2</t>
  </si>
  <si>
    <t xml:space="preserve">Краска негорючая ANTEGA СТРОИТЕЛЬ НГ, NCS S 2060-G40Y, 1 класс истирания, КМ0
</t>
  </si>
  <si>
    <t>298925464.1270453</t>
  </si>
  <si>
    <t>20002019.1270453</t>
  </si>
  <si>
    <t>1.1.1.1.1.3.2.21</t>
  </si>
  <si>
    <t>2 этаж. ПТ-2.10</t>
  </si>
  <si>
    <t>1.1.1.1.1.3.2.21.1</t>
  </si>
  <si>
    <t>Краска негорючая ANTEGA СТРОИТЕЛЬ, NCS S 3040-R20B, 1 класс истирания, КМ0</t>
  </si>
  <si>
    <t>298925465.1270453</t>
  </si>
  <si>
    <t>20002015.1270453</t>
  </si>
  <si>
    <t>1.1.1.1.1.3.2.21.2</t>
  </si>
  <si>
    <t>298925465.54634</t>
  </si>
  <si>
    <t>20002015.54634</t>
  </si>
  <si>
    <t>1.1.1.1.1.3.2.22</t>
  </si>
  <si>
    <t>2 этаж. ПТ-2.16</t>
  </si>
  <si>
    <t>1.1.1.1.1.3.2.22.1</t>
  </si>
  <si>
    <t>298925466.54634</t>
  </si>
  <si>
    <t>20002016.54634</t>
  </si>
  <si>
    <t>1.1.1.1.1.3.2.22.2</t>
  </si>
  <si>
    <t>Матовая моющаяся влагостойкая водно-дисперсионная силикатная краска НГ, Ral 7016, 1 класс истирания, КМ0</t>
  </si>
  <si>
    <t>298925466.1270453</t>
  </si>
  <si>
    <t>20002016.1270453</t>
  </si>
  <si>
    <t>1.1.1.1.1.3.2.23</t>
  </si>
  <si>
    <t>2 этаж. ПТ-4.1</t>
  </si>
  <si>
    <t>1.1.1.1.1.3.2.23.1</t>
  </si>
  <si>
    <t>Матовая водно-дисперсионная краска ANTEGA СТРОИТЕЛЬ , RAL 9003, КМ1</t>
  </si>
  <si>
    <t>298925467.1506602</t>
  </si>
  <si>
    <t>20002020.1506602</t>
  </si>
  <si>
    <t>1.1.1.1.1.3.2.23.2</t>
  </si>
  <si>
    <t>298925467.54634</t>
  </si>
  <si>
    <t>20002020.54634</t>
  </si>
  <si>
    <t>1.1.1.1.1.3.2.24</t>
  </si>
  <si>
    <t>2 этаж. ПТ-4.3</t>
  </si>
  <si>
    <t>1.1.1.1.1.3.2.24.1</t>
  </si>
  <si>
    <t>298925468.54634</t>
  </si>
  <si>
    <t>20002021.54634</t>
  </si>
  <si>
    <t>1.1.1.1.1.3.2.24.2</t>
  </si>
  <si>
    <t>Матовая водно-дисперсионная краска ANTEGA СТРОИТЕЛЬ , RAL 7016, КМ1</t>
  </si>
  <si>
    <t>298925468.1506602</t>
  </si>
  <si>
    <t>20002021.1506602</t>
  </si>
  <si>
    <t>1.1.1.1.1.3.2.25</t>
  </si>
  <si>
    <t>2 этаж. ПТ-5.1</t>
  </si>
  <si>
    <t>1.1.1.1.1.3.2.25.1</t>
  </si>
  <si>
    <t>краска негорючая ANTEGA СТРОИТЕЛЬ, RAL 9003, 1 класс
истирания, КМ0</t>
  </si>
  <si>
    <t>298925469.1270453</t>
  </si>
  <si>
    <t>20002022.1270453</t>
  </si>
  <si>
    <t>1.1.1.1.1.3.2.25.2</t>
  </si>
  <si>
    <t>298925469.54634</t>
  </si>
  <si>
    <t>20002022.54634</t>
  </si>
  <si>
    <t>1.1.1.1.1.3.2.26</t>
  </si>
  <si>
    <t>2 этаж. ПТ-5.2</t>
  </si>
  <si>
    <t>1.1.1.1.1.3.2.26.1</t>
  </si>
  <si>
    <t>298925470.54634</t>
  </si>
  <si>
    <t>20002023.54634</t>
  </si>
  <si>
    <t>1.1.1.1.1.3.2.26.2</t>
  </si>
  <si>
    <t>Краска огнестойкая ANTEGA СТРОИТЕЛЬ НГ, RAL 7016, КМ0</t>
  </si>
  <si>
    <t>298925470.1270453</t>
  </si>
  <si>
    <t>20002023.1270453</t>
  </si>
  <si>
    <t>1.1.1.1.1.3.2.27</t>
  </si>
  <si>
    <t>3 этаж. ПТ-1.1</t>
  </si>
  <si>
    <t>1.1.1.1.1.3.2.27.1</t>
  </si>
  <si>
    <t>298925471.1506602</t>
  </si>
  <si>
    <t>20002024.1506602</t>
  </si>
  <si>
    <t>1.1.1.1.1.3.2.27.2</t>
  </si>
  <si>
    <t>298925471.54634</t>
  </si>
  <si>
    <t>20002024.54634</t>
  </si>
  <si>
    <t>1.1.1.1.1.3.2.28</t>
  </si>
  <si>
    <t>3 этаж. ПТ-1.2</t>
  </si>
  <si>
    <t>1.1.1.1.1.3.2.28.1</t>
  </si>
  <si>
    <t>298925472.54634</t>
  </si>
  <si>
    <t>20002025.54634</t>
  </si>
  <si>
    <t>1.1.1.1.1.3.2.28.2</t>
  </si>
  <si>
    <t>298925472.1506602</t>
  </si>
  <si>
    <t>20002025.1506602</t>
  </si>
  <si>
    <t>1.1.1.1.1.3.2.29</t>
  </si>
  <si>
    <t>3 этаж. ПТ-1.4</t>
  </si>
  <si>
    <t>1.1.1.1.1.3.2.29.1</t>
  </si>
  <si>
    <t>298925473.1506602</t>
  </si>
  <si>
    <t>20002274.1506602</t>
  </si>
  <si>
    <t>1.1.1.1.1.3.2.29.2</t>
  </si>
  <si>
    <t>298925473.54634</t>
  </si>
  <si>
    <t>20002274.54634</t>
  </si>
  <si>
    <t>1.1.1.1.1.3.2.30</t>
  </si>
  <si>
    <t>3 этаж. ПТ-1.8</t>
  </si>
  <si>
    <t>1.1.1.1.1.3.2.30.1</t>
  </si>
  <si>
    <t>298925474.54634</t>
  </si>
  <si>
    <t>20002275.54634</t>
  </si>
  <si>
    <t>1.1.1.1.1.3.2.30.2</t>
  </si>
  <si>
    <t>298925474.1506602</t>
  </si>
  <si>
    <t>20002275.1506602</t>
  </si>
  <si>
    <t>1.1.1.1.1.3.2.31</t>
  </si>
  <si>
    <t>3 этаж. ПТ-2.1</t>
  </si>
  <si>
    <t>1.1.1.1.1.3.2.31.1</t>
  </si>
  <si>
    <t>298925475.1270453</t>
  </si>
  <si>
    <t>20002276.1270453</t>
  </si>
  <si>
    <t>1.1.1.1.1.3.2.31.2</t>
  </si>
  <si>
    <t>298925475.54634</t>
  </si>
  <si>
    <t>20002276.54634</t>
  </si>
  <si>
    <t>1.1.1.1.1.3.2.32</t>
  </si>
  <si>
    <t>3 этаж. ПТ-2.3</t>
  </si>
  <si>
    <t>1.1.1.1.1.3.2.32.1</t>
  </si>
  <si>
    <t>298925476.54634</t>
  </si>
  <si>
    <t>20002277.54634</t>
  </si>
  <si>
    <t>1.1.1.1.1.3.2.32.2</t>
  </si>
  <si>
    <t>298925476.1270453</t>
  </si>
  <si>
    <t>20002277.1270453</t>
  </si>
  <si>
    <t>1.1.1.1.1.3.2.33</t>
  </si>
  <si>
    <t>3 этаж. ПТ-2.4</t>
  </si>
  <si>
    <t>1.1.1.1.1.3.2.33.1</t>
  </si>
  <si>
    <t>Краска негорючая ANTEGA СТРОИТЕЛЬ НГ, NCS S 1070-Y30R, 1 класс
истирания, КМ0</t>
  </si>
  <si>
    <t>298925477.1270453</t>
  </si>
  <si>
    <t>20002410.1270453</t>
  </si>
  <si>
    <t>1.1.1.1.1.3.2.33.2</t>
  </si>
  <si>
    <t>298925477.54634</t>
  </si>
  <si>
    <t>20002410.54634</t>
  </si>
  <si>
    <t>1.1.1.1.1.3.2.34</t>
  </si>
  <si>
    <t>3 этаж. ПТ-2.5</t>
  </si>
  <si>
    <t>1.1.1.1.1.3.2.34.1</t>
  </si>
  <si>
    <t>298925478.54634</t>
  </si>
  <si>
    <t>20002411.54634</t>
  </si>
  <si>
    <t>1.1.1.1.1.3.2.34.2</t>
  </si>
  <si>
    <t>Краска негорючая ANTEGA СТРОИТЕЛЬ НГ, NCS S 2030-R80B, 1 класс истирания, КМ0</t>
  </si>
  <si>
    <t>298925478.1270453</t>
  </si>
  <si>
    <t>20002411.1270453</t>
  </si>
  <si>
    <t>1.1.1.1.1.3.2.35</t>
  </si>
  <si>
    <t>3 этаж. ПТ-2.6</t>
  </si>
  <si>
    <t>1.1.1.1.1.3.2.35.1</t>
  </si>
  <si>
    <t>298925479.1270453</t>
  </si>
  <si>
    <t>20002412.1270453</t>
  </si>
  <si>
    <t>1.1.1.1.1.3.2.35.2</t>
  </si>
  <si>
    <t>298925479.54634</t>
  </si>
  <si>
    <t>20002412.54634</t>
  </si>
  <si>
    <t>1.1.1.1.1.3.2.36</t>
  </si>
  <si>
    <t>3 этаж. ПТ-2.7</t>
  </si>
  <si>
    <t>1.1.1.1.1.3.2.36.1</t>
  </si>
  <si>
    <t>298925480.54634</t>
  </si>
  <si>
    <t>20003313.54634</t>
  </si>
  <si>
    <t>1.1.1.1.1.3.2.36.2</t>
  </si>
  <si>
    <t>Краска моющаяся влагостойкая  / RAL 9004 матовый / БЭСТ-КОЛОР</t>
  </si>
  <si>
    <t>298925480.1139607</t>
  </si>
  <si>
    <t>20003313.1139607</t>
  </si>
  <si>
    <t>0cc20ed5-ec9c-48d2-8ad7-c436b45f2e56</t>
  </si>
  <si>
    <t>1.1.1.1.1.3.2.37</t>
  </si>
  <si>
    <t>3 этаж. ПТ-2.8</t>
  </si>
  <si>
    <t>1.1.1.1.1.3.2.37.1</t>
  </si>
  <si>
    <t>Краска негорючая ANTEGA СТРОИТЕЛЬ НГ, NCS S 2060-G40Y, 1 класс истирания, КМ0</t>
  </si>
  <si>
    <t>298925481.1270453</t>
  </si>
  <si>
    <t>20003314.1270453</t>
  </si>
  <si>
    <t>1.1.1.1.1.3.2.37.2</t>
  </si>
  <si>
    <t>298925481.54634</t>
  </si>
  <si>
    <t>20003314.54634</t>
  </si>
  <si>
    <t>1.1.1.1.1.3.2.38</t>
  </si>
  <si>
    <t>3 этаж. ПТ-2.10</t>
  </si>
  <si>
    <t>1.1.1.1.1.3.2.38.1</t>
  </si>
  <si>
    <t>298925482.54634</t>
  </si>
  <si>
    <t>20003315.54634</t>
  </si>
  <si>
    <t>1.1.1.1.1.3.2.38.2</t>
  </si>
  <si>
    <t>298925482.1270453</t>
  </si>
  <si>
    <t>20003315.1270453</t>
  </si>
  <si>
    <t>1.1.1.1.1.3.2.39</t>
  </si>
  <si>
    <t>3 этаж. ПТ-2.16</t>
  </si>
  <si>
    <t>1.1.1.1.1.3.2.39.1</t>
  </si>
  <si>
    <t>298925483.1506602</t>
  </si>
  <si>
    <t>20003316.1506602</t>
  </si>
  <si>
    <t>1.1.1.1.1.3.2.39.2</t>
  </si>
  <si>
    <t>298925483.54634</t>
  </si>
  <si>
    <t>20003316.54634</t>
  </si>
  <si>
    <t>1.1.1.1.1.3.2.40</t>
  </si>
  <si>
    <t>3 этаж. ПТ-4.1</t>
  </si>
  <si>
    <t>1.1.1.1.1.3.2.40.1</t>
  </si>
  <si>
    <t>298925484.54634</t>
  </si>
  <si>
    <t>20003311.54634</t>
  </si>
  <si>
    <t>1.1.1.1.1.3.2.40.2</t>
  </si>
  <si>
    <t>298925484.1506602</t>
  </si>
  <si>
    <t>20003311.1506602</t>
  </si>
  <si>
    <t>1.1.1.1.1.3.2.41</t>
  </si>
  <si>
    <t>3 этаж. ПТ-4.3</t>
  </si>
  <si>
    <t>1.1.1.1.1.3.2.41.1</t>
  </si>
  <si>
    <t>Матовая моющаяся влагостойкая водно-дисперсионная краска, RAL 7016, КМ1</t>
  </si>
  <si>
    <t>298925485.1506602</t>
  </si>
  <si>
    <t>20003312.1506602</t>
  </si>
  <si>
    <t>1.1.1.1.1.3.2.41.2</t>
  </si>
  <si>
    <t>298925485.54634</t>
  </si>
  <si>
    <t>20003312.54634</t>
  </si>
  <si>
    <t>1.1.1.1.1.3.2.42</t>
  </si>
  <si>
    <t>3 этаж. ПТ-5.1</t>
  </si>
  <si>
    <t>1.1.1.1.1.3.2.42.1</t>
  </si>
  <si>
    <t>298925486.54634</t>
  </si>
  <si>
    <t>20003317.54634</t>
  </si>
  <si>
    <t>1.1.1.1.1.3.2.42.2</t>
  </si>
  <si>
    <t>Краска негорючая ANTEGA СТРОИТЕЛЬ, RAL 9003, 1 класс истирания, КМ0</t>
  </si>
  <si>
    <t>298925486.1270453</t>
  </si>
  <si>
    <t>20003317.1270453</t>
  </si>
  <si>
    <t>1.1.1.1.1.3.2.43</t>
  </si>
  <si>
    <t>3 этаж. ПТ-5.2</t>
  </si>
  <si>
    <t>1.1.1.1.1.3.2.43.1</t>
  </si>
  <si>
    <t>298925487.1270453</t>
  </si>
  <si>
    <t>20003318.1270453</t>
  </si>
  <si>
    <t>1.1.1.1.1.3.2.43.2</t>
  </si>
  <si>
    <t>298925487.54634</t>
  </si>
  <si>
    <t>20003318.54634</t>
  </si>
  <si>
    <t>1.1.1.1.1.4</t>
  </si>
  <si>
    <t>6.3.1.5.4</t>
  </si>
  <si>
    <t>Монтаж потолочных конструкций</t>
  </si>
  <si>
    <t>1.1.1.1.1.4.1</t>
  </si>
  <si>
    <t>6.3.1.5.4.1.2</t>
  </si>
  <si>
    <t>Монтаж подвесного потолка / типа Армстронг, Грильято</t>
  </si>
  <si>
    <t>3 этаж. ПТ-3</t>
  </si>
  <si>
    <t>2666ca34-b663-41c7-b8b7-caa2f71855b8</t>
  </si>
  <si>
    <t>fd6369e7-760a-4bf3-8c56-a6af236cf5cf</t>
  </si>
  <si>
    <t>1.1.1.1.1.4.1.1</t>
  </si>
  <si>
    <t>Подвесной потолок из ПВС со скрытой подвесной системой / Hook-On Албес TM Perfaten / 1200х600 мм</t>
  </si>
  <si>
    <t>Негорючая потолочная плита Uniproc,
арт. Унипрок НГ, Тип ПП-6АГ; кромка прямая. Размер плиты: 1200х600х6мм, цвет RAL 9016, КМ0</t>
  </si>
  <si>
    <t>298925354.2645788</t>
  </si>
  <si>
    <t>16233248.2645788</t>
  </si>
  <si>
    <t>e0365c1b-6f6a-11ef-9042-8d9a4c3e632c</t>
  </si>
  <si>
    <t>1.1.1.1.1.4.2</t>
  </si>
  <si>
    <t>3 этаж. ПТ-6</t>
  </si>
  <si>
    <t>1.1.1.1.1.4.2.1</t>
  </si>
  <si>
    <t>Подвесные акустические панели / Белый Frost / Ecophon Solo Baffle  / 1200х600х40 мм</t>
  </si>
  <si>
    <t>Подвесной потолок из минирального волокна Акустик Групп "Ecophon Focus", кромка А-15, 1200х600мм, белый, КМ1</t>
  </si>
  <si>
    <t>298925488.771980</t>
  </si>
  <si>
    <t>16236255.771980</t>
  </si>
  <si>
    <t>8c133341-6867-4eb3-aeed-d36d4f4ac2f0</t>
  </si>
  <si>
    <t>1.1.1.1.1.4.3</t>
  </si>
  <si>
    <t>3 этаж. ПТ-7</t>
  </si>
  <si>
    <t>1.1.1.1.1.4.3.1</t>
  </si>
  <si>
    <t>Подвесной потолок Армстронг / Белый</t>
  </si>
  <si>
    <t>Подвесной кассетный металлический потолок Albes "TEGULAR", 600х600мм, кассета АР600А6/90*Т-24, RAL 9003, белый, КМ0</t>
  </si>
  <si>
    <t>298925489.1353009</t>
  </si>
  <si>
    <t>16236256.1353009</t>
  </si>
  <si>
    <t>137a189c-acd0-4b00-a19c-980286873b94</t>
  </si>
  <si>
    <t>1.1.1.1.1.4.4</t>
  </si>
  <si>
    <t>3 этаж. ПТ-8.1</t>
  </si>
  <si>
    <t>1.1.1.1.1.4.4.1</t>
  </si>
  <si>
    <t>Подвесной потолок ГРИЛЬЯТО_ / белый / 100х100х40мм</t>
  </si>
  <si>
    <t>298925490.1196508</t>
  </si>
  <si>
    <t>16238731.1196508</t>
  </si>
  <si>
    <t>7c413101-029a-4584-ace7-69ad01fdbaa7</t>
  </si>
  <si>
    <t>1.1.1.1.1.4.5</t>
  </si>
  <si>
    <t>3 этаж. ПТ-8.2</t>
  </si>
  <si>
    <t>1.1.1.1.1.4.5.1</t>
  </si>
  <si>
    <t>Подвесной потолок ГРИЛЬЯТО_/черный/100*100*40мм</t>
  </si>
  <si>
    <t>298925491.54694</t>
  </si>
  <si>
    <t>19825204.54694</t>
  </si>
  <si>
    <t>51caa66c-e71e-43fd-a4e1-7e32d0bfe5c5</t>
  </si>
  <si>
    <t>1.1.1.1.1.4.6</t>
  </si>
  <si>
    <t>2 этаж. ПТ-3</t>
  </si>
  <si>
    <t>1.1.1.1.1.4.6.1</t>
  </si>
  <si>
    <t>Негорючая потолочная плита Uniproc, арт. Унипрок НГ, Тип ПП-6АГ; кромка прямая. Размер плиты: 1200х600х6мм, цвет RAL 9016, КМ0</t>
  </si>
  <si>
    <t>298925492.2645788</t>
  </si>
  <si>
    <t>20004793.2645788</t>
  </si>
  <si>
    <t>1.1.1.1.1.4.7</t>
  </si>
  <si>
    <t>2 этаж. ПТ-6</t>
  </si>
  <si>
    <t>1.1.1.1.1.4.7.1</t>
  </si>
  <si>
    <t>298925493.771980</t>
  </si>
  <si>
    <t>20004794.771980</t>
  </si>
  <si>
    <t>1.1.1.1.1.4.8</t>
  </si>
  <si>
    <t>2 этаж. ПТ-7</t>
  </si>
  <si>
    <t>1.1.1.1.1.4.8.1</t>
  </si>
  <si>
    <t>298925494.1353009</t>
  </si>
  <si>
    <t>20004795.1353009</t>
  </si>
  <si>
    <t>1.1.1.1.1.4.9</t>
  </si>
  <si>
    <t>2 этаж. ПТ-8.1</t>
  </si>
  <si>
    <t>1.1.1.1.1.4.9.1</t>
  </si>
  <si>
    <t>298925495.1196508</t>
  </si>
  <si>
    <t>20004796.1196508</t>
  </si>
  <si>
    <t>1.1.1.1.1.4.10</t>
  </si>
  <si>
    <t>2 этаж. ПТ-8.2</t>
  </si>
  <si>
    <t>1.1.1.1.1.4.10.1</t>
  </si>
  <si>
    <t>298925496.54694</t>
  </si>
  <si>
    <t>20004797.54694</t>
  </si>
  <si>
    <t>1.1.1.1.1.4.11</t>
  </si>
  <si>
    <t>6.3.1.5.4.1.3</t>
  </si>
  <si>
    <t>Монтаж подвесного потолка / из ГКЛ в 1 слой с применением профиля ПП</t>
  </si>
  <si>
    <t>3 этаж. ПТ-4.1, ПТ-4.3</t>
  </si>
  <si>
    <t>cbcd1c2c-ee79-4648-854d-2a582e134737</t>
  </si>
  <si>
    <t>0db681c2-d2d6-4186-b6bc-5ab4ce20f1e7</t>
  </si>
  <si>
    <t>1.1.1.1.1.4.11.1</t>
  </si>
  <si>
    <t>Удлинитель профилей_/потолочный/60*27</t>
  </si>
  <si>
    <t>298925355.54575</t>
  </si>
  <si>
    <t>19825683.54575</t>
  </si>
  <si>
    <t>46cc4ab9-5306-44b0-b02d-73ca24dc456b</t>
  </si>
  <si>
    <t>1.1.1.1.1.4.11.2</t>
  </si>
  <si>
    <t>Шуруп со сверлом_/3,5*11</t>
  </si>
  <si>
    <t>298925355.54821</t>
  </si>
  <si>
    <t>19825683.54821</t>
  </si>
  <si>
    <t>438f03b8-0245-4746-af3b-94d943760b3b</t>
  </si>
  <si>
    <t>1.1.1.1.1.4.11.3</t>
  </si>
  <si>
    <t>298925355.54822</t>
  </si>
  <si>
    <t>19825683.54822</t>
  </si>
  <si>
    <t>1.1.1.1.1.4.11.4</t>
  </si>
  <si>
    <t>Соединитель профилей одноуровневый_/потолочный/60*27</t>
  </si>
  <si>
    <t>298925355.54576</t>
  </si>
  <si>
    <t>19825683.54576</t>
  </si>
  <si>
    <t>d396c343-40ec-430e-b651-cf8e8a10f274</t>
  </si>
  <si>
    <t>1.1.1.1.1.4.11.5</t>
  </si>
  <si>
    <t>298925355.54624</t>
  </si>
  <si>
    <t>19825683.54624</t>
  </si>
  <si>
    <t>1.1.1.1.1.4.11.6</t>
  </si>
  <si>
    <t>Лента Дихтунгсбанд_/50мм</t>
  </si>
  <si>
    <t>298925355.55042</t>
  </si>
  <si>
    <t>19825683.55042</t>
  </si>
  <si>
    <t>db776908-a7ed-4efe-a1e0-14c0d3badf1f</t>
  </si>
  <si>
    <t>1.1.1.1.1.4.11.7</t>
  </si>
  <si>
    <t>Лента армирующая ( серпянка)_/50мм</t>
  </si>
  <si>
    <t>298925355.55038</t>
  </si>
  <si>
    <t>19825683.55038</t>
  </si>
  <si>
    <t>ef366d6b-1118-416c-acc5-430ee111e823</t>
  </si>
  <si>
    <t>1.1.1.1.1.4.11.8</t>
  </si>
  <si>
    <t>Профиль_/направляющий/75*40*0,40/3м</t>
  </si>
  <si>
    <t>298925355.54562</t>
  </si>
  <si>
    <t>19825683.54562</t>
  </si>
  <si>
    <t>28da536c-0761-410a-b85e-88f0d80aee19</t>
  </si>
  <si>
    <t>1.1.1.1.1.4.11.9</t>
  </si>
  <si>
    <t>Профиль_/потолочный/60*27*0,40/3м</t>
  </si>
  <si>
    <t>298925355.54568</t>
  </si>
  <si>
    <t>19825683.54568</t>
  </si>
  <si>
    <t>de448100-a03f-42fb-b903-fa1d0845e34a</t>
  </si>
  <si>
    <t>1.1.1.1.1.4.11.10</t>
  </si>
  <si>
    <t>Подвес профиля прямой_/потолочный/60*27</t>
  </si>
  <si>
    <t>298925355.54573</t>
  </si>
  <si>
    <t>19825683.54573</t>
  </si>
  <si>
    <t>0eb7bcf2-ac18-4bde-8e36-3ccb4cd58803</t>
  </si>
  <si>
    <t>1.1.1.1.1.4.11.11</t>
  </si>
  <si>
    <t>298925355.54634</t>
  </si>
  <si>
    <t>19825683.54634</t>
  </si>
  <si>
    <t>1.1.1.1.1.4.11.12</t>
  </si>
  <si>
    <t>298925355.54553</t>
  </si>
  <si>
    <t>19825683.54553</t>
  </si>
  <si>
    <t>1.1.1.1.1.4.11.13</t>
  </si>
  <si>
    <t>Анкер-клин_/6*40</t>
  </si>
  <si>
    <t>298925355.54828</t>
  </si>
  <si>
    <t>19825683.54828</t>
  </si>
  <si>
    <t>d1d11d59-b5f9-4bc0-894f-4c016002bf47</t>
  </si>
  <si>
    <t>1.1.1.1.1.4.12</t>
  </si>
  <si>
    <t>3 этаж. ПТ-5.1, ПТ-5.2</t>
  </si>
  <si>
    <t>1.1.1.1.1.4.12.1</t>
  </si>
  <si>
    <t>298925497.54828</t>
  </si>
  <si>
    <t>19825684.54828</t>
  </si>
  <si>
    <t>1.1.1.1.1.4.12.2</t>
  </si>
  <si>
    <t>298925497.54634</t>
  </si>
  <si>
    <t>19825684.54634</t>
  </si>
  <si>
    <t>1.1.1.1.1.4.12.3</t>
  </si>
  <si>
    <t>298925497.54573</t>
  </si>
  <si>
    <t>19825684.54573</t>
  </si>
  <si>
    <t>1.1.1.1.1.4.12.4</t>
  </si>
  <si>
    <t>298925497.54562</t>
  </si>
  <si>
    <t>19825684.54562</t>
  </si>
  <si>
    <t>1.1.1.1.1.4.12.5</t>
  </si>
  <si>
    <t>298925497.54568</t>
  </si>
  <si>
    <t>19825684.54568</t>
  </si>
  <si>
    <t>1.1.1.1.1.4.12.6</t>
  </si>
  <si>
    <t>298925497.55038</t>
  </si>
  <si>
    <t>19825684.55038</t>
  </si>
  <si>
    <t>1.1.1.1.1.4.12.7</t>
  </si>
  <si>
    <t>298925497.55042</t>
  </si>
  <si>
    <t>19825684.55042</t>
  </si>
  <si>
    <t>1.1.1.1.1.4.12.8</t>
  </si>
  <si>
    <t>298925497.1523192</t>
  </si>
  <si>
    <t>19825684.1523192</t>
  </si>
  <si>
    <t>1.1.1.1.1.4.12.9</t>
  </si>
  <si>
    <t>298925497.54624</t>
  </si>
  <si>
    <t>19825684.54624</t>
  </si>
  <si>
    <t>1.1.1.1.1.4.12.10</t>
  </si>
  <si>
    <t>298925497.54576</t>
  </si>
  <si>
    <t>19825684.54576</t>
  </si>
  <si>
    <t>1.1.1.1.1.4.12.11</t>
  </si>
  <si>
    <t>298925497.54822</t>
  </si>
  <si>
    <t>19825684.54822</t>
  </si>
  <si>
    <t>1.1.1.1.1.4.12.12</t>
  </si>
  <si>
    <t>298925497.54821</t>
  </si>
  <si>
    <t>19825684.54821</t>
  </si>
  <si>
    <t>1.1.1.1.1.4.13</t>
  </si>
  <si>
    <t>2 этаж. ПТ-4.1, ПТ-4.3</t>
  </si>
  <si>
    <t>1.1.1.1.1.4.13.1</t>
  </si>
  <si>
    <t>298925498.54575</t>
  </si>
  <si>
    <t>20004302.54575</t>
  </si>
  <si>
    <t>1.1.1.1.1.4.13.2</t>
  </si>
  <si>
    <t>298925498.54821</t>
  </si>
  <si>
    <t>20004302.54821</t>
  </si>
  <si>
    <t>1.1.1.1.1.4.13.3</t>
  </si>
  <si>
    <t>298925498.54822</t>
  </si>
  <si>
    <t>20004302.54822</t>
  </si>
  <si>
    <t>1.1.1.1.1.4.13.4</t>
  </si>
  <si>
    <t>298925498.54576</t>
  </si>
  <si>
    <t>20004302.54576</t>
  </si>
  <si>
    <t>1.1.1.1.1.4.13.5</t>
  </si>
  <si>
    <t>298925498.55042</t>
  </si>
  <si>
    <t>20004302.55042</t>
  </si>
  <si>
    <t>1.1.1.1.1.4.13.6</t>
  </si>
  <si>
    <t>298925498.55038</t>
  </si>
  <si>
    <t>20004302.55038</t>
  </si>
  <si>
    <t>1.1.1.1.1.4.13.7</t>
  </si>
  <si>
    <t>298925498.54562</t>
  </si>
  <si>
    <t>20004302.54562</t>
  </si>
  <si>
    <t>1.1.1.1.1.4.13.8</t>
  </si>
  <si>
    <t>298925498.54568</t>
  </si>
  <si>
    <t>20004302.54568</t>
  </si>
  <si>
    <t>1.1.1.1.1.4.13.9</t>
  </si>
  <si>
    <t>298925498.54573</t>
  </si>
  <si>
    <t>20004302.54573</t>
  </si>
  <si>
    <t>1.1.1.1.1.4.13.10</t>
  </si>
  <si>
    <t>298925498.54553</t>
  </si>
  <si>
    <t>20004302.54553</t>
  </si>
  <si>
    <t>1.1.1.1.1.4.13.11</t>
  </si>
  <si>
    <t>298925498.54828</t>
  </si>
  <si>
    <t>20004302.54828</t>
  </si>
  <si>
    <t>1.1.1.1.1.4.14</t>
  </si>
  <si>
    <t>2 этаж. ПТ-5.1, ПТ-5.2</t>
  </si>
  <si>
    <t>1.1.1.1.1.4.14.1</t>
  </si>
  <si>
    <t>298925499.54828</t>
  </si>
  <si>
    <t>20004305.54828</t>
  </si>
  <si>
    <t>1.1.1.1.1.4.14.2</t>
  </si>
  <si>
    <t>298925499.54573</t>
  </si>
  <si>
    <t>20004305.54573</t>
  </si>
  <si>
    <t>1.1.1.1.1.4.14.3</t>
  </si>
  <si>
    <t>298925499.54562</t>
  </si>
  <si>
    <t>20004305.54562</t>
  </si>
  <si>
    <t>1.1.1.1.1.4.14.4</t>
  </si>
  <si>
    <t>298925499.54568</t>
  </si>
  <si>
    <t>20004305.54568</t>
  </si>
  <si>
    <t>1.1.1.1.1.4.14.5</t>
  </si>
  <si>
    <t>298925499.55038</t>
  </si>
  <si>
    <t>20004305.55038</t>
  </si>
  <si>
    <t>1.1.1.1.1.4.14.6</t>
  </si>
  <si>
    <t>298925499.55042</t>
  </si>
  <si>
    <t>20004305.55042</t>
  </si>
  <si>
    <t>1.1.1.1.1.4.14.7</t>
  </si>
  <si>
    <t>298925499.1523192</t>
  </si>
  <si>
    <t>20004305.1523192</t>
  </si>
  <si>
    <t>1.1.1.1.1.4.14.8</t>
  </si>
  <si>
    <t>298925499.54576</t>
  </si>
  <si>
    <t>20004305.54576</t>
  </si>
  <si>
    <t>1.1.1.1.1.4.14.9</t>
  </si>
  <si>
    <t>298925499.54822</t>
  </si>
  <si>
    <t>20004305.54822</t>
  </si>
  <si>
    <t>1.1.1.1.1.4.14.10</t>
  </si>
  <si>
    <t>298925499.54821</t>
  </si>
  <si>
    <t>20004305.54821</t>
  </si>
  <si>
    <t>1.1.1.1.1.4.14.11</t>
  </si>
  <si>
    <t>298925499.54575</t>
  </si>
  <si>
    <t>20004305.54575</t>
  </si>
  <si>
    <t>1.1.1.1.1.4.15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</si>
  <si>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</si>
  <si>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</si>
  <si>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</si>
  <si>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</si>
  <si>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1.1.1.1.1.5</t>
  </si>
  <si>
    <t>6.3.1.5.5</t>
  </si>
  <si>
    <t>Дверные блоки</t>
  </si>
  <si>
    <t>1.1.1.1.1.5.1</t>
  </si>
  <si>
    <t>6.3.1.5.5.2.1</t>
  </si>
  <si>
    <t>Установка межкомнатных деревянных дверных блоков</t>
  </si>
  <si>
    <t>Дверь Mario Rioli (КП от 01.12.2025). Тип: Д-5</t>
  </si>
  <si>
    <t>00b2cf2b-be65-42e5-9c89-454d422a52a0</t>
  </si>
  <si>
    <t>ec2a525b-0115-40ed-9ca2-f04deef9235e</t>
  </si>
  <si>
    <t>1.1.1.1.1.5.1.1</t>
  </si>
  <si>
    <t>Межкомнатные двери Mario Rioli_ / Pronto 600 / Лиственница белая  / Д-26Л, Д-27Л, Д-28Л/ЛЕВ/ЦИЛ/РИГ_2/ХР /ПЕТ_MOR/КР по 3/ДК  /  2000 х 900 х 40/ДК 4.3.90 ПВХ</t>
  </si>
  <si>
    <t>Д-5. 2100х1000. "ГОСТ 475-2016 ДВ 1 Рп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</si>
  <si>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298925360.1271999</t>
  </si>
  <si>
    <t>19830251.1271999</t>
  </si>
  <si>
    <t>b5b2a95f-690f-4aad-8dc4-eb35e88b0c13</t>
  </si>
  <si>
    <t>1.1.1.1.1.5.2</t>
  </si>
  <si>
    <t>Дверь Mario Rioli (КП от 01.12.2025). Тип: Д-5(л)</t>
  </si>
  <si>
    <t>1.1.1.1.1.5.2.1</t>
  </si>
  <si>
    <t>Д-5(л). 2100х1000. ГОСТ 475-2016 ДВ 1 Рл 21х10 Г Пр Мд3 ПУИ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</si>
  <si>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298925500.1271999</t>
  </si>
  <si>
    <t>19830252.1271999</t>
  </si>
  <si>
    <t>1.1.1.1.1.5.3</t>
  </si>
  <si>
    <t>Дверь Mario Rioli (КП от 01.12.2025). Тип: Д-6(л)</t>
  </si>
  <si>
    <t>1.1.1.1.1.5.3.1</t>
  </si>
  <si>
    <t>Д-5(л). 2100х1000. "ГОСТ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</si>
  <si>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298925501.1271999</t>
  </si>
  <si>
    <t>22649881.1271999</t>
  </si>
  <si>
    <t>1.1.1.1.1.5.4</t>
  </si>
  <si>
    <t>Дверь Mario Rioli (КП от 01.12.2025). Тип: Д-7(л)</t>
  </si>
  <si>
    <t>1.1.1.1.1.5.4.1</t>
  </si>
  <si>
    <t>Д-6(л) 2100х1000. "ГОСТ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мм.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</si>
  <si>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298925502.1271999</t>
  </si>
  <si>
    <t>22649882.1271999</t>
  </si>
  <si>
    <t>1.1.1.1.1.5.5</t>
  </si>
  <si>
    <t>Дверь Mario Rioli (КП от 01.12.2025). Тип: Д-11</t>
  </si>
  <si>
    <t>1.1.1.1.1.5.5.1</t>
  </si>
  <si>
    <t>Межкомнатные двери Mario Rioli_ / Pronto 600 / Лиственница белая  / Д-26 прав /ПР/ЦИЛ/РИГ_2/ХР /ПЕТ_MOR/КР по 3/ДК /  2000 х 900 х 40/ДК 4.3.90 ПВХ</t>
  </si>
  <si>
    <t>Д-7(л), 2100х1150. "ГОСТ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</si>
  <si>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298925503.1272001</t>
  </si>
  <si>
    <t>22652760.1272001</t>
  </si>
  <si>
    <t>052c0487-5349-4bf2-a66d-57f507013268</t>
  </si>
  <si>
    <t>1.1.1.1.1.5.6</t>
  </si>
  <si>
    <t>Дверь Mario Rioli (КП от 01.12.2025). Тип: Д-11(л)</t>
  </si>
  <si>
    <t>1.1.1.1.1.5.6.1</t>
  </si>
  <si>
    <t>Д-11(л), 2100х1150. ГОСТ 475-2016 ДВ 1 Рл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</si>
  <si>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298925504.1271999</t>
  </si>
  <si>
    <t>22652761.1271999</t>
  </si>
  <si>
    <t>1.1.1.1.1.5.7</t>
  </si>
  <si>
    <t>Дверь Mario Rioli (КП от 01.12.2025). Тип: Д-11.2</t>
  </si>
  <si>
    <t>1.1.1.1.1.5.7.1</t>
  </si>
  <si>
    <t>Д-11.2,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</si>
  <si>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298925505.1271999</t>
  </si>
  <si>
    <t>22652762.1271999</t>
  </si>
  <si>
    <t>1.1.1.1.1.5.8</t>
  </si>
  <si>
    <t>Дверь Mario Rioli (КП от 01.12.2025). Тип: Д-11.2(л)</t>
  </si>
  <si>
    <t>1.1.1.1.1.5.8.1</t>
  </si>
  <si>
    <t>Д-11.2(л), 2100х1150. "ГОСТ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</si>
  <si>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298925506.1271999</t>
  </si>
  <si>
    <t>22652763.1271999</t>
  </si>
  <si>
    <t>1.1.1.1.1.5.9</t>
  </si>
  <si>
    <t>Дверь Mario Rioli (КП от 01.12.2025). Тип: Д-12</t>
  </si>
  <si>
    <t>1.1.1.1.1.5.9.1</t>
  </si>
  <si>
    <t>Д-12, 2100х1150. ГОСТ 475-2016 ДВ 1 Рп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</si>
  <si>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298925507.1272001</t>
  </si>
  <si>
    <t>22652764.1272001</t>
  </si>
  <si>
    <t>1.1.1.1.1.5.10</t>
  </si>
  <si>
    <t>Дверь Mario Rioli (КП от 01.12.2025). Тип: Д-12(л)</t>
  </si>
  <si>
    <t>1.1.1.1.1.5.10.1</t>
  </si>
  <si>
    <t>Д-12(л), 2100х1150. "ГОСТ 475-2016 ДВ 1 Рл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
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</si>
  <si>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298925508.1271999</t>
  </si>
  <si>
    <t>22652765.1271999</t>
  </si>
  <si>
    <t>1.1.1.1.1.5.11</t>
  </si>
  <si>
    <t>Дверь Mario Rioli (КП от 01.12.2025). Тип: Д-15*</t>
  </si>
  <si>
    <t>1.1.1.1.1.5.11.1</t>
  </si>
  <si>
    <t>Д-15*, 2100х1150. Индивидуальное изготовление ДВ 1 Рп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</si>
  <si>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298925509.1272001</t>
  </si>
  <si>
    <t>22652766.1272001</t>
  </si>
  <si>
    <t>1.1.1.1.1.5.12</t>
  </si>
  <si>
    <t>Дверь Mario Rioli (КП от 01.12.2025). Тип: Д-15*(л)</t>
  </si>
  <si>
    <t>1.1.1.1.1.5.12.1</t>
  </si>
  <si>
    <t>Д-15*(л), 2100х1150. Индивидуальное изготовление ДВ 1 Рл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</si>
  <si>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298925510.1271999</t>
  </si>
  <si>
    <t>22653824.1271999</t>
  </si>
  <si>
    <t>1.1.1.1.1.5.13</t>
  </si>
  <si>
    <t>Дверь Mario Rioli (КП от 01.12.2025). Тип: Д-16</t>
  </si>
  <si>
    <t>1.1.1.1.1.5.13.1</t>
  </si>
  <si>
    <t>Д-16, 2100х1150. "ГОСТ 475-2016 ДВ 1 Рп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</si>
  <si>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298925511.1272001</t>
  </si>
  <si>
    <t>22653825.1272001</t>
  </si>
  <si>
    <t>1.1.1.1.1.5.14</t>
  </si>
  <si>
    <t>Дверь Mario Rioli (КП от 01.12.2025). Тип: Д-16(л)</t>
  </si>
  <si>
    <t>1.1.1.1.1.5.14.1</t>
  </si>
  <si>
    <t>Межкомнатные двери Mario Rioli_ / Pronto 600 / Лиственница белая  / ДГ-22Л лев с\у/ЛЕ/APECS_WC_2/ХР /ПЕТ_MOR/КР по 3/ДК  / 2000 х 700 х 40/ДК 4.3.90 ПВХ</t>
  </si>
  <si>
    <t>Д-16(л), 2100х1150. "ГОСТ 475-2016 ДВ 1 Рл 21х11,5 Г Пр Мд3 Комната инструктора, Раздевальные (спортблок) 1150 2100,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</si>
  <si>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298925512.1271998</t>
  </si>
  <si>
    <t>22653826.1271998</t>
  </si>
  <si>
    <t>a9cefae6-aa09-4677-88ce-f362b39225dd</t>
  </si>
  <si>
    <t>1.1.1.1.1.5.15</t>
  </si>
  <si>
    <t>Дверь Mario Rioli (КП от 01.12.2025). Тип: Д-17*</t>
  </si>
  <si>
    <t>1.1.1.1.1.5.15.1</t>
  </si>
  <si>
    <t>Д-17*, 2100х1150. "Индивидуальное изготовление ДВ 1 Рп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</si>
  <si>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298925513.1272001</t>
  </si>
  <si>
    <t>22653827.1272001</t>
  </si>
  <si>
    <t>1.1.1.1.1.5.16</t>
  </si>
  <si>
    <t>Дверь Mario Rioli (КП от 01.12.2025). Тип: Д-17*(л)</t>
  </si>
  <si>
    <t>1.1.1.1.1.5.16.1</t>
  </si>
  <si>
    <t>Д-17*(л), 2100х1150. "Индивидуальное изготовление ДВ 1 Рл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СКУД на вход и выход Уплотнение в притворах, укомплектовать стопором.</t>
  </si>
  <si>
    <t>298925514.1271999</t>
  </si>
  <si>
    <t>22655934.1271999</t>
  </si>
  <si>
    <t>1.1.1.1.1.5.17</t>
  </si>
  <si>
    <t>Дверь Mario Rioli (КП от 01.12.2025). Тип: Д-20*</t>
  </si>
  <si>
    <t>1.1.1.1.1.5.17.1</t>
  </si>
  <si>
    <t>Д-20*, 2100х1150. Индивидуальное изготовление ДВ 1 Рп 21х11,5 Г ПО Мд3 EIS60 Технический центр 1150 2100, не менее 900 мм, ширина полотна 1050 мм Инженерный массив/фанера (по технологии производителя) + МДФ 6 мм с двух сторон RAL 9003 EIS60 -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</si>
  <si>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298925515.1272001</t>
  </si>
  <si>
    <t>22655935.1272001</t>
  </si>
  <si>
    <t>1.1.1.1.1.5.18</t>
  </si>
  <si>
    <t>Дверь Mario Rioli (КП от 01.12.2025). Тип: Д-21</t>
  </si>
  <si>
    <t>1.1.1.1.1.5.18.1</t>
  </si>
  <si>
    <t>Д-21,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</si>
  <si>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298925516.1272001</t>
  </si>
  <si>
    <t>22655936.1272001</t>
  </si>
  <si>
    <t>1.1.1.1.1.5.19</t>
  </si>
  <si>
    <t>Дверь Mario Rioli (КП от 01.12.2025). Тип: Д-22*</t>
  </si>
  <si>
    <t>1.1.1.1.1.5.19.1</t>
  </si>
  <si>
    <t>Д-22*, 2100х1150. "ГОСТ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дерево.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</si>
  <si>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298925517.1272001</t>
  </si>
  <si>
    <t>22655937.1272001</t>
  </si>
  <si>
    <t>1.1.1.1.1.5.20</t>
  </si>
  <si>
    <t>Дверь Mario Rioli (КП от 01.12.2025). Тип: Д-22*(л)</t>
  </si>
  <si>
    <t>1.1.1.1.1.5.20.1</t>
  </si>
  <si>
    <t>Д-22*(л), 2100х1150. "Индивидуальное изготовление ДВ 1 Рл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</si>
  <si>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298925518.1271999</t>
  </si>
  <si>
    <t>22655938.1271999</t>
  </si>
  <si>
    <t>1.1.1.1.1.5.21</t>
  </si>
  <si>
    <t>Дверь Mario Rioli (КП от 01.12.2025). Тип: Д-23</t>
  </si>
  <si>
    <t>1.1.1.1.1.5.21.1</t>
  </si>
  <si>
    <t>Д-23, 2100х 1150. "ГОСТ 475-2016 ДВ 1 Рп 21х11,5 Г Пр Мд3 Кабинет врача, Процедурный кабинет, Прививочный кабинет. 1150 2100, не менее 900 мм, ширина полотна 1050 мм,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</si>
  <si>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298925519.1272001</t>
  </si>
  <si>
    <t>22655939.1272001</t>
  </si>
  <si>
    <t>1.1.1.1.1.5.22</t>
  </si>
  <si>
    <t>Дверь Mario Rioli (КП от 01.12.2025). Тип: Д-24</t>
  </si>
  <si>
    <t>1.1.1.1.1.5.22.1</t>
  </si>
  <si>
    <t>Д-24, 2100х1150. "ГОСТ 475-2016 ДВ 1 Рп 21х11,5 Г Пр Мд3 Кабинет психолога, Кабинет логопеда 1150 2100, не менее 900 мм, ширина полотна 1050 мм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</t>
  </si>
  <si>
    <t>298925520.1272001</t>
  </si>
  <si>
    <t>22657113.1272001</t>
  </si>
  <si>
    <t>1.1.1.1.1.5.23</t>
  </si>
  <si>
    <t>Дверь Mario Rioli (КП от 01.12.2025). Тип: Д-25</t>
  </si>
  <si>
    <t>1.1.1.1.1.5.23.1</t>
  </si>
  <si>
    <t>Д-25, 2100х1150. "ГОСТ 475-2016 ДВ 1 Рп 21х11,5 Г Пр Мд3 Административный кабинет 1150 2100, не менее 900 мм, ширина полотна 1050 мм Инженерный массив/фанера (по технологии производителя) + МДФ 6 мм с двух сторон,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сторон. С обеих сторон - Уплотнение в притворах, укомплектовать стопором.</t>
  </si>
  <si>
    <t>298925521.1272001</t>
  </si>
  <si>
    <t>22657114.1272001</t>
  </si>
  <si>
    <t>1.1.1.1.1.5.24</t>
  </si>
  <si>
    <t>Дверь Mario Rioli (КП от 01.12.2025). Тип: Д-32(л)</t>
  </si>
  <si>
    <t>1.1.1.1.1.5.24.1</t>
  </si>
  <si>
    <t>Д-32(л), 2400х1650. "ГОСТ 475-2016 ДВ 2 Рл 24х16,5 Г Пр Мд3 Студия драмкружка 1650 2400  не менее 1200 мм, ширина основного полотна 1000 мм Инженерный массив/фанера (по технологии производителя) + МДФ 6 мм с двух сторон, Светлое дерево Выпадающий противопожарный замок в составе антипаники Антипаника на обе створки Антипаника изнутри на обе створки, нажимная ручка снаружи на основную створку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</si>
  <si>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298925522.1271999</t>
  </si>
  <si>
    <t>22657115.1271999</t>
  </si>
  <si>
    <t>1.1.1.1.1.5.25</t>
  </si>
  <si>
    <t>Дверь Mario Rioli (КП от 01.12.2025). Тип: Д-33*</t>
  </si>
  <si>
    <t>1.1.1.1.1.5.25.1</t>
  </si>
  <si>
    <t>Д-33*, 2400х1650. "Индивидуальное изготовление ДВ 2 Рп 24х16,5 Г ПО Мд3 EI30 Студия драмкружка 1650 2400, не менее 1200 мм, ширина основного полотна 1000 мм Инженерный массив/фанера (по технологии производителя) + МДФ 6 мм с двух сторон Светлое дерево, EI30 , Выпадающий противопожарный замок в составе  антипаники, Антипаника на обе створки Антипаника изнутри на обе створки, нажимная ручка снаружи на основную створку, с задержкой закрывания, на обе створки. Координатор без шпингалета Телескопическая коробка с добором, наличники с двух сторон. С обеих сторон - Уплотнение в притворах, укомплектовать стопором.</t>
  </si>
  <si>
    <t>298925523.1272001</t>
  </si>
  <si>
    <t>22657116.1272001</t>
  </si>
  <si>
    <t>1.1.1.1.1.5.26</t>
  </si>
  <si>
    <t>Дверь Mario Rioli (КП от 01.12.2025). Тип: Д-34*</t>
  </si>
  <si>
    <t>1.1.1.1.1.5.26.1</t>
  </si>
  <si>
    <t>Д-34*, 2400х2200. "Индивидуальное изготовление изготовление ДВ 2 Рп 24х22 Г ПО Мд3 EI30 Снарядная (спортблок) 2200 2400, не менее 1200 мм, ширина основного полотна 1000 мм, Инженерный массив/фанера (по технологии производителя) + МДФ 6 мм с двух сторон Светлое дерево, EI30 - Выпадающий противопожарный цилиндр ключ - завертка со стороны помещения, Нажимная на основную створку,  задержкой закрывания, на обе створки. Координатор обычный Телескопическая коробка с добором, наличники с двух сторон. С обеих сторон - Уплотнение в притворах, укомплектовать стопором.</t>
  </si>
  <si>
    <t>298925524.1272001</t>
  </si>
  <si>
    <t>22657117.1272001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</si>
  <si>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</si>
  <si>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</si>
  <si>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</si>
  <si>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</si>
  <si>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</si>
  <si>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</si>
  <si>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</si>
  <si>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12.1.99</t>
  </si>
  <si>
    <t>Прочие работы</t>
  </si>
  <si>
    <t>1.2.1.1.1</t>
  </si>
  <si>
    <t>12.1.99.15.1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</si>
  <si>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</si>
  <si>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Окна, двери и межсекционные перегородки.</t>
  </si>
  <si>
    <t>b308570b-231e-4cd7-babb-dabdc5609dc4</t>
  </si>
  <si>
    <t>455bfec5-05dc-422c-8ea8-59967bf9d0d3</t>
  </si>
  <si>
    <t>43208d3c-f276-4d19-80eb-e1ae8df17cbf</t>
  </si>
  <si>
    <t>Общая стоимость работ, руб.с НДС 20%</t>
  </si>
  <si>
    <t>eF7s/WuTJMdx541+lTKZrRnZ3VUnb5EXmD0vZhqNVg2nu2o6q3RMy5HJqm9amAiAB4Ce3dXamuEiCNSCK4CiuOIBAYKA9vbisbXBZYjhDDD4Cllf4XySE5GVmT2dHRHp7pUeVdgVad3o6emZ8Z9Hpvs/wj0i/sMfvf7vf3rxR8/90UuLn/7R3h/934uf/NXFrPzOy3/1k5/s/dHFvzu7+MnqG3/0Wv0D8uv/cP+Pzl556aVXXr7/R8/9WP5C/S3yy6vv7t2/+svuV3/b/au/rvzZ165+rPx18c/F4+JB8XXxYPnW8ueD4tvyF1/Iz98Wj4qHg+Lp8o3iy+qX6qf+Vv730eAH6gcHxefFk/K3Hht/8oflv3f2yiuvnr/48uL11T96yy+/e/Ha6y++JL938sq/HZ8/Y/DLr7/4+r8//KsX6+/9x73rtC9fvvgXNNr/cP/+1T8r/035q+eEH3lR4u89+1t/cvHqay++8nL1E3GWJIkI/qMO5fl1UOQDQOPQWfLCOpa89uJfEB8gnSkH65iy1tP8WfGr4r8VHxe/Lj4sfjtUn4qP5P9/Vfyu+B/y86fld341KD6R3/hV8Y/Fb+Qv/4v8Sv2JX8mn+jP5A5/on9nguXmwKawvRwNJ8XT5pnzT5Lu5Nyj+oXgq372n8tdPy3fwm/L3nsr3cPmz0Z4ClL8nX8inxRf178jvflE8GQ0SXz7V/y9fyF9/KvH/5yDYG6TCGxTfFA+Xby7f0tKHz83DTdF/unxL2v9I2vdU2bf8+d5g+XYdtmS4kaFo+b6EGxTfSeKHxVelZ34vv1Kh6FHJ/bh4svz75bvy5x8u31I/K73ysPi8/HPqSxX5Hso/9fnyHfn5K/WvLd9T315FxjfKz+8NVmHvC/lb35WO/7b6R+QP1t94KoPg00Hp8m/kN5/In3gs/4UHA/WXyIj5VP5Fbw7kE/ePxaeDwPtXWndHz82jTbn7k8qJD6XLfl45V/n9+hisnP20jPVfKJeVP/LFNU75Qn0inzH5smlfqTviuYnYFOVHxX8dSts+k4Hgt8X/dyA/yf/rrJyK5042ZWWWeH7gB2mc6CzLxXPzTVkmn9+nZcB4Qz4IKp7Iz7oHWTx3K9mUiR+qx1KFiq9ViBzIEP9p8TudlbfFc7c3ZuXH8m1R79XDMnY8o7yeiTw6o/fFc/sbM/rDcvRLo+Vb/0Ba+aj4QxkDLW5+Xjz3/BZaLEPXG8v35ed35bdkVtGZfiCeO9iY6b8qvpL5XwXab0Y6414Qz72wMeOkX5f/efk3o/JBfbPKnlofHornDjdpZvFkqDLVoPiFPtD/sXjujzdm32+l8vg7+XA+XCmHlak6K8fiufHGrPzvZZSS+lO+MW8Xn486hcyd+LkfxZuy9iMVOlWKku/OAylm3lN56v79l5XMU7NVifDVsyFXC7AxX38q7f9dqeQ/1ofTH23MNPRjcDd+7u7GrNVNH0q7O80+ip87/l4/vUebc3rX03u8MdNWoVY/q9mTDoY+1JP4ucnGINCv4DR+7t73+lmebszXnc/yvY2Zhn4MTuLnTjZmLT0S5/Fzs+/105tvzuldT+9sY6b1FYnn8XPzdSBef+X1xU9uMNz/o5cXL12s/lo6xzPLYfC39PkkWWet2cTz09d++upM/d6R/CtffXHxk4P/z1+9+NOX5N+mobxsUf5f+fzoB0epdiXviNne/KVXpy+/CjXyWG/kMbOR01dfPNM9LjdsVN7abaxpqwoeK19fa9hzvUdzRltxQz7TGzhjNBA83MpLuzPDcM95LPw3L56fX7y83rv+p3qf/im7xbih/9d6M/81u5ngB0B5bPdfGx6AW7fWM3StBPxhKVqeFI+Wf7Na+yyL9k+vamqPVstR5ZJp8Vh+rr8vv/U3ZcX/m9UfWr6vhUuSUKbmZGOlww90Vt1OkmhTBn1c+fvd1Rr/g5VqXL4pv/XGlYbUe3N/g3Z/VTwY/OBf/XBQlnq+VUVUnYXPb85CnTl/LM1Rj9+mbCp+YXj8xKYM+qXSoeVz9u31Qu6j8hdvF9/Jr8pvPn5GuFblbVVK+6IsDatSypNV6Xv594ZHdWOM6lHtfEw3ZZ3hMRXqMd2UTcU/GB7Tjc24jY9p+fCVkywVOatH9fOqB63qdVm+vfz7gepEKx9glbrkQzr4weoxX3W41RH40bMR+IFWR+xv0A3ySf5BTQcIvZuy0/BMq0n5xmwqfml4ptdZJ1jLoE/LBP94oELt9e4hJajqh1u1VLylmmjeKn/vq3LZSVtO3d8gS9kpNjI8hpuyyvAYJuox3JRNxT8aHsN0Uwb98tm4WPxB/ve94g9q3Wr1dIqBSuyGjpMNmg1K6puyzvDkperJ25RNB4YHL9uQPcWvb04ZB6ob47uyr/Vh2f3w7SonqzbM/1T2TapQKFOgfEZlyq7Hf1B/44dla+fTVSeifITfq2SqCqVfS7H6ZPnzstdHqYVvbvxLxknWxlxk4lS1BtVU0/X8b8pww/Ofqed/UzYV/0X/AqTepgz6B/lwfyWf0WcLAmWD8GrKr0oDD+uu48eaJmMpYuUz/rb8o880rZXx+5vypVne2H4hf0D+lv4p35wfvlB+eMYLw1KSa1og9U/5xgzXP+WpJ5/yjdlU/JPhKd/YDgz91K3sCvyulL7VRiO1iPBl+XNPVQ/xF4NKAKtlxtUeo+Kf1C/kx9e2zsz9DbICYvLGjDM8rb56WjdlU/Frw9O6sQXw1nLsp2o3gOEp25iN5dJrGflV//KD7oWAjZlqeOYC9cxtyqbiQ8MzF27KoN9Kvfre8q1n9wNJUfDmQIbOD1Wbxq/lfwyrVeWqgFrg+jv5rXfqLTgroSxD6fCZfVFllP1Xq6ha/hUdezL3N+iRZ/S+erYHNySC+u6/0kkirYR/fnMohjdAFcE2ZlPxG8MbEG3KoGfegBsPZy0WVG+V1LbqKS+fBvV8P7u1TP2Jekr3pFQOq20zwTAclMJiFTavvw/VrKp8hFSvvRg0GwMfqqdL/WvPTj7Vv6lMKl+2r1tyRP6m6U3amGdbb1Lb5vJ7pXMM782mDDe8N6p6tzGbio8M743YlEH/oxTQq8Lblbp+pk73QD7KVWood7WWW1HLkKrG/+af1U1AVwX+r+Rr8b424tLWqjfntGe206in37675vnNGWp4BVRlcGM2FR8bXoGNlXX+cbWct0odX1Zl6zeukke97Xq1hGBa+9iY+V/JyKueQqnkq1j8peEx3JSJhsdQFfM2ZpN+TiYfw42VdX676vy2KhGbDnn6zJ//Qak8ZPSVMVpq+x9W22i/Kp/hcnlPLQS/vXynXN57smpFrw51+MOgnD+8W0biKqyr10CZFHh+pB4y+V9R/TeuTDLplo35s7RqeDXJvRIqXd+Uvl01VUuPPiy+rhqrtYDPbw5QjcHw/v2X1RhU/02GhldNFSw3ZmjxieFV21Qdq/hUPvR/UK8ZLLRvyk75RL5ZVmsM65TPb840w3OmypMbs8lwEEOSbqxe9MtSxJYSdnXwSVkYl2H4Uak1yung8o3Bc4Piv46KX4+K346eOfNlJaeXf7+3EsNPRnuDi+FLixd/YnhKN0VpeBRUpW5jNhWf6h+FbGNFFXVYwLMtz+pYpXIV7m+Lp72M/8bQ9OOfqRrWxmwqPjOM/8bKFOoEpLIeWR4YVR3H8niwOh2smv9eTXpXj4phoDfFYBhoVf7B2vRn5d90fjFdvP5v5PekhfHpWXB6uvCGF9GlGEapdzlM0+RyuIhCbxGKyD8/X6x+8tVX/u3qi2z1n4bt4icXzV6UZ+HAm+58+fr9QzX7e1qvaqhxeqT5/vCZHufWj6sj4bRt2rfS58bw7Ah1yn+Uf9APwc7oYcdetneUxIZte0x8EZ4Pt+fnONs7NkEdM0EJPBR4h5BimmR7ExPThIkJ/lauuX8w28tNbDkPW+Dh2HAP4Czbm5mAZkxAPg4I9fDNs725iWfOwKOA4vvXU0Sb77WLs9df1OQ/mSL+6qXTC91Y3UwSvo7oll7qBlmaBSIQSRtrlZrlEIAtVPnyz39aJsxOI2OdibeJJrbfaIsTYXlWdeG0D8Bs8uijldqVynd1+KN2TX0/e25MpLmRKc04PWRK39NnSarx7TQIMB4XhY4NFh9TLRZ4i1FhZmIweEI1GP64r5nADIbnRMNvZKcOw3HPxcxg7YxqLTw0E1KPwdg5xVhlbRUzmPOKIbP4+ll0bXVqdDHYSFRqGYU6K29TrYS/btDs8luZN8qjhtW66V59fsqT5fsyv3xb9kI/2ya1Vx5SXa70P1FllEdNJQVyBs++7z03pqI7TkW+PhWRrXeQi/QmH5NNFniTUYFnYrB4QrYY/nqsm430ludUy7nTkd7cGdlceEin5CO9tXOSteVzcd9NQjKlJP16X213ZvQy2ExkStLbeZtqJ/ytIyWl1c0Av5dJ5cmqQfC7YnXyeb1h7Q86mn3fl7mGSOQ41wSGXEO13kGu0Zt8TDZZ4E1GBZWJweIJ2WL4U79urtFbnlMt5841enNnZHPh0ZqSa/TWzknWKnOrB9lBrjFlG/1Gj8ry2DP6GWwoOtuMhM7S21RL4W8eMd8YS1L7fiCTCtFsx0kl3Dvy42jvKMrE3lEcBXtHiS8MiYZK5CDRhHvHCuNYYRwrjGMTxjEZQ+AxUFFmIikmimKiKCaKYmKimJAp4K/Fugkp3MsVTa5ockWTm2hyKg13kgr3ZgphphBmCmFmQpiREeChn5K4wr25IpgrgrkimJsI5iQCtxMnczoLrbb7Ru+DTSWkM9MEimgr/M2FJrRPyjW893RW7vuhzGFESx3nMJm+knTvKAsNeYtK4SBvyZQlTT82mH5MNl3gTUcFlom0fCItnxgsn5Athz/l6+YnmZokQW4gyKkE3DlJpiNp9sxg9oxsNjxqU/KQTEHS6rnB6jnJave5x5R9Iqv1gdHnYGNJ2ceUf4jWwt9MTP75Sm0VqY4ieVzt0CnUxaBfVFuMB+Whx2pP48/qZkD1/cfLN9Tm5LLpU4e570cygRFRHScwOfXyZQIL5OwrkMkslP+NPPkR7x0J+bWQvxfLrxPTCiCV0kGCk9MxiXYs0Y4l2rFEO5ZoxxLtWKIdS7RjiXZsQDsmowk8GiqiTSTZRJJNJNlEkk0k2USSTSTZRJJNJNlEkk0MZBMyGfw1XDdBymmbJMwlYS4Jc0mYS8JcEuaSMJeEuSTMDYQ5lZA7gcqpnMSaSayZxJpJrJnEmkmsmcSaSayZxJoZsGZkLHhqoiRYOb2TVHNJNZdUc0k1l1RzSTWXVHNJNZdUcwPVnESlsKpIqeB+bEvE//aVV/9Sg0rLwqY8LKwQkXFoYLYSk7C5kkY0t52cTK4FZuF/bvoE/1D3BzYH2qjzwa7Kaau0rM7AeVp8WTZzfNtk7qf1Na1flPte33l2m+uj+gicx+XO2z/UP/5VeZDBdzLBq/1c366++aTaqqF+sToTYdVq8nej8jSygV9egf6NIekTXdrOhMYn4CUVQv/8xdcgj2zxD8W31Q3B5SnYbxbNhUOrkwDfGqzOGJafVX+M7spydVnRM6epqILmO0V9euCzlxE8Vbc9PFF/7xfVJuVv1QnbI52bnqe6SaDcBHBRMFj+53IH1+91dh5Q7Yxhdr50sXjtr14FvSTfBDoDX6AamMAMvPh3P714+TWdgS+3DPRHnufpTDykmpjCTPy/X/nJX4HijM64P6Ya1xZBBuPKRArwXhTE4Ug7wmOqhX5bxRhMVPKzTPUkoTZ+4eDkZHLyg5PJ/Pj5H6xmE3Km4Cc/VKFTGr83CH64p+/cvENGA+b2Bs2o0NrjEKbpSP8Y/4hsLDC5N8ZC3C5dt7ty+Y9WLtaZfJdsMjDBrzf1XNkvSXbGZoYjMgMwoxImlivDpdE714bAhHBMRhBIBPDjI726W5t1Y15ItRaY837aY6zJZazJQbFmSsYCZsqf9hRn7pENBebLn0IfkmkTY+6Z388TsrmYDEp6XFa2T+3xJafaf2ORwGY/Pbbcs8eWGdl8YApFrgTIR2amjytzkqXK1PPL6DxN/MUw9cXFMPLieJienfnDizDMLsPL8Cy7vFjBGOf+L1XPjwaQOv83rQDEOEoonm6VwEKFWSnQcdzm5GirC9voAJcQPr5aLbhaCHjy56v5e/HP5UT2b8qDOZ6dslZHt5THaJXn6Q6LT4vPig/Ks6E+KH6nP3Fin9M3Au4b+CRXR3HASdGWAhYKxBT4sf4QvBc4SdrZ30KCmSvHOpBDTpC2OrCArDmjZoRoawYLBHTmHaeB75um3owoN6bnFhbUFL0NmI3iREd3h5UOEeP7mEXWc8lYCSWp92LzfJKTGhH3wNMg6HhOWcmwbx6EzDqW0+6xzNmIS915enp2sbgMs6GIorNhlKSXw0XsiWHkn6bn/uniPBTVO+xUd2pD1S1ffxCkxRUwPOe6k5EDEZOguvOXrSLUA3WzwrelEF0dvnrtjMDfSFGpBOavi4/kx8dX8vTj4sPit/LzZ+pn/pf8xaeDu1PhD/T3Uu9zOknAnbSuAGWkQATiPgQoIwmLAPVGgRA6lENOFHcSlBECmwgBo+F7aTLyfe2cYMzJ4kyDpuko1a523mHFQwT8PkVoUgmXxCxCOakRsY8sQo0DOmVFw758ELQOFdo5mDkbsZKhNnXZb0eTQVfqD3VbwYVx3IbbdEcT0VxgwRMqC7+fHU06j+5TPRrBPPq/TUMT0U0C5SaAi8KOhiaincDiLkJMmxqaiAYCy7RwjWxpaCKaCCzQrql9icZhyrEA74VJ5JlWVYkWbq6hKds7Cjz54VeNBqm1qYmKB0zv+KamyPOMTU1UY4H5HdnUlDZNTam5qYlqMjDH9zETkCQ7YzPDEZkBmFXXaGpKd64NgbmpiYogkAjgx0d6dbc2q2XthGwtMO+BJ1KAeJPLeJPLeJOD4s2UjAbMmLjGJnOsuUc2FJg3EY1NadPYZHxHT8jmYjIp6ZGpp6bWGJNT7WdubEp3rrne3NhENR+YRrGNTenuTB9b5iRLt7bAFJgamzIcJRTPeYGJkQOx3ghdSdhQgYnRSQLuJPisV0dxwEmBWGRFzImNBSZGEtcFJkYUdwUmRgjsGjdgNDIRjhKhjetjTpRtqC9x4iHifR+zynpumVUlicw8v+SkRoQ+8LQIPKBTVjTsuwdB66gvdQ5mzkZcitDIv0y85DQbJv5FIn/C84dpfBkMk8VlkJ3H4lJsoLs+MFSjAg/rChieaxHKyYEISlAR+pv68sKBOvWmeFrWXN5VBa3l+zdLTvKbf650Z7rje159g3ngGepLnK4QcFesKTU5KRDxFiE1VU3sy9FAPyovcPKwCE6tuDnkxHAmNjkhsAkPMhKpPnOPOTmcKU3fG0V6pcmKhwjqPSrNwFuJk9V/ddRHrNSIyEdWmsYBnbKiYV88CJpdaXYPZs5GvL37OAP9zVe3Ah/rChiec6XJyIEISlCl6XQfJ6dvBNw360pPRgpEAEZIT9MqJycJj+g07OPkBHEnOxkhsNkPMBYiSyPTEUqcKM6UZzby9Ps4WekQMb5P4elXWsU3C09OakTcIwtP03hOWcmwbx6ErEN3do5lzkYs//dnz0R/x2eEGpRlYIENbsI66qhPDB31VHOB3XZQYfhPUuh9IwXft2Ur96Plu6VIrC5xXXVxv6naucum+OU78qd+Xy5MVg3f5XWxy/fLLvkvBqo3f/l28flAR7xPJY5gxLiOd52Fz1MtFCgLAdZ1DcvVaKhLdx8PynPUfz9STfoPyyvhpWovj1lXK8cPr45UX76/fGcQDK962fcGV18Pq0XoL9T1v9pu/AOqg4Ddfgit+402CLxANRDYs4eRsKYud6qJwG69NcUp0ThMbx7Ae8Eo1faEjan2bazHPQhXvaZBYOttJ2MBEy2+t11EUvebutvJ5gJzLa67PQjq7vaVk3Um3yWbDMy3fYh0SbIzNjMckRmAGZTe3S4NvzYExu52MoJAIoAfH+nV3dqslrUTsrXAfAee4wAiTQ6KNFMyEjBD4rrabVHmHtlUYKaE97U3Eeae+e08IZuLyZ2kh6WeMFqjS061n7evvYks9+yRZUY2H5hCkX3t8pGZ6aPKnGSpMvXiIhAXlxfZ8FT4ydD3L9Jh6l2IoecJT8Rp6meiSrDGibhlWYI6GTf0tQchjhKKp5uyW6gw03Ydx21ODsQiIHQ+/2k1Zf/5YPm3Zf/QqsNIziOH5XTwTTmVfFB3GH0U6EPvPie0gEPDJ8w6igNOCsRKJmJWa6zgMJLwVHAS0+yXkcRdCYcRAruQDBiMKM209bQxJ4ez+k0yirQZ6A4rHSJ09zE1rCeIYbXmH5oniZzUiKgHnttAx3PKSoZ97SBkHfWbzrHM2Yjr+k29fqSeZocFnEhHeyuIrLRpm9ZRAcc3FJxuU+0FrihBFZ/uTKTyW+8Xv5eC4tFAasIPi19UrT4P5E9+c73Jp9SCVeWgOu1IneAT+avr2MqTjGLPeJAR1Q0RzA19lHWIFgqUhQDrri5FG8lRaYaovht3+bYct7fVqUlKnBtGaq85ZKos+qjhEqtjpkb3779cfCa/+91zg+ITtQ28+GTop/r52QHVKcClLYToNRxYRDUQuFCF0LLmUg7RROAC1ZoilWgcZjkK4D1DzzrRuM3VccTeURDLj0R+qCuds72j0JMf1VkiQWSt71BxgXkYX9/JIt9Y3aEaC0zEyOpO1FR3InN1h2oyMBf3IeElyc7YzHBEZoiQDPg12Gjn2hCYqztUBIFEAD8+0qu7tVktaydka4EpEDwDAsSfXMafXMafXMafPFB3d2d7uYw/OSj+TMmowGSKq/qkQhhrPlRDgSkVUfOJmpqP8Z09IZuLSbKkR6ieZFpjTk61n7nmE+1cc7255kM1H5hWsTWfaHemjzVzkqWlVMzOg9iLgqGIVEPmZXA2zBLPG/pekC2yS+EFooIxzt0tSxnU+bup5iNwlFA83SzfQoWZ6es4bnNyIBYOoSsA/1XO+R6rI4vKZsw36qmj/KWcTb6xfG9Q/JM61qj4Wk3ll++qGWe5kVymXfk5GupPyN/n9IKAewE+vdZRHHBSIJZD4fPh5c+Wb+lIXuAkYSkCaVv4Djkx3FWAGCGwS9GAkTBMwhkhnJV/gpEw7BvnpENE8T7mjvUMUlQlA/O13qzUiHgHnvxAx3PKSoZ95yBkHeWfzrHM2YhXp2Seh4F3uUiGpxdRNIzC0B8uRHoxzETqh6en2UWQVprLqbLULgbfCmKsK2B4zpUlIwciJmGU5edVBWJ1p8ZjVXMo1WMy9ANzUYiRU8A519WOjBSIWArXjuYGIkYSFu2oTrvWTjIPOVHc6UdGCGwug4yGDmLMCeFOP3rpKNQW+O+w8iGidZ8Ksrr8NTBf5MtKjYh6dAVpHNEpKxv2vYOwdWjIztHM2YhXGvIyDS5O5Y+dRmfBMPKzs+HpIrwceoEv0iDxxamovOJUQ2oH/1Zgv09O5woQnnMNyciBiEpQDflp1Vj0YLD8z8UTpRyXbxZfrBYgPU+dZbkjdJz7nJwCzrmuhmSkQERThIY09eMwgrBISF9fpTjkBHEnIBkhsIkMMBYGAckI4UxA+qqabehA5+RDhOo+BWR1b2tgvoSXlRoR8sgC0jyiU1Y27HsHYesQkJ2jmbMRr05JX3hZFnv+MFuci6H8eW+YXsSnw4vL8FwEC9+PT8/vuxeQkc4VtwLbhURaV8DwnAtIRg5EVIIKyE9UUVtKyCdlE/RXz+5rLFVk8ZEwbWNkBBVw0HUVJCMFIpwiFKRxFZKRhEVCeqNQK4YPOUncaUhGCGwugwyGDmLMCeFMQybGIjYnHSJW96kg00pzmK9xZaVGhDyygjSN55SVDPvOQcg69GPnWOZsxKV+jIVYnPpnsdKa8mej88th6ieLofDD4DzKzv0krcKpU/0odK64FWRYV8DwnOtHRg5ETILrx4fLN1XpujruXB2JWN6yo/bOrXZFfqOOR1SHnet49zl5BZx3XRnJSIGIqQgZaTrjkRGESUUaa9mMKO5kJCMENqVBRkMHMeaEcCYj/dh4S/gdVkBE1O5TSVZ3/AXmCxtZqRFRj6wkLUM6ZYXDvnkQuA4x2TmcORvx9l7ZGOnvwrgVelhXwPBci0lODkRYgopJzisbOV0h4K5YU2dyUiAiLkJn2q9s5ORhkZt6qcmJ4UxqckJgEx5gJPRSkxPCndQ03tfIioeI6D0KzbC64i8039fISo0Ie3ShabyvkRUN+9ZB0Owys3swczbiVdMk6BZx5zIz0bniVuhjXQHDcy4zGTkQQQkqM39ZXqTzbXnU1xer5sm3y8tfvlDKUu31Lp4sf15f0Pib4oPyYsZfFx/Jj4+vrnX8uPiw+K38/Jn6mf8lf/Hp4O5U+IPiA52T9jmdJOBOWleAMlIgIjFCgJrq5ZwkLNLT02/fO+QEcSc+GSGwaRAyFjqIMSeEM/GZpiP9Xeh3WPEQcb5P8Vnd8xea72xkpUaEPLL4NA7olBUN+9ZB0DrEZ+dg5mzESn3aRGW/Z/wKHdytqp1KDxfGSRtu02f8Uu1th4rv+Rm/VDdEMDf0cMYv1UKBshBgHdMZv/HqjF8d+wGVvR3Z2Y7ypRoIPH0Qrk/NR/lSTWyrT5ajfKnGtfMby1G+VOM2dpRvGO4dhZH8EPIjlh+J/EjlR7Y6SjO0XtVIxgWm216P8iUbC8y3uKN8w+aixtB8USPZZGDK7UOZS5KdsZnhiMwAzJf0o3zD5qLG0H5RIxlBIBHAj4/06m5tVsvaCdlaYAoET2wA8SeX8SeX8SeX8SeX8SeX8SeX8ScHxZ8pGRWYTHs7ypdsKDClwo/ybeLOPfM7e0I2F5NkSY9QPXW0xpycaj/vUb5NvLlnjzczsvnAtIo8ylc+MjN9rJmTLN3auo8wHOUbhjhKKJ7zug8jB2I9EDrR31Ddh9FJAu4k+CRbR3HASYFYBEVMl411H0YSt3UfRhB3dR9GCOwKNGQsdBBjTohtqPtw4iHifB+zy3qOWd0PGJrvemSlRoQ88PQIPKBTVjTsWwdB66j7dA5mzka8vb3twnDabxhhXQHDcy4+GTkQQQkqPll72xldIeCuWFdiMlIg4i1CYnb0tjPysAhNQ287I4Y7mckIgU14gJEwyExGCGcy09LbzomHiOh9ysyoUibmmwlZqRFhjywzLb3tnGjYtw6C1iEzOwczZyPe3vM4hOFA4FBgXQHDcy4zGTkQQQkqM9c+j4OTV8B519WSjBSIoIrQkobzODhBWESk+TwOThR3QpIRApvSIKOhgxhzQrgTkpbzOFgBEVG7TylZXWkVmq8nY6VGRD26lLScx8EKh33zIHAdYrJzOHM24u09HFgYDgcOY6wrYHjOxSQjByIswcUk9XBgTlABB11XRTJSIOIpQkUai96MJEwy0nA4MCeJOxXJCIHNZZDB0EGMOSGcqUjj4cCsdIhY3aeErG60Cs33k7FSI0IeWUIaDwdmJcO+cxCyDv3YOZY5G/H23k4mTDsjbfdsaF0Bw3OuHxk5EDEJqh/Jt5Nxcgo457rykZECEUsR8tG0xZARhEU9+obbyThB3IlHRghsIgOMhUE8MkI4E4+W28lY+RChuk/5WN1nFZpvJ2OlRoQ8sny03E7GyoZ97yBsHQKyczRzNuKVgARdhetcQMY6V9wKU7QrQHjOBSQjByIqQQXkfy0eFZ9XBzg8LZ6ourYqZZcKMhn6gflMDUZOAedcV0AyUiCiKUJAGtcfGUlYFKSljM2I4k5DMkJgcxlkNHQQY04IZxoy8NJRqO39uMPKh4jWfWrI6k6r0Hw/GSs1IuqRNaR5RKesbNj3DsLWoSE7RzNnIy41ZJqdB7EXBUMRiYthdBmcDbPE84a+F2SL7FJ4gag0o1MNaTjtN8O6AobnXEMyciCiEkZDPlabu9W+7+Ub9blg8pfLt5dvLN8bFP+kNoAXX6tz2pbvquXK1QqlUJ+joa+dEexzekHAvbCuwmSkQMRauMJc/mz5lo7kBU4SFoWZ6jAOOTHcqUtGCGyWA4yEQV0yQrhTl8byNicdIor3qS2rK65C841lrNSIeEfXlsbyNicZ9p2DkHUoy86xzNmI3R7lq19vrHZUmeBunFO86aN8qfa2I8X34yhf42mx+1Q/RDA/9HCWL9VCgbIQYF1oOsvXdDyv/LHP5Pe+e25QfDJUpznepDug0rVjN9tpvVQDgQcMwuWn+bReqolteclyWi/VuHYKW/O03iDMRpnOwDHVwI2d2Bv5e0dRID9C+RHJD7E6KTMqr3AyndRLxgRm015P6iUbC0ynuJN6I68+qTcy3pJ1l2wyMKP2obslyc7YzHBEZgBmQ/pJvdLwa0NgQjgmIwgkAvjxkV7drc1qWTshWwtMf+BpCyDu5DLu5DLu5DLu5DLu5KC4MyUjAhMo7oRec8y5RzYUmEbhJ/Q28eae+V09IZuLSaykR6eaEdpjTU61n/eE3ibO3LPHmRnZfGA6RZ7QKx+ZmT7GzEmWbm2tJjac0Bv5OEoonutaDScHYpUPOn9nqtVwekHAvQCfG+soDjgpEGuX8DmwsVbDSeKwVsOJ4axWwwmBXTcGjISf+Zn+YMsxJ8nmCzasdIhQ3sfEsZ4+Vvf1RebLF1mpEUEPPPOBjueUlQz74kHI7AWb7rHM2YhLebnw/SgWUTaM/fLsizQZnoqzZHh5mpx7534q4rjyilN5qQ1Vt6IA6woYnnN5yciBiElQefmpOr1i+eby54Nnj7JQVYZh8V35O++WZaBVEai+SbA66sLXv8j7nD4QcB+sKy4ZKRBxFi4uja3mnCQs4tIfGeQlI4g7eckIgc1ygLEIROYZ9SUjijN9GY98bXfqHVY6RCzvU18GlSYxXybISo2Ie2R9aRrPKSsZ9s2DkHXoy86xzNmIt/e8i9hw+G4UYl0Bw3OuLxk5EDEJri+J511wcgo457oakpECEUsRGtLUpMMIwiQhtWWMQ04QdxKSEQKbyABjEcThKM10JGNOEmcK0nLoBSsfIl73qSGru6Ui80VhrNSIuEfWkJZDL1jZsC8fhK1DRXaOZs5GvL03hcWGU3ejCOsKGJ5zFcnIgYhKUBXJeVMYpysE3BXrCk1GCkTARQhN+01hnDw8elOHcciJ4U5tMkJgEx5gJDJt6B5zUrhTmsarwljxECG9T6FZ3S4Vma8KY6VGxD260DReFcaKhn3tIGgdOrNzMHM24tVqJej2Wuc6U+hccSsSWFfA8JzrTEYORFCC6sxfLt9Yvl0qTbX9sVy1lL8sHqkOS/lbbxYPiifLn8sfeE9tg/xN8UHxafFZ8eviI/nxcXW9WPHPxcfFh8Vv5efP1M/8L/mLTwd3p8IfFB/onLTP6SQBd9K6CpSRAhGJEQrUWC5nJGHRnp6+PHvICeJOfTJCYNMgYCyiZJRpmxfGnCDOBGiajlKDAOXEQ8T6PgVodSNVZL5gjJUaEfbIAtQ4oFNWNOybB0HrEKCdg5mzEbs9P0N/1loUW+GyNtzGz88g2tsOFd/78zOIfohgfujj/AyihQJlIcC6gHB+hvncDCIVcOMwQqeaSvJEA4HbfuHy03JuBtFE4IbfNYUl0bh26lrz3Iw4NETAMdXAzZ2bkewdRan8yPaOhCc//Gr/emw9N4OKCcyi/Z6bQTUWmEaR52bEzbkZxkuv7pJNBmbSPgS3JNkZmxmOyAzALLjGuRnxzrUhMJ+bQUUQSATw4yO9ulub1bJ2QrYWmP7A8xVA3Mll3Mll3Mll3Mll3MlBcWdKRgQm0P7OzaAaCkyjiHMz4ubcDOO7ekI2F5NYSY9OPRO0xpqcaj/zuRnxzjXXm8/NoJoPTKfYczPi3Zk+xsxJlm5tKScxnZthvzLoBiUUz3kph5EDsbwHnbdvqJTD6CQBdxJ8yqyjOOCkaOsDCwViimws5TCSuC3lMIK4K+UwQmAXlAFj4QfxKNCmrjEnyTbUcjjxEMG+j6llPcGsLveLzFc1slIj4h54bgQe0CkrGvbVg6BZB3PaPZg5G/H2Nq0npqM17BcOaVwBw3OuQBk5EEEJqkBZm9YZXSHgrlhXZzJSIOItQmd2NK0z8rCoTUPTOiOGO63JCIFNeICRCBJt1X7MieFMaFq61jnxEDG9T6FZ3QAYme9zZKVGBD6y0LR0rXOiYd87CFqH0OwczJyNeHvP2EhMZ2xkWFfA8JwLTUYORFCCCk36GRuMnALOua6KZKRABFOEijQ19DCC8MhH0xkbjCDuBCQjBDaRAcYizqJRZOgjYiRxpyEtZ2xw8iHidZ8isrrsLzJf3MhKjYh7dBFpOWODkw378kHYOlRk52jmbMTbexJwYjhjozpUFuEKGJ5rFcnJgYhKcBXJcBIwpw8E3AdrKkxOCkSkRShMUz2ck4RJYupPAuYEcSYxOSGwWQ4wFnHqp54+aI85UZxpTONJwKx0iFjeo8IU3kqTCPNlhazUiLhHVpjGk4BZybBvHoTMri+7xzJnI97ei8wSw9kawn7phsYVMDzn+pKRAxGToPqS6SIzTi8IuBfWVZiMFIhIC1eYxovMOElYFKZBXzJiuNOXjBDYLAcYCeEJo7xkJHEmL40XmbHSIUJ5n/KyuvxKmC8yY6VGBD2yvDReZMZKhn3xIGQd8rJzLHM2YrcnZ2hzwS0R2OASrw236ZMzqPa2I8X3/eQMqh8imB96ODmDaqFAWQiwDn5yhmhOzvhMfu+75wbFJ366V56jkerLwQdUynYMZztJg2ogcCMwXIuaT9KgmgjcArymziQa105la56kEUb6Gf+Yat/GDtIQ4d6RiOSHkB+x/EhWG9pFYDtIg4wJTKq9HqRBNhaYVXEHaYigPkhDGG/Tuks2GZhY+5DfkmRnbGY4IjMAkyL9IA1p+LUhMB6kQUYQSATw4yO9ulub1bJ2QrYWmP3AsxdA3Mll3Mll3Mll3Mll3MlBcWdKRgTmz94O0iAbCsyi8IM0mnhzz/yunpDNxeRV0qNTTwytsSan2s97kEYTZ+7Z48yMbD4wnSIP0pCPzEwfY+YkS7e2bmOYRtwSIY4Siue8bsPIgVjsg07jueo2jF4QcC/Ap8g6igNOCsQSJnwKbK7bMJK4rNswYrir2zBCYJePASMRJNpXfMyJsQVFG046RBzvY9ZYzx2ruwCF+WZHVmpExANPe6DjOWUlw751ELKOok3nWOZsxNvbc54ajsgQEdYVMDzn2pKRAxGToNqSp+ec0QcC7oN1lSUjBSLOwpWlueeckYRFWRp7zhlB3GlLRghslgOMReh7Qscx5uRwJi7NDeecdIhA3qe4rC4AFObbHFmpEUGPLC7NDeecZNjXDkLWIS47xzJnI97eYzFSw7EYQmBdAcNzLi4ZORAxCS4uicdicHIKOOe6ApKRAhFLEQLS1J3DCMKkH7UFjENOEHf6kRECm8gAYxEmo0zoQMacIM4EpOVUDFY+RLjuU0JWV/gJ832MrNSIsEeWkJZTMVjZsO8ehK1DRHaOZs5GvL2H+KamUzFirCtgeM5FJCMHIipBRSTnIb6crhBwV6yrMxkpEAEXoTPth/hy8vDITR3GISeGO7HJCIFNeJCRECOhEulNkjEniTu1aTzHlxUPEdb7FJtxJU/MtxKyUiNiH11sGs/xZUXDvnoQtA6t2TmYORvx9l5ZlppOyLDenaGV3SA851qTkQMRlKBaczNXlnE6ScCdtK4KZaRARGKECjWWyxlJWPSn6coyThB3CpQRApsGAWMRjwzykxHDmfw031fGioeI9H3Kz+qKK2G+r4yVGhH0yPLTfF8ZKxr2vYOgdcjPzsHM2Yjl//5sb3WowY9t8rLfkzS0YeiWsN2VEdw8JsTdSRqRzt7bVHvbIWNLT9KI/auDNFLPfI4G0QsRzAt9nKNBtFCgLARYZzxHo1x0fLJ8+6qL1ThQezcP3YiF8ZSTAyp7O8Dzna5BNBC4OxguVC2naxBNBO4LXlOCEo1rp7k1T9fQem5MNW5zR2tke0exJz98+RHIj1B+RPJDVFvdU+sRG1RcYLbFH7Hhe35kPGODai0w3yLP2EibMzaMt2ndJZsMTLl9KHRJsjM2MxyRGYAJc40zNtKda0NgPmODiiCQCODHR3p1tzarZe2EbC0wB4InOIAAlMsAlMsAlMsAlMsAlMsAlMsAlIMC0JSMCsymyLM2gsB41gbVUGBORZy1kTZnbRjf2ROyuZgsS3qE6imkNebkVPuZz9pId6653nzWBtV8YF7FnrWR7s70sWZOsrTUiqC9kwrGOEW3LFRQp+mmszYyHCUUTzeZt1BhJvQ6jtucHIh1QehEn+usDUYvCLgX4NNoHcUBJwVitRM+ITaftcFIwlLi0YbCQ04MdwUeRgjsQjNgJAyzcEYIZ+Ud80kbnHSIKN7H3LGeQVY3Agrz/Y6s1Ih4B578QMdzykqGfecgZB3Fnc6xzNmIV71F52HgXS6S4elFFA2jMPSHC5FeDDOR+uHpaXYRpJXmcqostavBt2IP6woYnmtlycmBiEkYZfl5VWl4WjyRH49VbaFUj8nQD4zFH05OAedcUztyUiBiKVw7GtuDOElYtKM38vT7mQ45UZzpR04IbC6DjIYOYswJ4U4/eukoDHV8d1j5ENG6RwUZV3f+xeb7G1mpEVGPriCNIzplZcO+dxA2u4bsHs2cjXh7D9TIDAdqxD7aFSA85xqSkQMRlaAaknygBiengHOuqyEZKRDRFKEhDQ05nCAsEtI3HKjBCeJOQDJCYBMZYCwMApIRwpmAtBymwcqHCNV9CsjqVr/YfEMjKzUi5JEFpOUwDVY27HsHYesQkJ2jmbMRrw7TWHhZFnv+MFuci6H8eW+YXsSnw4vL8FwEC9+PT8/vuxeQkc4Vt+IA6woYnnMByciBiEpQAfmJKmpLCfmkbHb+6tkzf6szfYW+m2ifE1TAQddVkIwUiHCKUJDGVUhGEhYJ6Y1CrRg+5CRxpyEZIbC5DDIYOogxJ4QzDZmYitisdIhY3aeCDCrNYb5ukJUaEfLICtI0nlNWMuw7ByHr0I+dY5mzEZf6MRZiceqfxUpryp+Nzi+HqZ8shsIPg/MoO/eTtAqnTvWj0LniVhxiXQHDc64fGTkQMQmuHx8u31Sl6+qwi+Ub8hvvVnvkVpsfv1m+t3xLHZCh493n5BVw3nVlJCMFIqYiZOQ32nX8FzhBmFSksZbNiOJORjJCYFMaZDR0EGNOCGcy0o89z7Cz5g4rICJq96kkq8uqYvPFY6zUiKhHVpKWIZ2ywmHfPAhch5jsHM6cjXh7T/bNRtrdGbfiCOsKGJ5zMcnIgQhLUDHJebIvpysE3BXr6kxGCkTERehM+8m+nDwsctMgNRkx3ElNRghswgOMhEFqMkK4k5rGQ31Z8RARvU+hWV1cFZsvIWOlRoQ9utA0HurLioZ96yBoHTKzczBzNuLtPdQ3GyU6V9yKBdYVMDznMpORAxGUoDJzM4f6cjpJwJ20rgBlpEBEYoQANdbLGUlYpKfpUF9OEHfikxECmwYhY6GDGHNCOBOf5iN9WfEQcb5P8VldeBWbry9jpUaEPLL4NB/py4qGfesgaB3is3MwczZipT5torLfo3x97XjeimMLXZj4bbpNn+VLtbcdK74XZ/kaj4vdp7ohgrmhh8N8qRYKlIUA60LTYb6m83nlj30mv/fdc4Pik6Ef7JX/CVf/Eav/xCMd8wGVuR3S2Q7xpRoIPHYQLkzNh/hSTWzLTpZDfKnGtRPbmof4hiI1XRFBtXBjJ/nGyd5RnMqPbO8o8eSHvzpAMy7veDKd4EvGBCbZfk/wJVsLzLK4E3zjuD7BNzbeo3WXbDIw0fYhyCXJztjMcERmAGZJ+gm+0vBrQ2BCOCYjCCQC+PGRXt2tzWpZOyFbC0yA4PkMIPDkMvDkMvDkMvDkMvDkoMAzJSMCUyju5F5L0LlHthSYSeFH9zYB5575ZT0hm4vJraRnp54qWoNNTrWf9+jeJtDcsweaGdl8YEJFHt0rH5mZPsjMSZZubZ3H9wxn98b2m4RuYEL5nBd6GDkQC4DQif2GCj2MThJwJ8En1TqKA06KtkKwUCCmycZCDyOJ20IPI4i7Qg8jBHbJGTAWiZ+MQu1Zy2NOkm2o9nDiIYJ9H5PLeopZ3fkXmy9wZKVGxD3w7Ag8oFNWNOyrB0GzDua0ezBzNuLt7Wj3DcnjVpxifQHjcy5BGTkQUQkqQVlb2hldIeCuWFdoMlIgAi5CaHa0tDPysMhNQ0s7I4Y7sckIgc14kJFIE+0yyZiTw5nUtHS1c+IhgnqfUjOt1In5TkJWakTkI0tNS1c7Jxr2xYOgdUjNzsHM2Yi39yhgOfyhzhe34gzrCxifc6nJyIGISlCpST8LmJFTwDnX1ZGMFIhoitCRpr4eRhAeAWk6C5gRxJ2EZITAZjLAWIRZJEbV3UY3VCQjijsVaTkRmJMPEbD7lJHVRVax+VIyVmpE4KPLSMuJwJxs2LcPwtahIztHM2cjLnXkwvejWETZMPbLAzvSZHgqzpLh5Wly7p37qYjjjejISOeLW4mH9QWMz7WO5ORAhCW4jvxGHeq2/Png2dOAVVv1sPiu/J13y7b3VdP78u3lO826ZfGRrz+bcZ/TBwLugzU1JicFItQiNKapKM5JwiQytVXYQ04QZyKTEwKb5gBjIZNMHCf62f+Yk8WZyoxHvnbL/h1WOkQw71FjJtVFV4n52jJWakTgI2tM03hOWcmwrx6EzK4wu8cyZyMuFSbsklz3ClPofHErsd2/ofUFjM+5wmTkQAQlqMJUN98+Vu2XqjNz+Ua9p1L+UqrJN5bvDYp/Ui2axddq66RUm4+LB6tlTKE+R0NfWyXb5/SCgHthXY3JSIEItXCNufzZ8i0dyQucJCwa06AwGTHcKUxGCGyaA4xEkMaZ0HcyjTlRnAnMwHQpBSsdIpb3KTCri7AS87VmrNSIqEcWmKbxnLKSYd88CFmHwOwcy5yN2PEZG9ol6VtJYKUL2nSbPmODam87VHzPz9iguiGCuaGHMzaoFgqUhQDrAndnbFCZ2xGd7YwNqoHADcJwaWo+Y4NqInBn8Jqyk2hcO7GtecZGFMSx/gzOMdXCjZ2xkYR7R0kkP4T8iOVHstrqngS2MzbImMAk2+8ZG2RrgVkWd8ZGEtRnbCTGq7jukk0GJto+9Lgk2RmbGY7IDMAsST9jQxp+bQiMZ2yQEQQSAfz4SK/u1ma1rJ2QrQUmQPB0BhB4chl4chl4chl4chl4clDgmZIRgSm0vzM2yJYCMyn8jI0m4Nwzv6wnZHMxuZX07NRTRWuwyan2856x0QSae/ZAMyObD0yoyDM25CMz0weZOcnS7a3lGLpNbyUhDhPK57yWw8iBWP+DTuy5ajmMXhBwL8BnzTqKA04KxKomfB5sruUwkris5TBiuKvlMEJgV5QBIxFGfhjqL1obc6JsQS2Hkw4Ry/uYO9YzyOoewcR8LSQrNSLqgSc/0PGcspJh3zwIWUctp3MsczbiLW5H9w0naCQR1hcwPucCk5EDEZSgApOnHZ3RBwLug3XlJSMFItDC5aW5HZ2RhEVeGtvRGUHcCUxGCGyaA4xFlGWBFxrOUOdkcaYwze3onHSIYN6nwqyuEEzM90GyUiMCH1lhmtvROcmwrx6ErENhdo5lzka8xQdn+IaDMxKB9QWMz7nCZORABCW4wiQenMHJKeCc66pIRgpEMEWoSFOzDiMIk4jUljIOOUHciUhGCGwmA4xFFGfhKDT0CDGiONOQloMzWPkQAbtPFVndBZiYL3ZkpUYEPrKKtBycwcqGffsgbB06snM0czbiLT7r19Dzfas6RRLhCxifcx3JyIEIS1AdyXnWL6crBNwV60pNRgpExEVITftZv5w8PIpTh3HIieFObzJCYDMeZCRSfbvWmJPDndg0nvXLiocI6n1qzbhSJ+bbC1mpEZGPrjWNZ/2yomFfPAhah9TsHMycjXiLbzbzTSdo2K/Y0PgCxudcajJyIKISVGpu5mYzTicJuJPWFaGMFIhQjBChxqo5IwmL/DTdbMYJ4k6AMkJg8yBgLFIRjsJIRzLmJHEmQc03m7HiIYJ9nxK0ugwrMd9sxkqNiHtkCWq+2YwVDfvqQdA6JGjnYOZsxPJ/f/YfnxFfRo352sXZ6y++8rLGCySJaWi5tN2qESReG9N02IbZWIxwvDpvQ2vtbaq17SfM4lqoPJRK8KtyCfJR8XV5aMP7y78tHi3f31OHODwsviueqPbJr4svpGx8rP2xt5sffFgKy4c65P0kfW5Mxb4RKs3c60XK1bb5bO8oDeSHkB+J/JC/znxDqKQSRXgi+A5FhXEsMY4lxrHEOJYYxxLj2IBxTMYQeAz4TkVJMZEUE0kxkRQTSTGRFBMDxYRMAX+t6HF7tTE628slTS5pckmTS5rcQJNTaW7seu2gwT1WM4kwkwgziTCTCDOJMDMgzMgI8BSC3PwqCeaSYC4J5pJgLgnmkmBuIJiTCMpnakWg0suPbcmxz5OoAtN+18wKERiHAWYrMTGakyPR3HaSYDiHSv7ic7VlVeXAsl5Xni71pT6HFo8GyzcHxXfl7zwu0+Oj6oyqR6rCN1j+TP2lxRf6U6zKv/pJVSgsfyH/9vIkLPk99dc9Lf/0k/Iv/7Z4UC3VfDEI1OFX8tvL93Xu3ae6t52xGM+3IlooUBYCrLs630pn5wHVzvYUiO9MKqKBwAM14Ks5ljOpiCYCT9JYc52GaFxbT6x5JlUQGo+kIhq4sSOpUk/qab86DSazHkNFRQNmWPwxVGFgPoWKaiwwxSJPocqaU6iM1wfdJZsMTLPrTcTqxapsZ2xmOCIzAHMZYepVHw6T7VwbAvMpVFQEgUQAPz7Sq7u1WTdmWFRrgSkPvOIHiDW5jDU5KNZMyVjARIk7ecocZ+6RDQWmS8TBU1lz8JTx/Twhm4tJoKTHpV4/tcaXnGo/88FT2c4115sPnqKaD0yhyLm3fGRm+rgyJ1laSuk0EP7ZeTIU52qHl3+ZDdN4UfZMhEmaZclpeL6CMc7AX1r02wKhJrb6eXhVkwBTQvF0c3ULFWa+ruO4zcmBKIpBJ/KfyGn1g+IP5eEAbwzkBP6ROnFK/rLseahbHD6Tv/tOOe1W0/PH5TT+54P/39/8F33f/D6nEwTcCfDJrI7igJMCUelDTHVNHQ6cJFwdDkJHcshJ4qzFgROirQ4sENAptshGfqIdjjEnibMWh8D3RqG+x4GVDxHO+5gwVtPGtLrbLDXfU8dKjYh84BkPfESnrGzYlw/CZm9y6B7NnI24FJmXaZycnV1eDM8vhT+M0jgeLs6jZHgZBqdnwouj+OLsvnuRqW+ESH2sK2B4zkUmIwciKkFFpqGPopST1bYuddSpqt48ak42laLzV8V/Kz4uO2t/XXbY/qb4f5ToDA2ik9EpAu6UdUUnIwUi9PYhOhlJWERnoG/OP+QEcac5GSGwaQ8wFiLzRybNyUjiTHOqs1wTg+bk5ENE9z41Z3XdWWq+uo6VGhH4yJrTPKJTVjbsywdh69CcnaOZsxG7vLwuMKnIwAIXJmEbbsMtQ1Rz26HiX1qGdO7dp7o3grm3h5YhqoUCZSHAutDeMkS1E1g/RUhaQ8sQ1UBgJRSuVM0tQ1QTgTXQNTUo0ThMxRPiPeEZztGnGri5lqFw7yiNVmX81HpzHRkNmGF7bRkiGwtMsbiWobS5uC41X1xHNhmYZvtQ45JkZ2xmOCIzAHMZvWUobS6uS+0X15ERBBIB/PhIr+7WZrWsnZCtBaY88GQGEGtyGWtyUKyZkrGAibK3liGyocB0CW8ZamLMPfP7eUI2F5NASY9LPTO0xpecaj9vy1ATW+7ZY8uMbD4whSJbhuQjM9PHlTnJ0q2t5pi27qQhjhKK57yaw8iBWO+DTuQdVXMYnSLgToFPbnUUB5wUiEVNxNTXWM1hJHFbzWEEcVfNYYTALigDxiJMYv1ojDlB3BVzIt90Th8rHyK49zF9rCeR1X1nqfnuOlZqRNwDz3/gIzplZcO+exC2jmJO52jmbMTb26VuLP1EWFfA8JxLTkYORFSCSk6mLnVGJwi4E9aVmIwUiFDbh8RkJGGRmOYudUYSdxqTEQKb5wCDESajWDsaY04QZxrT1qTOyYeI5n1qzOrGs9R8ex0rNSLwkTWmrUmdkw377kHYOjRm52jmbMTlSXx7TbuFjBAuzxwKdbC3UmGBDZKoDeuogSjSz9FvU81thw6GBiLAMXzFo0F5/UTZ4FMpxd/JH3yyWrBcHe2sFizfKm8UeaTOfG56f/yq96f4g84z+1TPRDDP9NH7Q7RQoCwEWNdxXBDVTmAhFKFOTb0/RAOBJU246LT0/hBNBBYz11STROMwpUuA9+LQcGvomGrg5np/4qoWL6x9P1QsYGLE9/2I2Nj2Q7UVmBiRbT+iafsx3pd2l2wyMDn2oaklyc7YzHBEZgCmsTXafsTOtSEwt/1QEQQSAfz4SK/u1ma1rJ2QrQVmO/CUBBBmclCYmZKRgPkR1/JjDDH3yHYCkySi40c0HT/GV/OEbC4mbZKelHpqZw0tOdV+5o4fsXPN9eaOH6r5wOSJ7fgRuzN9SJmTLC0naX56frY4D4Z+tIiHUaCu7wwusmEUx4k4PYuSJLlcwRinzJYFBOq02dTxE+MooXi6ybWFCjPB1nHc5uRALNhBZ96fyAnwV+U0+PflJUnlzplqUv1o1ehTzsuf1LtmXnztlZ+88vJAeN7AF552QrXP6QMB9wF8BntVX1L32686nAbFB8Xj5dt1s9NgOBDlHaQa4ANOYMR6ZQ9TYUYQljqNnDJr53yHnCTu6jSMENi1YsBgxMIbBWGmQxlzojir1PhxOooNlRpOPkTg72NWWc8tq4seU/OtnazUiMgHnhbBR3TKyoZ9+yBs1tGcdo9mzkbsdmt3pIO7ldovhDILfpitGOEIqswQzQUuPkH14TZWZoieiWCe6aMyQ7RQoCwEWNe1K5toZzsw81VmiAYCV55QMtNUmSGaCFx0WlM/Eo3DLDEBvBdE6SjVGTimGri5ykxaLZkm1soMFQuYGHutzFBtBSZGZGUmaSozxrsd75JNBibHPjS0JNkZmxmOyAzANLZGZSbZuTYE5soMFUEgEcCPj/Tqbm1Wy9oJ2VpgtgNPQQBhJgeFmSkZCZgfe6vMUO0EJklEZSZpKjPGV/OEbC4mbZKelHoqZw0tOdV+5spMsnPN9ebKDNV8YPLEVmaS3Zk+pMxJlm5tZSYyVWZsd0FqKKF4ziszjByIBTrozJunMsPoAwH3AXwGC6nMWOoyjLiI1ckeJsKMII7rMowk7uoyjBDYlWHAYARSmgVxpEMZc6JsRV2Gkw8R9vuYU9Yzy7RayU/Ns0tOakTkA0+K4CM6ZWXDvn0Qto66TOdo5mzE9Q4acb/RmA530Agd7K00s8AGSdyGdVSnEXp1fJtqLnApCqoW/7kpyjxcHZr7bP1F6seH5Tbrb4qv1f5q+c1vdDD7VJgIBtNHaYVooUBZCLCua9ML0U7gYhNGUWp12AtUA4FLRyilaCqtEE0ErhqtKQGJxmHWiADe03puTDVuY2WVzKvWO613Y5OxgHkMX1YJfJEYCytUa4GZDFlYaS7HTs2XY5NNBmazPkSwJNkZmxmOyAzAJLZGYaW5HDu1X45NRhBIBPDjI726W5vVsnZCthaY68BzCECgyUGBZkpGAmZHXGHFEmTukS0FJklEaaW5Gdv8cp6QzcWkTdKzUs/GrMElp9rPXFppbsa2B5YZ2XxgAsWWVrLdmT6ozEmWrlKRH8Xi0h8GSSTnu4G3GJ4uwsvhabbwT30/vUyTKr8aZ7mWOT91pmsorWQejhKKp5sPW6gwc2Idx21ODsQaG3Sy/OH16XB1yNjyb5ZvDHxvGGgj7T4no4AzwmeoOooDTgrEuuD681dOEK6KiLa2c8hJ4qwiwgnRzv0WiPWmzZwQzmohgRCeQS3eYQVEBOo+5oHVbDCrbknOzHdes1Ijgh54IoMY0ikrHPbNg8DZqyHdw5mzEbvdpRLr4G5lttsVw0S04TZc/aCaC1wvggq6fqofVJgIBtND9YNqoUBZCLAuGBSPBs/sLrn/cpTsxTveni92ffXfWH2R7gn5Zai/7PeACgNcNupBYhINBC4CoaSjoURCNRG4+rOmJiQah1nrAXgvCEeZr99+QrVwc3WSYLV8mfm2OgkZC5jx+q2TkK0F5jxcnSTz6zpJZrwD+S7ZZGDe60MfS5KdsZnhiMwATHf0Ook0/NoQGOskZASBRAA/PtKru7VZLWsnZGuBCQ88vQAEmhwUaKZkJGCK7K9OQrYUmCnhdZImwNwzv5wnZHMxuZP0rNTzNGtwyan289ZJmsByzx5YZmTzgQkUWSeRj8xMH1TmJEu3tk4Sm+okAY4Siue8TsLIgVh+g06raXUSRkYBZ4TPZXUUB5wUiCXDHiaxjCCO6ySMJO7qJIwQ2NVawGAE0SjMtCuVY06S7SiWcAIionUfk8F6ShhUq+vmi+JZqRGRDzybQQzplBUO+/pB4DqKJZ3DmbMRl1tHntEdRpX42sXZ6y++8rLGCySRqM1yt7LQghkkSRvTVDYxG4vRfleVE621t6nWtp8wi2uBCk93vFdZOnm8fGP5XrnH+P1naik6mv0sfG5MJboRB81I64XB1epptHfke576JNSnVH7yA/UpVp8y+SlQvwzU7waJ+qS+F6o/FqqvIvVVpL4S6iuRGWIo1RsR3hvwSbBywbF0wbFywbFywbFywbFywbFywbFywbFywbFywbFywbFywbFywbFywbFywbFywbFywbHJBcdkFwi8C+ATaemBifTARHlgojwwUR6YKA9MlAcmygMT5YGJ8sBEeWCiPDBRHpgoD0yUBybKAxPlgYnJAxOyB+BvOT2NrNb4or1ceSJXnsiVJ3LliVx5IleeyJUncuWJXHkiV57IlSdy5YlceSJXnsiVJ3KTJ3KqJ24sBnV4AvcqzCT+TOHPFP5M4c8U/kzhzxT+TOHPFP5M4c8U/kzhzxT+TOHPFP5M4c9M+DMyPjyTIteTJP1c0s8V/VzRzxX9XNHPFf1c0c8V/VzRzxX9XNHPFf1c0c8V/VzRzxX93EQ/J9GX78H9Rk4425NqOpw+i6wQmXEIYbYStYUyWWfubaq5wOoUh7h4MFi+Kb+WP/2w+Er+5AN1KmjZ1fFk+fPy4t8/DOSnL+WffLv4tmzi+KI8dvQPq7/hC7VUVR0UUp4LUp0mWh6actUAUv4N8qtvy7/82/rPPyl/+Vj+KWXF1+W5pOp0ldU/sPyZMt2kfoi+bqd6xqYRooUCZSHAuqstsyN1o/Oj4rvnBsWHxe+G/t7qv9qFhgOq/cCyGWaJTbsw9QLVQGARDLV0ZuoTIZoIrH6tuSZGNA5T6wJ4z9ATTDRucy0icvKSyflMJucvmZzhZFlVyY2sLSNUTGA6xreM+FGYGVtGqNYCEzKyZSRqWkaMt+DeJZsMTMrrTY/r9cFoZ2xmOCIzREgGuJKvK7vRzrUhMLeMUBEEEgH8+Eiv7tZm3ZhDUq0F5j7wIisg8OQy8OQy8OQy8OQy8OSgwDMlIwKzJ66FRE53fGMLCdVSYBJFtJBETQuJ8WU9IZuLSaukZ6devbYGm5xqP3MLSbRzzfXmFhKq+cCEipzyy0dmpg8yc5KlpanZ4jTzvHAoTqNwGGWLZJieLoJhGsVxkHoiOk8uVjDGyftLi35bSIxz4luZwFFC8XTTfAsVZqqv47jNyYEoSkLXAD4s92Q8M8l+unx3df/Han7+z+VU/G/kx99W55l+UU7PqytCvlNLBp8Uvy4+HBafyjnjB8XHxT/Kz78rPtN5Z5/TOwLuHfic+MpBX6m7U64vRhSf1usnxeflLSlfDopfSPd8LT8eq5WKD4pPfU/dlqIWP0qHPa4OSZW/+aknZ9mDQKhvfqnz1gGntxClXsQM3EDyAicJU5eLdi3hkBPEXZMLIwS2yg4YC8PEnxHCWX+LH4xCbQ36DiseIpH0MW+tZ6+iaocw34fOSo0IeeCJF3hAp6xo2LcOgtbR29I5mDkbcaluL+NLcb64WAzD4DQb+v7FxXDhe8Hw3I9jf3HmnZ5m1WPuVN1q08atqkcP4QoYnnN1y8iBCEpwdVsXlh5JWftQCjEp25QMe6bKNPjRxauLlxaDo8Wri7/+6xcHUr8+UAUxtVV5kB/Gvhd63skg9rx/pz4ydZi9KnV9XtbCvq6KVPLnVYnrLSkS31v9spJ8Ojfuc7pRwN2IksHaEl3befmh8AI/kP4KPG/5Tqo++b66SvCbvfv3Xy7+a+m0L1UBT31T1RLljGIljT+Xv/y9/Fj98gfyH3g4KHeL/1598WHxka8NMweczkSkDIRKNtWpGEGYRLKnvXjlkJPEnUpmhMDma8BgGFQyI4Q7lexnobELnBMQkZL61MnVTcCZ+V5nVmpE0KPrZPOQTlnhsG8eBK5DKXcOZ85GXCrl2EvS0zALhkG4OBtGlwsxTEW8GEbBWZaeJRfh4jK6714pa6dJtzLbnV1aV8DwnCtlRg5EWFpHKT+4vt75YDB98eL1VxfqPy//9aLebdgI3+Lp8NmVzo/KLq1a3ZU/+6PMyzzfO/E8z/+T2dRT35QK78Gqx6zsI1P/ZvmzUmvvqI/UdHnUPqeHBdzD/Yvo4hO1qFx5sFxXVovJzz8fe4GnpLVaef5HqYofqdEqvl3+fPm+moWon4iCQP7EnvLe8p3yUzlfGekceMDpQEQO6UE4M4I4Fs6MJO6EMyMENn0DBsMgnBkh3AnnMIlGkdAB3mEFRGSoPoVzUikt87XOrNSIoEcXzkHmGXZgT1nhsG8eBK5DOHcOZ85GXArnsyALg8A/HZ5nofzZKIiGaeB5wwv/NMtOEz+WP37fvXCOdK64ldkuIdO6AobnXDgzciDCElQ4/9MzmxEeDIr/Xq4JP1ztjhgUnx6E4Z8rPetF1Zqw/P2yV6DcBfGsYtY5Y5/TGQLuDLjG1VEccFIgYi5CaBr7GBhJWJSmNwqEjuSQk8Sd0mSEwOY7yGDoIMacEM6UZiQfNO2U5g4rHiKg96kzqytBM/MFr6zUiJhH1pnGAZ2yomHfOghah8rsHMycjXi1PHuZevHluTe8DLzLYXQWZ8P0PMuGZxcXkReHlwsvqlKDU5UpdK64lWVYV8DwnKtMRg5EUIKqzF+29tU+GKhfFo+qfbVvFg9W66erpdffqMbT4rPi18VH8uPjaqX27nQo/EHxgc4f+5z+EHB/rCs0GSkQQbcPoclIwiQ0fW3EOOQkcSc0GSGwKQ8yGDqIMSeEM6GZpqPU0AnAiYeI6X0KzazSJubrVFmpETGPLDSNAzplRcO+dRC0DqHZOZg5G3F5GtxeI7EcH9qi74n1PetFQanfpnV0aktgOLWFbG87djg9tmV1wsoTVSguv/NQCsdvigc6wn0yYQQjxB2WUvyD2i21/Pvlu6tOBHXsy9+pZdXl26r+/Q/FJzqI58kQAgUBALg6T0Vn6AHZ0HZUZjs4hWxhW2EynpxCthG463s93Ui2rp2e1jw7RYSpvt9qTLZwYweo+J6vDodUB0F6ofoUrc4xUKelWU5QoYMCkyP+CJXID0wnqNCtBWZH3BEq0pz6DJXKzTqr79KtBubIPrS1gtkZWzCO6BjAREg/SEXZfn0gTBTHdAqBpAA/R8qzu41hLYMndIOBGRE8RwGEoVyFoVyFoVyFoRwYhqZ0SGBSxR2oYg5B9+iWAlMr/ECVq/Bzz/LentAtxqRb0gNUzQG7Qk9ORuA9VuUq7NQDYCKY0QmAeRZ5sop6dhqjWsbOacaWj8wivAgDIYbidBEPo+wiGZ6enqVDOUu/8E/9IM0W1YgYJ9mWJQfqRNtwuIqMVThMKJ9uOm7BwkzJdSC3WUEQa3zQuXr79BDoPJyRUsAp4VPdK1B18olqWX9ytbGzYv9SfvdztQF3+c7getf/8j31rWtLGPLP/UjivzKY/uSvXhtE5jNSWH2FWP9EzLZNNR9WFKaij3ZSechK4qzow0qBXX8GjIYf+6Mo06GMWVGc1X6CwHgZEC8gIjP0MUNt5qn+qmJQfaEDP+IFRwRA8OQKPqpTXjjsKwiBs5eAICOa80Gv2o2i8yQ5uwiHp36aDqNYBEP5p0/VaSvn/mm8OE/F2X33wtVUIwqwvoDxuReujCCI8AQVrjcbjur9ntq+o1WFRp3C/5XSt0P5n0fyd7+rfuqR/I1vVz+l884+q3cE3DsIwds4yNqJpTkg8Dfl+X9v1bs3B3enwh/cGuj8csDqF0Rs70XcMqIwiVtDRxMrikN1y0iBTa2A4Ui9UaLfyjhmRXGmbuN0FJnELScfInv0Km6DWgqZL7vkBUcEQLK4NQ7qlJcN+wJC2Lq0bfeA5nzQpbZNT734Upx5w2jh+fInAvmn4vNkmIos8y7TswtR17acalvtIonUtiHWFzA+99qWEQQRnaDa9tPq/qrmqGt1g9S3y7eXb5jXaQc/qH9Lnfz3n4qHxeOVNpYar/iw+MUPK3k8W7z6lxevv17dbtX9L5Ui+akUjm+VElL9m1+qfq6bBlTbR6vfr/70z8orsJ4s31v9g5kvIu1Eap91jAR8jOAKW4dxwIqByAcIQayWtb8cDfSH2LzACsQii7UVpkNWDoeamJECm5IBYyFt0nGMWTmcCWLjVS93ePkQKadXQRzW+im0CGJOcEQAJAti46BOedmwbx+ErUsQdw9ozgddCuIkuAzO4ywdxqd+NIzSLBxm0eXF0IvP0+j8IvPONyKII50vpCCOsL6A8bkXxIwgiOgEFcS/uS42oVo3Ks91HlTC9+DW3dVXk5defvG1n77y6uuvDW7tz8aT48FJ5GnU8bARydcU8GrhtKV/NYJ3+bfVwYPlAdy6cdhnHQcBH4e1RS8jBiLmI0SvcUMBIwmP2tV3VB2ykjjUu4wU2IwLGA2RBSNfu5oyZkVxJnn90Hip6h1eQkRa6VX0RrVGMl9ryguOCIBk0WsZ1ikvHfYlhNB1yd7uIc35oOudrlUMdbzT1bTSK6y0YZvW0U7X1LjTlWhvO4j0sdO1PCW5OfVEbX19r9SAX9SrqmXvaLnI+jdl3+lDoxokUkUwKtzuVp2Jz5NNFCgTAeZd7V0dqQsefzeMdAYfkA0G7thBSM6udVaiocBdNxhFad7KSrQRuN9mXa1ItA6ztwbgP63vxmTrNriNNVabV5N615iwb16l4gHzHX7zauCZ2jZ/RLcWmPCwm1fF1eZV43V1d+lWA9NeH7pZweyMLRhHdAxgnltn86rYuT4Qls2rVAqBpAA/R8qzu41hLYMndIOBqRA8+QAEn1wFnxwYfKZ0NGDyxG1ZNQeee3RLgSkUs2VVXG1ZNb6tJ3SLMWmV9Ng08zl7wMnJCNxbVsXO9QGwbFmlEgCzK3rLqthtjGoZO6cZW85jQv/yPPKioXcuJ89RLOJhlvn+UJxenJ6dXXp+EFSvgXG2bFk+oM6YjVtWYxwmlE83r7ZgYebWOpDbrCCIVTvopPuTq6n08ueD2bBYXXWqbrWvajOfFB8V/2vo+Vc3QF2da/9U1YSqi5/kx8PVjwSJ5+2E2pi9z+ofAfcPfG6swzhgxUCsUfY4Y2YEYqrV6EPmISuKw2INIwV2nRgwHKaJOiOFszpN5o0y7enod3j5EPG+j9lmM+eM6yV985WkvOCICAieKIEHdcrLhn33IGxdNZruAc35oEs1GoZJepb4YuifnvnDyLsUw/Tcy4a+WGR+cOFFZ9n5ffdqVNu4INVogvUFjM+9GmUEQUQnqBr9L1KHfqUODVF3wH9Zasqv1eZS867Lh+V9Szr4fVZ4AYeHS82rc1XUnaHfrioytQ7XHLXykfzyG/kH1L7UF178d4Pin9teGhSfy99/Uv54mHrqL36ic9YBq7MQ4RwuaJc/W76lQ3mBFYVFynojT3uQxyErikMpy0iBTaeQ4dBRjFkpnElZ37iceocXEJEtetWySS19zLeE8oIjgh9Zy5pHdcoLh337IHBdYrZ7RHM+aKVmbSK13wajSEcn5WlqoQuTuE238QYjor3ASitUXfbdYESkimBUvTQYEU0UKBMB5oXtBqNwz95oRDQcWF2Fq8zOZVOiocBaKVxD2hqNiDYCq6TrikOidZiKKMB/sYxj2odxTLZwg81G2d6R73vqk18X/VN7xxGVEZgAe+44oloLzIDYjqP0quPIeK/kXbrVwDzYh25WMDtjC8YRHQOY+NbpOEp3rg+EpeOISiGQFODnSHl2tzGsZfCEbjAwJ4InH4AIlKsIlKsIlAMj0JTOB0ylPbYdUS0FJlRM21F61XZkfGVP6BZjkizp2Wlmdfaok5MRuNuO0p3rA2BpO6ISAFMsuu0o3W2Mahk7pxm7tYWeyNh2lOEwoXzuCz2MIIilO+hUvOdCDyO8gMPDp8MbLfQwOgux1gmfglsKPYworgs9jCgOCz2MFNilZsBwiFGchjqSMSvJdhR7OAERGaOPSWszdc3q0oD5BmVecEQABM+34KM65YXDvoEQuK5iT/eI5nzQ29tHH5k6l3wP6wsYn3NBywmCCE9QQeu8j57TPwLuH4Tm/UzjlO+uuW3lo4HnD36g2JfvhJ46c0rOqevjnwZDu+N0vjpg9RUi4sMlb1fViROIRfiam/U5UdwJX04KbNoFDEeUjUSmzSBjVhRnyjfzRoF2yecOLx8is/QpfH2vkkm+5ZpjVnBEGCQLX+OgTnnZsC8ghK1D9wIGNOeDLnVvlmWnl+nF6fA8jaNhFMWJOoHJG54JLw79xemltzi77173aufrUvfabtHS+gLG5173MoIgohNN9xa/1Gg8tYb796vrj9R6b7WmuToNtBbF2o04+6zOEHBnIESuzgErkbs68PSplK+rM01/Xny9fH/5d+Xlp9IP/1D8t7Yczhc/WfzF4Ad+GHhe8MNBFCzf8YUSxNf0sBdUklj9Y8qrz/xK49QDVqci0kCPapgRiEkNG44Z5SRxKIYZKbC5GDIayUh42gEZs6I4E8NRkI0Crdq/wwuIyDe9quH62k3fcpEqKzgiDJLVsHlUp7xw2FcQAtclh7tHNOeDrg8ZrV9Yx6eMCh2uVLyBBTdIRRvX0SYA3zPtAqAa3I4ifewCWF3TWe4H+EItIn63OoJe/sbbqp4+kL/4Wt1C/7BUcqpI/2X5lVSw9Rn01R+Sv3ys+hbeHEjBp1YiH8kffFz+wPJn5aLkF3vl735XLlp+Vd0Rpf7cw+o21fIvK/+Fa5ewVv/G06rM/476ydVdojr/7pP9G8H828d+BKqJAmUiwLzWgae/GWqf2QOywcCeyx41MNFQYPMkRtsa9yFQbQS2Ta6rWonWYVokAf4zbD6lWre5PQh+qLYfROqTqDqA/cC6B4HMCMy/+D0IkW+6v+hHdGuBCRi5B8EPmj0IvvFGzrt0q4FZuA8dr2B2xhaMIzoGMNmtsQdB2n59IMx7EMgUAkkBfo6UZ3cbw1oGT+gGA/MheDIEiEC5ikC5ikA5MAJN6XzANIrbgxAmkXEPAtlSYDJF7EFoIs89yyt7QrcYk2BJz04zy7RHnZyMwLwHoYk49QCY9yCQCYApFrsHQT47jVEtY+c0Y0tJJs7PYv8yGEYilJ8ikQ1Po0UyPD07DRfxaSyirErCxim8ZVGDOo037UGorjgCY0L5dJN9CxZmwq8Duc0KglhKhC4EfNjM7h8t35Vfv1nuR5Bz7mem+oMfXby6eGkxeGnx6uKv//rFP3/mpmd1Gd2q3/6q4LL67cHzz8eeF3reyd7goHTG4O4Lnj+Yv/zi6y/+5OJPpBNeGfzFqxf/fjA9rO7Ti1W3U/nJL1uedA7eZ3WwgDsYPs2WU+tn1lU6VlUe1M4+Wjl7sCouVh1e5ZaIx8s3799/Wbk3CKR7levi2zPlvX+XieU72aBVHZMjUw1U8XTYWRdj9C5iQRixJmC6d4+ThKUg5o18U0WMEcVhRYyRArscDxkOHcWYlcJZMSwV5j0RrICIDNbHJLqZStfXEvuW</t>
  </si>
  <si>
    <t>e6ZZwRGxDzz/g4/qlBcO+/ZB4LqKYd0jmvNBlwL7LMjCIPBPh+dZeCZ/NoiGqUzIwwv/NMtOEz9OLqrH3anA1qZDKbAjrC9gfO4FNiMIIjxBBfY/PVMPezAo/nvxsPi61H5KWBefHoRhuafXi6739D8qi1xdem2f1RsC7g24GtZhHLBiIEIvQnY+Lr7UobzAisKkO6ubSW/qTkYUh7qTkQKb+SDDoaMYs1I4052RNwq0Xa53ePkQcb1X2VlfC+xbbnpmBUfEPrLsNA7qlJcN++5B2LpUZ/eA5nzQpeqML1Mvvjz3hpeBdzmMzuJsmJ5n2fDs4iLy4vBy4UVVlnCqOkOdL6TqFFhfwPjcq05GEER0gqrOX7baqB6Yz5T5w6D4TfFB8WnxWfHr4iP58XG1wHt3OhT+oPhA55B9VocIuEPWFp6MGIjg24vwZEThEp6VzTeVJyOLQ+XJSIHNfpDx0FGMWSmcKc80HaWmBU9OPkRs71V5ilqoWG5NZgVHBD+y8jQO6pSXDfvuQdi6lGf3gOZ80E3zfyUlHTf/xzpcKS5jK27SxnXV/G/Y2XabbHA7iPTR/H/tCgD55YOyubruxf9Sux+g3KC5Nyj/0JPl3y/fLR4s3x+o333271u+PSh3FqhlzrfUIue3Sn6+VSrSz5fvDcptoE/Lv/1hWfV+X+etfbK3Ipi3emnlJ5ooUCYCzLvRyq+tAhyQDQa2LiJkbFcrP9FQYA8iXKTaWvmJNgK7D9cVn0TrMJ2GAP+ZRCXRug228ieqiz+te2hjexc/FQ+YSPFd/H5s6qP9Ed1aYCbFdvHHV138xrs679KtBqbTPvS4gtkZWzCO6BjAPLdOF3+8c30gLF38VAqBpAA/R8qzu41hLYMndIOBqRA8qQEEn1wFnxwYfKZ0NGDyxDXw+yI2N/BTLQWmUEwDf3zVwG98W0/oFmPSKumxaWaK9oCTkxG4G/jjnesDYGngpxIAsyu6gT/ebYxqGTunGVtK2VhEwWV0OjwTZ94wOr88Hy4uo2QoTtNFEMqJeyqqh8o4DbcsTFCn4sYG/gSHCeXTTdgtWJhJuw7kNisIYjUQOpm/3lxeH6KUH906mU1PJi+M7x4Mbt2b3wqTqsk+EzthUnxUfDQI9oLiI50P9ll9IOA+gM9/2z32X8pffF5vZVi55PlXfvKTv7x4efD/vjvwPW/g+VHc3SQ/OLl1d5B46keLD4uPTLNqRne15YbFXT3OvhmBWEpJpsZ5Rg6HZSRGCuxSNmAsTDN+RgpnZSQ/CUZJpAO8wwuIyBx9zFub2Wt9z7BvuTmaFRwR/8BTLvioTnnhsG8fBM46olPIiOZ80Nt7O1ZsbJxPsb6A8bkXtowgiPAEFbb93o7FCS/g8AhFu8HbsTidhYjncD1rvh2LE4VFyZpvx+JEcShmGSmw6RQyHDqKMSuFOzFruRmLFRCRLXoVs2ktfSwXO7OCI4IfXcxabsZihcO+fRC4LjHbPaI5H3TTFRXdb0Sqw66oRIcr9Wpmxc3auK66ogzXz94mGwws40L1puFI1KdKai3fK/dwvr/6xpNnzkYtDzItVxFXJ/ur31sdj6K6nlSflBRgf68D3yeDRzDwXhqciCYKlIkA864anHSGHpANBVZz4VLUfB4J0UJgURauMG0dTUQbgeXYdaUj0bp2YmLqaCJat7mOpsDbk5/8uqkgs3c0UfGASRDf0RTHlnNJqdYCsyC2oym76mgy3uF5l241MBX2IaYVzM7YgnFExwAmtnU6mrKd6wNh6WiiUggkBfg5Up7dbQxrGTyhGwzMgeAZCSD45Cr45MDgM6WjAZMnrqPJHHju0S0FplBMR1N21dFkfFtP6BZj0irpsWlmefaAk5MRuDuasp3rA2DpaKISALMruqMp222Mahk7pxmrrL2MLk6zOF4MT+V/h75/cTpMvcvToecJT8Rp6meiyr/GKbRlUYE6jTZ1NAUeDhPKp5tsW7AwE24dyG1WEMRSHnQi3hQ+VnPtR8u31alIVzuMVvWOr+QXby/fKa8I+ab80W9X1Y+6RvKPxRM1Yb+2s0nO499ZFVS+Wr797LfKFqHh9el+8Ycf3P2T2d7VJH94NcuXr3Lxe7UGoP7V5ZvqD8rPT4vP6/tJlj8f+EN/Tyzf3XvmpNTi6bAswvy+vgFwbxDthb5pT/c+69AJ+NDB5+ng0SsHp77x75k7ZDoH9o9feWlRfvrLV37yk8HsxZ9cDIIfDaZz5cmByZMHrJ5ELOvCFxLMNS1OFJaalqE7i5PDXUGLk6ItsSwUa65ecFI4K2iZy1mseIgc2McMvJ6HB/X1yIHlvmtWcETcA08eb5wuFRn3j0x56bAvH4Suo54FGNKcD7rU6OIiSy6iVAzPLi79YXR6Gg+zRXQxFN7FuQiC+PL0vBp2pxpdu6guNbrtukOtL2B87jU6IwgiPsE1+k1NXO7+f7AqktV6riqG5dP9wZ+M/+TWIJf/8MVrzUWBf7e6SVDqum9UB776Kx7KL7290Hz+P6enBNxTCEn8yTPuqCTvC6+8evrK4ODy8uIvX18Mpq++cnnx2msvvvLy4ieD1Iu9wWxw98W/+DevD/Zfefns1YvXLwbTk8lAqKsRyk9Bdcb/lRPrOxiUC/8gHZgCbwGw7mvgdDUid8A1s7H4xknCI5lHXqhDOWRFcaiaGSmwiRswHCbVzEixDaqZEw+RlXpVzfUtyoHlXmxWcETkI6tmX1i6wFjpsC8fhK5LNXcPac4HrWSzTQ332/SV6uikDg4sdGFi3hENMxajb2FNX1SDgZVuqI513/RFBY9g4H00fVFNFCgTAeaFHU1fVEOBBe8+dCfRQmDdGqUnTU1fVBuBFet1hSLROkx1GuC/MBLJSH/Ew5hs4wZbv9S91EFUdV8E9iupyXjAVNhv6xfZWmAuRLZ+BVdXUgeWK6nJVgMTYh8SWsHsjC0YR3QMYHpbo/UruLqSOui4kppMIZAU4OdIeXa3Maxl8IRuMDATguchgOCTq+CTA4PPlI4GTKH9tX6RLQUmUkTrV3B1G7X5bT2hW4xJrqTHppna2QNOTkZgbv0Krm6jtgebGZ0AmF2xrV+Buo1aH2jmNGO3tqyUGlu/QhwmlM99WYkRBLGAB52Ob7KsxOgpAfcUfHLspKxU9Vz1XlhidDZiebWPCT4jievCEiOKw8ISIwV2bRswHKGIvVGaCB3MmBVmG+pLnHiI9NTH5LiZItcXEweWq6ZZwREBEDyvuxFFMstd06x02HcQQtdVX+oe0pwPent3TqTGrqwI6wsYn3v5zAiCiE9w+Qzrvf8/YucE49AJ+NAh9Dx09JzvnGD0JCJXwcW6ZecEIwqPWtdxHLJyOJTqjBRYmQAYi8jTNl+MWTm2QaVz4iGyYK8qvb7IObDczM0Kjoh8ZJUeiciyd4KTDvv6Qei6VHr3kOZ80M1ZYNW4yn/H5Vlg2p3aUogLC26Q+W1cV21h8SjSGXybbHA7jPTRFka4IXHVBFbpN3Ucq1RwzQ8DesOI9BGMvpfeMKKJAmUiwLwQeOMh1WBgZRyuSrvuXKAaCqxzIzSnpVWMaCOwwr2uniRah6lmQ/ynlnQz7SL7mGzjBlvF4rpRQ9i7xKhkwMyI7xILfJOo/RHdWmBqxHaJiasuMeMFz3fpVgPzYx8SW8HsjC0YR3QMYKJbp0tM7FwfCEuXGJVCICnAz5Hy7G5jWMvgCd1gYC4Ez1MAcScHxp0pnQqYOHENYuaYc49uKTB9YhrExFWDmPFFPaFbjEmppCemmfXZY01ORuBuEBM71wfA0iBGJQAmVnSDmNhtjGoZO6cZq6w9v5Bv/Pnl5TAMzj01z74YLnwvGJ77cewvzrzT06xKYsYptWWRgTqtNjaIxThMKJ9u8m3BwkzAdSC3WUEQa3vQiXnrmr+qGFJ+r5x0P1y+LafdDwY/qH/rafH58j8VD4vHcq4o5/KqovRh8YsfllcAqkam+jrA5xev/uXg8NXFvy8vBmwuCwT/g/XvfKUqNss3yxqMmvWXV698Ve4dGyx/Vn77iW4k9llHQsBHAj4D12EcsGIg1kx7nJczAvHUjPRB65CVxGHViJECu2wNGY3ET0ZeYFoOYIRxVjoKo2ik72C7wwuISDB9zGyb+W1cVxqMt2wf8YIjAiF4UgYf1SkvHPYlhMB11Y66RzTng3Z7goCvnZ1KSWu78zFM0jbe5mtFRIOBa2FQSbqpWhGRPoLR91IrIpooUCYCzAugtSKiwcD1sR41KdFQ4JIXRmuaa0VEG4GLXeuqSKJ1mIUtiP+SOBsl2sdxTLZxg7WitF6zTey1IioZMDX2XCuiWgtMjdhaUXJVKzLe4XyXbjUwP/ahqBXMztiCcUTHACa6dWpFyc71gbDUiqgUAkkBfo6UZ3cbw1oGT+gGA3MheFoCiDs5MO5M6VTAxNljrYhqKTB9YmpFyVWtyPiintAtxqRU0hPTzPLssSYnI3DXipKd6wNgqRVRCYCJFV0rSnYbo1rGzmnGbm2tSL7MpmKR7QJaDScU0H2xiBEEsZYHnZlDazffx2IR40gI+EjAp+A6jANWDMQaaY8Tc0Ygx8UiRhKHxSJGCuw6NWQ0sigexZlpPYARZjuKRZyAiATTx9S2meDWV9QHxivqj3jBEYEQPCuDj+qUFw77EkLguopF3SOa80E3G40qciVsHW408k0aN7PwBlnY5nVVPTJ0cN0mGwxcHYNqVMMB1NdLRfW506pE9KDchP9l+dW3qyOa1B9ubQUvhasOfJ8MHsHAeykcEU0UKBMB5nUeQE00FLhI1qMuJRoKXPfC6E1zwYhoI3DFa10lSbQOs7oF8V+YjFKTPiSauLl6UejtyU+++hSoT2G9jGu7DvwOHRSYG/HloygJzeUjqrXA3IgtH2VX5SPjndp36VYDE2QfGlvB7IwtGEd0DGC6W6d8lO1cHwhL+YhKIZAU4OdIeXa3Maxl8IRuMDAzgicqgDCUqzCUqzCUqzCUA8PQlA4JzKq4apI5BN2jWwrMrZhqUnZVTTK+tyd0izH5lvQANdNAe+jJyQjc1aRs5/oAWKpJVAJgnkVXk7LdxqiWsXOascra04skPk0uveF5GvjDKPDD4cI7FcPz6Dw79dLUTy8rHuMc27LqQJ5nm6pJoYfjhALqZuMWLsyMXAdymxUEsdgHnanXxy0/Xb5bH5T3eHVi259XvZz/XE7I/0Z+/K38eKPsB1WT9Oqnv1NT+0+KXxcfDuX8/LPig+Lj4h/l598Vn+kctM/qIAF3EHy6fHWEXVXgur4mUS90FJ/L/z4qvhwUv5D++Vp+PFblsg+KT31vcHWC9Mq/D5Zvqt/81BsUnw0CYTmnjtNdiDVUxKTdgPICKwpLGckbaWv8h6wk7spInBRtwWKhgC4SZPEoSiIdypgVxVkRyY8NC9F3ePkQaaWP+W09yw3ra+FD47XwR7zgiPgHnpqBB3XKy4Z9ASFsHSUkwIDmfNCrHqooSESS+MMwOEu3pofKNx0pHfpYZ8AA3ateRhBEeEKp3quWJmMNqj45+oGqY6lThwf5YeD7geedKHEc3p4NYnXFSCbKRirDpSE6l+2zukzAXYbQwS2vWct3D/YGP7p4dfHSYnC0eHXx13/9opwkKJ08KD6S4vetUiorffz887EX1P6Mb8/2aofKj+pKFrhTD1idisgWcLVsPtWZE4VFLfujVKvODllRHMplRgpstgYMRyDCkUi1y0pjVhZ3ejkznQN8hxcQkZF6Fcz1jfCh8Ub4I15wRAikC2bjqE554bDvIASuSzF3j2jOB10q5kCIi+D0Qgyzs1N1X4sIhml0HgyjLIz8IPXP0qwKsW4Vc6hzhlTMAdYZMED3ipkRBBGfoIr5n5RqK9d/y7MA/rsUw1+X0k+KvUHx6UEY/rlScH44qOTdg3K5WKtt9lnhBRwern0H+xevXrz24uuDfUk68KJqQVd6oVz1LZvcrqnT+y/ryA9YyRHRGS5QLcu5jCgsAtUbeSaByojiUKAyUmCTI2A4xEj42ig/ZiVxJk+jZBRpn7c7vHyI6N+rOg1qLWO82PqIFxwR/8jq1DioU1427PsHYesSp90DmvNBl+I0vky9+PLcG14G3uUwOouzYXqeZcOzi4vIi8PLhRdVmcKtONU+AVKchlhnwADdi1NGEER4gorTX0rR9XZ5JVx9WJX6ZfGoXDh8o9x/Wt3tp5Zzf6Nq8sVnxa+Lj+THx1Wfw93pUPiD4gOdQ/ZZHSLgDoELVh3GASsGIvr2oj4ZUbjUp2pcvclyyMriUH4yUmDTH2A8gpEXa9s7xqwkzuRnmo5S0+IoJx8ivvcqP+vrjEPLDdWs4IgASJafxkGd8rJh3z8IW5f87B7QnA/a8emlpv6AyIIXJlkbb+P7T6kGt4PG927/KRU8goH3sf+UaqJAmQgwr2v/KdVQ4C4bhPrs2H9KNRS4UwauLS37T6k2AvfIrKsZidZh9sMA/BeEht6FMdnCDW4/FWrTaaw+JepTfYpgGFm3n5JBgamx3+2nZGuBqRG5/TSMmu2nofGi3rt0q4H5sQ9BrWB2xhaMIzpGhMTA7wOTtl8fCPP2UzKFQFKAnyPl2d3GsJbBE7rBwMQInpUAwlCuwlCuwlCuwlAODENTOiQwqfa3/ZRsKTC1IrafNuHnnuW9PaFbjEm3pAeomfTZQ09ORmDeftqEnXoAzNtPyQTAPIvdfiqfncaolrFzmrHbW7kJjNtPBY4TCui+csMIgljZg07UHVRuGB0i4A6Bz451GAesGIiFS8Tc2Vy5YURxXrlhZHFYuWGkwK4cg8YjFKmOZMxKshWVG04+RHzvY6LZTDdFvdBvuVydFRwRAMFzJPCgTnnZsO8fhK2rctM9oDkf9BZ3tQfGfaAx1hkwQPfykxEEEZ6g8rPnrnZGeAGHX1tqMmIgIm0vUpMRhUtqRjqUQ1YUh0qTkQKb6UDDkQnteIxZSZwpTVuLOicfIpT3qjTrC3FDyxXHrOCI+EdWmrYWdU427PsHYetSmt0DmvNBV7c2nYk0WaTD+DK6GEaLy9Ph6bn8lC3ixPPTs0USnN3fgNIMdc6QSjPBOgMG6F5pMoIgwhNUaX7YtBk9Wr4rv1bXIz24fpicFKAflhcqqTal8ubl+gi+T5vD48pf54eZH3qed7z6pfxyR32k6rwMnbP2WZ0l4M6CK1PcWSM3jhpp+fHKY3vKW8t3fPUpbc4Xqby7N1DH9j0zIbja9DkIw0E5CyhNss4DDli9jUggCAH9jXZe+gIrCZN+1h+2dciK4lA/M1Jg8zdgOIJRHGgfrTEriTv9rLSW6cg+TkBEhupVQCe13rLcbcwKjoh/dAFtHNUpLxz2DYTAdSno7hHN+aC3+KTqwLjJM8U6AwboXkEzgiDiE1RBb+CkakYHCbiDEKp5sydVM7oLEfYRste8bsyIwqR7Ex3JISuJQ9nLSIFNuoDR8ONRnJo6FBhRnOle20nVnHyItNKr7K3vxgwtt52ygiPiH1n22k6q5mTDvoAQti7V2z2gOR+0472lppXgzIaXem28ze8tJRrcDhrfv72lRPAIBt7L3lKiiQJlIsC8oNlbOlJi/zdD7cN0QDa4HYj595gSDW3LTNY9pkQb2wKSaY8p0TrMpheA/wKZXzPTYijRxM1tMo3UHaeRuuM0UnecRvXlgqH9jlMyKDBH9rzJlGotMEdiN5le3XEaWu44JVsNTJR9KGsFszO2YBzRMYBpb51Npld3nIYdd5ySKQSSAvwcKc/uNoa1DJ7QDQZmRvD0BBCGchWGchWGchWGcmAYmtIhgVm1x02mVEuBuRWzyfTqjlPze3tCtxiTb0kPUDP7s4eenIzAvcn06o5Te9iZ0QmAeRa9yVTdcaoPOXOasdtbOQpNm0wj29VXGk4ooPPKEScIYokPOmN3XznidJCAOwg+bXZWOTKdi8/pMcTiKWLebiwecaK4LR5xkrgrHnFStDWLhQK6TuALdZFWpGMZs7JsQ/WIlQ+RWvqY49Yz3ai+FjOy3HPKCo4IgODpGXhQp7xs2DcQwtZRPQIMaM4HvcX3nIam/a1VNx3CGTBA98qXEQQRnlDKd8P3nHK6TMBdhtLCWjdt5kZTTvch8gJcGJtvNOVEYRHG5htNOVEcKmNGCmxeBgxHmGWj+sTvm8qYkcWdMrbcaMoKiMg9vUrj+v7LyHKjKSs4IgTSpbHlRlNWOOw7CIHr0sbdI5rzQW/x2S+haUduFGCdAQN0r40ZQRDxCaqN+z37hRNewOERKte01RV0v+me2mP7kWdezmV0ByJkw1WrZTmXEYVFtZrPkOFEcahaGSmwGRMwHOkoTrTr62NWEmea1XKGDCsfIiX0KlnrWzEjyzWnrOCI+EeWrJYzZFjZsO8fhK1LsXYPaM4HvcWHZYemHbBRiHUGDNC9YmUEQYQnqGLlPyyb0yEC7hC4itVhHLBiIKJvL+qTEYVLfZoOy+ZkcSg/GSmw6Q8wHuEoMB1hyEniTH5aDstm5UPE917lZ30rZmS55pQVHBEAyfLTclg2Kxv2/YOwdcnP7gHN+aDl//6slF3V66pk5Y9tOrPnvakmhRlZeINMtHkd7U0NPNPeVKrB7SjCszf1afFYLduVy33vr77xRK15lntOB6oz4NnFwHJv6iOlLZs/VTwsvlH9Af9QfFJ1zKL3t34lTfH2AnXUnPwLTEXifbInI5gn+9jsSjVRoEwEmHdts+uHxe+G2tfpgGwwcEsPQueaDhqkWgjcjwOXr5ZdrlQbgTtx1pWlROswu24A/gvEKNXGyDHZwg1uclU3qUbqJtVI3aQa1VcYRvabVMmgwGSL3+Tqx0IYd7mSzQVmW+Qu1+jqKtXIcpUq2Wpgyu1DtCuYnbEF44iOESEx8NvNoqurVKOOq1TJFAJJAX6OlGd3G8NaBk/oBgNTInjmA4hDuYpDuYpDuYpDOTAOTemQwKyK2+VqiUH36KYCkytim2t0dZeq+cU9oVuMSbikJ6iZWdpjT05GYN7mGl3dpWqPOzM6ATDTYre5RuouVX3MmdOMLa3NFqeZ54VDcRqFwyhbJMP0dKHqSXEcpJ6IzpOLFY9x2m5ZyCBP3Y3bXAWOEwqom+BbuDCTfB3IbVYQxPIhdPLfbOGs593NflemTa6M7hFw98Cny842uWrcdcDqLsSaLGKybi5KMaKwFKVM+1sZORwWpBgpsAvigLHwU28UmxqiGFGcVaRs21s5+RAppY/JbTPFrW/7jCzXt7KCI6IfeF4GHtQpLxv2BYSwdVWkugc054Pe4ku1IuP21hjrDBige8XLCIIIT3DFu8lLtTidJeDOQulfbb0OfX1W2FyfpfPMAatnEMEeIXWNdSlGEhal6488k9hlRHEodhkpsLkWMBxBMop9k9hlRHEmdm03YLECItJJr2q3vnE0slwhywqOCIBktWu7AYsVDvsKQuC65G73iOZ80Fu8YzUy7lhNsM6AAbqXu4wgiPgElbs971hlhBdweLh81WEcsGIgQi1Ca5qXVRlRWMSmNwqEDuWQFcWh2GSkwGY6wHDEo0hoQ/aYlcSd1rTsNOXkQ4TyXqVmfTVnZLlslRUcEf/oUtOy05STDfv+Qdi6lGb3gOZ80Fu80zQy7jRNsc6AAbpXmowgiPAEVZoOdpoyOkTAHbK2+mTEQETfXtQnIwqT+jRuNGVEcag+GSmw2Q8wHOEoTbSr6GNWEmfq07bRlJMPEd57VZ/1FZmR5c5TVnBE/COrT9tGU0427PsHYetSn90DmvNBO77zVOjwpJ7MLHhh6rfxNr+vlGhwO2j8y75SqicjmCd72VdKNFGgTASYF0L3lRINbkd2xn2lRAvbgpV1XynRxrYSZdpXSrQOs80F4L9IxktTHZ1o4eb2lQp1eapQl6cKdXmqqG8tjOyXp5JBgcm2732lVHOB2Ra7r/Tq9tTIcnsq2Wpgyu1DoyuYnbEF44iOAcx36+wrvbo9Neq4PZVMIZAU4OdIeXa3Maxl8IRuMDAlgic6gDiUqziUqziUqziUA+PQlA4JzKp97iulmgpMrph9pVfXp5pf3BO6xZiES3qCmomkPfbkZATufaVX16fa486MTgDMtOh9per6VH3MmdOM3d5ikDDtKxX2G7VucEIBnReDOEEQq4XQyT9/MYjTIQLuEPgEWYdxwIqBWAxFTJuNxSBOFMfFIE4Ud8UgToq2crBQQKfr8SgTsY5kzEqyDcUgVj5EeO9jollPN0V946WwXGHKCo6If+A5EnhQp7xs2PcPwtZRDAIMaM4HvcVN78K0x1PY76zSOAMG6F59MoIgwhNUffbb9M4JL+DwaytNRgxEpO1FaTKiMClNU9M7J4pDpclIgc10gOHw/ZFQd//dRBmzojiTmpaud1Y+RCzvVWrWF0gKy5WgrOCIAEiWmpaud1Y27AsIYeuSmt0DmvNBb/FxIsK0v1IEWGfAAN1LTUYQRHiCSs3NHifC6SwBdxZcmvZ+bAinBxBBHaFqTW1HnCQsotZ8bAgnikNRy0iBzamA4YiyUeyb1k8ZUdyJWsuxIayAiLTRq6qtL5kUlltDWcERAZCuai3HhrDCYV9BCFyXrO0e0ZwPeovPhRamzZzV3nSEM2CA7mUtIwgiPsFlrdtzoTndI+DugQvZzZ4LzekuRNBHqF7zWi4jCovsNWleRg6HmpeRAptwAWMRBtFIaFvcxqwozjSv5VxoVj5ESulV8tYXWwrLTaWs4IjoR5a8lnOhWdmwLyCErUvxdg9ozgetbirdWwk9lxeUaifhUstGFswgi9uY7jaSalekbpMNbgeP/303kj5dvgXaSEr1ZATzZB8bSakmCpSJAPNuXFCqDZUHZIOBu2YQ2ta4oku0ELjlBS5ZLRtJqTYC97qsK0eJ1mH2tQD8F4ZilEY6E8dkEze4k1TdUCrUDaVC3VAq6psBhf2GUjIoMNvid5IGSWreSUo2F5hukTtJxdUNpcJyQynZamDO7UOsK5idsQXjiI4RITHwO7rE1Q2louOGUjKFQFKAnyPl2d3GsJbBE7rBwJwInvEA4lCu4lCu4lCu4lAOjENTOiQwreJ2klpi0D26qcDsithJKq5uKDW/uCd0izEZl/QENTNKe+zJyQjMO0nF1Q2l9rgzoxMAMy12J6lQN5TqY86cZqyy9jQ7F4soTIfBws+GUZxeDk+FmsPHUXp+7p+fB2IDvfyxcSepwHFCAXUzfAsXZpavA7nNCoJYNoTO/j9pF6BWtZKHxR+qLiqGYhSjhwTcQ/Ap84aLUYzuQizHIibs5mIUIwpLMcrXr90dspI4LEcxUmBXwwGjkXrxyDP2YDGybEU9ipMPkVj6mOI2E936WkthuaeUFRwRAMGzM/CgTnnZsG8ghK2rHtU9oDkfdKl7w8VZll6E8VCcnYthtDhLhpnvx8M0S878szP/9Dxe3N+A7tUmEql7Y6wzYIDudS8jCCI8QXWvbmPBIyXONJdwvrTqpr+5rUD+KXXgyltSFT6zyyD2o9TzTtSvpBR+sCqd1aexlN/9UMrtN8qC2sPii6s9DV9V3/6yeLD6u2LP21Ef+vCxz+pzAfc5Sklrq397NzYufKI8MSg+qnYQPyq19PPPx14g/3+yp1yzfKf8lKndC3vPjEXxdHiltnWOO2B1HCKlIDS1sQjGSOJYUjOSOJTUjBTYhA4YjcgLR56X6ljGrCzuJHXqZYaDiO7wEiKyVq+iur48U1iuQ2UFR0RAuqgOgshQGJjy0mHfQghdl6zuHtKcD7qU1WdBFgaBfzo8z8KzYRQF0TANPG944Z9m2Wnix8lF9by7ldWhzhlSVidYZ8AA3ctqRhBEgILKauDRMF5ULYjK3y9XTcvOsy7dts/qDQH3Blzw6jAOWDEQwRchP81LuowoLPrTclYMI4pDAcpIgU19gOFIw1FmWtFlJHEmPyP5vGm3tNzh5UPE9l7FZ32fprBckMoKjoh/ZPFpHNQpLxv2/YOwdUnP7gHN+aC3+Ezs2LinNsU6AwboXnoygiDCE1R6OjgTm9EhAu6QtdUnIwYi+vaiPhlRmNSn8UxsRhSH6pORApv9AMMhvFGYmOQnI4oz+Wk7FJuTDxHfe5Wf9YWawnJDKis4IgCS5aftUGxONuwLCGHrkp/dA5rzQTu+IVU7pZCCMrPghWnQxtv8xlaiwe2g8S8bW6mejGCe7GVjK9FEgTIRYN6NG1JNG1uJBrcjO+PGVqKFbcXKurGVaGNbijJtbCVah9lmA/CfEP5IG9THZAs3t681VjekxuqG1FjdkBrXNxMK+w2pZFBgsu17XyvVXGC2xe5rvbohVVhuSCVbDUy5fWh0BbMztmAc0TGA+W6dfa1XN6SKjhtSyRQCSQF+jpRndxvDWgZP6AYDUyJ4ogOIQ7mKQ7mKQ7mKQzkwDk3pkMCs2ue+VqqpwOSK2dd6dUOq+cU9oVuMSbikJ6iZSNpjT05G4N7XenVDqj3uzOgEwEyL3teqbkjVx5w5zdjtrQYlpn2tsf3CrhucUEDn1SBOEMRqIXTyz18N4nSIgDsEPkHWYRywYiAWQxHTZmM1iBPFcTWIE8VdNYiToq0cLBTQ6XoajBKhHZAxK8o2VINY+RDxvY+ZZj3fjOsbNWPLFams4IgACJ4kgQd1ysuGfQEhbB3VIMCA5nzQW9wHn5i2l8Y+1hkwQPfykxEEEZ6g8pO5D57TGwLujbW1JyMGIvT2oj0ZUZi0p6kPnhPFofZkpMCmPsBw+GEyyvQjMmZlcSY+LZ3wrHyI6N6r+Kzv2Iwtl6aygiMiIFl8WjrhWdmwbyCErUt8dg9ozge9xWebJKZNmHGAdQYM0L34ZARBhCeo+Pzf4mwTTp8LuM/hEndbzjbhdBwipSBEtakPipOERVMbzzbhJHEoqRkpsAkdMBpxHIy8SIcyZkVxpqitR5uwEiKSVq+aur7gM7Zc2coKjgiAZE1tPdqElQ77EkLoulR195DmfNBbfFJ2YtpfGodYZ8AA3atqRhBEgIKq6g2clM3pIQH3EEoDb/CkbE53IQI/Qvmal5MZURxLX0YSh9KXkQKbdSGjoW5uNR3rx8niTvuaT8pm5UMkll6Vb33RZ2y5uZUVHBEA6crXfFI2Kxv2DYSwdene7gHN+aDVza0r8VspPqOyfe3i7PUXX3lZ4wmCsDU1KUQWzCBL2pimDa5mWzFitd7jqjX2NtnY9jNmcSxQkEo5JbWW1JY6Q6V4jJ4bk629EefM5q4X5qq9ZWLvKAijvaPIl19FmX4TxxEdJ8LjwHv1FcOxYjhWDMeK4djEcExnEHgGeLe+RJgohIlCmCiEiQlhQkeAvwT0OFvtEhJ7uULJFUpuQsnJKDe2fXSg4J6mmbJ/puyfKftnJvtndPvhgR6570OaP1fmz5X5c2X+3GT+nGZ++Sjdd5m3jLs7hNX81Oh9sLWkzKU39zbZXPhrC81d/6OslamjEb6QM/2Hg7Jc9rk6F2H5XrVQ8l25fKKWAt5RP1h2xj0alP+RWU8HKHOeUDmPSOk656krguNMfkpC9SmVn1K1vTqN1Cd1d3Cmtlxn6nel1UeBF6pP6itffeWrr4JAfYpV+jQmTao/XCTNeO9YOeFYOeFYOeFYOeFYOeFYOeFYOeFYOeFYOeFYOeFYOeFYOeFYOeFYOeFYOeHY5IRjuhME3gmoWDlRPpgoH0yUDybKBxPlg4nywUT5YKJ8MFE+mCgfTJQPJsoHE+WDifLBRPlgonwwMflgQvcB/P1fO22r+2qlL3Lli1z5Ile+yJUvcuWLXPkiV77IlS9y5Ytc+SJXvsiVL3Lli1z5Ijf5Iif7gj3vx3sz5YCZcsBMOWCmHDBTDpgpB8yUA2bKATPlgJlywEw5YKYcMFMOmCkHzJQDZiYHzOgOgGdaknCI9+aKf67454p/rvjnin+u+OeKf67454p/rvjnin+u+OeKf67454p/buKf0/ifUR7qPz+2KZD+DocK1GcdhRQgsYUi9DzjKMKMJaoPk723yfa2U/OaR0P9ti7drHaG/kydDVV8oUoPT4vvpOJ4v/i9EhmrE6I+L1tvnq7qOMt31HFQxVfl9tIv5Q+8o1cqD8sWqpVW2VM/smry/7Jqg/pKHUM1+IFqhyq+ll83/8aeqhD9svik/DOqdvRQVVBUbeRDafVnxa+KD2sDRj+s/wUF81T+46oXq9xAUHyjc/8+2f1tJcB4nhTVRIEyEWBeoI6TGgwHfioDSewX34yK70Z7g1B9eyS/H3iR2AvE6vv377+swzkg47SXW9c/bUo9pV+OBvpH4wWyocDjMTCVJOOhU1QbgedirFsjIlrXVldrHjoVRkmmM3BMNnCDZ06pWVCcVie8xLH1pCkyHjBzE06aSo3nTJGNBWZu5DlTcdycMxUb7xi6S7camL/Xm1c3xbJ4Z2zBOKJjAPMgYTpcn/cibb8+EOZzpsgUAkkBfo6UZ3cbw27OP6kGA5MhuO4IiD25ij05MPZM6WjA9Ik8XcoUd+7RDQXmUMTZUk3MuWd5WU/oFmPyKumpaWq59niTkxGYz5ZqYk09AOazpcgEwNyKXCpQz05j1M2pPcVYZe2ZuDjPvDQbnl4IMYxOL9Jhen4aDr3LII0Xwfnp6UKseIyz/pcW5kZD4szfOPdPcJhQPt36gAULs0agA7nNCoLo14EuHvxPNTMvN+M8rI6WUgsBxXfl6sEXartTvZvq83L2rvY/rX5t7A9d7ZGy9IfKeadn6hbcZ3WggDsQPrfWYRywYrQlhAUDMac2928yorD0b3r6TZyHrCQO+zcZKbDdY4DR8L0oNJ0czYnirn0zGHmmwwA4+RDpoI+5aDMjrW9Riy3X4rGCI+IfeBoFHtQpLxv2BYSwWQd0ChnQnA+6FKsXi4vw/DTzh3EWnQ2jUB0cECanQ3F2GizkxDXykov77sWqqcczxfoCxuderDKCIKITVKz+pmwRfUuJ1AdScaojAd5Yvr38++XflZrzB/X5U98t35cyVIrZH5YHU/nCU1vPdS7YZ3WBgLtgbbnJiIEItwi52VXCYQRiEZ2Gqe0hK4lD0clIgc15gNEI0yAemUpHjCjORGdiWBW9w4uHiOq9as766rTYchceKzgiCJI1p2lMp7xo2NcPgtYlObvHM+eDLncM7TVaSz3TDrufTKIys9IGbVpH3U+Bfi3lNtleYPUUqgn/5/ItdZ9defzQ29URpXWvkvri7eU7xSMlFZU4/EYdICXF4eqXA/mbb5a3rH1bHaxfXm73jRKT5S++KG/Q+65sdvqqXA0tzzxVC6HqmKjVj5fnI107nv9pfcRU+Z0ny78brS7J8+M9of76b8oTpAaBP7DIUqJ3I5h3e2luIpooUCYCzAuay/J0hh6QDQVWahGa13g4FNFCYMEVI2LN/UpEG4G11nXlKdE6TF0V4D+t78Zk6zbXrJSo3RqJ2sGRBHXXgP1uPDIjMNviO5bUFMDYskS1FphusS1LV1fjxZar8chWA5NuH5JdweyMLRhHdAxgdlunZenqary442o8MoVAUoCfI+XZ3cawlsETusHARAie9wAiUK4iUK4iUA6MQFM6HzCN4vqWzNHnHt1SYDLFNC5dXYpnfmVP6BZjEizp2WmmlPaok5MRuBuXri7Fs0ecGZ0AmGLRjUvqUjx9tJnTjFXWnnoi8730YhjHZxfDaCHiYZbEYniWBdFFdOadpqfVC2ucsFtWMKiTdlPjUmK9oeUmJpRPN7W3YGGm9zqQ26wgiFXDdeb9ptYlrlYlTpcJuMvgM2WQ18qz7cq1jgertY7quDv1reVb0iGWU+s4PYJYgUVMyY1dT5woPAUoHcchK4e78hMnRVuiWCjWXAfgpHBYedLfg3uHFw+RQ/qYxtaT2aS+pi2x3LvHCo6Ie+AZGHRMp7xo2DcPgtZReQKMZ84HXQrcNE6Ds+Q8GZ6GiTeM4ovLYXYWnQ7DLPSyy2yxCC+qwOpU4BrqUomP9QWMz73AZQRBBCeowL156XPxi+JXUp7+tvh4WG6g/7jUqh8Wn5VdTjrofVZoAYeGS1QdxgErBiK+9qIrGVFYdKX5cj1OFIfSkpECm+Agw6GjGLNSOJOWvucZ25pYARHxu1dxWV/Dllju1WMFRwQ/srg0j+qUFw779kHguuRl94jmfNCr9dPwdOGnvjcM/VhKUd9Ph5l3cTo8uwiyc3GWhl5SjbpTealtI5LyMsD6AsbnXl4ygiDCE1Relve2qTVR1ctUNT0t3121Pan7KkpNWXxSfBTrcPdZcQUcd21hyYiBiK0IYdnRN88JxCIv/ZEndCiHrCgO5SUjBTbBAYbDJC8ZKdzJSzFKtOHsDi8fInz3qi7r68gSyw1zrOCICEhXl6ZBnfKyYd89CFuXuOwe0JwPuu6aj1bgSlw57Jo3ycfQShu1aR11zUemGzeo9rZDyJpd8/+wfK88pfwLVRmvquGP1NHlV53z6zS+r0rqT5c/a5WbH5ZF96fV/XGaE9FbbfOBpUOe6skI5sk+OuSpJgqUiQDzrjrkpXBsjnxZ/qJeWP68Orm1rP/rWA7ILO0UwNdET7UQ2P2HUrSmJnqqjcC+v3WlKtE6TI8fwH8mCUq0boNN9Oryg0SoT+p+hCSp+liT0NpJTwYFZmB8J30YZMZOerK1wBSM7KRPwqaTPjHeRnaXbjUwEfeh4xXMztiCcUTHAGbBNTrppe3XB8LcSU+mEEgK8HOkPLvbGNYyeEI3GJgNwZMhQBjKVRjKVRjKVRjKgWFoSocEJlRcO705BN2jWwpMq4h2+ib83LO8tyd0izGplvQANXNNe+jJyQjM7fRN2KkHwNxOTyYA5llsO718dhqjWsbOacYqa0/9dBHH2dlQiNNsGC3C02F2enE2TKPw4vIiC73L8GzFY5zJW5Y2qLN5Yzt9hMOE8unm/BYszLxfB3KbFaStQWzjA1wQ2L5zQDkdKOAOhE+yVz6sLmPR+1DbWn9t8v2sfwNrpz2jexDLtoh5u7kjihGFqWSV6kgOWUkcVqwYKbCr5oDRMC0XMFK4q1gFI6F91u7w8iEyTB8z3Wa+G9UFjsgy5+UER4Q+8CQNPKhTXjbsuwdh66pYdQ9ozgdd6t94sUhPQ/ljSRxGw8i7zIYLcSY/eYF/dhGKy6ReRnCqf7WL2FL/CqwvYHzu9S8jCCI6QfXvP6vb7NTNc8XjshmqeLJ8X13qW7ZCrZTu3f8rLL4pvwzE8p1A2GpTjPACDg/XrjqMA1YMRKCFa0xVcNShvMCKwqIxjWfYc5I41JiMFNg8BxkNHcWYlcKZxkzCkW/quefkQ0TxXjWmqCWJsGhMTnBE6CNrTOOgTnnZsO8ehK1LY3YPaM4HXWrMy0yIi/AsHPoiPR36vjrq3jvPhp4nPBGnqZ+JSnw51ZjaDCI1Zoz1BYzPvcZkBEFEJ6jG1B1f314u/fT6AfYD69n1nPwCzr+2zGTEQMRauMzs7MFnBGIRm6ajQxg5HEpNRgpsugOMhUlqMlK4k5rm3Z2ceIhY3qvSjGthYrm+lxUcEf3oStO8t5MTDfvmQdC6hGb3eOZ80KvFzMvUiy/PveFl4F0Oo7M4G6bnWTY8u7iIvDi8XHiR+7PxwlGk84UUmgnWFzA+90KTEQQRnKBC8+bRIeqXZaO/arh/s1ze/PlqcXMgZekHZWX+18VH8uPjerVzOhT+oPhA55B9VocIuEPWVp6MGIjYi1Ce5iI6IwqL5vRGav58E+WQFcWh7GSkwCY/yHDoKMasFM5kZ5qOUpPu5ORDhPZedWd9n2NiuaCTFRwR+8i60zioU1427LsHYesSnt0DmvNBK+VpE5T97vM0ScnURpeGbbqN7/Mk2tsOGf+yz5PqyQjmyV72eRJNFCgTAeZ17PMsj3tR3bo/Wy0362gOyDTtoM+405NoYVvHsu70JNoI3JKyrjglWofZfgLwn0l0Eq3b4E7PbO/IT716Y1Vq399JxQNm3p73d1KtBaZe7P7O9Gp/p/HuyLt0q4EJuA+9rmB2xhaMIzoGMPuts78z3bk+EJb9nVQKgaQAP0fKs7uNYS2DJ3SDgTkQPOkBBJ9cBZ8cGHymdDRg8uxxVyfVUmAKxezqTK92dRrf1hO6xZi0SnpsmpmkPeDkZATuXZ3pzvUBsOzqpBIAsyt6V2e62xjVMnZOM3ZrC0GRcVdnhsOE8rkvBDGCIFYLodN/B4UgRocIuEPgU2QdxgErBmIxFDE3NheCGFFcF4IYURwWghgpsIvRkOHQUYxZKbaiEMTJhwjtfUwsm+llVtcNLJfxsoIjYh94TgQe1CkvG/bdg7B1FYK6BzTng97e40QMZZhbfvVgIHwB43MuPDlBENEJKjy37zgRTgcKuAPhQpV4nEi7xmM/RYTTK4jY34fu5URh0b3GU0Q4SdzJXk4KbOoFjIZB9nJSOJO9llNEWPkQiaVP2ZvWVzymlis7WcERoY8sey2niLCyYd89CFuH7AUMaM4HXZ97X4VOcd/pufdCRyuFrf0KqbhN66gfKtXbe5tsbzuErNkP9YmUTl+poz6evVZT36Ik5eWHxS+qTqW6Xeqq6+lGz9Pj4uHqtwNzLxPVCxHMC330MlFNFCgTAebd7GW6poVv6Fw5rk/Uf75Yvlcq5Mflx4Plu3Jk1fB98WxXmhr/r0rF/Lh4NNJ54oDsCWANGKF5TX1QVAuBpVyMlDX2QVFtBBZx1xWpROswBVuA/1I/SPWdr2OyiZtrhkoD1QwVVv0IqW9thiLjAdMuvhlKeKmxGYpsLTDvIpuhUr9phkqN903epVsNzL59iHcFszO2YBzRMYDpc41mKGn79YEwN0ORKQSSAvwcKc/uNoa1DJ7QDQYmQvAMCBB8chV8cmDwmdLRgBkU1wxlDjz36JYC8yiiGaoJOvcsb+sJ3WJMbiU9Ns200h5wcjICczNUE2zqATA3Q5EJgNkV2wwln53GqJaxc5qxytoL/zQMo7NkeCbO/GF0FgXDRST84eUiCjJxliwu42pEjJN2yyoGdeJuaoZKAxwmlE83vbdgYab4OpDbrCCIpUPo3P9mTerGHHIm88mt/cngj28dP/+n+5Nbs8Gtu3cH0/nJdJIfDHRe2Gf1goB7AT6x1mEcsGIglkMRs2JzJYgRhacSpOM4ZOVwWAdipMCuRQPGwjoVZ0RxVgyKPeMhTKx8iIjex3yymVXWd+amlkuQWcER0Q88FdIUgxLtoE552bAvIIStqxjUPaA5H/T2Nt8LYw9UiPUFjM+93mQEQUQnqN7kb77ndIiAO2Rt6cmIgQi+vUhPRhQW6WluvudEcag+GSmwyQ8wHH7gZ6Mg1rGMWVmcyU9LCz4rHyLA9yo/w1qtWG7xZQVHRECy/LS04LOyYd9ACFuX/Owe0JwP2u1ZTNo4JAVlZKNLb5w0tfHeI6K97ZDxPe89Inohgnmhl94jookCZSLAvHDjvUdETwBLrgipa+w9IloIrJzCFayt94hoI7Bmuq40JVqHqY8C/JeE1f17N/Um0cANdh4J1XkU18X/yN55RMUDJt2eO4+o1gKzLrbzKLrqPDJe7XiXbjUw9/Yh1RXMztiCcUTHiJAYhGaAaOf6QFg6j6gUAkkBfo6UZ3cbw1oGT+gGA9MgeL4DCD65Cj45MPhM6WjA/Nlj5xHVUmAWxXQeRVedR8a39YRuMSazkh6bZhJpDzg5GYG78yjauT4Als4jKgEwu6I7j6LdxqiWsXOasVtbCYqNnUcChwnlc18JYgRBLBRCZ/4OKkGMDhFwh8Bn2DqMA1YMxDooYnpsrgQxoriuBDGiOKwEMVJg16EBw+H7niGOj1lRtqIQxMmHiO99zC6bOWZ9S21quXaYFRwRAMETI/CgTnnZsC8ghK2rENQ9oDkf9Pb2vcfGPqQY6wsYn3v1yQiCiE5Q9cnV987oBQH3wtqSkxEDEXF7kZyMKCyS09T3zsjhUG8yUmDTHWAsLGUgRhBnatPW9c7Jh4jnvarN+qra1HL1MCs4IvaR1aat652TDfv6Qdi61Gb3gOZ80G7bjhIdndSPiZVOtOk23nZEtBdY+oTKv023HRG9EMG80EvbEdFEgTIRYF7HkUfF5/IbX9eHf5o6h4gwwJIpQqcaO4eIFgIrnwj5aekcItoIrHmuKy2J1mHqmwD/WbdKEk3cYO9QqnqHsrp8n9h7h6h4wMzZc+8Q1Vpg6sT2DiVXvUPGC23v0q0GJtA+9LaC2RlbMI7oGMAMuE7vULJzfSAsvUNUCoGkAD9HyrO7jWEtgyd0g4GJEDxpAQSfXAWfHBh8pnQ0YAbtsXeIaikwj2J6h5Kr3iHj23pCtxiTW0mPTTMTtAecnIzA3TuU7FwfAEvvEJUAmF3RvUPJbmNUy9g5zVhlLez4YcVjnHdbFh6oc29j75D9probmFA+99UbRhDEah90+r6FN2kwOlDAHQifVuswDlgxEIufiAm1ufDDiMJT+DFefcFI4rD0w0iBXXuGjEYUhzL+a5drxqwwzso/fjDytPn7Di8fIiH0MR1tJqVpXS2w3C3OCo6IgOCZFHhQp7xs2FcQwtZV/uke0JwPentb3RNjs1GG9QWMz71cZQRBRCeoXHXQ6s7oEAF3yNrykxEDEXx7kZ+MKCzy09LqzojiUH8yUmCTH2A47IceMbI4k5+2XndOPkSA71V+1tfUppZ7h1nBERGQLD9tve6cbNg3EMLWJT+7BzTng3bbfaRdmbjlZ56VznySPsxYjFAEdR9R7W2HjO939xHVCxHMC310H1FNFCgTAeZ1HHoE6j6iwgCLrgi1auo+oloIrJ3CRail+4hqI7Bquqa6pFqHqZAC/GduWKcauLneo8zfk5+CqvyfedbeIzIeMG/223tEthaYOJG9R5nX9B5lxstk79KtBqbPPtS2gtkZWzCO6BjA/LdG75G0/fpAmHuPyBQCSQF+jpRndxvDWgZP6AYD0yB4ygIIPrkKPjkw+EzpaMD82V/vEdlSYBZF9B41Qeee5W09oVuMyaykx6aeB3YEnJyMwNx71ASbegDMvUdkAmB2xfYeyWenMapl7Jxm7NYWc1JT71FmvRjuJiaUz3kxhxMEsdYHnbzzF3M4HSLgDoFPknUYB6wYiKVMxPTYWMzhRHFczOFEcVfM4aTALiUDhsN2bhEnyjbUclj5EPG9j9llM8f0q6X/zHIzNys4IgCCJ0bgQZ3ysmFfQAhbRy0HMKA5H/T2dr6nplaiLMD6AsbnXn0ygiCiE1R9bl/nO6cDBdyBa6tVRgxEsO5FrTKisKhVY+c7J4lDscpIgc2VkNEIgyTUx/0xK4sztWppfGflQ+SDXtVqfTlsZrntlxUcEQDJatXS+M7Khn0DIWxdarV7QHM+aPm/P3v2dVUq9Mc2WdpvK1Kmw5WCNLThemkb11Erku/p5/23yQa3g8iavUj/80YD0YOrRiMpFR8W36gv5TfUiuY3e63vFU+HUjqqC73eVWpS/chA/i0Pqhu+npZCU37rTakw5dcPi69KlfqGlKDqnyhXSqsbwIovWyur6turxif1nSfLvxupO8WeDgJvoJqbKl1bXS9W/swfVj8Qqd9/KIFKlatz/z7Z/RHM/b00QRFNFCgTAeZdHcGkM/SAbCiwsovQxMYGJ6KFwAItRuqaG5yINgJLs+uKWKJ1mDIswH9a343J1m2wuylS3U3qarYsVp+SutUgtPc5UUGBSRnf55TKyYKxz4lqLTArY/ucwqs+J+NFtXfpVgNTcx/aXsHsjC0YR3QMYIpbp88p3Lk+EJY+JyqFQFKAnyPl2d3GsJbBE7rBwGwIniABwlCuwlCuwlCuwlAODENTOiQwoeI6nswh6B7dUmBaxXQ8hVcdT8b39oRuMSbVkh6gZv5pDz05GYG74yncuT4Alo4nKgEwz6I7nsLdxqiWsXOasaUADyPvMsvCYepF58NIxIvhwju9GIangZdFp+dhclk9VMbJvWW5gzrBN3Y8RThMKJ9uGcCChVkK0IHcZgVpaxDb+KyzRHB9FeDB8n0d6j4rqoCjwue6QNpB8dvlm+XSxRdqKWNQfFY8XG3cGhS/Kz4N/MHRIBADU5HmgNUxiOVWxNzaXG9iRGGqN2kD6SEricN6EyMFdrUbMBqmKT0jhbNKUzqKTW1RnHiIJNDHZLSZkkZ1XcJybTgrOCLygedR0DGd8qJh3zwIWledqXs8cz7oUqFml37qX4bRMEuTaBhdLILhqeddDM9FdH52kaSX3mX1LjtVqNplZqlQBdYXMD73CpURBBGcoAr1U1XtWSm19ob4Uq39uVrUKL4r+6HKffVldalsl1K/I3aEzg37rG4QcDfA1asO44AVAxFxEVrTWMdhJGGSmtrJ7CEriUOpyUiBTXiA0TBJTUYKZ1IziI2XubHyIcJ5r1qzvmk2s1wdzAqOiHxkrWkc1CkvG/bdg7B1ic3uAc35oFct+OHpQv60Nwz9+GIY+X46zLyL0+HZRZCdi7M09JJq0J2KTe1ihRSbMdYXMD73YpMRBBGdoGLzE9VWVN4W/GT5c9VpJFXk8t2VolSbPldi85Pio1iHu8+KK+C4a4tKRgxEaEWISnXC1pejgf5YrBdYgXi0pY7jkJXDobJkpMBmN8BYmJQlI4UzZemLUaKNZXd4+RCxu1dlWd8qm1muCWYFR4Q/srI0DuqUlw377kHYupRl94DmfNClskzjNDhLzpPhaZh4wyi+uBxmZ9HpMMxCL7vMFovwogqtTpVlpPOFVJYJ1hcwPvfKkhEEEZ2gyvLm0SLFL4pfFZ8Vvy0+HhYfqv+UOzM/LD4rRaYOep8VWsCh19aXjBiIAIvQl+YCOSMKi7L0RoHQoRyyojgUl4wU2AQHGQ4dxZiVwp249DzzuiUnICJ+96ouk1qMWK7HZQVHBD+6ujSO6pQXDvv2QeC65GX3iOZ80Go35t5KVjnchOlrx1Yqx9SKmbUx3e3C1BYUb5MNbkeP/7N2YT5dvjUI/GqzZS+7MYnDEMGGoZfdmEQTBcpEgHnBtSPpNQ/O6iyX/1L8YqTaUssxKx6pRgj5ABRP5OC8PyiPi/ly1Q/x7Ekw5SPySfHLkc4HB2QftFMO40ZPooXAfSlwCW3b6Em0EbgjZV1tTLQOs/sE4r8k0p8KMyZbuMHNntneUeB56pOvPjXnSqf2zZ5UUGDyx2/29L04Me/2pJoLzP7Y3Z7p1W5P4wWRd+lWAyVAH5MHBbMztmAc0TGAKXSd3Z7pzvWBsOz2pFIIJAX4OVKe3W0Maxk8oRsMTIngGRggDuUqDuUqDuUqDuXAODSlQwKzKm63pyUG3aObCkyumO2e6dV2T+OLe0K3GJNwSU9QM8G1x56cjMC93TPduT4Alu2eVAJgpkVv90x3G6Naxs5pxpYyHNR4r3iMywiW9RTyUoJxv2eG44QC6hYcLFyYRQcdyG1WEMQy5lqLEdD9noyoAo4Kn03rMA5YMRDrr4gJsbn4xIjCUnwy785kJGmnfwvJuvNrRgrs6jdgNJJMhPo+gTErirMClGWLJiceIm73MYNs5pH1pbWZ5RZiVnBE+ANPfqBjOuVFw75+ELSu4lP3eOZ80Nu7RdNU8bkVVDNHhDNggK5VJSsIIjpBVSXTHk1WNwi4G9ZUnKwYiJCLUJyGEgwrCZPg1HfSs5I4E5ysFNiMBxmNLBgF+soPK4ozwWneqMnLh4jpPSpOtdxcKpTqCx34ES84IvyRFad5oyYvG/YFhLDZJSdkQHM+6O3dqCklp3bhQkpO68VROmfAAN1LTkYQRHiCSs41d2qy4go47trSkhEDEVsR0tK+U5MViEdh6jgOWTkc6ktGCmx6g4yFsbGIlcSZvDTv1uTlQ8TvXuWlX6sR81WcvOCIEEiWl+bdmrxs2PcPwtYlL7sHNOeD3t7dmlJeRjpnSHkZYJ0BA3QvLxlBEOEJKi972a7JCi3g0GuLTEYMRIRFiExTxZwVhUVeGrdrsqI4VJiMFNgMBxiOKBwlOpAxK4g7gWnesckLiAjhvSrMoBYk5uszecER8Y+uMM07NnnhsC8gBK5LYnaPaM4HrTSmTTr2vFNT31wZeKENL03aeJveqUk2uB01/mWn5jo7NcnDEMGGoYedmmQTBcpEgHnAnZqfq02ZxePl23uD4pfFp8Une+UezOIT+v5NnWMOyI5p5x+27ZtkC4EbTeCS2rx9k2wjcIfJulqZaF07Da+5fTP1TGusRPs2tnkz8CK1ZVOoT7H6VF2RJ0lsmzfpoEA90O/mTbq5QEGA27wpzak3b1Z+1ll9l241UBX0MY9QMDtjC8YRHQOYVembN5Xt1wfCuHmTTiGQFODnSHl2tzGsZfCEbjAwIYInY4A4lKs4lKs4lKs4lAPj0JQOCcyp/W3epJsKTK3wzZtX8eee5cU9oVuMSbekJ6iZ69pjT05G4N28eRV36gEwbt6kEwAzLXLzpnp2GqNaxs5pxpYi/DL14stzb3gZeJfD6CzOhul5lg3PLi4iLw4vF15UvbHGlQXL0gp5dcGweVNGKxwnFNB9UYoRpK1CbAMEXJ+4WZRSv5Tzxy/kzP4NOVt8sFpEUP1Pg+I3xQdywvlZ8eviI/nx8Z+v1gbuTofCHxQf6Byyz+oQAXcIfBquwzhgxUAs2CImzeaCFSMKU8FKab6bKIesKA4LVowU2PVywHD4ga9fdR2zkjirWKXpKDUVrDj5EOG9j4lmM92M6vKG+RpOXnBE/APPkcCDOuVlw75/ELauelX3gOZ80FvccW8IW1J9CqwzYIDu1ScjCCI8QdXn2h33jLgCjru2tmTEQMRWhLbs6rhnBGJRmKaOe0YOh/KSkQKb3gBjYa4FMXI4E5e2fntOPkT07lVcilqLmO/d5AVHBECyuLT123OyYd8+CFuXuOwe0JwPeotPEDGcQyXFZYx1BgzQvbhkBEGEJ6i4ZDtBhNENAu6GtUUnIwYi5iJEp7ELiJGER20aTxBhJHGoNxkpsBkPMBqpWhrSkYxZSZwpTtsBIpx8iJDeq+KMa4Fivo+TFxwR/ciK03aACCcb9v2DsHUpzu4Bzfmgt/gkZN+4wzPBOgMG6F5xMoIgwhNUca5xEjIrqoCjrq0qGTEQcRWhKs1lckYUJlmpnYEespI4lJWMFNi0BhiNME5ibXwes5I4k5XGg5B58RBhu1dVmdQixHwPJy84IvqRVaXxIGReNOzbB0HrEpXd45nzQTve02mqeqdWvBuXjG5+TyfR4HbM+Jc9nevt6SQOQwQbhl72dBJNFCgTAeaFsD2dDLdvkn3QTjSM2zeJFrbVM+v2TaKNwD0m62pionWY/SQQ/4nI2BFKtHCDGzjV7Zu+un3TV7dv+kG9ccp6+yYdFJj8+97ASTUXmP2xGzjTqw2c5ts36VYDJUAfUwYFszO2YBzRMYApdJ0NnOnO9YGwbOCkUggkBfg5Up7dbQxrGTyhGwxMieB5FyAO5SoO5SoO5SoO5cA4NKVDArNqnxs4qaYCkytmA2d6tYHTfPsm3WJMwiU9Qc3E1h57cjIC9wbOdOf6AFg2cFIJgJkWvYEz3W2Mahk7pxm7vTWnwLiBM8NxQgHd15wYQRCLl2stRkBrToyoAo4Kn03rMA5YMRCrrogJsbnmxIjiuObESOKw5sRIgV31BoxG4vmxPkCPWVG2oejEiYeI233MIJt5ZFYXKcy3b/KCI8IfePIDHdMpLxr29YOgdRWduscz54Pe4t75wLQx0/ewzoABOleVnCCI6ARVlVy985xuEHA3rKs4OTEQIRehOE0lGE4SJsFp6J3nJHEnODkpsBkPMhpxNooNlR9OFGeC09I8z8qHiOl9Kk6/vqzRt9y+yQqOCH9kxWlpnmdlw76AELYOyQkY0JwPeovPAglM2zV9611ROmfAAN1LTkYQRHiCSs51zwLhxBVw3LWlJSMGIrYipGXHWSCcQDwKU8dxyMrhUF8yUmDTG2QszI1FnCTO5KXlNBBWPkT87lVe1pc1+pbbN1nBESGQLC8tp4GwsmHfPwhbl7zsHtCcD3qLb98MTHszq2Z8hDNggO7lJSMIIjxB5WU/t29yQgs49NoikxEDEWERItNYMedEYZGX5ts3OVEcKkxGCmyGAwxHmI6EdjzGrCTuFKbl+k1WQEQM71Vi1pc1+pbrN1nBEQGQLjEt12+ywmHfQAhcl8bsHtGcD9rxVk3TomRoxbtxu+jGt2pSDW5HjX/ZqrnWVk3qMESwYehjqybVRIEyEWAecKums+s3qY5p5x++/ZtUC4E7TeCa2rJ/k2ojcIvJumKZaF07Da+5f1MkhvWKMdnCze3f9NUFnL66gNNXF3D69cV3vv0CTjIoUBH0vH+TbC5QEiD3b/pXF3D6lgs4yVYDdUEfMwkFszO2YBzRMYB5dY39m/7VBZx+xwWcZAqBpAA/R8qzu41hLYMndIOBKRE8HQPEoVzFoVzFoVzFoRwYh6Z0SGBW7XH/JtlUYHJF7N/0ry7gNL+4J3SLMQmX9AQ1s1177MnJCMz7N/2rCzjtcWdGJwBmWuz+TV9dwKmPOXOasaUMB12XpHiMawuWxRXy+oJp/6Yf4TihgO7rUowgbRViGyDgCgX/BZycDhFwh8An4jqMA1YMxJItYtpsrlkxojDVrEwXcHKiOKxZMVJgV8wBw5GKUaptMBmzkjirWVku4GTlQ4T3PiaazXSzvq/Rt1zAyQqOiH/gORJ4UKe8bNj3D8LWVbHqHtCcD3qLm+5D4z5PgXUGDNC9+mQEQYQnqPpcu+meEVfAcdfWlowYiNiK0JZdTfeMQCwK09R0z8jhUF4yUmDTG2AsbNUgRhJn8tLWdM/Jh4jfvcrL+sZG33IFJys4IgSS5aWt6Z6TDfv+Qdi65GX3gOZ80Ft8jEho3NMZY50BA3QvLxlBEOEJKi/ZjhFhdIOAu2Ft2cmIgYi5CNlp7ARiJOHRm8ZjRBhJHCpORgpsxgOMRhxkI9NlSZwoziSn7RgRTj5ETO9VctZXNvqWOzhZwRHhjyw5bceIcLJhX0AIW5fk7B7QnA96i89DDo37PBOsM2CA7iUnIwgiPEEl5zrnIXOiCjjq2rKSEQMRVxGy0lwpZ0Rh0pXaKeghK4lDXclIgU1rgNEIYi8yHyDCyOJMWJoPRGbFQwTuXnVlfWujb7mFkxUcEf/IutJ8IDIrGvb9g6B1ycru8cz5oOX//qwkr/SU+s+Pbfqx572eJuWY2nh9v83raq+n4ZDm22SD20GEc69n8WXxqPhutf1ObeMsHqlded+Uezvfr35J3MRZfFp8WPyCvpdT/WC051U/mkJ2dRIdHsEc3suuTqKJAmUiwLwAtquT4wJOqg/aOYZxAyfRwrZ0Zt3ASbQRuMdkXUFMtA6znwTgvzD2k5G2/Dkmm7jBHZzqBs5A3cAZ+PWmKfvlm2RGYIqnbN5MQvPmTaq5wByP3bx5dfmmb7l8k2w1MNH3MVNQMDtjC8YRHQOYPtfZvHl1+abfcfkmmUIgKcDPkfLsbmNYy+AJ3WBgOgRPtwAhKFchKFchKAeGoCmdD5hMsfs2jeHnHt1UYE7F7Nu8unfT/M6e0C3G5FnSw9NMZe1hJycjcO/bvLp30x5yZnQCYJJF79tU927qw82cZqyy9tQTme+lF8M4PrsYRgsRD7MkFsOzLIguojPvND2t3ljjOoFl5YS8VmDct5nhOKGAuhUFCxdmVUEHcpsVBLFcuc5qw7OLDGV7UzXh/2e1oVN12S//Vn688ewUUs4uVxPQT4pfFx8Oy82dHxQfF/8oP/+u+GxvEHqm6sg+q8sE3GXwybgO44AVA7Fei5hPm+tVjCg89SodxyErh8NqFSMFdrUcMhZBHPumSTwjirNiVTJKMh3eHV48RPTvYwraTETr2x59y+2drOCI4AeePUHHdMqLhn39IGhdxaru8cz5oLd4V6ehwn4rCDy0M0CAzrUpJwgiOkG16bq7OjlxBRx3XV3JiYEIrQhd2bGrkxPIpbrk5HCnLjkpsOkNMBa2EhEnijN1adnWycqHCOB9ysugvtkxsFzVyQqOiIFkeWnZ1snKhn0BIWwd+hIwoDkf9BbfpRSZtnUG1ouldM6AAbrXl4wgiPAE1Zf93KXECS3g0GurTEYMRIRFqEzj6iUnCou+NN+lxIniUGIyUmAzHGA4Mi8yHRzCSeJOYVruUmIFRMTwXiVmfbtjYLmukxUcEQDpEtNylxIrHPYNhMB1aczuEc35oB3fpSR0eFI1Bja8zGvjbby/nmowsO0Oqvr+z+mvpzo8gjm8j/56qokCZSLAPGB/fXNr0kA+Cjz3JVFd0s4xfO32VAuBHYJw3Wxpt6faCGwNXFcQE63DtAEC/BdFsTfSNp6NySZurt0+CFWnvbo1KRBVr2sQWNvtyYzAjN9zuz3ZXGDKR7bbB0HTbh8Yr7S8S7camPf7mCkomJ2xBeOIjgHMpmu020vbrw+Eud2eTCGQFODnSHl2tzGsZfCEbjAwHYKnW4AQlKsQlKsQlAND0JTOB0ymPbbbk00F5lREu30Teu5Z3tkTusWYPEt6eJqJrD3s5GQE5nb7JuTUA2ButycTAJMstt1ePjuNUS1j5zRjS/UNOtRe8RiXDSzrJuSlA1O7fRDiOKGA7ktOjCCI5Uro4gP/NUmcDhFwh8Bn3jqMA1YMxGosYrZsLkcxojCVo0zXJHGiOCxHMVJgF8MBwxHH2cjX5qsxK4qzepTlniRWPkR872OS2Uw1w7p4YbmalxUcEQDB8yPwoE552bAvIIStqxrVPaA5H/QWd9QLY0d9hHUGDNC9/GQEQYQnqPxcu6OeEVfAcdcWl4wYiNiKEJddHfWMQCwS09RRz8jhUF8yUmDTG2AsrFUgRhRn+tLWUc/JhwjgverL+trGwHIPJys4IgaS9aWto56TDfsCQti69GX3gOZ80Ft8mogwdtQLtDNAgO71JSMIIjxB9eU2nCbC6TIBd9naGpURAxGfERrVvADKiOJUnTJyOFSnjBTY5AgZCxH7gUmdMqI4U6fm00RY8RDRv1dxWl/6GFhu8WQFRwQ/sjg1nybCioZ9/SBoXdq0ezxzPmjHnfja+YZUm7EV78ZGg8134hMNbseMf+nEh3biEx0ewRzeSyc+0USBMhFgXgjrxOc46Z7qg3ZKYWy9J1rYlsmsrfdEG4FtguvKX6J1mJZAgP9CPzBUx8ZkEzfYep+orvtUfcrqvtfY3npPZQSm+L5b76nmAnM8tvU+vmq9N95keZduNTDR9zExUDA7YwvGER0DmD7Xab2Pd64PhKX1nkohkBTg50h5drcxrGXwhG4wMB2CZ1eAEJSrEJSrEJQDQ9CUzgdMpn223lNNBeZUTOt9fNV6b3xnT+gWY/Is6eFpZq72sJOTEbhb7+Od6wNgab2nEgCTLLr1Pt5tjGoZO6cZu721qdjYep/gOKGA7mtTjCCI1cl1Vhuc16YYXSbgLoNPxnUYB6wYbfFgwUDMp821KUYUp7UpRg6HtSlGCuziOGQsvCxMTZN4RpRtqE1x4iGifx9T0GYiWl/jG1iuZWYFRwQ/8OwJOqZTXjTs6wdBs47nFDKeOR/0Fvflx8a+/BTtDBCge23KCIKITlBtunZfPiOugOOurSsZMRChFaEru/ryGYGcqktGDofqkpECm94AY2EtETGiOFOXtr58Tj5EAO9VXqa1HLHc6ssKjoiBZHlp68vnZMO+gBC2Ln3ZPaA5H/QWn3QfG/vyM6wzYIDu9SUjCCI8QfVlTyfdM0ILOPTaKpMRAxFhESrTvHrJiMKiLy0n3TOiOJSYjBTYDAcYjiT19aF6zEriTmHaTrrnBETE8F4lZn23Y2C5q5MVHBEA6RLTdtI9Jxz2DYTAdWnM7hHN+aAd99cnOrxbQWi9LCoL2ngb76+nGgxsu4Oqvv9z+uupDo9gDu+jv55qokCZCDAP2F/v4KR7qkvaOYav3Z5qYVs7c7bbU21si2KednuqdZg2QID/Ij9LTWecUE3cXLt96O/JT4H6FFa9rqFnbbcnMwIzfs/t9mRzgSkf2W4fek27fWi81PIu3Wpg3u9jpqBgdsYWjCM6BjCbrtFuL22/PhDmdnsyhUBSgJ8j5dndxrCWwRO6wcB0CJ5uAUJQrkJQrkJQDgxBUzofMJn22G5PNhWYUxHt9k3ouWd5Z0/oFmPyLOnhqSeyHWEnJyMwt9s3IaceAHO7PZkAmGSx7fby2WmMahk7pxlbqm/QsaSKx7hsYFk3IS8dmNrtQ+stgDc5oYDOS06cIIjlSujiA/9J95wOEXCHwGfeOowDVgzEaixitmwsR3GiMJWjTCfdc6K4K0dxUmAXwwHDEQfZyNRPz4nirB5lOemelQ8R3/uYZDZTzfqa3tBy8TIrOCIAgudH4EGd8rJhX0AIW0c1CjCgOR/0FnfUJ6aO+jDAOgMG6F5+MoIgwhNUfq7bUc+JK+C4a4tLRgxEbEWIy46Oek4gFolp6Kjn5HCoLxkpsOkNMBbWKhAjijN9aemoZ+VDBPBe9WVQyxHLxb2s4IgYSNaXlo56VjbsCwhh69KX3QOa80Fv8WkiiamjPgzRzgAButeXjCCI8ATVl9twmginywTcZWtrVEYMRHxGaFTzAigjilN1ysjhUJ0yUmCTI2QsojgTJnXKiOJMnZpPE2HFQ0T/XsVpfStkaLnmkxUcEfzI4tR8mggrGvb1g6B1adPu8cz5oOX//uw/PiPKjOLztYuz11985WWNI0ja07SsGdk4/RucppZ8s7UYRXnVla819zbZ3PZjZnEuUDf+D6kA31wVxZfvFQ8HUg4+KD5XLe/L9yop+F0pEFWR/B3VZ1/++KOmcV8HKKVg9NyYTHkjQpox1wuQVfeq2DsKItXCGqljo4WnPoXqU6w+ZfJTrHpbY/VzsTpUOlE/nETqk/oTqfoTqfoTqfoTqfoTmfoTmfoTmfwToeerT5H6JP9E6HvqU6g+xeqT/BNhEKhPQn1Sf0L11Iah+hOh+t1IfRWpr5RpoVA/oqwKlUGhsiVM1O+m6itlQZiprzL5VeTJvzTy9X1wR/RRivCjBG93UkNzrIbmWA3NsRqaYzU0x2pojtXQHKuhOVZDc6yG5lgNzbEammM1NMdqaI7V0ByroTlWQ3OshuZYDc2xGppjNTTHamiO1dAcq6E5VkNzrIbmWA3NsRqaYzU0x2pojtXQHKuhOVZDc6yG5lgNzbEammM1NMdqaI7V0ByroTlWQ3OshuZYDc2xGppjNTTHamiO1dAcm4bmmD40Aj808D4uOTITNTITNTITNTITNTITNTITNTITNTITNTITNTITNTITNTITNTITNTITNTITNTITNTITNTITNTITNTITNTITNTITNTITNTITNTITNTITNTITNTITNTITNTITNTITNTITNTITNTITNTITNTITNTITNTITNTITNTITNTITNTITNTITNTITNTITNTITNTIT08hM6CMDj+B0nVB1xIq9XI1QrkYoVyOUqxHK1QjlaoRyNUK5GqFcjVCuRihXI5SrEcrVCOVqhHI1QrkaoVyNUK5GKFcjlKsRytUI5WqEcjVCuRqhXI1QrkYoVyOUqxHK1QjlaoRyNUK5GqFcjVCuRihXI5SrEcrVCOVqhHI1QrkaoVyNUK5GKFcjlKsRytUI5aYRyskjdKN9s2OEcCFtpoZlpoZlpoZlpoZlpoZlpoZlpoZlpoZlpoZlpoZlpoZlpoZlpoZlpoZlpoZlpoZlpoZlpoZlpoZlpoZlpoZlpoZlpoZlpoZlpoZlpoZlpoZlpoZlpoZlpoZlpoZlpoZlpoZlpoZlpoZlpoZlpoZlpoZlpoZlpoZlpoZlpoZlpoZlpoZlpoZlpoZlZhqWGX1Y4LoS2ZYqR2WuRmWuRmWuRmWuRmWuRmWuRmWuRmWuRmWuRmWuRmWuRmWuRmWuRmWuRmWuRmWuRmWuRmWuRmWuRmWuRmWuRmWuRmWuRmWuRmWuRmWuRmWuRmWuRmWuRmWuRmWuRmWuRmWuRmWuRmWuRmWuRmWuRmWuRmWuRmWuRmWuRmWuRmWuRmWuRmWuRmWuRmVuGpU5bVSe0c9qcH5smwX0uTE3MLbWCitFZHy2YMYSZwAme2+T7W3L4zW35f623Fup</t>
  </si>
  <si>
    <t>FoObw1jskn+NnbiPBsXXao26XHdefW/5M/nb8keqxenH6p+Vc5Bv5I+8q3b/1n/0u9LIt1a/1Dl0n+zQtpLl3HZLNFGgTASYFzTbbnWGHpANbS/yMG6GJVrYXrhm3QxLtBG4cWfdBWmidZhNOgD/aX03Jlu3wX2wavofqiWBUC0TqIl7EHn1djRh3xFLpQWmWvyO2MATsXlHLNVcYLLF7ogVVztijRd/3qVbDUy56y1HNSv1YmdswTiiYwATHWG9ptmeJnauD4RlRyyVQiApwM+R8uxuY9jNST/VYGBOBBc9AMEoV8EoV8EoV8EoV8EoBwajKZ0UmFuRe2PTODPvjaWaCkyxmL2x4mpvrPHtPaFbjEm7pMeoKS3ZA1BORuDeGyt2rg+AZW8slQCYbpGLEOrZaYy6OT2nGKusPQ+9bBFeng89PxDD6DwMhul5dD689NP09OL0wouCKrMZZ+4vLfptHivbx3SYcv4e4zChfLo5vgULM8/XgdxmBUF0D0AXAFp7E76S/3l/ICfl38rp98/U5+LL4qnaLlueqLSnmsN+Oyh+6XuDIPG85TuBd3V2lpyvPyxXBj5Xf+lqo8NqBeBp8XD1I+oP7ei3ge+zuk7AXQefR+swDlgxEG0UiFl21z4HRiCWTjJvFIQ6lENWFIfNZIwU2G4WyHDoKMasFM76yLJklGhT2h1ePkQq6GNi2kxP47rxyHJHMis4IgKC51TgQZ3ysmHfPQibdUCnkAHN+aBXuxwukvg0ufSG52ngD6PAD4cL71QM5c9np16a+ullJUydClVTt1mC9QWMz71QZQRBRCewUK1KQE+X79YHtTyW33pY/KFza8Pqpy1bG3QO2md1kIA7CC5Hiw9XDmlk/FXZ7NGg+LQ6tvYPpTx/VHyp7l14oEpyxWNV1Pug+FSq+pWGv/Lvg+Wb6jc/9QbFZ4NADEz7DQ5Y3YUI+gjZa946wYjCIngN0eqQlcSh3mWkwOZcwGiY9C4jhTO96wejUDu3usPLh8goverd+trO0HINKys4IvSR9a5xUKe8bNh3D8LWpXe7BzTngy717mUQJ166OB0mF6H82fA8HmaLNBr6vh9e+ueLLLw4v+9e72ofAKl3U6wvYHzu9S4jCCI6QfXuh5peqEdKlX1ZfltJ3bcGP7p4dfHSYvDS4tXFX//1i7UQ/rSRcOWvfSGf5/I3PlQHHSqFqC4zqLqrvqsWZleLuaaVWUbfCbjvEFL4k0b6PtD3lantzpX7jlbua3ywfCfey8o7IfZMPhNB6u8NhJ/KKCI8L1Nf+/79+y/LuYdqnntrMBwoYV1OQb5ZtcmVzXOr35XyXA7P3mBP5+4DVncj8glCShv7tBhJmJS0l+hQDllRHEppRgpsOgcMh0lKM1I4lNJJNsqEjvAOLyEiXfUqpus7SkPLpbOs4IjgRxbTcZiYz2DkhMO+fhC4LjXdPaI5H3Spps+CLAwC/3R4noVnwygKomEqc/jwwj/NstPEj+Xfcd+9mo50vpBqOsP6AsbnXk0zgiDCE1RN/9MzGw+kIPzvUtB9XYpCpaKLTw/CsDyE0YuuNzFU+6OHV6uiOm/ss3pDwL0B18c6jANWDEToRehO8xIuIwqL8DTfRsuJ4lB4MlJgMx9kOHQUY1YKZ8Izks+adpJzh5cPEdd7lZ31taWh5SJaVnBE7CPLTuOgTnnZsO8ehK1LdXYPaM4Hvbp4JjpPkrOLcHjqp+kwikUwXIQXp8MoW5z7p/HiPBVn992rTqHzxa0gst6vo/MFjM+56uQEQUQnqOq8ee9MtUSrv35mdQSj6pb9Sm2lHcr/SAFafFf91CP5G9VBjTrv7LN6R8C9s64K5cRAROI+VCgnCpMKNV1Cw4niToVyUmAzIWQ4dBRjVgpnKjROR5Hh/hlWPkSc71OFRl4lWiLLdaes4IjYR1ahxkGd8rJh3z0IW4cKBQxozgetZKhNXfZ76IqhFzbybXRZ2Kbb9KErVHvbIeNfDl0pQfbJDo1gDu3j0BWqiQJlIsC8rkNXqIa2wzrfoStUC4Ebw+Eq1XLoCtVG4I7wdeUn0bp2euM5dIVq3eYOXYnUSauROn1VnZEaROVprnF1zkHkWw9dIdMCU23Ph66QzQUmW+ShK5HfHLoSGe/fu0u3Gphy+1DoCmZnbME4omMAE90ah65I268PhPnQFTKFQFKAnyPl2d3GsJbBE7rBwJwInuYAglGuglGuglGuglGuglEODEZTOikwt/Z46ArZVGCKRRy60gShe5a394RuMSbtkh6jZi5pD0A5GYH50JUm+NQDYD50hUwATLfYQ1fks9MY1TJ2TjN2a+tCxkNTowCHCeVzXxdiBEGsF0IXAFzXhRi9I+DegU+VdRgHrBiItVHERNpcF2JEcV0XYkRxWBdipMCuTUOGQ0cxZqXYiroQJx8izvcx62zmnvU1o5Hl3lhWcETsA0+YwIM65WXDvnsQtq66UPeA5nzQq5P5z4PQE4tg6GX+5TCK0ovh4vIsGfrp6SL04zg6vaxCq1MVaqoihVhfwPjcq1BGEER0gqpQQE/8SpUOfK88zE8q1nfK3YsPi29HOhfss7pAwF0Al5rXqmMPBvsXr1689uLrA/0mwANWPkQc7kWDMqIwaVBThzwnikMNykiBzYOQ4dBRjFkpnGlQS4c8Kx8iyveqQevrRCPL9bCs4IjYR9aglg55Vjbsuwdh69Kg3QOa80GXGjQ6j/xLzw+G4UKcD6Mw8oaLLL0cXviLsyTLUrGoaxdONWio84XUoBHWFzA+9xqUEQQRnaAaVHfKyYPrR9c9GExfvHj91YX6z8t/vahXSpuTNK5tzxwUH9WHTl8dgPKjzMs83zvxPM//k9nUU98s10ur9qpqhbX82dDzdmL5karjP3Qu3md1sYC7GKFxKYehSEc+XL67ugq4PDhxdYbJ74uHA98PRHayN3jmrBPTcMTqNJVQfcrKc8J/oI4UH5SL3OpvkuP/UagNTwesbkakG4TUNvZNMZKwKG3zISicKA6VNiMFNtsDhsOktBkpnCltP0yiUSR0hHd4CRHZrFetHdXSLLJobU5wRPAja+00TMwLvpxw2NcPAtcltrtHNOeD3t4jtAPTISjV647wBYzPvdhmBEGEJ6jYdn+ENqeDBNxBCKm80SO0Od2FiPoIyWteXWZEYdK8WvV+yEriUPIyUmBzLmA0TJKXkcKd5DUfoc3Kh8govQpeUcsjy62mrOCI0EcWvJYjtFnZsO8ehK1L73YPaM4Hvb13GwbG41dirC9gfO71LiMIIjqB9e4W3W3I6ToBdx1cCeswDlgxEGEaoVA77jbkBGLRqea7DTlRHApVRgpssoQMh45izErhTKha7jZk5UOkgl6Fan0VXmS525AVHBEByULVcrchKxv23YOwdQnV7gHN+aDl//7sGWGj9OePbYK03xNbtDlCStHERuvHbVpHJ7aExhNbiPa2Q8jaJ7Y8VjXzVa2c77SW1SLsF4NAyc0n8i82begieiWCeaWXY1eIJgqUiQDzOo9dIRrajtWMx64QLWzLT9ZjV4g2AveEr6spidZh9n8D/GfSikTrNnjsSqrOWcnqow0S+zkrVDxggiScs5JYjlmhWgvMkNhjVpKrY1aMF9bdpVsNzJN9yGwFszO2YBzRMYCJbZ1jVpKd6wNhOWaFSiGQFODnSHl2tzGsZfCEbjAwB4LnKoDgk6vgkwODz5SOBkyeuHNVAuGbj1WhWgpMoZhjVZKrY1WMb+sJ3WJMWiU9Ns0E0B5wcjIC97Eqyc71AbAcq0IlAGZX9LEqyW5jVMvYOc3YUmxfpl58ee4NLwPvchidxZmccmfZ8OziIvLi8HLhRdULa5xeW9YbqFNs47EqKQ4TyqebiFuwMJNxHchtVhDEIh90ln7zWBX9eSqr1pzfqHad4rPi18VH8uPjqgXq7nQo/EHxgc4h+6wOEXCHwGe/OowDVgzEGiZibmzuM2JEaWsACwp8Em05SYURxWH9hpECu4YMGQ4dxZiVwln9Jk0NF1He4eVDhPY+JpbN9LK+jDKyXC/KCo6IfeA5EXhQp7xs2HcPwtZVv+ke0JwPerWLNQxF5GfR0L9cXAx9/0L+rHeRDD1PeCJOUz8TlSJzKjy1K8VSeGZYX8D43AtPRhBEdIIKzw+fLQ5BzukbqNvgVU1I/sbPy8ai6tu/KduKHqp28tW39lSr0dPl3y//Tv1q+ab6oWaLa/UDv/R/oDZS+nKaeHLr7iDzPG31b5/VrQLuVrh8vY4K9e21Wl3d9bV8T37naVloU/tdy52v8q/+otoAvKrKyW98pQp1Zbv/rZdfv/iLxVXXf1PEuzEk17bCFp+XP6XmGPVo7JUbXbWzxQPWQUEkpF7EOCMKkxjXvimHrCQOtTgjBVYPQEZDRzFmpXCmxQMRjPTLYnd4ARHprlcxXt/RGVkuXWUFR8Q+shg3j+qUFw779kHgutR494jmfNBu77uKdHS3AuHZ6LIbt3ltunuKai+wKgyVx1vWPUX1SgTzSh/dU1QTBcpEgHld3VNUQ4GVY4QoNXVPUS0EFoDhWtPSPUW1EVj6XVNFUq3DlHkB/jOoQ6p1m+ueEv6e/BRUDQzCs3ZPkfGACbLf7imytcAMieyeEl7TPSWMl3TepVsNzJN96GoFszO2YBzRMYCJbY3uKWn79YEwd0+RKQSSAvwcKc/uNoa1DJ7QDQbmQPDkBBB8chV8cmDwmdLRgMmzv+4psqXAFIronmqCzj3L23pCtxiTVkmPTT3h6wg4ORmBuXuqCTb1AJi7p8gEwOyK7Z6Sz05jVMvYOc3YUspeXKa+d3k6zPzAb6bYi80WsSJT95TwcZhQPudFLE4QxKoedJbeXxHrg3K+/0jNwZsaFbaIlXih0Ll1n9WtAu5W+Bz6+1jEOt7PB77wguGfWmtXnGOBWL9FLBMYa1ecKG5rV5wk7mpXnBTY1XPIaOgoxqwUzmpXoeo5ynSAd3gBEVmujzl2M9P2q0qHsFwJzQqOiH3g6SF8VKe8cNi3DwLXUbsCjGjOB729WxgiUyeZCLC+gPG5F+GMIIjwBBXh/FsYOB0i4A6By2cdxgErBiL69qI8GVGYlKdpCwMnikPpyUiBTX6Q4dBRjFkpnElPyxYGVj5EaO9VedZ3hwrLZbCs4IjYR1aeli0MrGzYdw/C1iU8uwc054N22zQldHRSSoZWOtGm23jTFNFeYDEYqgS3rWmK6JUI5pVemqaIJgqUiQDzOpumiIYCC8YITWpsmiJaCKz7wqWmrWmKaCOw4ruuhiRah6nuAvxn0oZE6zbYNBWppilR9y2E9qYpKh4wQfbcNEW1FpghsU1T4VXTlPH20Lt0q4F5sg9ZrWB2xhaMIzoGMLGt0zQV7lwfCEvTFJVCICnAz5Hy7G5jWMvgCd1gYA4Ez00AwSdXwScHBp8pHQ2YPHtsmqJaCkyhmKap8Kppyvi2ntAtxqRV0mPTTPjsAScnI3A3TYU71wfA0jRFJQBmV3TTVLjbGNUydk4zdmvrNcLYNBXhMKF87us1jCBt5WEbH+As3UG9htEhAu4Q+OxXh3HAioFYs0TMjc31GkYU1/UaRhSH9RpGCuyaMWQ4dBRjVoqtqNdw8iFCex8Ty2Z6WV/9KyyXObOCI2IfeE4EHtQpLxv23YOwddVrugc054MuhWeYni0CLzobnp5m8TBKfW94GvryK9+/DBb+pR+dRffdC0/tSrEUngLrCxife+HJCIKITlDhea1b/2nxZXmp3ZulDv1D2Rv+/mClLlUndz7wROIN/9T3TlbfnL76yusXZ68Pnr84e+XVssHbG+jcss/qFgF3C1x+Fr/VOuN6Ne3q9j71e5Ye+Y+LX8IOd9LGxwNW9yFCfy+ylxGFSfZq1wQOWUkcql5GCmzmhYyGjmLMSuFM9XqGJdY7vHiItNKr6K3v/xWWC51ZwRGRjyx6TWM65UXDvnkQtC7N2z2eOR+02x6lWEcnVWxspTPfogAzFqNOYT1KRHvbEeN/sx4lolcimFd66VEimihQJgLM6+xRIhoKrM8iBKmxR4loIbDMCteZth4loo3AAuu6CpJoHaaYCvCfSRkSrdtgj1KiepTSuk0gtvcoUfGACbLnHiWqtcAMie1Riq96lIx3+96lWw3Mk32oagWzM7ZgHNExgIltnR6leOf6QFh6lKgUAkkBfo6UZ3cbw1oGT+gGA3MgeGoCCD65Cj45MPhM6WjA5NljjxLVUmAKxfQoxVc9Ssa39YRuMSatkh6bZsJnDzg5GYG7RyneuT4Alh4lKgEwu6J7lOLdxqiWsXOasaWUBe0/VzzG6bVlfYE6xTb2KCU4TCif+1IRIwhiTQ86S//eHOzE6FYBdyt8Dv19PNip+FL+7JPl28Xn5V+qRmRVIQy80BuepN5t+4FPjGPUlk2WMUIsH5jrWYwojutZjCQO61mMFNhVdcho6CjGrBTO6lnWA584ARHZr4+5dzMDT+oKiOVyelZwROwDTxvhozrlhcO+fRA464hOISOa80Fv7waC2NjHZb1GUecLGJ97cc4IgghPUHHuYAMBo0ME3CFwWa3DOGDFQETfXpQnIwqT8jRuIGBEcSg9GSmwyQ8yHDqKMSuFM+lp20DAyYcI7b0qz/qKY2G5s5oVHBH7yMrTtoGAkw377kHYuoRn94DmfNBum6kSHZ2UkpmVLmnTbbyZimgvsEgMVYLb1kxF9EoE80ovzVREEwXKRIB5nc1UREOBhWSEJjU2UxEtBNaD4VLT1kxFtBFYCV5XQxKtw1R9Af4zaUOidZtrpoq9PfnJr/sZMnszFRUPmCB7bqaiWgvMkNhmquyqmcp4te9dutXAPNmHrFYwO2MLxhEdA5jY1mmmynauD4SlmYpKIZAU4OdIeXa3Maxl8IRuMDAHgucmgOCTq+CTA4PPlI4GTJ49NlNRLQWmUEwzVXbVTGV8W0/oFmPSKumxaSZ89oCTkxG4m6mynesDYGmmohIAsyu6mSrbbYxqGTunGbu19ZrE1EwVezhMKJ/zeg0nCGJRDzpL56/XcDpEwB0Cn/3qMA5YMRBrloi5sbFew4niuF7DieKuXsNJ0RYOFoo15+ScFNtQr2HlQ4T2PiaW9fQy9qrl/dhyETsrOCL2gedE4EGd8rJh3z0IW0e9BjCgOR/09nbxJ6ZGodh+S57GFzA+98KTEQQRnaDC8/vSxc/pVgF3K1y+fi+7+L8u/4aH1Tzj2S7+2BseRp792mbOMULkp160OSMKkzYPdSSHrCQOpTkjBVYeQEZDRzFmpXAmzW1d/KyAiOzXqzavL/mNLdc2s4IjYh9Zm9u6+FnhsG8fBK5LnHePaM4H7baZKtXRSbkdWOnSNt2mm6mo9gKLxFC1vGXNVFSvRDCv9NFMRTVRoEwEmNfVTEU1FFhIRohSUzMV1UJgPRiuNS3NVFQbgZXgdVUk0TpM1RfgP5M6JFq3wWaqUDVTRVU/QxxYm6nIeMAE2W8zFdlaYIZENlPFQdNMFRuv/L1LtxqYJ/vQ1QpmZ2zBOKJjABPbGs1U0vbrA2FupiJTCCQF+DlSnt1tDGsZPKEbDMyB4MkJIPjkKvjkwOAzpaMBk2d/zVRkS4EpFNFM1QSde5a39YRuMSatkh6bZsJnDzg5GYG5maoJNvUAmJupyATA7IptppLPTmNUy9g5zditrWmlxmaqEIcJ5XNf02IEQazqQWfp35uaFqNbBdyt8Dn097Km9fvyp94qK1qrapbvqVtrAu/EXs1iHB3Eii5i4cBczWJEcVzNYiRxWM1ipMCup0NGQ0cxZqXYjmoWJyAi7/Ux627m3mFd+7DcXs8Kjoh94AkjfFSnvHDYtw8C11XN6h7RnA96e/c4pMZWswjrCxife1nOCIIIT1BZ7mCPA6NDBNwhcEGtwzhgxUBE316UJyMKk/I07nFgRHEoPRkpsMkPMhw6ijErhTPpadvjwMmHCO29Ks/6DuTYcqk1Kzgi9pGVp22PAycb9t2DsHUJz+4Bzfmg3bZRaecSUkoKK13Wptt4GxXR3nbI+N+sjYrolQjmlV7aqIgmCpSJAPM626iIhgJLyAhNamyjIloIrATDpaatjYpoI7AGvK6GJFqHqfcC/GfShkTrNthGFas2qqTuZBD2NioqHjBB9txGRbUWmCGxbVTiqo3KeCvxXbrVwDzZh6xWMDtjC8YRHQOY2NZpoxI71wfC0kZFpRBICvBzpDy72xjWMnhCNxiYA8FzE0DwyVXwyYHBZ0pHAybPHtuoqJYCUyimjUpctVEZ39YTusWYtEp6bJoJnz3g5GQE7jYqsXN9ACxtVFQCYHZFt1GJ3caolrFzmrFbW6/JjG1UMQ4Tyue+XsMIgljUg87SHdRrGB0i4A6Bz351GAesGIg1S8Tc2FyvYURxXa9hRHFYr2GkwK4ZQ4ZDRzFmpdiKeg0nHyK09zGxbKaXcb28b7lDnhUcEfvAcyLwoE552bDvHoStq17TPaA5H/T29u9nxkahBOsLGJ974ckIgohOUOH5venfZ3SrgLsVLl+/l/37690szTlGiPzUizZnRGHS5qGO5JCVxKE0Z6TAygPIaOgoxqwUzqS5tYufExCR/XrV5vU9xLHlZmlWcETsI2tzaxc/Jxz27YPAdYnz7hHN+aDl//7smeCpNPePbSK83+YqXxuapP623mfom/c0w6zF6Opnu6sM+31vk+0FVo2h8vk3xYOVLqt021OpztQi7cOB+obSUWo3pBRiUjb9omqSenpN5TWtV+AOKiJ5BCPvpYOKaKJAmQgw76qDaqTG4LOhr3+eDsgmA+vICE1q7KUiWggsB8Olpq2XimgjsBC8rogkWocp+gL8JyIvGnna53BMtnGDHVXZ3lGQeHVTQ2rvqKLiAbMivqMqClJzRxXVWmBWxHZUpVcdVcarie/SrQbmxj7EtYLZGVswjugYwES3TkdVunN9ICwdVVQKgaQAP0fKs7uNYS2DJ3SDgZkQPEMBBJ9cBZ8cGHymdDRgCsV1VJkDzz26pcBEiumoSq86qoxv6wndYkxyJT02zazPHnByMgJ3R1W6c30ALB1VVAJgdkV3VKW7jVEtY+c0Y8uJTBiKyF+IoX+5uGjm2clmC1u+Z2ypynCcUEDd7NvChZmB60Bus4Ig1vagU3PHla1fqmKN/PN/KyfzVz9krXZlnqddtN9ndbWAuxo+0b7u7WvcUOfTq131Esre4Nbx7ODwVjnVL35X/Lb4tfzvr4rfFP+Ppu5VfF7+BeXI1KMhQ+tA/pXqu2+qrXCPVvvjyrWcb+V/37fXvxhHDbEGjFhrMNe/GFEc178YSRzWvxgpsCvwgNHw40CmRX10G7PCOCuDeQbxfocXD5Eo+5inN7P1rC6ZGK/JPuIFRwRA8BTzxmObhqPA1KHGCYd9BSFwXUWw7hHN+aC3d2uEFPLaBfhbQeJhnQEDdC7kOUEQ8Qkq5Pn3RnA6RMAdApfbOowDVgxE+O1Df3KiMOlP094IThR3ApSTApv9AMORyjAee9pAPmZlcaY/LTskWPkQAb5PAZrUlzwnllu7WcEREZAsQC07JFjZsG8ghK1DfwIGNOeDdnuilW9YGk5s9x5GntfG23TTFdVeYGEZKgg30HRFJY9g5H00XVFNFCgTAeZpmq60ifiAbDKw1IwQoqamK6qFwIoxXF9amq6oNgJrxesKR6J1mLowwH/pKNLZNybbt7mGqyRQDVdh1fOQ+NaGKzIeMCP223BFthaYEZENV4nfNFwlxuuL79KtBubFPnS0gtkZWzCO6BjAJLdGw5W0/fpAmBuuyBQCSQF+jpRndxvDWgZP6AYDsyB4MgIIPrkKPjkw+EzpaMD02V/DFdlSYBJFNFw1Qeee5W09oVuMSaykx6aZ4dkDTk5GYG64aoJNPQDmhisyATC7Yhuu5LPTGNUydk4zdnvrNIatHHJWHeA4oYDu6zSMIIhlPOi03EGdhtEhAu4Q+FRYh3HAioFYpURMj811GkYU13UaRhSHdRpGCuwqMWA4ZCyPdSBjVpCtKNJw8iGiex+Ty2aKGdRr+pYL51nBEeEPPC8CD+qUlw37+kHYuoo03QOa80Fv7zFWvmFJW4rPEOsMGKB78ckIgghPUPHpuNuffI4Vp1sF3K1wCbsVnf2oxv4bR1at09PPOV6IZNWLVmdEYdLqoY7kkJXEoVRnpMBqBcBoBCOhzXljVhBnUt3cz8+Kh0iFvSr1+iLjxHI1NSs4IviRlXrgxSNhkuqccNjXDwLXJdW7RzTng3bcT2US35EVz2/jbbyfimhvO2h8D/upiOQRjLyXfiqiiQJlIsA8TT+VVhcdkE0GVpIRItTYT0W0EFgQhmtLWz8V0UZgKXhd1Ui0DlP2Bfgv8EaxaeWWaOEGO6qE6qiK66aGyN5RRcUD5sSeO6qo1gJzIrajKrrqqDLeZHyXbjUwM/YhpRXMztiCcUTHiJAYhCaHaOf6QFg6qqgUAkkBfo6UZ3cbw1oGT+gGA/MgeD4CCD65Cj45MPhM6WjABNpjRxXVUmAaxXRURVcdVca39YRuMSa1kh6bZo5nDzg5GYG7oyrauT4Alo4qKgEwu6I7qqLdxqiWsXOasdtb1AqMHVUCxwkFdF/UYgRBrORBJ+bfm6IWo1sF3K3wKfX3taglyqJWtnZRi3G8EOu6iPUEc1GLEcVxUYuRxGFRi5ECu6oOGI145Gfa8ynHrCTbUNXixEPkwj6m4s2EXNQ1EOPF2Ue84IjoB55FoqpanHDY9w8C11XV6h7RnA96i3c/BMYGtBjrDBige63OCIKIT1Ct7mD3A6NDBNwhcJWtwzhgxUCE317EJyMKk/g07n5gRHGoPhkpsNkPMBzhyMsyHcmYlcSZ+rRtf+DkQ4T3XuVnfelzYrnFmxUcEf/I8tO2/YGTDfv+Qdi61Gf3gOZ80I57qrTLElJPJla8oI238Z4qor3AyjFUDm6ip4pIHsHIe+mpIpooUCYCzNP0VEU6kw/IJgNryQgZauypIloILAnD1aWtp4poI7AYvK5sJFqHKfxC/OeNQpMcJFq4wZ6qVPVUZXVbQ2LvqaLiAXNizz1VVGuBORHbU5Vc9VQZLzS+S7camBn7UNIKZmdswTiiYwDT3Do9VcnO9YGw9FRRKQSSAvwcKc/uNoa1DJ7QDQbmQfB0BBB8chV8cmDwmdLRgAm0x54qqqXANIrpqUqueqqMb+sJ3WJMaiU9Ns0czx5wcjICd09VsnN9ACw9VVQCYHZF91Qlu41RLWPnNGO3t04TGnuqbNcfajihgO7rNIwgiIU86MTcQZ2G0SEC7hD4ZFiHccCKgVinREyQzXUaRpS2CLCgwGfSljoNI4rDOg0jBXadGDAc/kgI08SckWQr6jScfIjw3sfsspljpvWyvuX6eVZwRPwDT4zAgzrlZcO+fxC2rjpN94DmfNBb3NEfGruEMqwzYIDu1ScjCCI8QdXn96ajn9GtAu5WuIb9vnb0+17iDf809E7W7OhnHC9EsupFrDOiMIl1ben8kJXEoVZnpMBqBcBohCPf1y4tjVlJnGl1S0c/Jx4iF/Yq1etbihPLvdOs4IjoR5bq1o5+Tjjs+weB69Lq3SOa80E77qmKdHi3gmpeZsIL23ib7qmi2gusHEPF8wZ6qqjkEYy8j54qqokCZSLAPE1PldCZfEA2GVhLRqhQU08V1UJgSRguLi09VVQbgcXgNWUj1TpM4RfgP6GPaWOyfZvrqEr9PfkpqJoaUs/aUUXGA2bEfjuqyNYCMyKyoyr1mo6q1Hg78V261cC82IeQVjA7YwvGER0DmOTW6KiStl8fCHNHFZlCICnAz5Hy7G5jWMvgCd1gYBYEz0YAwSdXwScHBp8pHQ2YPvvrqCJbCkyiiI6qJujcs7ytJ3SLMYmV9NjUM7yOgJOTEZg7qppgUw+AuaOKTADMrtiOKvnsNEa1jJ3TjN3emlZk6qhK7fcb3uCEAjqvaXGCINbxoNPy70tNi9OtAu5W+IT6+1rTEl7gDU+SdU+p4hwvxKouYjXBWNPiRHFb0+IkcVfT4qTArqkDRsMfCe1wjFlBtqCkxYqHSIV9zMSb+bhfFUBS49XYR7zgiOAHnkRiSlqscNjXDwLXUdICjGjOB73Fmx8iU/tZGmCdAQN0L9UZQRDxCSrV+Tc/cDpEwB0CF9k6jANWDET47UV7MqIwaU/T5gdOFIfik5ECm/1Aw5HE2vEYs5I4U5+WzQ+sfIjw3qv8rK90Ti13dLOCI+IfWX5aNj+wsmHfPwhbl/rsHtCcD9pxQ5U2EEk9GVrxojbexhuqiPYCC8dQObiJhioieQQj76WhimiiQJkIME/TUKXtbD4gmwwsJSNkqLGhimghsCIMV5e2hiqijcBa8LqykWgdpu4L8Z98CIXOwjHZwg22VEWqpUrUXQ2hvaWKigfMiT23VFGtBeZEbEtVeNVSZbyg+C7damBm7ENJK5idsQXjiI4BTHPrtFSFO9cHwtJSRaUQSArwc6Q8u9sY1jJ4QjcYmAfB0xFA8MlV8MmBwWdKRwMm0B5bqqiWAtMopqUqvGqpMr6tJ3SLMamV9Ng0czx7wMnJCNwtVeHO9QGwtFRRCYDZFd1SFe42RrWMndOM3d46jaFJXs6rIxwnFNB9nYYRpC09bAMEnJg7qNMwOkTAHQKfDOswDlgxEOuUiAmyuU7DiOK6TsOI4rBOw0iBXScGDIecl8fadDVmJdmKOg0nHyK89zG7bOaYUb2sb7lgnhUcEf/AEyPwoE552bDvH4Stq07TPaA5H/QWN/QLY5eQwDoDBuhefTKCIMITVH1+bxr6Gd0q4G6Fa9jva0N/6EXe8CRYu6GfcbwQyaoXsc6IwiTWtdrwkJXEoVZnpMBqBcBohCMRCB3JmJXEmVa3dPRz4iFyYa9Svb6kOLVcO80Kjoh+ZKlu7ejnhMO+fxC4Lq3ePaI5H7TjnqpYhyfVd2zFE228jfdUEe1tB43vYU8VkTyCkffSU0U0UaBMBJin6anyTXKVaDOwmIyQocamKqKFwJowXF3amqqINgKrwevqRqJ1mMovwH9Jqr9+ckw2cIM9VYnqqUrrtobY3lNFxQPmxJ57qqjWAnMitqcqvuqpMl5QfJduNTAz9iGlFczO2IJxRMcAprl1eqrinesDYempolIIJAX4OVKe3W0Maxk8oRsMTIPg+Qgg+OQq+OTA4DOlowHzZ489VVRLgVkU01MVX/VUGd/WE7rFmMxKemyaOZ494ORkBO6eqnjn+gBYeqqoBMDsiu6pincbo1rGzmnGbm9VKzb2VCU4Tiig+6oWIwhiJQ86Mf/eVLUY3SrgboVPqbeiqrVHKGv5XuoN/9Rf9+4VzgFriyjLgCHWE8xlLUYUx2UtRhKHZS1GCuyyOmA0AlXX0pGMWUm2oazFiYdIhn3MxZsZeVIXQYy3Yx/xgiOiH3gaiSprccJh3z8InHVEp5ARzfmgt3gDRGxsQbNfGqlxBgzQvVhnBEHEJ6hYd7ABgtEhAu4QuMzWYRywYiDCby/ikxGFSXwaN0AwojhUn4wU2OwHGA51MoF2bWnMSuJMfdo2QHDyIcJ7r/KzvtQ5tdzSzQqOiH9k+WnbAMHJhn3/IGxd6rN7QHM+aMdNVYkOT+rJzIoXt/E23lRFtBdYOobKwU00VRHJIxh5L01VRBMFykSAebqmKu263AHZZmA1GaFDjU1VRAuBRWG4vLQ1VRFtBJaD19WNROswpV+A/0Lhj1KdhWOyhZvrqsq8PfnJrxsbMntXFRUPmBR77qqiWgtMitiuquyqq8p4RfFdutXA1NiHlFYwO2MLxhEdA5jn1umqynauD4Slq4pKIZAU4OdIeXa3Maxl8IRuMDAPgucjgOCTq+CTA4PPlI4GTKA9dlVRLQWmUUxXVXbVVWV8W0/oFmNSK+mxaSZ59oCTkxG4u6qynesDYOmqohIAsyu6qyrbbYxqGTunGbu9hZrE1FWVeThOKKDzQg0nCGIlDzoz5y/UcDpEwB0Cnw3rMA5YMRALlYgJsrFQw4niuFDDieKuUMNJ0VYOFgroxFwEo0S7PjpmJdmGQg0rHyK89zG7rOeYmVet62eWS+ZZwRHxDzwxAg/qlJcN+/5B2DoKNYABzfmgt7inPzG1CWX2y/00zoABulefjCCI8ARVn9+Xnn5Otwq4W+Ea9vvb0y+8YPin6zX0c44WIlX1ItUZUZikurZweMhK4lCpM1JglQJgNHxPjESkQxmzojiT6uaOflY8RCrsVanXFxVnlqunWcER4Y+s1G0d/axw2BcQAtcl1btHNOeDdtxTpS3mS/EdWPGSNt6me6qo9gILx1DtvIGeKip5BCPvo6eKaqJAmQgw70ZPVaB/ng7IJgNLyQgZamqpoloIrAjD1aWlpYpqI7AWvK5uJFqHqfsC/Bd4gWc4MHBMtnGDTVWhaqqKqr6GLLA2VZHxgFmx36YqsrXArIhsqsqCpqkqM15TfJduNTA39iGmFczO2IJxRMcAJro1mqqk7dcHwtxURaYQSArwc6Q8u9sY1jJ4QjcYmAnBMxJA8MlV8MmBwWdKRwOm0P6aqsiWAhMpoqmqCTr3LG/rCd1iTHIlPTbNLM8ecHIyAnNTVRNs6gEwN1WRCYDZFdtUJZ+dxqiWsXOaseUULj1bBF50Njw9zeJhJOfYw9PQl1/5/mWw8C/96KxKAcY5tWVRgTyvNjZVhThOKKD7shYjCGItDzo1v1Z8eVp8WXxbFU2eFn8oiyjvD1Zz7lXNwxPJ6hyj1Tenr77y+sXZ64PnL85eebWsc3gDnVv2Wd0i4G6BT4qvV+BMvrm2SNFDHer+/ZcthaiPi1/uDYrPyz9VlgVVKTDzvHBv4EOKUJ7863XDc8A6PIiFWMQCgLkOxYjiuA7FSOKwDsVIgV0GB4xG7MUjLzJs5uJk2YZCFCceInn1MXduZtBhXbYw3ml9xAuOiH/gad+N1cY0HAWmQhQnHPYNhMB1FaK6RzTng97iHQupsWcswjoDBuheXDOCIOITVFw72LHA6BABdwhcVuswDlgxEOG3F/nJiMIkP407FhhRHOpPRgps9gMMR+iFIy+IdCxjVhZn+tO2Z4GTDxHgexWg9WXMmeV2bVZwRAQkC1DbngVONuwbCGHr0p/dA5rzQTtuhNLu9ZWKUljx0jbexhuhiPa2Y8b3sBGKSB7ByHtphCKaKFAmAszTNUJpO1AOyDYD678IJWrshCJaCCzjwgWmrROKaCOwgLuuciRahynWQvwX+aNI6Ewck03cYCNUrBqhkroXQdgboah4wKzYcyMU1VpgVsQ2QomrRijj3cJ36VYDc2MfWlrB7IwtGEd0DGCiW6cRSuxcHwhLIxSVQiApwM+R8uxuY1jL4AndYGAiBE9IAMEnV8EnBwafKR0NmEF7bISiWgrMo5hGKHHVCGV8W0/oFmNyK+mxaWZ59oCTkxG4G6HEzvUBsDRCUQmA2RXdCCV2G6Naxs5pxm5vrSYzNkLFOE4ooPtaDSMIYikPOjV3UKthdIiAOwQ+HdZhHLBiIFYqETNkc62GEcV1rYYRxWGthpECu1IMGI5ABnP9VtExK8pWlGo4+RDxvY/pZTPJjOuVfcvl8KzgiAAInhmBB3XKy4Z9ASFsXaWa7gHN+aC3+HipzNgqlGCdAQN0Lz8ZQRDhCSo/vzfHSzG6VcDdChex7T7+G674QrXNF1/Kb7da+0GjUP7yifx4XP4z5Tfv33/5+r6Asm9/5Vc/Xr9Xn3EIEPmnFwHOiMIkwEMdySEriUP9zUiBTf+A0YiCUaQPVGNWFGf629Kqz4mHyG+9yu/6zuDMcgs0Kzgi/JHlt/XMKE447AsIgevS390jmvNBu22V0m+/kIrafs1g1sbbeKsU0V5gORgqiDfRKkUkj2DkvbRKEU0UKBMB5mnu4dMuhB2QTQYWiBEy1NgpRbQQWOeFq0tbpxTRRmCFd13dSLQOU80F+C8QI18b1cZkCzfYKJXtHYWeV/cqpPZGKSoeMCf23ChFtRaYE7GNUulVo5TxvuC7dKuBmbEPKa1gdsYWjCM6BjDNrdMole5cHwhLoxSVQiApwM+R8uxuY1jL4AndYGAeBM9HAMEnV8EnBwafKR0NmEB7bJSiWgpMo5hGqfSqUcr4tp7QLcakVtJj08zx7AEnJyNwN0qlO9cHwNIoRSUAZld0o1S62xjVMnZOM3ZrK1XqEFAdp5xXZzhOKKD7ShUjCGIlDzox/95UqhjdKuBuhU+pt+IiFMI9KIEXe8PDyFv3KhTG8UKs6yLWE8xlLUYUx2UtRhKHZS1GCuyqOmA0kpEIteMxZiXZhqoWJx4iF/YxFW8m5FldAzFeVX3EC46IfuBZJKqqxQmHff8gcF1Vre4Rzfmgt3dTg9Tq2hX2W2H1viOcAQN0rdVZQRDxCarV2Tc1sDpEwB0CV9k6jANWDET47UF8sqIwiU/DpgZWFGfqk5UCm/0AwxGOkjjRkYxZSZypT/OeBl4+RHjvUX5KppVYqb7QgR/xgiPiH1l+mvc08LJh3z8Im119QgY054N23FOlX/sNPes1g77XxttwTxXZXmDlGCoH3fdUkckjGHkPPVVkEwXKRIB54c2eKv1aKdlkYC0ZIUMNPVVkC4ElYbi6NPdUkW0EFoPXlY1E6zCFX4D/IuFlpuOnyDZurKsq9ALVVRWuGhuk/bauKjoeMCv22lVFtxaYFXFdVdKcuquqcrPO6rt0q4G5sQ8trWB2xhaMIzoGMNHRu6qU7dcHwthVRacQSArwc6Q8u9sY1jJ4QjcYmAnBExJA8MlV8MmBwWdKRwOm0N66quiWAhMpvKvqKujcs7ytJ3SLMcmV9Ng0szx7wMnJCLxdVVfBph4AY1cVnQCYXZFdVerZaYxqGTunGbu9lRrDzELOrAMcJxTQfaWGEQSxlAedmjuo1DA6RMAdAp8O6zAOWDEQK5WIKbK5UsOI4rpSw4jisFLDSIFdKQYMR5zEo8hw/hQry1bUajj5EAG+j/llM8sM6qV9843vvOCICAieGoEHdcrLhn0DIWxdtZruAc35oEv9GYWh/EsWYuhfLi6arqJkw139vrFTKMQ6AwboXn8ygiDCE1R/Ou7q/6VqVJd//m+Lh8/8kLXTX91zrHP1PqurBdzVcGW7FZ3+e6hWf/2t02v0+7OOGiKN9SLkGVGYhLz2VTpkJXGo4xkpsCoCMBp+KIJRajjIihXGmZA3tvzz4iESZa86Pqxln/nOaV5wRAAk63jLndO8cNhXEALXJeS7RzTng3bcdGWS5pEVz2/jbbzpimhvO2h8D5uuiOQRjLyXpiuiiQJlIsA8TdOV9vk/IJsMLDUjhKix6YpoIbBiDNeXtqYroo3AWvG6ypFoHaYuDPBfOoojnYFjsoEb7LgSquMqrpseInvHFRUPmBJ77riiWgtMidiOq+iq48p4NfFdutXAxNiHklYwO2MLxhEdI0JiEJogop3rA2HpuKJSCCQF+DlSnt1tDGsZPKEbDEyD4OkIIPjkKvjkwOAzpaMB82ePHVdUS4FZFNNxFV11XBnf1hO6xZjMSnpsmimePeDkZATujqto5/oAWDquqATA7IruuIp2G6Naxs5pxpZqFrSPXvEYJ9SWFQXypNrYcSVwnFBA9xUvRhDEQh50Xu644kU9x4rVrQLuVviMeiuqW6jiVn2OVegNT1Lv9pp1LcbxQizrIpYTzHUtRhTHdS1GEod1LUYK7KI6YDSCkci0K1VjVpJtKGpx4iFyYR9T8WZCLuoSiPFS7CNecET0A88iEedY8cJh3z8IXFdRq3tEcz7oLd4dERi702KsM2CA7rU6IwgiPkG1uoPdEYwOEXCHwFW2DuOAFQMRfnsRn4woTOLTuDuCEcWh+mSkwGY/wHDIWF7d7HtTfTKSOFOftr0RnHyI8N6r/IxrsWK+m5sXHBH//v/s/W2PJMl15wt+lcS80o2sCPiT+YOAfcGuCRWib2VGdHrGAoRaEPLxrnBHFCBxgd0LDMBuihIFaklJnBkJLT6I1L1758XuoNndJVY3u4tfIfIr7CdZt4hwj0pPM/P/OWHHIhqiZpjsrq5qnt8x92N/s/M3N7b8dJ2NkGSjvn8I25D6HB7QWg46sKXKuC3R6MnCiZf08Q5uqWLGC3aOUTl4CEsVkzzDyL1YqpghKlKIQHgGS5Xx+Z+yQwZ7yQQZarVUMSMEW8K4unRZqpgxgs3gfWUjMzpK4xfIX5pNcttRWWaEB/RUldpTVbW2hsLtqeLigXOiZ08VN1pwTqR6qoqdp8p6h/FLftTgzOhDSWuY0cyBccbHAKe5fTxVxejxQDg8VVwKRaSAnyOd2dMusF7Ac37A4DwIL0eA4lPr4lODxWfBRwMnUI+eKm6k4DRK8VQVO0+V9W294EdMmVpZj023xnMXnJqNIO2pKkaPB8DhqeISgLMr2VNVnHZB9YJd8oI93j5NavVUOe9AfMqJAobv0wiCEDby0IV5gD6NYEIUnhB8MWzCmIpiEPYpCQtke59GEKUvAhwo+Era0acRRAnYpxGkoO4TA8OhJklkcwkJkhxFn0aSj1DefawuuzVm2W7r2++glwUn1D94YQQP6kKWjfr+IWxDfZrhAa3loI/Y0Z9aXUIVNRkYYHj1KQhCKE+o+vzaOPoF06rwtOIa9uvq6FdrR3+1t6NfcLwIk5UXsS6IIiTWja3DF6IkAbW6IAVVKwCjEUeTzHxebyaKEkysOyz9kniEydCrVq9aaWe/mloWnFD+2FrdaemXhKO+gAjckFgfHtFaDjqwqcpYiL6RxpETL+3jHdpUxY0XbB2j6vkApioueYaR+zBVcUNUpBCB8AymKuPzP2WHDDaTCTLUZqriRgj2hHF16TBVcWMEu8F76kZudJTOL5C/JJukxlbjjB3h4UxVcfys+ZFsfQ1x5DRVsfHAOdGvqYodLTgnEk1VcdSZqmLrJcYv+VGDM6MPKa1hRjMHxhkfA5zm9jBVNbE/Hgi7qYpNoYgU8HOkM3vaBdYLeM4PGJwH4fUIUHxqXXxqsPgs+GjgBOrPVMWOFJxGCaaqrui853hbL/gRU6ZW1mPTrvEGCk7NRhA2VXXFph0Au6mKTQDOrlRTVfPsdEH1gl3ygj3etlZmM1XF7isQn3CigMHbWpIghJ08dGH+dWlrSaZV4WnFl9Rf17ZWHBXR+JtpdLFfW0tyvAj7uoT9BGtbSxIlbFtLkiRcW0uSgrqrDoxGMWkjfrqNIUhyBF0tUTzCXOhjKd4tyONtDyS2Xp99JgtOqH7wKpLS1RKFo75/CNxAVwsY0VoO+ogPQGQ2C1qcUJOBAYbX6oIghPqEanX5AxCSCVF4QnCVbcKYimIQyq8X8SmIIiQ+bQcgJFECqk9BCursBwxHOslVbiKZiZIEU5+OAxCifITy7lV+tnc+x45LvEXBCfWPLT8dByBE2ajvH8I2pD6HB7SWgw7sqVImvEZPpk68rI93cE8VM16wc4zKwUN4qpjkGUbuxVPFDFGRQgTCM3iqjM//lB0y2EsmyFCrp4oZIdgSxtWly1PFjBFsBu8rG5nRURq/QP6ySWV8CGfsAA9oqcq0pUq1robUbani4oFTomdLFTdacEqkWqrSnaXKekXxS37U4MToQ0hrmNHMgXHGxwBnuX0sVeno8UA4LFVcCkWkgJ8jndnTLrBewHN+wOA0CK9GgOJT6+JTg8VnwUcD50+PlipupOAsSrFUpTtLlfVtveBHTJlZWY9Nt8RzF5yajSBtqUpHjwfAYaniEoCzK9lSlZ52QfWCXfKCPd42jbJaqjIaJwoYvk0jCNKXHq4BAtflAdo0gglReELwtbAJYyqKQdimJKyP7W0aQZTQbRpBlIBtGkEK6jYxNBxFZpyuZqIkR9GmkeQjlHcfq8tujZm1u/qOO+ZFwQn1D14YwYO6kGWjvn8I21CbZnhAaznoIzb0K6tJSFGTgQGGV5+CIITyhKrPr42hXzCtCk8rrmG/roZ+FSXR+KLY9ztVkuNFmKy8iHVBFCGxbtSGL0RJAmp1QQqqVgBGI55kpTKRzERJgml1h6FfEo8wF3qV6u09xbHj5mlRcEL1Y0t1p6FfEo76/iFwQ1p9eERrOejAliqjt7NR37kTT/XxDm6pYsbbLxpfQ0sVkzzDyL1YqpghKlKIQHgGS1VhCnnKDhnsJRNUqNVSxYwQbAnj4tJlqWLGCDaD95WNzOgojV8kf81DaNu6ZUZ4QE9VoT1VZWtryN2eKi4eOCd69lRxowXnRKqnKt95qqx3FL/kRw3OjD6ktIYZzRwYZ3wMcJrbx1OVjx4PhMNTxaVQRAr4OdKZPe0C6wU85wcMzoPwegQoPrUuPjVYfBZ8NHAC9eip4kYKTqMUT1W+81RZ39YLfsSUqZX12HRrPHfBqdkI0p6qfPR4AByeKi4BOLuSPVX5aRdUL9glL9jj7WrlVk9VQeNEAcN3tQRBCDt56ML8a9PVEkyrwtOKL6m/rl2tNMqi8UWyd1dLcLz6GsoxXoT9BHtXSxAlcFdLkCRgV0uQgrqrDoxGOlFavj0lmYmSHENXSxKPMBf6WIp3C/Ki7YFY78c+kwUnVD94FUnqaknCUd8/BM45ogtkRGs56CM+/5BbHWjuayMNycAAw2t1QRBCfUK1eoDzD4IJUXhCcJVtwpiKYhDKrxfxKYgiJD6t5x8EUQKqT0EK6uwHDEc8KYw7SzNRkGDi03X8QZKPUN29qs/2VufYcU23KDih/LHVp+v4gyQb9fVD2IbE5/CA1nLQgS1VhQmvkZOVEy/v4x3cUsWMF2wco2rwEJYqJnmGkXuxVDFDVKQQgfAMlqrSFPKUHTLYSiaoUKulihkh2BHGxaXLUsWMEewF76samdFR+r5I/spJbrNUMSM8nKUqiZ41P+LW1VC5LVVcPHBO9Gyp4kYLzolUS1W1s1RZbyh+yY8anBl9KGkNM5o5MM74GOA0t4+lqho9HgiHpYpLoYgU8HOkM3vaBdYLeM4PGJwH4eUIUHxqXXxqsPgs+GjgBOrRUsWNFJxGKZaqamepsr6tF/yIKVMr67Hp1njuglOzEaQtVdXo8QA4LFVcAnB2JVuqqtMuqF6wS16wx9umKWyWqiSicaKAwds0kiCEjTx0YS7fppFMiMITgi+GTRhTUQzCPiVhgWxt00iiBG7TSKKEa9NIUvSVg4MCXZgnk8L2/WhJkmPo04jyEcq7j9Vlu8ZMou22fuK4YV4UnFD/4IURPKgLWTbq+4ewDfRpgAGt5aCP2NBf2ExCiftiP0MyMMDw6lMQhFCeUPX5dTH0S6ZV4WnFNezX1dCfRHk0fpFF39zP0C85XoTJyotYF0QREuvGps0LUZKAWl2QgqoVgNFQE1Uat5ZmoiTBtLrd0C+KR5gLvUr19pbixHHvtCg4ofqxpbrL0C8KR33/ELghrT48orUcdGBPldFT0qjvxIlX9PEO7anixgt2jlHxfABPFZc8w8h9eKq4ISpSiEB4Bk+V+S6SKTtmsJlMkKE2UxU3QrAnjKtLh6mKGyPYDd5XNzKjo3R+gfylVTSx3THADfGArqpUu6qyrbEhSZyuKjYeOCv6dVWxowVnRaKrKkk6V1VivaP4JT9qcG70IaY1zGjmwDjjY4AT3R6uqib2xwNhd1WxKRSRAn6OdGZPu8B6Ac/5AYMTIbwiAYpPrYtPDRafBR8NnEH9uarYkYLzKMFV1RWd9xxv6wU/YsrcynpsulWeu+DUbARhV1VXbNoBsLuq2ATg7Ep1VTXPThdUL9glL9jj7WtZVqrNyjqlcaKA4ftagiCEvTx0af616WsJplXhacUX1UfR13rGaGzFKkrG+3a1BEeLsK9L2E6wd7UEUQJ3tQRJAna1BCmou+rAaMRxMYkTW19LkOUY+lqSeIS50MdSvFuQp20XxHpB9pksOKH+watIUl9LEo76BiJwQ32t4RGt5aCP+AREafWgZdRkYIDhtbogCKE+oVo9wAkIwYQoPCG4yjZhTEUxCOXXi/wURBGSn9YTEIIoAfWnIAV19gOGQ5UTlRsHZCaKEkx+uo5ASPIR6rtX/dle7Jw4buoWBScUQLb+dB2BkGSjvoAI25D8HB7QWg46sK3KuA5uBKVy4pV9vIPbqpjx9mvG19BWxSTPMHIvtipmiIoUIhDeE1tVYn6epuyQwWYyQYdaXVXMCMGeMC4vXa4qZoxgN3hf3ciMjtL5BfKXRFEyKTJTjDN2jAe0VeXaVlW0zgbltlVx8cBZ0bOtihstOCtSbVVqZ6uy3lP8kh81ODf60NIaZjRzYJzxMcCJbh9blRo9HgiHrYpLoYgU8HOkM3vaBdYLeM4PGJwJ4QUJUHxqXXxqsPgs+GjgFOrRVsWNFJxIKbYqtbNVWd/WC37ElMmV9dh0qzx3wanZCNK2KjV6PAAOWxWXAJxdybYqddoF1Qt2yQv2eFs1ldVWldM4UcDwrRpBEMJWHro0D9CqEUyIwhOCL4dNGFNRDMJOJWGJbG/VCKKEbtUIogRs1QhSUHeKgeFIo2iSxcZCPhNlOYpejSQfocD7WF92q8y83dp33DQvCk6ogPDSCB7UhSwb9Q1E2IZ6NcMDWstBr/VnWt5cJVF2M76+rvJxVsbR+DqNm7+K4/vkKr6Ps5vs/QPoT5tVqKAmAwMMrz8FQQjlCdWfj8znb1afNtpzYxp/s/p8bSL/0clGZG4835EqovE34+hi84uLP/+zb9/dfPvkP97d/Nmfr33e0YkpLc9F06LwtOAq9PEJBFtuHjXJPPjw33//Ww4j/k9XP352svrV+k+tj0XooxBVFKXPTmLEhB81/3rT8ExFh4cwt3hR14IoQuo6NZG8ECUJKK4FKahTOzAaeSOuS/Mhu5koSzBx7fDhS+IRJi+v2rq9XjhxXBgtCk6of2xtHZfpJLGJa0k46huIwA2J6+ERreWgwxqhUuOYNnLZfSVh1cc7uBGKGS/Y7EXV7iGMUEzyDCP3YoRihqhIIQLhmYxQxhdgyo4Z7P8ShKjVCcWMEGzj4vrS5YRixgg2cPdVjszoKM1aIH9JM7UaFfqMHeEBfVDVs7M0jVorQun2QXHxwEnRsw+KGy04KVJ9UOXOB2W9XPglP2pwavShpTXMaObAOONjgPPcPj6ocvR4IBw+KC6FIlLAz5HO7GkXWC/gOT9gcB6EFyRA8al18anB4rPgo4ETqEcfFDdScBql+KDKnQ/K+rZe8COmTK2sx6Zb5LkLTs1GkPZBlaPHA+DwQXEJwNmV7IMqT7ugesEuecHqaG/u0qJIb9PxVXZ1N86yqBxfFdd34zJRRXZ9EydlueWxLqkdewrsZbXVB1XROFHA8H0oQRDCVh66Mn/Uh/qqWWF/2iypv/Pww2aBvu6z9D8Q9ajz9MfGFpUpL89F86LwvOCL4qHUDPWLHn+sCewTGVI3FU0dYZOUsDa3N4kEUQI3iQRJAjaJBCmoW9TAaOSTKq9MJDNRkmNoEUniEeYVH8vabnFbtQ0Fx630ouCE6gevyEifapKEo75/CNxQi2h4RGs56OP1/ze61+K/2jaaCMnAAIPrXkkQQn1Cda+8/18yIQpPCC54TRhTUQxC+fUhPiVRhMSnzf8viRJOfUpSUGc/YDjSSVYax2MmShJMfTrc/6J8hPLuU36m7d3GqeOyalFwQv1jy0+H+1+Ujfr+IWwD6hMY0FoOOrBBybKPuv11C14S9fEObVDixgt2YVE5eACDEpc8w8h9GJS4ISpSiEB4JoNSbop5yo4ZbMwSdKjNoMSNEOyv4vLSYVDixgh2VvfVjczoKF1UJH9RYS5rM3aEhzMopYk2KKVbj0AaOw1KbDxwUvRrUGJHC06KRINSGncGpdR6U+9LftTg1OhDSmuY0cyBccbHAOe5PQxKTeyPB8JuUGJTKCIF/BzpzJ52gfUCnvMDBudBeD0CFJ9aF58aLD4LPho4gfozKLEjBadRgkGpKzrvOd7WC37ElKmV9dh0izx3wanZCMIGpa7YtANgNyixCcDZlWpQap6dLqhesEtesMfbqIltBqU0oXGigOEbNYIghJ08dGUeoFEjmBCFJwRfDZswpqIYhI1KwgLZ3qgRRAndqBFECdioEaSgbhQDwxHnk8h2p4YkylF0aiT5CPXdx/KyW2Qm7ca+46J1UXBCAYRXRvCgLmTZqC8gwjbUqRke0FoO+nivX27kp3HTuJGfKTUZGGB4+SkIQihPqPz8uly/LJlWhacVF7H97zw9ScUn2i6/9tz3Pv0EjcL6b3/T/OeL9f/M+hfff/9bj78btfbpb/Ia5/t59CXzT5h8vKhvQRQh9Z2aSF6IkgQU34IU1LkfGI00mcTG8ZiJkgTT3naPvigeYW7zKr3by3dTx3XKouCE6seW3i6Pvigc9f1D4Ia09/CI1nLQzf/90VuFR0vqP3RpbM+uKZu6zhy4qWPHHYuWoprfdk1Zbg14hx1vv4js6Zr62epXWmM9/FW3N9tosTfbndnvaYm20VA7c9TWQKX11a/Xwkzrqy/WX+Z8+P5a2X2yNVB9sdbOHze68PXmQ56b3/bs7X/yZvVpJ88+bD/w+dt1SB9u/62NRHxzEj1LtBun+fc+fP/hQ1NKn7NTmmEp9WLHYoaoSCEC4SV9O1ZuuziPGzLYhSbIXasbixkh2EzGVazLjcWMEWwj76tPmdFRWsZA/pJITUrjVxRm7BAPaMdS2o6lL89LC/2jbL0RmduYxQUF5126MStJ88zuzOKGC068VGdWtnNmWS/7fcmPGpx+feh3DTOaOTDO+BgZEYNhlshGjwfC4cziUigiBfwc6cyedoH1Ap7zAwbnRHgRBNShWtehWtehWtehGqxDCz4kOK3SPFqOGvQeP1RwdqWYtLKdScv64l7wI6bMuKwnqFtjumtPzUaQNmllo8cD4DBpcQnAmZZs0spOu6B6wS55wepob5IqTZL4enxbpTfjLEuycZlE0fguvq6q6yLOi7vtpGZdwTu2NNireKtJS9E4UUDTWt/BRVnvm0DeEQUh7CSiGwH/+NZa/uOT1f+7Wev/er1KbxbizQqxWQf+sZ42okz3ZfSvv1r9av1P162d8eYXtYPLlI3notlQeDbwBbIJYyqKQdglJSya7T0iQRShHpH5ptEXoigBm0SCFNRNamA4VDzRVoynJDNRkmBNoqx53ox878ryEWq7j1Vmt9ZUbU/BcWW7KDih/sELJHhQF7Js1PcPYRtqEg0PaC0HvTkfkN0Wxc1dOr6Oy3Kc5SoZX6V31+OsurqNr/Or21LdvH8A6WlrIeXUZGCA4aWnIAihPKHS8+n5gK3p33xMALcQmbLzXDQ7Cs/O3lJUEINQir1IUUEUISlqPSwgiBJQigpSUKdCYDjSaFKWxqI+E0UJpkXzcpLZHEuSfIRi71WLtncAp45LnUXBCQWQrUWtg7qQZaO+gAjbkBYdHtBaDnqtRa+rW3WVpeU4uYqr5veW9+NrdZWMyzwrb2/j29tEbetrWC2ampLRaNGCmgwMMLwWFQQhlCdUi/58az1qvx71+cZQ/mr1+VaTnqz+dW1W+su1aUrvl67971pybn77b1dvTpp/zT+tPhqvz7H+3eqnq//S/PyX1S9NGXoumiGFZwjXo6uPNhnpbm3e+bVen6x+8fDhOimfb/aHV5+erP6+yc+v9ee5tGns71a/iKOT3X7xI8f+L6KT1S9PEnViE4tT0XQRyr4X3SuIIqJ7LWebXoiSBJS9ghTUWRcYjazKJnFs072CLMF0b5xPYmOf8F1ZPsLE4lX3ttfzpo4Ll0XBCQWQrXutg7qQZaO+gQjbkO4dHtBaDnpzSDa6T25Vdj2+ulZqnKXXWaOW02h8pe7L+1LdFVF1EN2bmZLR6N6SmgwMMLzuFQQhlCdU935k8Oq/1uLsLXv+yf989+dXf3p18qdXf371v/1vf7IVxI26e9XIQK3k1n+voqja/IOP9I6tForawb91//9285uSKHr4XmL2cz0XzZ3Cc4cr4m1izjaJsZGvftVlSiepS8LD9/JnVZP5L03ZmIpmg1DvCYLXatQXJBHSu5GxW/hCFCWg4BWkoE63wHAkSTRJKpvgFWQJJnirTNnPpkoCEqYUr4q3bAWS44JkUXBCBWQr3tw6qgtZOOo7iMANSd7hEa3loAN/wd+2eVs58LIk7uMd/CwqM95+0fjdWdSdhGWmNMNS6uUsKjNERQoRCM9wFtU4x0/ZIfeLvOBZVGaE4KEZknS1nkVlxtjXpUJnUZnRUU7GAPlL00lkLO8zdoSHO4qaRc+aH7H+oe8IyLrPdFfuo6hcUHDa9X0UlRsuOO9Sj6JWu6Oo1rs0X/KjBmdfH3Jdw4xmDowzPgY44+1zFLUaPR4Ix1FULoUiUsDPkc7saRdYL+A5P2BwSoTXPEAdqnUdqnUdqnUdqsE6tOBDgrOqz6Oo3FDByZVyFLXaHUW1vrgX/IgpEy7rCeqWlO7aU7MRpI+iVqPHA+A4isolAGda8lHU6rQLqhfskhesjvYqT6KrKL0fF/dX+uOucTy+ur+/G2fqNrm/uotu1P31hse6gHfsYLAX8bajqFt3HsyJAgbvRUmCEDYO0X2APXpRv9Cfbl3/5o1Zq34Rq6w43/5d23A5sTVbnoumSuGpwhfPWOtJJWV8sr4g8ZN1Yj9eW7O+0sd29fbKh9u2FNiRkkwSYT/Ww3JdkiRwR0oSJVxHSpKiL1gcFPAugZo0UtaEMhNFCdaQitMym1TKRPiuLCFhYvGxxG0Xull7A3HmuFJaFJxQAeHVWX9Yi7SwHj4QhaO+gwjcQEcKGNFaDvqIDx+ktoOwmftCMEMyMMDwwlcQhFCfUOF7gMMHkhlSeIZwvXvYwweS6SLUfYLytR4+kEQRkr7GcvVClCSg8hWkoM66wGgU1SQpbMpXECWc8rWfPRDlI8wrXnVv3Kokx03QouCE+sfWvY6zB6Js1BcQYRuSvcMDWstBH/H3X1LbmdvtQp6QDAwwvOwVBCGUJ1T2Bv7+i2R2FJ4dXPKaMKaiGIRS7EWKCqKISFH7918kUQJqUUEK6lQIDIfeoTSOx0yUJJgUdXz+RZSPUOu9StH2atHMcVesKDih/rGlqOPzL6Js1PcPYRuSosMDWstBH/FXsFPbMdgspSYDAwwvRQVBCOUJlaLCX8GWzIbCs7G39BTEIJReL9JTEEVIetq+gi2JElB6ClJQpz5gOMrJer/jKclMlCSY9HR8BVuUj1DbvUrP9mbNzHFXqig4of6xpafjK9iibNT3D2Ebkp7DA1rLQQc+jmoTk5kTL+njHfo4Kjfefs343XHUnfBkpjTDUurjOCo3REUKEQjPcBw1NYU8ZYcMnr0h6Furv5UZIXhwBpetjuOo3BjBEzP76lFmdJTTMUD+lJoUxuMYM3aEBzyOqm9GzfTNqJm+GTVrbyTM3DejskHBadfzcVR2uOC8SzyOmu1uRs0cN6OyowZnXx9qXcOMZg6MMz5GRsSgHwvLdjejZgM3o7IpFJECfo50Zk+7wHoBz/kBg1MivOQB6lCt61Ct61Ct61AN1qEFHxKcVT0eR2WHCk6uhOOo2e5mVPuLe8GPmDLhsp6gbknprj01G0H4OGq2uxnVXXcu+QTgTEs9jprpm1HNNWfJC/Z4e0KZ9TiqonGigOF7QoIghH1DdB9AuickmA2FZwNfH5swpqIYhD1RwprZ3hMSRAndExJECdgTEqSg7kkDwxGnkyqzNYUEUY6iKSTJRyjuPpaZ3WKzvUkzc1yNKgpOKIDwCgke1IUsG/UFRNiGmkLDA1rLQR+xNT6zngjNqcnAAMNrT0EQQnlCtWdoa7xgdhSenb21qCAGoRR70aKCKEJa1GqNF0QJqEUFKahTITAc5STNbX0jQZJgUtRljZfkI9R6r1K0vUgzc9yMKgpOqH9sKeqyxkuyUd8/hG1Iig4PaC0HfcQfJ8mspzRd12UZk4EBhpeigiCE8oRK0UN8nEQwQwrPEC5HD/xxEsF0Ecq+F9kriCIie+0fJxEkCah6BSmosy4yGmk6KavcxDITZQmme11fJ5HkI0wsXnVve5Fm5rgZVRScUADZutf1dRJJNuobiLAN6d7hAa3loP/z5l2N0qTK03Ee3WTjLMnux2VV3I7LsvkH8U1+dV1tBz2s7s1MyWh0b0lNBgYYXvcKghDKE6p79/ga9c+2v+PfGk34yVs3pMZRqf+Cf0GqZAoVnkJcGINfqY7L4qT5+37W0M9SC2aFUP4J+tdq2xckEZK/1s9SC6IE1L+CFNTZFxgOVU1y80ebZ6Io4eRvnJaTxLbxK0lImGG8CuD2Ws3McVGqKDihArIFcKFK60WponDUdxCBG1LAwyNay0EHPplqrEWNpq2ceGkf7+AnU5nx9ovG706m7qQsM6UZllIvJ1OZISpSiEB4hpOpmSnkKTvkfpEXPJnKjBA8Q0OSrtaTqcwY+7pU6GQqMzrKQRkgf2qSK1OAM3aAhzuYqvQ9qUrfk6qS9iyY+4pUNiM44fo+k8oNF5xxqWdSd1ekZo4rUtlRg/OuD6GuYUYzB8YZHwOc6/Y5k7q7IjUbuCKVTaGIFPBzpDN72gXWC3jODxicDOHVDlCCal2Cal2CarAELfh84FTq8zgqN1RwRqUcR93djmp/Zy/4EVNmWdbD060j3WWnZiNIH0fd3Y7qLjmXfAJwkiUfR9W3o5rLzZIX7HpFc5tGN3F6O76/LuJxFmXVuFLpXbOQL8ubtPn76/h2w2NdtTu2Ldgrd9txVOW+MesJJwoYvB8lCULYLUQX/3v0o/5x9WrddVn7sTa/5GhBqTiOkWaUZP4Unj98GY02oxp8fdJ3l7JnaCdKMiWEfVgPy3RJksCdKEmUcJ0oSYq+ZnFQoLsD+STaupefbA9IkoRrREVxNTFfPvCuLCFhavGxvm1Xuaq9TVM57kcVBScUQHhp9qQRFSfWRpQoHPUVROAGGlHAiNZy0Ed8BEHZTsMq961ZhmRggOGlryAIoT6h0vcARxAkM6TwDOHi9rBHECTTRaj7BOFrPYIgiSKkfC1HECRJAgpfQQrqrIuMRjpRNuErSBJO+NoPIIjyEaYVr7K3vU1TOa5HFQUnlD+27HUcQBBlo75/CNuQ6h0e0FoO+oi/P6hsB29VQk0GBhhe9QqCEMoTqnqFvz8omQ2FZwNXuCaMqSgGofR6UZ6CKCLK0/79QUmUgNJTkII69QHDEU+y2FjDZ6IkwaSn4/ODonyE2u5Vera3ZyrHdaii4IT6x5aejs8PirJR3z+EbUh6Dg9oLQcd2PlvXAM3YjJ14mV9vEM7/7nx9mvG75z/O+HJTGmGpdSH858boiKFCIRncP4rU8hTdsig2ZGgb62WAmaEoF0Rl60O5z83RtCnuK8eZUZH8SQC+SsncWkKcMYO8IDO/0yb/vW9VErfS6WKrfdWpU77PxsUnHU92//Z4YLTLtH+r9LO/q+s13O+5EcNTr4+xLqGGc0cGGd8DHDC28P+38T+eCDs9n82hSJSwM+RzuxpF1gv4Dk/YHBGhFc8QB2qdR2qdR2qdR2qwTq04EOCk6rHMwDsUMG5lXAGoKs/7zle3At+xJT5lvUEdStKd+2p2QjCZwC6utMOgP0MAJsAnGmpZwCaZ6cLqhfskhfs8baEcusZgIzGiQKGbwkJgvRViGuAwG0A6ZaQYDYUng18eWzCmIpiELZECUtme0tIECV0S0gQJWBLSJCCuiUNDEcyiTLjeMxESY6iJSTJR6jtPlaZ3VozazsIjiuQRcEJ9Q9eIMGDupBlo75/CNtQS2h4QGs56CO+kSq3evAVNRkYYHjpKQhCKE+o9Ax8I5VkdhSenb2lqCAGoRR7kaKCKEJS1HYjlSRKQCkqSEGdCoHhaAq7eVafiZIEk6KOG6lE+Qi13qsUbe/SVI7LUUXBCfWPLUUdN1KJslHfP4RtSIoOD2gtB33Ex0FzqzE+pyYDAwwvRQVBCOUJlaKHOA4qmCGFZwiXowc+DiqYLkLZ9yJ7BVFEZK/9OKggSUDVK0hBnXWR0agmeWockJkoSjDZ6zoPKslHmFe8yt723k7luIhVFJxQ/9iy13UeVJKN+gIibEOyd3hAaznoI76QyvKN8Ub2um/nMiQDAwwvewVBCOUJlb17fABQ7EIqyRQqPIW4Lka/ARhVJw8/2pyYGK/T9ptGMpM+BSiYGcIUQJDAVt++IImQArZ+ClAQJaAEFqSgzsDAcJSTwuyXm4mShFPArjupRAkJk4xXDdze4akcl7KKghMKIFsD56XNy7yQhaO+ggjckAgeHtFaDjrwyVTj3NDI2tKJp/p4Bz+Zyoy3XzR+dzJ1p2aZKc2wlHo5mcoMUZFCBMJ7cjLVeCRwyg64X+IFz6UyIwSP0JB0q/VcKjNG8OzMvoKUGR3lnAySv0JNlPExnLFDPODJ1OrZWZrri6nyuD0MVroPpXIZwQnX96FUbrjgjEs9lFruDqVab+Z8yY8anHd9CHUNM5o5MM74GOBct8+h1HL0eCAch1K5FIpIAT9HOrOnXWC9gOf8gMHpEF7tACWo1iWo1iWoBkvQgs8HTqY+z6NyQwXnVMp51HJ3HtX6zl7wI6bMs6yHp1tHustOzUaQPo9ajh4PgOM8KpcAnGTJ51HL0y6oXrBLXrA62qs8ia6i9H5c3F/dj7ObOB5f3d/fjTN1m9xf3UU36v56w2NdtTu2Ldgrd+t51IrGiQKGb0kJghB2C9HF/x4tqV80v/Gr9W/eWLbqF7HKivPt37VNlhNbg+W5aKoUnip8xXzS7z39/fqOqTerV9pp9ab5y68e/qr5m7JZBT47ScE2k2AWCLusPpbhgiSh20yCKAHbTIIU1D1uZDjKYlIWxgliJsoSrtGUltmkUibCd2UJCVOHj/Vrt4qt2raE43ZlUXBCCYSXXv1hTbPI3miShKO+hAjcUKNpeERrOegjPmRQ2M675u4LuAzJwACDS1tJEEJ9QqXtAQ4ZSGZI4RnCFe1hDxlIpotQ9wnS13rIQBJFSPsay9ULUZJw0leSgjrrAqORJfEkrYwjMhNlCSd97acMRPkIE4tP4Zu3V3PmjstWRcEJBZAtfB2nDETZqG8gwjage4EBreWgj/gTg4XtcG3uvoLLkAwMMLzuFQQhlCdU9wp/YlAyGwrPBq5xTRhTUQxC6fWiPQVRRLSn/RODkigBxacgBXXqA4YjSyeleVNyJooSTHs6vjEoykco7l61Z3tBZu648VQUnFAA2drT8Y1BUTbqC4iwDWnP4QGt5aADm/uNRohGTSZOvLyPd2hzPzfefs34nbl/pzyZKc2wlPow93NDVKQQgfCemPvN6/QpO2LQzkjQtzZbATdC0JCIy1aHu58bI+hE3FePMqOjuA6B/GVRZP4iwYwd4eHM/Xmqff367qlc3z2V67un8vbOlzxx2vzZtODU69nmzw4XnHuJNv886Wz+ufUazpf8qMEZ2Idi1zCjmQPjjI8Bznp72Pyb2B8PhN3mz6ZQRAr4OdKZPe0C6wU85wcMzovwsgcoRrUuRrUuRrUuRrUuRjVYjBZ8UnB+9Wj4Z4cKTrMEw39XhN5zvL0X/IgpUy/rMerWlu4CVLMRhA3/XfFpB8Bu+GcTgNMt1fDfPDtdUL1gl7xg19HeJmmkW0dRFd83q/nybnx1f1OM4/L6Ko3zPLu+P4ArqrQZ/vOUxokChu8OCYIQNhDRDQGgO7R1R8Vr736zdH/4XvMb1psDE1MKnoumQOEpwFfHz+/+/O4v/uTbJ1HR9sAs1xhMRdkI26SEdbS9TySIErpPJIgSsE8kSEHdpgaGI27W7xZ3viTJUbSJJPkIVd7HorNbeqZtV8Fx9bEoOKH+wesleFAXsmzU9w9hG2oTDQ9oLQd9xNb80mrNz6jJwADDi1BBEEJ5QkXoIaz5ghlSeIZwjXpga75gughl34vsFUQRkb12a74gSUDVK0hBnXWB0ajyaKI/cvgUZSaKEkz2upz5knyEecWr7G0v7MwdN7CKghPqH1v2upz5kmzUFxBhG5K9wwNay0GvZe9tGlVX6f3tOIoTNc5u0+a33Wa34/u4LK/vru+iLNk+7WFlb2pKRiN7</t>
  </si>
  <si>
    <t>FTUZGGB42SsIQihPsOzVkk1rWn3DaqfrPmlU7auH7+ufq08bWfvw3ea/Gq32TAvcn52sftwIuaTYfExEf0Zke2nr2979N+ud2u3NrvpzJJsP/zd/aJRavvsvmTqFp46gh3+++pdxMjnpZfGb4wb4V2uP2a/bxYG+wfaH2pa2/j5Ne2GCzua4KsZR8uykWVRoC9yHv38SJe5UmrI3Fc0eYXogyGPt+vu0yd6XJqA/EAUSEcnRJDFWtxeiKAFVsiAFdZIGhiNOJ1mWmVBmoijBVHJVTMyfpnlXlo8wDXlVye1dornjclhRcEIZZKtk66AuZNmoLyDCNqSShwe0loNeq+S7rIgLdZuOU3XV/N6sUuMyLW/G98l9fn9/Fefp1UFUsrFsNSo5pyYDAwyvkgVBCOVJRiXDariRfz9Z/Y9G/SHiWDBjCs8YURzHT8Tx6scGdTyU0G7VsZPJJ2vNzJDJgnkkzA8eZbIgUGiZLIgSUCYLUlBnaWA44mSizNfXzERRwsnkfJIY59N3ZfkI85BXmdzePZo7LpMVBSeUQb5Mtg3qQpaN+gIibEMyeXhAaznoI/5ydzlRpmQ0Mtl9qZghGRhgeJksCEIoT6hMPuSXuyVTpfBU4fq4/+HunzQJ+2t9H+zJxkfy8dpE8W/NWmGjoPXv+HhtsXi99lPEzeq2unjLT7H9vHeufzg+7i2ZKELlJwhg6ylcQRIR5Wv/uLckSkDlK0hBnXiB4ciSctL8x8QyE2UJJn2dH/cWJSTMLl7Fb3vnaO64RVYUnFAC2eK3dHzcWxSO+hIicEPqd3hEaznowB+aqUx4jZ4tnXhFH+/gH5phxtsvGr/70MxO3jJTmmEp9fKhGWaIihQiEF7a/9BMbn5Qp+yQ+0Ve8EszzAjBk/Ak7Wr90gwzxr4wFfrSDDM6ynF3JH+qnMTG+j5jh3jAT83oe2QLfY9sEesfif6Rtl93cN8oy6YFJ1/fn5rhhgvOvtRPzexulM0dN8qyowbnYB+iXcOMZg6MMz4GOO/t86mZ3Y2y+cCNsmwKRaSAnyOd2dMusF7Ac37A4MQIr3yAYlTrYlTrYlTrYlTrYlSDxWjBJwUnWJ+fmuGGCs6zlE/N7O6Wtb+9F/yIKXMv6zHqVpfuAlSzEaQ/NbO7W9ZdfC75BOB0S/7UjL5b1lx4lrxg13o3uk9uVXY9vrpWapyl19n4Ok6j8ZW6L+9LdVdE1fY1sK7lHZsZ7PW89VMzFY0TBQzfoRIEIewholsCe3So1herru1K679XUVRt/sFH2tyvj8Xqxfx2I+C3W0fXtm9lyt1z0dwpPHf4wrrfsjKTr37VZUonqUtCd+ns5P33v2XKyFQ0I4SNWR/rdkGS0L0pQZS+NHGg7LsNIEhB3RZHhiOvJsn2wxhP9wsEWYL1pqpMWaTuu7KAhGnFxyq3W+u2t5TmjntnRcEJFRBeoPVHNbeO6kIWjvoOInBDranhEa3loI/4/EJl+7hN4b6MzJAMDDC47JUEIdQnVPYewfkFyYwpPGO42D38+QWbSpZMJWGOIKjkgSMMkkAiYtl+hEESJZxYlqSgTtTAcBSTKrO01iRJwkll+wkGUT7CTORTKRftvaaF46JaUXBCFWQrZccJBlE26vuHsA0IZWBAaznoI/4KZGX7HE7hvjnNkAwMMLxQFgQhlCdYKIf/CqRkhhSeIYIwPuhXICXTRSj7BPFr/QqkJIqI7LV+BVKSJKDqFaSgzrrAaKRFNclVbmKZibIE072Oz0CK8hEmFq+6t71TtXBckisKTiiAbN3r+AykKBv1DUTYhnTv8IDWctBr3Ztnt0Vxc5eOr+OybH6vSsZX6d31OKuubuPr/Oq2VDfvH0D3ZqZkNLo3oSYDAwyvewVBCOUJ1b0/bsTYdxsJ+2F3VGKrd/WvNipuc2big/VnDP+2+ZWPN9udbxoJ+NXqzbj5r9fNP/3t9ne9bv7BV5vfZcrOc9HsKDw7uOY1YUxFMQil2IsWFUQR0aLRRLtjn6K8EEUJKEYFKahTITAcSTopEtserCBKMC2al5PM4lYQ5SMUe69aNGmli+MiWFFwQgFka1HroC5k2agvIMI2pEWHB7SWg15r0ZukSpMkvh7fVunNOMuSbFwmUTS+i6+r6rqI8+Ju+7SH1aLKlIxGi6bUZGCA4bWoIAihPKFaFLgOUkvTKHvcPn+9PsX7ZrzbWjRl47loNhSejb21pyAGofR60Z6CKELa03YJpCRKQO0pSEGd+oDh0CU8K00oM1GUYNrTcQukKB+huHvVnu2lgYXjFkhRcEIBZGtPxy2QomzUFxBhG9KewwNay0GH/YaLeT3RqMnMiVf28Q79DRduvP2a8btvuOyUJzOlGZZSH99w4YaoSCEC4Rm+4WLsPU/ZIYNH1QkC13YWjBsheMQc162Ob7hwY+yLUplvuHCj6891e3/DxTJlz9gRHu4TLoXS32zJ9Y9C/yi3H0woMufXW9ig4LTr+est7HDBeZf49ZYi677eUlivBnzJjxqcfX2odQ0zmjkwzvgYGRGD/gGFJvbHA2H/egubQhEp4OdIZ/a0C6wX8JwfMDglwkseoA7Vug7Vug7Vug7VYB1a8CHBWdXjh1vYoYKTK+HDLV39ec/x4l7wI6ZMuKwnqFtSumtPzUYQ/nBLV3faAbB/uIVNAM601A+3NM9OF1Qv2CUv2KNtCmWR7cMthaJxooDhm0KCIIR9Q3QfQLopJJgNhWcDXx+bMKaiGIQ9UcKa2d4UEkQJ3RQSRAnYFBKkoO5JA8ORTsrY1hMSJDmKnpAkH6G2+1hldmvN9q7QwnH5qyg4of7BCyR4UBeybNT3D2Eb6gkND2gtB3283nj9CJiS0UjPnJoMDDC89BQEIZQnVHqG9sYLZkfh2dlbigpiEEqxFykqiCIkRa3eeEGUgFJUkII6FQLD0ZT1yridMBMlCSZFXdZ4ST5CrfcqRdv7OAvHBaui4IT6x5aiLmu8JBv1/UPYhqTo8IDWctDH+3mSRoqmpmQ0UtR935YhGRhgeCkqCEIoT6gUPcTnSQQzpPAM4XL0wJ8nEUwXoex7kb2CKCKy1/55EkGSgKpXkII66wKjkeaT3OrKF0QJJntdXyeR5CPMK15lb3sRZ+G4WlUUnFD/2LLX9XUSSTbqC4iwDcne4QGt5aDXshe7hTW87M1MyWhkb0lNBgYYXvYKghDKEyp797i15RfNb/xq/Zs3+rh+EausON/+XXs1if7y8pemVD0XTZXCU4XrX+ySFpWU8YkWvevlgf7utFbDX2mjxPrz1NsLXJ7c3WJK0lQ0SYSqT1C9Vq++IImQ6LXd2yKJElD1ClJQJ11kOPJJar7GeyaKEk71pmU2qZSJ8F1ZQsLE4lX3lq1MctxTKgpOqIBs3VukhfXeFlE46juIwA0J3+ERreWgAx9HtflYKyde1cc7+HFUZrz9ovG746g7ZctMaYal1MtxVGaIihQiEJ7hOKqxNTJlh9wv8oLHUZkRggdnSNLVehyVGWNflwodR2VGRzkdA+QvVROb0mQGeLjTqGX0rPkR6x+J/tFe311U7tOoXFBw1vV9GpUbLjjtUk+jVrvTqNYr7F7yowYnXx9qXcOMZg6MMz4GOOHtcxq1Gj0eCMdpVC6FIlLAz5HO7GkXWC/gOT9gcEaElzxAHap1Hap1Hap1HarBOrTgQ4KTqs/TqNxQwbmVchq12p1Gtb64F/yIKfMt6wnqVpTu2lOzEaRPo1ajxwPgOI3KJQBnWvJp1Oq0C6oX7JIX7EYARWlS5ek4j26ycZZk9+OyKm7HZdn8g/gmv7qutmXJun53bGCw1/C206il+86sJ5woYPCGlCQIYd8Q3QbYoyH1s+3v+LfVq9Un6x7L+tdVHJX6Lyztms39qttmjCmFz0VTqPAU4mtqsFEVl8VJ8/f9rIGdKcmsEPZlPSzbJUkCd6YkUcJ1piQp+srFQQHvFpTNRGLctJqJooTrTMUNYmI5iCBKSJhhfKx12xVv2V6rWTruSRUFJ1RAeJn2pDOlSmtnShSO+g4icAOdKWBEaznoIz6JYLH2NgrYfXuWIRkYYHgFLAhCqE+oAj7ASQTJDCk8Q7jAPexJBMl0Eeo+QflaTyJIoghJX2O5eiFKElD5ClJQZ11gNMp8opXKU5KZKEk44Ws/iCDKR5hWvMre9lbN0nFNqig4ofyxZa/jIIIoG/X9Q9iGVO/wgNZy0Ef8KZjYdv62TKjJwADDq15BEEJ5QlVv4E/BSGZH4dnBFa8JYyqKQSjFXpSoIIqIErV/CkYSJaAUFaSgToXAcKhJWhrHYyZKEkyKOj4FI8pHqPVepWh7qWbpuCVVFJxQ/9hS1PEpGFE26vuHsA1J0eEBreWgj/iD2LHtTGyZUpOBAYaXooIghPKESlHhD2JLZkPh2dhbegpiEEqvF+kpiCIkPW0fxJZECSg9BSmoUx8wHOWkKozjMRMlCSY9HR/EFuUj1Hav0rO9U7N0XJIqCk6of2zp6fggtigb9f1D2Iak5/CA1nLQgU+l2rr5mQsvjfp4hz6Vyo23XzN+dyp1JzyZKc2wlPo4lcoNUZFCBMIznErNTCFP2SH3a7zcqVRuhOABGly2Ok6lcmMET87sq0eZ0VFOyQD5UxOrzGQGeMBTqfqO1FLfkVrqO1LL9m7C0n1HKhsUnHU9n0plhwtOu8RTqeXujtTScUcqO2pw8vUh1jXMaObAOONjZEQM+umwcndHajlwRyqbQhEp4OdIZ/a0C6wX8JwfMDgjwiseoA7Vug7Vug7Vug7VYB1a8CHBSdXjqVR2qODcSjiVWu7uSLW/uBf8iCnzLesJ6laU7tpTsxGET6WWuztS3XXnkk8AzrTUU6mlviPVXHOWvGCPtyWUWE+lKhonChi+JSQIQtg2RLcBpFtCgtlQeDbw5bEJYyqKQdgSJSyZ7S0hQZTQLSFBlIAtIUEK6pY0MBzxJEtLE8lMlOQoWkKSfITa7mOV2a012ys1S8cdqaLghPoHL5DgQV3IslHfP4RtqCU0PKC1HPQRG+MT63HQnJoMDDC89BQEIZQnVHqGNsYLZkfh2dlbigpiEEqxFykqiCIkRa3GeEGUgFJUkII6FULDUeapiWQmShJMirqM8ZJ8hFrvVYq2V2qWjjtSRcEJ9Y8tRV3GeEk26vuHsA1J0eEBreWgj/jLJIn1jKbz5ixTMjDA8FJUEIRQnlApeogvkwhmSOEZwuXogb9MIpguQtn3InsFUURkr/3LJIIkAVWvIAV11kVGI53Y9l8FQYKJXteHSST5CLOKV9HbXqhZOm5IFQUnVD+26HV9mESSjfr6IWxDond4QGs56LXozW7T6CZOb8f310U8zqKsGlcqvRvnUVnepM3fX8e37x9A9GamZDSit6QmAwMML3oFQQjlCRW9e3yQ+h8bIajF4Fr8bn7J8Q1qFccx9DVqwfwpPH+4JD5BP0fd8GtbxS5nz+BvUQvmhFD5CbrXatYXJBGSvdZvUQuiBNS9ghTUiRcYjkZCKNturyBJOOEbxdVEKRPhu7KEhLnFq/Rtr9QsHZekioITCiBb+hZxYv8UtSQc9RVE4Ia07/CI1nLQgY+j2rZwKyde3Mc7+HFUZrz9ovG746g7HctMaYal1MtxVGaIihQiEJ7hOKoyhTxlh9wv8oLHUZkRgidnSMrVehyVGWNflgodR2VGRzkeA+SvtPg8ZuwAD3cctdKXpFb6ktRKX5JatZcTlu5LUtmg4Kzr+zgqN1xw2qUeR91dklo6LkllRw1Ovj7UuoYZzRwYZ3wMcMLb5zjq7pLUcuCSVDaFIlLAz5HO7GkXWC/gOT9gcEaElzxAHap1Hap1Hap1HarBOrTgQ4KTqs/jqNxQwbmVchx1d0mq/cW94EdMmW9ZT1C3onTXnpqNIH0cdXdJqrvuXPIJwJmWfBxVX5JqrjlLXrAbAYRcJ6V5rOt3xwYGew1vO45aOe/LesqJAgbvSUmCEPYN0W2APXpSYpekSqZQ4SnE19RoVyqqTh5+tNk0Ga/T9puHD0nNKcnMEPZmPSzdJUkCN6ckUcI1pyQp+urFQYHvGBSJcSqZiZKEa0657kkVJSRMMj6Wu+2it2pv1awc96SKghMKILxSe3oYwbacWcjCUV9BBG6gOQWMaC0HfcSnEVLbwdjKeX2WKRkYYHgRLAhCqE+oCD7AaQTJDCk8Q7jGPexpBMl0Eeo+QfhaTyNIoggpX8tpBEmSgMJXkII66yKjUU1UbiKZiZKEE7724wiifIRpxavsba/VrBz3pIqCE8ofW/Y6jiOIslHfP4RtSPUOD2gtB33En4NJbWdwq4SaDAwwvOoVBCGUJ1T1Bv4cjGR2FJ4dXPGaMKaiGIRS7EWJCqKIKFH752AkUQJKUUEK6lQIDEdT2BNjTZ+JkgSToo7PwYjyEWq9VynaXqtZOe5JFQUn1D+2FHV8DkaUjfr+IWxDUnR4QGs56CP+KHZqOxlbpdRkYIDhpaggCKE8oVJU+KPYktlQeDb2lp6CGITS60V6CqIISU/bR7ElUQJKT0EK6tQHDEcyiWwfxZYkCSY9HR/FFuUj1Hav0rO9VrNy3JMqCk6of2zp6fgotigb9f1D2Iak5/CA1nLQgQ+m2sRk5sRL+niHPpjKjbdfM353MHUnPJkpzbCU+jiYyg1RkUIEwntyMNU4v0/ZAfcrvNyxVG6E4AkaXLQ6jqVyYwSPzuyrRpnRUY7JIPlLiklqrO4zdogHPJiq70mt9D2plb4ntWrvJ6zc96SyQcFZ1/PBVHa44LRLPJha7e5JrRz3pLKjBidfH2Jdw4xmDowzPkZGxKAfEKt296RWA/eksikUkQJ+jnRmT7vAegHP+QGDcyK84gHqUK3rUK3rUK3rUA3WoQUfEpxWPR5MZYcKzq6Eg6nV7p5U+4t7wY+YMuOynqBuRemuPTUbQfhgarW7J9Vddy75BOBMSz2YWul7Us01Z8kL9nhbQpn1YKqicaKA4VtCgiCEbUN0G0C6JSSYDYVnA18emzCmohiELVHCotneEhJECd0SEkQJ2BISpKBuSQPDkcaTMjUOyEwU5Sh6QpJ8hOLuY5nZLTbbezUrx0WpouCEAgivkOBBXciyUV9AhG2oJzQ8oLUc9BE74zPredCcmgwMMLz2FAQhlCdUe4Z2xgtmR+HZ2VuLCmIQSrEXLSqIIqRFrc54QZSAWlSQgjoVAsMRV5M4sn2eRBAlmBZ1WeMl+QjF3qsWbS/WrBw3pYqCEwogW4u6rPGSbNQXEGEb0qLDA1rLQR/xt0ky6ylN9w1ahmRggOG1qCAIoTyhWvQQ3yYRzJDCM4Tr0QN/m0QwXYSy70X3CqKI6F77t0kESQLKXkEK6qwLjEYaqUke5yaWmShLMN3r+jqJJB9hYvGqe9u7NSvHZami4IQCyNa9rq+TSLJR30CEbUj3Dg9oLQe91r1XeRJdRen9uLi/uh9nN3E8vrq/vxtn6ja5v7qLbtT99fsH0L2ZKRmN7i2pycAAw+teQRBCeUJ17x4fpv5F8xu/Wv/mjUCuX8QqK863f9d+avnE9pnl56KpUniqcAHc/wD136+vPn2zeqVl7ZvmL79qlgavTsooip6dpOC3pgWTQKjqBFlr9eMLkgipWuu3pgVRAspaQQrqpIoMR5pPmrhMLDNRlnCyNi2zybb1+lTYShISZg6vwra9OLNyXIUqCk4ogWxhm2aR/WvTknDUlxCBG1K2wyNay0EHPnFqfFMbrVo58dI+3sFPnDLj7ReN35043UlXZkozLKVeTpwyQ1SkEIHwnpw4Ne8CTNkR92u84JFTZoTg2RiSdLUeOWXG2NelQkdOmdFRDsAA+UtVk8HSFOKMHeLBjpxmzXKz+RHrH4n+keofWXvey30hKpsWnHt9nzvlhgtOvtRzp7sLUSvHhajsqMEp2Idm1zCjmQPjjI8BTnv7nDvdXYhaDVyIyqZQRAr4OdKZPe0C6wU85wcMTozwwgcoRrUuRrUuRrUuRrUuRjVYjBZ8UnCC9Xn4lBsqOM9SDp/ubkW1v70X/Igpcy/rMeoWl+4CVLMRpA+f7m5FdRefSz4BON2SD5/qW1HNhWfJC/Z4m0/Kcvg0i9y3Yz3hRAFDN59EQQhbiOiOwAGbT6KpUniq8GV0v/n0kyZhf60vNj3ZGM8+Xruu/m31qvkbbcTSv+PjtSfr9dqAFceJqi7eMmBtW1S5/mFvUIkmirA7u//qXZQkbINKFCVYg0qUoi9aHBTwpkGhJrnlVihRlqNoUMkSEmYXH4vd7ZJXL1bW7YztX5jAz2TBCSUQXqf1h7VMC1uDShaO+hIicO4GFTKitRz0Wv3eZUVcqNt0nKorNc6ySo3LtLwZ3yf3+f39VZynV9vHPaz6NU6Ljfp135JlSAYGGF79CoIQ6hOqftcqTZ8n0MdbO0/9J42sffXwff1z9Wmj4h6+2/zXb1Yfb0/Gvv0Rljda3n68PT6rXUgbafzzRvj9j3GUbP42KaJolBpf/ueiGVN4xnAR3MD9yziZnPSS981xw/+r9aLh1+15DH1q+Id6abFeJ7xafbL55Z+vfjauiiY9z04e/mrdfPzw90+aZDkza8reVDR7hGmBoIx1v/XTJntfmoD+QBRIRCBHE/PNSC9EUQIKZEEK6twMDEdcTIrE3FUTRQmmj6t8kmQmvndl+Qizj1d1HLdayn5rqiw4oQyy1bF1UBeybNQXEGEbEsfDA1rLQR/xeVxlOY+bRQk1GRhgeHEsCEIoT7A4Dn4eVzRDCs8QQQwf8jyuaLoIZZ+gfm3ncUVRRHSv7TyuKElA2StIQZ11gdEos2SiKuOIzERZgule+3lcWT7CxOJV9yatTLJf0SoLTiiAbN1rP48ry0Z9AxG2Id07PKC1HPQRfxNRWc7jZlFKTQYGGF73CoIQyhOqe8N+E1E0OwrPDq55TRhTUQxCKfaiRQVRRLSo9ZuIoigBxaggBXUqBIZDJZM8t2lRQZRgWtT+TURZPkKx96pF01a62O9slQUnFEC2FrV/E1GWjfoCImxDWnR4QGs56LUWvVfZzVWRReO769urcVZcFeOr6FqNrzNV3ic3d1GV3r9/AC2qTMlotGhGTQYGGF6LCoIQyhOqRcG7YeJ8a9hd78V+aEJ/LoqucHRcaJ48v/vzu7/4k2+fREXrDbCo6KkoHKH6epGfgihC8tNyPYwoSkD5KUhBnf2A4SiLSWH0LM9EScKpz9xiOXlXlo9Q3r2qz6wVK/brSGXBCfWPrz5tg7qQZaO+fwjbkPocHtBaDrr5vz96thFdf+hSl56/45KbMBtdqRyYaRL3MYN9x8W4fH+HHW+/dvw7+I7Lm0ahAt9xYac0w1Lq4Tsu7BAVKUQgvOTJd1wyU8RTdsT9Ui/2HRd2hOAxc1y92r/jwo4RPF++ryxlRkc5Sw7kL52UNrXJDPCAX3HJ9WdbCv2j1D+qzTcTGhLXB1z4oOCky/iAS1Wmtg+48MMFZ13aB1yacNoPuGzzbIr6JT9qcO71odk1zGjmwDjjY4DzHf8DLjr2xwNh/YALn0IRKeDnSGf2tAusF/CcHzA4I8ILH6AO1boO1boO1boO1WAdWvAhwUmV+O0Wew16jx8qOLfi327Z1Z/3HC/uBT9iynzLeoK6haW79tRsBNlvt+zqTjsA1m+38AnAmZb47Rb97HRB9YJd8oLdCKBU3dzdl+P761iNs/Q2HV9lpRpHSaSurm/vb6NDGJVy67dbchonCmha6Du4KIt9E8g7oiCE3UN0F4Dx7Ra9xv8Pq39p/uln61OtH+u/bz/o8mb7x/6tO6q5/vX6RR5HcRRdbP42j6KR/k8cO77sIphIhScSX1j3v+xi+nzLsxP9gZeHDycn//E/5k1cSZORHPp8i2A2CHuzPhbtgiQiranYXLNeiJIE7EwJUlB3xoHRyCaJsu0VCJIE60w1NSGzO6MkCQmzi491brfazdtWhv22WFlwQv2Dl2hPikiS2BYyC1k66juI0A11p4aHtJaDPuLzqbn14y2uS8SMycAAw8tfQRBCgULl7yHOpwpmSOEZwnXtgc+nCqaLUPgJwtduyhJEEVK+xnL1QpQkoPIVpKDOusBoVJOkLE0kM1GSYMrXdTpVko8wrXjVvUUrkuy3xcqCE8ofX/c6TqdKslHfP4RtSPUOD2gtB71WvTdJlSZJfD2+rdKbcZYl2bhMomh8F19X1XUR58Xd9mkPq3pTUzIa1VtSk4EBhle9giCE8oSqXvBEQJQ9/pze67UT7M14J+ZM2Xgumg2FZwNXuCaMqSgGofR6UZ6CKCLK03EcQBAloPQUpKBOfdBwVLlNegqSBJOeWfO8GTeV35XlI9R2r9KzbJWK/T5XWXBC/WNLT+ugLmTZqO8fwjYkPYcHtJaDPuIPo+TWD6NU1GRggOGlpyAIoTyh0jP0h1EEs6Pw7OwtRQUxCKXYixQVRBGSotYPowiiBJSighTUqRAaDlUaN5RmoiTBpKjruyiSfIRa71WKVq1ysV9YKgtOqH9sKer6LookG/X9Q9iGpOjwgNZy0FqLuiSm5xOpxuXFN7LYfS9N1sc79IlUbrz9mvG7E6md8OSmNMNS6uNEKjdERQoRCC9FT6RyI+6XeLkTqdwIwcMzuGp1nEjlxtiXpDInUrnRUU7IAPnLJplFZXIDPNyJ1Dh+1vxI9I9U/9je4t2QOE+kskHBSdfziVR2uOCsSzyRGkfdidTYeoXdS37U4NzrQ6trmNHMgXHGxwDnuz1OpDaxPx4I+4lUNoUiUsDPkc7saRdYL+A5P2BwRoQXPEAdqnUdqnUdqnUdqsE6tOBDgpOqxxOp7FDBuZVwIrWrP+85XtwLfsSU+Zb1BLULyoHaU7MRhE+kdnWnHQD7iVQ2ATjTUk+kNs9OF1Qv2CUv2OPtEBW2E6mx+/6sJ5woYPAOkSQIYdcQ3QUI3CGSzI7Cs4Ovlk0YU1EMwg4pYQlt7RBJogTuEEmihOsQSVJQd6ih4bB+OV+S5Bg6RKJ8hFrvY9XZrT3byy5jx+2louCE+gcvmOBBXciyUd8/hG2gQwQMaC0HfcRfzi9sp0PjhJoMDDC8FBUEIZQnVIqCPnnoy/mS6ApH31tnCmIQ6qwXnSmIIqQzbaZ4SZSAOlOQgjrPAcPR1O3t/S5PdaYgSTidmVu/kS/KRyjkXnVme7lk7LgtVBScUP/4OtM2qAtZNur7h7AN6czhAa3loI/4KySF7TxmnFKTgQGG15mCIITyhOrMA3yFRDJDCs8QLkcP+xUSyXQRyr4X2SuIIiJ7rV8hkSQJqHoFKaizLjIa2oCfmVBmoijBZK/jMySifIR5xavsbe+xjB0Xk4qCE+ofW/Y6PkMiykZ9ARG2Idk7PKC1HPRa9lbq9iaP75NxptLmR6aqRh03Ovn65jq9yq9zlVVbORhW9hrLViN7M2oyMMDwslcQhFCeUNnL+PZ0+5npX6xtAB82SlCLubd03UYu648rR2kUXTw7ma6TcfLyD6L4ZPmtP/n2n/ynu/9rk4Q/O/lf/vzu/3myeHHSfZF6+xHmOLJ/k1oywQpPMK6aT0Q/Si2ZDsKsQFDFVt++IImQKLZ8lFqSJKAoFqSgzsnAaGSTUtmOCwiSBNPEpYosntd3ZQEJs45XUdxerxk77ksVBSeUP7Yoto/qQhaO+gYicEOqeHhEazlofWHqf35LRVll71/c3Xz7T/7sW4ZEsFSvbZ9XOTjTJOlz2s6n2qOlaNndEVVjuO+ww+0/Zo7kgor1X/XJ081G4/oM6idaS/127T19sz4h+tXaoqr/6pNGVXW/9vCDh++tz47qX2jUavOPTaiNwFS/P2PzPqmWduD9iuX2WJm+6DCJ9I9M/9C3Hab6lFmq9A/9t5k+eZbp36f071P69yn9D3J9EC3Xf1Xovyr0dYmltdBy85HR84H7/HUSznUSznUSznUSznUSznUSznUSznUSznUSznUSznUSznUSznUSznUSznUSznUSznUSzm1JOOcnQdGTgB8VaHIw1zmY6xzMdQ7mOgdznYO5zsFc52CuczDXOZjrHMx1DuY6B3Odg7nOwVznYK5zMLflYM7PAV4J+PPN9oyTvnWvyUWtc1HrXNQ6F7XORa1zUetc1DoXtc5FrXNR61zUOhe1zkWtc1HrXNS2XNTsXDw59TKQC9oLcakTcKkTcKkTcKkTcKkTcKkTcKkTcKkTcKkTcKkTcKkTcKkTcKkTcKkTcKkTcKkTcGlLwCU/AficSzw30/AvNf9S8y81/1LzLzX/UvMvNf9S8y81/1LzLzX/UvMvNf9S8y81/1LzL238Sx7/+m3Y8OvJPNjt7an1lE3upHgiuYJ8KkP/t3Gj4B12vP2pec9PZfz3RoZ8V7sS9X+3/kTTxzJebT9asRMe+usZ321+x2u976a3zr7UW28PP9r+bfOvWX/w9zPdYN5YHZu/2xy12XwBQ2/PPTqhs/1OhulLHZuDO/o3/ubhbyb6f+2TRgt9f/XqJIlOHPtszCz3J3zJr2cwQ1SkEJnhTdnh9dedgp/KYEYInuqlbKXZP5XBjBE8zrvvJhkzOsrRXSB/xtzN2NEd8DsZehUS60VJ3F6WHOfuT2RwGcG5lvOJDJXbP5HBDRecbamfyMh3n8iwXhT2kh81OOfutxbutgzz0cyBccbHACc1xhK2O6qejx4PhOMTGVwKRaSAnyOd2dMusKdrRm7A4EwI774CJajWJajWJagGS9CCzwfOo9SvY1jLz3v8UMHplPJ1jHz3dQzrO3vBj5gyxbIenm5f2112ajaC9Ncx8tHjAXB8HYNLAE6yxFW+fna6oJ6uyjnB6mhvqusoT/J8fHtbJePsKirH1X10Pb4tb25v78oizm+3D5V1wf6nV349M3oZbFu2u68xMnRKMD7T0t6BRVnem0DeEQUhNC/3Wfc//FWzQP9Sfw9z/dXKjx9+9Kxd46//emsH/6fVPzf/+eX6xOLiufnrLs9F86HwfODLXzAlJ6ufPXyw3sL4ZHN685erV5udipPVv6x+kcQnZwMOcMHE9KWGIzGEhbfdAS6IImR2KU0kL0RJAppdBCmorXZgNGzrfUGKYEaXfFLabC6SeISZwsdqtVuztjcWxo4rKEXBCZUPXmihY7qQRaO+eQiaczwXyHjWctBrGZvcqOs0yspxeXt/Pc6qOBpXV+p6HF3fNL9Qqiwtrt8PL2ONe9CNjC2pucD4wstYQRBCcUJl7NqFrE8z6saS7gM1Cu3hrze+GW3jXovU1c9XP7HKVEFehfPiMtWEMRXFIJRWgqjUbb5PJyfmxt0fiALJSEsTxwtRjoDCUpCCOr0BY2ETloIUwYRlXE7SzMT3riwfoXh7VZbthYSx44ZJUXBC+WMrS+ugLmTZqO8ewjYkLYcHtJaDXkvLMi+Tm+K2GF+nRTTO8rv7cXWTXY/TKo2q++rqKr3bltag0tJoWm6kZUXNBcYXXloKghCqEyotn34+ePX3q/+6+uXqZ6ufjlcf6f9ab4h+tN0KNUE/F4VWOPTe+lIQg1BgCfrSvmkpiCKiLB1faxNECSguBSmoExwyHCaKmShFOHEZOY7nSQIS6rdXddneMRg7Lo0UBScUP766tI7qQhaO+vYhcEPycnhEazno9fG8Z52u0qoxoDPesjeZuO7ZSJO8TxvIGZ+YLQHvsOMFXXqo/vuHhx+svx7xyfayiPV3JFavcHd8Z1bXh/pO1Nql7tsXb8rgc3YGMyyDPlzv3BAVKUQgvORk9fpkd3Hk6nUzXv+9SfbH2y/nbaW/6wTmyepX60/ErT+l9/CjiYl4yiYG7YMEaWwz0nMjBA2AuOJ1GOm5MfblrIyRnhtdf6KUMdJzozuckT7Rx34TfRQ4Sbcu1sR91ySbEZya6Ub6Rn3FViM9O1xwciYa6ZPdXZOJ465JdtTgFO1D4muY0cyBccbHAOfJPYz0ye6uyWTgrkk2hSJSwM+RzuxpF1gv4Dk/YHAmhNdJQAmqdQmqdQmqwRK04POB8yjNSO8oP+/xQwWnU4KRPtldM2l/Zy/4EVOmWNbD065AB8pOzUYQNtInu2sm3SXnkk8ATrJUI32ir5k0l5slL1gd7Y26u62ishpf3yk1zq7vdHPpOh1H90mZXyW319dXasNjXd87Njy4a3ybkT5x3XNkwET5TDsBDizKboAJ5B1REMI2I7pNsF4r6g9I7taKn65eN2v8D9r1YPupyV/pZf7aQr75e+uX2Dc2c8eX2J+dpJGtwfFcNIEKTyC+BDett3s5XH+Yfb1d8vFmu0R/q/3Rqvvt/OpPAlj995LpIezmEtbr1laWJIpIKyubKBPJC1GScJ0sSQrqXjowGrZtAkGKcJ2sZKJKE9+7snyEGcbHKrdb67ZXISaOuy1FwQmlD16gwYO6kGWjvnsI20AfCxjQWg56rX+zMrqvbrJ8nJUqHWfFXTy+ukmjcZpFt0Vydx9l6fZtDqp/bV2uhJoLjC+8/hUEIVQnVP/+ayPV3jS6683qi7X/Xt+p08i0r3bu+80N6n+5erNudvVuHNK/I1Gj5v+nUeT4YLpkVhSeFVzUmjCmohiECoyLz4fvm+8h/QNRFBHxGZkdli9ESQKKT0EK6gSIjIaJYiZKEUx8FunEfN7oXVk+Qnn3Kj7b+xETx4WXouCE0scWn9ZBXciyUd89hG1IfA4PaC0HvRaf+X0Z5fe30fg+ie7H2U1eNUK1qsY3d3dZlKf3V1G2nSSCik/jDNKIz5SaC4wvvPgUBCFUJ1R8PvXo679d27W05vxgLUf/tr3b8p/17Y2rX67+afWT5j8/3e7LvlyMVXyy+jtTQp6LJkThCdlbdwpiEIovrjsdm56CKEK6c/uF5afCUxAloPAUpKBOfshwmChmohTBhGdZWj87IspHKO1ehWd7Q2HiuHJSFJxQ+9jC0zqoC1k26ruHsA0Jz+EBreWgtfJ0CUq/bn2blMwcdPrb/z26g7v1mfH2S8a/Y7c+M4MZlkEvbn1miIoUIhCeD7f++nMx2nrx/Y3VwubXZzKDLkWCFLb69ZkRgj5DXOG6/PrMGEGD4b7SlRkdxUwI5M8mSZnRHdCvry/sStbXeRWtWTZz+/W5jODk7Nuvzw0XnJ6pfv1s59e3Xkf4kh81OEn70PQaZjRzYJzxMTIiBsM8m40eD4TDr8+lUEQK+DnSmT3tAusFPOcHDM6E8MIIKEG1LkG1LkE1WIIWfD5wHvXp1+eGCk6nFL9+tvPrW9/ZC37ElCmW9fB0a0532anZCNJ+/Wz0eAAcfn0uATjJkv362WkXVC/YJS/Yo20ZWe+r237TBcZE+cK3jARBCPuK6EZBgJaRYEIUnhB8UW3CmIpiELZNCetke8tIECV0y0gQJWDLSJCCum2NDIeJYiZKcRQtI0k+Qmn3sbzsFpmq7TAox0JTEpxQ++CVETyoC1k26ruHsA21jIYHtJaDPl6jvP1zUDk1FxhfeOEpCEKoTqjwDGWUF8yKwrOyt/oUxCBUYFx9OozygihC6tPYm34hShJQfApSUCdAZDRMFDNRimDi02WUl+QjlHev4jNvtYrjel9RcELpY4tPl1Feko367iFsQ+JzeEBrOejj/UqJ3d1UUHOB8YUXn4IghOqEis8j/EqJYAIVnkBcpzK/UtJ3Gw18nEQwK4Taj8tex6arIIqI7LV/nESQJKDsFaSgTr3AaNhkryBFMNnr+jiJJB9hYvEqe9vbJBPH7aCi4ITSx5a9ro+TSLJR3z2EbUj2Dg9oLQcd1qafmegaIVs66Z4cQji4TZ8Zb79k/Du26TMzmGEZ9GLTZ4aoSCEC4fmw6WMf1WcSg9ZEgg62mvSZEfYlrqhJnxkj6CrcV7gyo6M4CIH85XkyKQplinHGjvGAVv3q2VmWRvpH3PpkS7dVn8sITtC+rfrccMEpmmrVL3dWfevNly/5UYMTtQ9dr2FGMwfGGR8DnC33seqXo8cD4bDqcykUkQJ+jnRmT7vAegHP+QGD8yG8OAJKUK1LUK1LUA2WoAWfD5xNfVr1uaGCkyrFql/urPrWd/aCHzFlomU9PN260112ajaCtFW/HD0eAIdVn0sATrJkq3552gXVC3bJC/Zom1aZ1apf0TBRvvBNK0EQwt4iullwhE0rwQQqPIH4QtyEMRXFIGy1ElbX9i6TIErgLpMgScAukyAFdacbGI0mrmSSlcb5bSYKE7LZFBUmvndl+QgTgo9Fabc0bS8AThxXOouCEyogvJ6CB3Uhy0Z9BRG2oWbT8IDWctCbk6VXV+V1el2NizzNxll0X42v1E3zI0rim7tU3Rftij+oXLUY/NOImguML7hclQQhVCdUrjoN/tuDo/+XdPXlycbK//C9ZNO+MsE/F4VXOPy+UlMSg1Bocalp9/FLoohITauPX5IknNSUpKDOc8BoxFU5KVPjiMxEWYIpTYebX5SPUMt9Ks002gqT1HHHsCg4oQCylabDzS/KRn0DEbYBpQkMaC0HfbzfMMlsbv7Udf+UORcQX3ilKQhCqE6o0pT/holkQhSekL3VpyAGofji6tO+0SmJIqQ+dVl7ivJCFCWg/BSkoE5+wHBU1SSLcxPKTBQlmPp0fMhElI9Q372qz/aCyNRx46coOKEAstWn40MmomzUFxBhG1KfwwNay0GHNdUrE12jJxMnXdGnO7Spnhtvv2T8+zXVczOYYRn0YarnhqhIIQLh+TDVg9++5zKDNkKCHrbZ6rkRgkZAXOY6bPXcGEEH4L76lRkdxe0H5M9pq+fGeDhbfZpqR322tbOmidNRz8YDZ2fPjnp2uOD8THTUp0nnqE+t91S+5EcNztI+RL2GGc0cGGd8DHCq3MNR38T+eCDsjno2hSJSwM+RzuxpF1gv4Dk/YHAqhFdGQPWpdfWpweqz4KOBc6hHMz07VHAqJZjpu6rznuN1veBHTJleWc9Nt950V5yajSBspu+qTTsAdjM9mwCcX6lm+ubZ6YLqBbvkBXu0PSNlM9NvO+AwJsoXvmckCELYU0Q3CQL0jAQTovCE4AtqE8ZUFIOwZUpYI9t7RoIooXtGgigBe0aCFNQta2A4nD0jQZSj6BlJ8hHqu4/lZbfIbK/XTR33JYuCEwogvDKCB3Uhy0Z9ARG2oZ7R8IDWctDHe5RTWb3xGTUXGF949SkIQqhOqPo8vqOckglUeAL3VquCGIRi7UWtCqKIqFXrUU5JkoBiVZCCOlcCo5E4j3JKwgSTq46jnKJ8hAnBq1zNWnXjuBRYFJxQAdly1XGUU5SN+goibENydXhAazno5v/+6C15o1XoH7pkqV/Lk3EZ3QhS5aBNk7JPG8jyZLm29B12vP0Ssqfl6WerL9ZfWf9goyWNjqMn3he/hqatPv3kJGn+zfrY58OPTCl7zk5ZhqXMi8eJGaIihQiEl3T2JlOgU3agYDeWIGOtxiRmhGBTFVenLmMSM0awm7qv7mRGR+mcAvlLy2qiKmWKccaO8YDGpFwbk4rWGqDcxiQuHjiH0o1JSaHsviRutOAkSvUlqZ0vyXon5Ut+1OBU6kOJa5jRzIFxxscAp7d9fElq9HggHL4kLoUiUsDPkc7saRdYL+A5P2BwJoSXM0DxqXXxqcHis+CjgVMozZdkLzzv8SMFJ1KKLUntbEnWt/WCHzFlcmU9Nt0a0V1wajaCtC1JjR4PgMOWxCUAZ1eyLUmddkH1gl3ygtXR3hRRehfdVuMbVV6Ps/z2Znx1V92Nq+zqOru7V/fxzZbHugJ3bElwV+FWW1JOw0T5TGt1BxZlvW4CeUcUhLAPiC7kP3prGX/5J//r//p///M/+U9XJ6uf607Pw1+erP7r6hP9lyfFZrl98Y2XJ1UUpSb256LsCmfHl7smjKkoBmFHk7AYtvd0BFFEejr2byYJkgTs6QhSUDeUgdGI43xSFpWJZSbKEqylU6XlpDD2rN6VBSTUch8ryW492d6YmzquQBYFJ1RAeBH0pDOsIsuiYSELR30HEbihps7wiNZy0MfrgM+tHqSCmguML7zUFAQhlCdUagZwwAsmROEJ2Vt/CmIQqq8X/SmIIqQ/jQvUF6IkAfWnIAV17gNGoxFnlbFxPxMlCaY+Xf53ST5CdfcqPtt7a1PHRcSi4ITyxxafLv+7JBv1/UPYhrTn8IDWctBhv5lUmOgaNem+g8m+mYwFS1GJmIGIGS/Y9UTF4NfKQMRMWYalzIuBiBmiIoUIhJcOGYiYgYJtU4JmtRqImBGC3U9ciroMRMwYwb7nviKTGR2lxwnkL9GfzrbZ0ZkhHtA/pO8LzqK2he++KpiNB06hdP9QGqV2/xA3WnAOpfqHdjcFp46bgtlRgzOpD+GtYUYzB8YZHwOc3fbxD+1uCk4HbgpmUygiBfwc6cyedoH1Ap7zAwYnQnj1AhSfWhefGiw+Cz4aOIPS/EP2wvMeP1JwHqX4h3Z3BNvf1gt+xJS5lfXYdEtCd8Gp2QjS/qHdHcHuYnPJJwBnV7J/SN8RbC40S16wR9vUKaz+oYqGifKFb+oIghC2/dB1fICmjmBCFJ4QfAlswpiKYhB2NQkLZHtTRxAlcFNHkCRgU0eQgrqpDIxGUkxS67pcEOUoujqSfITy7mNx2S0x2wtiU8eNv6LghPoHr4vgQV3IslFfQIRtqKszPKC1HPRafN5leVHd3t+Mb/K7q3EW3d2Nq/vienxXqqtSXUc3WbZ92oOKT4ujKIuoucD4gotPSRBCdULF59vm9dVn+r7fk0Z3/mZ9O8P2+gXd+fmykaJ/s3q1lqWNCP3Fw4fr7xh9vm4effHwwR9rFfrWh49Wn65+s/6lL/U3k0yZei6aKYVnal9VKolBqMo+VKkkipAqTU0kL0RJwqlSSQrqpAiMRhlPKpWZUGaiKMFUaRFPzNd8vCvLR6j7PlVp1l4mmzluBxYFJ9Q/tiq1DupClo36AiJsA6oUGNBaDrr9eNF2Jgj88SLjarnRnbGDNk2jPm0g75Flk/Yddrz9ErKn9+hftf9nKwG1E+gT/Q3Lx1ajRin++mT149VHq38+0Z+6PNne8aW/nvlmfTnb1kWkb3171TmJ4q2TaPW5KQHP2QnIsAT4cBJxQ1SkEIHwhj5FxA0UbKASJKnNScSNEOyD4krT4STixgh2QPfVkMzoKN1OIH/G3M3Y0R3ORJQl2kSkr0jLMv1DbTv6Wey0E7FBwVmRbidqJnP7PWnscMF5kegnyuLOT5RZr5Z9yY8anB19iGsNM5o5MM74GOAct4efqIn98UDY/URsCkWkgJ8jndnTLrBewHN+wOB0CK9QgDpU6zpU6zpU6zpUg3VowYcEZ1Sas8hRg97jhwpOrARrUVd/3nO8uBf8iCmTLesJ6laA7tpTsxGErUVd3WkHwG4tYhOAMy3VWtQ8O11QvWCXvGDXAve6ylWU3o1VWVbj7Losx9fFfd78bXRzdXWV58nV3YbHur52bDhw19g2a1GW0DBRPtNK3IFFWY2bQN4RBSHs8qHLdMPd2p+t2zK/bn75s3W35ovV65OH76/X5J8807dx/2z1D6tfrP5p9c+rjzZdnV+mxk3256LJUHgy8PWwCWMqikHYwCSslu0NHEEUqQaOMqG8EEUJ2MERpKBuICPDYaKYiVIEa94o20cw35XlI5R1H+vLbpWZtHv9jhu5RcEJtQ9eGsGDupBlo757CNtQ82Z4QGs56I2fPbnNlUri8f1tcT3OoqtsXCZlPs7ie1XF19dZGd+/H150GveOv7FuOtFygfGFF52CIITqhIrO//Lww40T6OFvtQ9IK8tfrz57+Nu1msxHufF9fS5KqXDKvdWkIAahouJq8uH7ZoPWH4iiiKjJxNahEQQJqCUFKajzGTAYNi0pSBFMS8YTZZOSkniEYu1VSrZXtGaOO3dFwQmFjy0lbWO6kEWjvnkI2pCSHB7PWg56Y06/v7pN0qv78f319e04S5NkfBVfF+PoJq3KmyS7S9PtmAdVksaNrkZJZtRcYHzhlaQgCKE4oUryx7v7dR9+sHp10pmO3vpo0fofrH67+o3+xYcftHfwbjzsn24tRm9Wn+uNztXnm38aJ8/UKE6iaJQo8/LxuWiqFJ6qveWoIAahKuNy1G4FEiQRUaPxJFImlBeiKAH1qCAFdVYEhsOmRwUpwunRVE2UcfJ6VxaQUPS9KtL2FtbMca2uKDih9vEVqXVUF7Jw1LcPgRvSpMMjWstBrzVprK5uozxLxqqI0nGW31+Pq7y4GqfJfXJ9F1X5jdomJqgmzUy5aDSpouYC4wuvSQVBCOUJ16SvGgmqz0N+2AjKL1q9+a+2L3Y8037211qerr+k+dVWzNrc7YLJUHgy9ladghiEyourTscmqCCKiOyMzPd0vxAlCag6BSmo8x4yGiaKmShFONUZV5NEmQDflQUklHWvqlO1GsVxmawoOKH28VWndVQXsnDUtw+BG1KdwyNay0G3ByK34FpMBjwQWZloG12ZO2mTPm2gA5GV9UAkM95+DdnzQOQ/rj5++P5aAW4+xq6/rL761erNervyk83ZyDfrbcr1RzQefrTVjT9e/cPqn1f/YDj+2B2a1F9p/2L9kY5XphQ8Z6cgw1Lg5UgkM0RFChEIb/dx9cnJ6uern40zU8BTdsD9Ci14NJIZIXiQAxecrqORzBjBExz7SklmdP2Jas+jkUU8qYxP4Ywd4QGPRxb6UGSpf1TtiaTcfTKSywhOj/STkXFSOU5GcsMFJ0jqych8dzLSennhS37U4DTpQ2ZrmNHMgXHGxwCnun1ORuajxwPhOBnJpVBECvg50pk97QLrBTznBwzOhvBaBShBtS5BtS5BNViCFnw+cC6lHYp0lJ/3+KGCUyrlUGS+OxRpfWcv+BFTplnWw9OtAt1lp2YjSB+KzEePB8BxKJJLAE6y5EOR+WkXVC/YJS/Y9YLmLsqL60iNm+X37ThTpRpX13fX4+vb++sqL6M0utnOwtY1tmPTgbvOth6KLGiYKJ9pNe7AoqzITSDviIIQtvrQpfrP9Zr84S91U2ZrSt96hF49/PWmZ6N/TUWj5v9Hz7JI/126+tLE/lyUXeHs+ALYhDEVxeiLAAcGYVmsv0r6abOGN47LH4gCibRtjEXihShHwKaNIAV12xgYCxXnZivoTJQkWOMmyyaF8Xl7V5aPUMx9LCi7ZWV7xWrmuDNXFJxQAuG1EDyoC1k26vuHsDkHdIEMaC0HvZaaN8l9fBvfROP45iYZZ9e32bi8a/7o3X18l1dZnpbJ9fvhpaZxr7iRmq4bjIy5wPjCS01BEEJ14ktN3dRZd4f0Vy9/8/Cjhx8+/I02plMkp2AOFJ6DvSWnIAah3nqUnIJAQSWnIEdAySlIQZ3ygLGoLIePZqIgwRRnqiaFcbfnXVk+Qk33qjjLVqA4ro0VBSdUQLbitA7qQpaN+vohbEOKc3hAaznojT39qrpNbvJ4XCbp/ThLUjW+jqtyfFcVUXx7fVuo7O798IrTWLUaxVlRc4HxhVecgiCE6gQrzs1BSO0c+khrzYfvPvzlyep/b+Tm52vj+saS9NnWtq6PPz58T5+E1D8nyqJtnotmQeFZ2FtzCmIQKi5Bc1rdP4IkMmLTdoGkJElAuSlIQZ3vgNEoqkmcZiaUmShKMMEZ2T/2JolHqOhe9WZ73WDmuD9SFJxQ/dh6M1ZJNEmNgmMhS0d9AxG6IcU5PKS1HLSWnC4l6deKHhtf1W9kyn0VUdXHO7QXnRsvaLJDNeAhvejcFGRYCnx40bkhKlKIQHgJ6EXnBgy67zyoUW6EoH+OojKtXnRujKBxbk/9yI2OYpID8lekk7IwRThjR3g4L7qKnzU/9H09Kt0aQVXk9KKzGcH50bMXnR0uOEESvegq6rzoynrB4Et+1OA06UNYa5jRzIFxxscAp7o9vOhN7I8Hwu5FZ1MoIgX8HOnMnnaB9QKe8wMGZ0N4dQKUoFqXoFqXoBosQQs+HziXevSis0MFp1SCF70rPe853tkLfsSUaZb18LTLvoGyU7MRhL3oXclpB8DuRWcTgJMs1YvePDtdUL1gl7xgj7ZdE0c2M7pyXURk4EQBg/drJEEIu3voWl2oXyOZBYVnAV8LmzCmohiEHUsfK2RBkrD9GkmScP0aSQrqbjEwGmVTv5VtYS6IcgT9GlE8QkX3sazsFpfxdnNfOa6BFQUnVD94RUTq14jSUd9AhG6gXwMMaS0HfbzHHxvJaZwSG8mZUJOBAYaXnIIghAIFS06f5x8l2RXOvrfQFMQglFqC0Bwwo0sCyehNE8cLUY6AalOQgjrXAWOR5NmkNJHMREmCiU3H+UdRPkIx96o225sDleMqSFFwQglkq03H+UdRNur7h7ANac3hAa3loI/3/GOjNY2rjUZrptRkYIDhtaYgCKE88bWmhwOQkjlQeA721pyCGISC61FzCgIF1ZyCHAE1pyAFdc5DxiKNJspEMhMlCaY5HScgRfkIRd2r5mzvGFSOOyNFwQklkK05HScgRdmo7x/CNqQ5hwe0loPWn0p/tpFaAT+RHtua5ZkDM03TPmYwX3piivcddrz92nEkvvRk60tvfgPuS2emIMNS4MWXzgxRkUIEwtv50k2BTtmBgg48giC1dtuZEYIeOoLCdPjRmTGC5rl91SMzOopRDsifMXczdnQH9KIrbUPP9Y+iNYJmbi86lxGcExle9Kwo7F50brjgpEj1omc7L7r1RsGX/KjBqdGHpNYwo5kD44yPkRExGMbQbPR4IBxedC6FIlLAz5HO7GkXWC/gOT9gcCaE1yVACap1Cap1CarBErTg84HzKNGLbi8/7/FDBadTihc923nRre/sBT9iyhTLeni6JZ+77NRsBGkvejZ6PAAOLzqXAJxkyV707LQLqhfskhfsehEDNXY0j3Vh7dhhYC+urV50ReNEAU1LcAcXZRluAnlHFISwr4euz/0agwTZFc6Or3pNGFNRDMIOJWFNPNSkEQQK2qQR5AjYpBGkoG4SA2NhW44LUgRr0KhsEhtNT+/K8hEKuY/VZLembK8+VY7LbEXBCeUPXgjBg7qQZaO+ewjbUINmeEBrOegjNgXFVgN6Tk0GBhheZwqCEMoTX2f6MAUJ5kDhOdhbbwpiEAquR70pCBRUbwpyBNSbghTUOQ8YC5veFKQIpjez1HI27l1ZPkJB96o381aeOO53FQUnlD+23rQO6kKWjfruIWxDenN4QGs56LXeTJJrdXef3YyjPFfjOL4rx2V0W42jSEUqL8u4UlsdFlZvGp+ARm+6byQyJAMDDK83BUEI5QnVm/+8eq03Mk9Wnzaa8rcPH2i3UfMf/WXLL9ZGo+Yf6t3NndMoTp6p1ZerL5tfMcqB56IpUHgK9pabghiEekuQm1bLjyCJjM60fmBDkCSg0hSkoM52wGjYlKYgRTClmcbJpLBJTUlAQi33KjXb6wGV475HUXBC6WNLTfuoLmThqG8fAjekNYdHtJaDDvwxdOME16hH1+1CWRb18Q5uOmfGCzrrUPF3UNM5MwUZlgIvpnNmiIoUIhBe+vbH0P9x9d/HRnU0ZQcMWu58KFFmhKBpjqIw7eZzZoygW25f7ciMjuKMA/JXTqLMFOCMHeAB/efVs7Msj/QP/VX0PGkdoKXbhM4FBedI3yZ0brjgJEk1oZc7E7r13sCX/KjBqdKHttYwo5kD44yPAU53+5jQy9HjgXCY0LkUikgBP0c6s6ddYL2A5/yAwRkRXqAAdajWdajWdajWdagG69CCDwlOqj6d6NxQwbmV4kQvd05064t7wY+YMt+ynqBu/eeuPTUbQdqJXo4eD4DDic4lAGdashO9PO2C6gW75AW7XjbE99l9dKXGV/nVTbvivksO3LFJrE70isaJAobv2AiCEHb50EU7o2MTDfRrBBOg8ATg62ETxlQUg7Bp6WOVLEgSuF8jSBKwXyNIQd0xRkajmDT/EyaUmShKsKZNUuSTqDIBvisLSCjnPhaW3fKyve9UOa6wFQUn1D94TYSP6kIWjvoKInBDTZvhEa3loI/44GNiM6TnzsuGTMnAAIPLTUkQQn1C5abXg4+S7Apn31dpSmIQKi1BaQ4Y0SWBZASnieOFKEc4uSlJQZ3rgLFIjRV7JooRTGo6Pocuykeo5D6VZh5tdUnuuN1VFJxQ/9hK0/E5dFE26suHsA0ITWBAaznoIz75mNic6LnzHiJTMjDA8EJTEIRQnvhC08PJR8kcKDwHewtOQQxCwfUoOAWBggpOQY6AglOQgjrnAWORTzITx0yUI5jidHwMXZSPUNK9Ks72bsDccd2jKDihALIVp+Nj6KJs1LcPYRtSnMMDWstBbzrpKr65Vtnt+Cq7vx9nd9nN+Lq8Kcfq7q66u7pKyrJ1BoRVnMay1SjOhJoMDDC84hQEIZQnVHH+6+pT3Tg/WTvcP15va75efaH76Xpbcy1B42gUq9H6xKMJ+bkossKR9xaYghiE+ooLzIfvP3xoQvkDUZSg0lKQI6C0FKSgTm7AWKTm9tNMlCOYtCztN4mL8hFqt1dp2V4FmDvudhQFJ5Q+trS0DupClo369iFsQ9JyeEBrOejARx1t25OpEy/u4x36qCM33n7N+BofdeSmIMNS4OOoIzdERQoRCC95ctTx2cnmLzJT5FN25OAJD1yRWt2c3AjB4xkEoWk/88iNETyXsa+IZEbXn6L2PPOYRJnlBPqMHeLhTj3mmT7rqK/eyfXVO3l770WeOk89skHB6dLzqUd2uOB8STz1mKfdqcfcelfgS37U4KzpQ2VrmNHMgXHGxwBnvj1OPTaxPx4I+6lHNoUiUsDPkc7saRdYL+A5P2BwToSXKkAdqnUdqnUdqnUdqsE6tOBDgtOqx1OP7FDB2ZVw6rGrP+85XtwLfsSUGZf1BHVLQXftqdkIwqceu7rTDoD91CObAJxpqacem2enC6oX7JIX7PH2alLbqcc8o3GigOF7NYIgfRXiGiBw/e6lVyOIrHBkfDFswpiKYhA2LPGVsaNXI4gStFcjyBGwVyNIQd0tBsaiLCfKBDITBTmKZo0kH6F4+1hGdovJrN3bd9zlKgpOqH3wCgge1IUsG/X1Q9iGmjXDA1rLQR/xEUdLj7nRloqaDAwwvLYUBCGUJ1Rb+j3iKMiucPa9RaYgBqHQ4iJz0HEuCBRUagpyBJSaghTUuQ4ZiyjJTCAzUZBgUtN1yFGSj1DLvUrN9jbA3HG9oyg4oQKypabrkKMkG/X1Q9iGpObwgNZy0Ed8yDG1HnLMqcnAAMNLTUEQQnniS00fhxwFc6DwHOwtOQUxCAXXo+QUBAoqOQU5AkpOQQrqnAeMhTYbWb7hJkkSTHO6jjlK8hGKulfN2d4ImDuueBQFJ5RAtuZ0HXOUZKO+fwjbkOYcHtBaDvqIPxicWo85uu4gMu/1QoDhNacgCKE8oZrT/weDJROg8ATsLTgFMQjVliA4rRZzQRIZpWn7YLAkSUCtKUhBneuA0ciyahLlxrI9E2UJpjZdXwwWBSTUc69ys70UMHdc8ygKTiiAbLnp+mKwKBz1HUTghvTm8IjWctCBzz7aFKT7ao2kj3fws4/MePtF4+t89pGZggxLgZezj8wQFSlEILwnZx+Nj9WUHXC/JAseeWRGCJ7NoOhM+5FHZozgoYx9FSQzOsoBDCB/SlkOos/YER7wxKO+57HQ9zwW+p7Hor1fLXff88gGBSdJ3yceueGCsyT1xOPunsfccc8jO2pwrvQhrjXMaObAOONjgPPdPiced/c85gP3PLIpFJECfo50Zk+7wHoBz/kBg1MivEIB6lCt61Ct61Ct61AN1qEFHxKcVX2eeOSGCk6ulBOPu3se7S/uBT9iyoTLeoK6BaC79tRsBOkTj7t7Ht1155JPAM605BOP+p5Hc81Z8oJdR6turqsyvR3f3dyl46y6rcbX91fX46RUd+o2vyry2+0ba11uO/Yb2Etu64nHisaJAoZv2wiCELb50FX7z5ul9mu9HDxZfaSX2w/fffjLk9X/3iwPP1+9apbdmwX8Z3+8WZ4nKooevhcn+mc1URZPynPRJCg8Cfii2IQxFcUg7Fz6WCoLkgRu3QiSBGzdCFJQt42R0Uia+l0aPRczUZZgrRvHMUhJPEJF97G27FaY7cWAueOqR1FwQvmDl0VPnlqVRJPUuLG0kKWjvoII3VDnZnhIaznoIz4ImdkOQhbu+4gMycAAg0tOSRBCgYIlp8+DkJLsCmffV2lKYhBKLUFpDrjSJYFkBKeJ44UoRzi5KUlBneuAsUgKY8meiXIEk5qOc5CifIRS7lNrFu3dgIXjskdRcEIBZGtNxzlIUTbq24ewDShNYEBrOegjPgeZ2c5Bbp8MQjIwwPBKUxCEUJ74StPDOUjJHCg8B3srTkEMQsH1qDgFgYIqTkGOgIpTkII65wFjoTLbbY+SIMEkp+MYpCgfoaZ7lZzt5YCF47ZHUXBCBWRLTscxSFE26uuHsA1JzuEBreWgj/gLwpay1UjOhJoMDDC85BQEIZQnVHL6+IKwJLLCkfdWmIIYhPqKK0z7F4QlUYJqS0GOgNpSkII6uQFjkSjbF4QlQYJpS8cXhEX5CMXbq7ZsbwcsHNc9ioITah9bWzq+ICzKRn39ELYhbTk8oLUcdOAjj8ZC1KjF1ImX9vEOfeSRG2+/ZnyNjzxyU5BhKfBx5JEboiKFCIT36Mjjz1c/sx155AYMnu/AlajVx8mNEDycQRCY9iOP3BjBUxn7ikdmdJQTGED+knSSVaYIZ+wID3fksdCXPBb6ksci354yKtz3O7IZwfnR82lHdrjgBEk87Vjs7ncsHPc7sqMGp0kfslrDjGYOjDM+BjjV7XHasdjd71gM3O/IplBECvg50pk97QLrBTznBwzOhvDaBChBtS5BtS5BNViCFnw+cC71eNCRHSo4pRIOOha7qx3t7+wFP2LKNMt6eLpln7vs1GwE4YOOxe5qR3fJueQTgJMs9aBjoa92NJebJS/Y9YIG8g1pHusi27HLwF5o2w46FhmNEwUM35gRBOkLENcAgWt1v65zQXaFs+MrYBPGVBSDsEtJWBcPeYAEgYL2aQQ5AvZpBCmoG8XAWJSWk0IzUZBgfRqX7VySj1DLfSwou2VlezFg4bjpURScUAHhtRA8qAtZNurrh7AN9WmGB7SWgz5i27myHnBU1GRggOGlpiAIoTzxpaYP27lgDhSeg70lpyAGoeB6lJyCQEElpyBHQMkpSEGd84CxyGKrNUgQJJjkdNnOJfkINd2r5GwvCCwcNz6KghMqIFtyumznkmzU1w9hG5KcwwNay0FvPuOWXKu7++xmHOW5ar+cflsd+PYdZT3pmFOTgQGGl5yCIITyhEpOxu07awO66/4dyRQoPAV7K05BDEK9JShOq/lHkERGato+4iZJElBsClJQZztgNFQ8yQvjZ0Znoijh5GZUTTKbFV0SkFDQverN9nLAwnHboyg4of7x9aZ1VBeycNRXEIEbEpzDI1rLQQf2ohsXEY2ELJx4WR/v4F50Zrz9ovF19qIzU5BhKfDiRWeGqEghAuGlqBedGXC/JAt60ZkRgv45isy0e9GZMYLGuX0FJDM6ikkOyF8y2bbNnspCZoAHtKKX2oWur+Ap9RU8ZdyaQQu3H50LCs6Rvv3o3HDBSZLqRy92fnTrvYEv+VGDU6UPba1hRjMHxhkfA5zu9vGjF6PHA+Hwo3MpFJECfo50Zk+7wHoBz/kBgzMivEAB6lCt61Ct61Ct61AN1qEFHxKcVH2a0rmhgnMrxZRe7Ezp1hf3gh8xZb5lPUHd+s9de2o2grQpvRg9HgCHKZ1LAM60ZFN6cdoF1Qt2yQv2eNs2udWU7r5l6AknChi+bSMIQtjlQxftIm0bwRQoPAX4itiEMRXFIGxb+lgnC5IEbtsIkgRs2whSUPeMgdHIJ1Fi69oIkhxH10YSkFDPfawsu/Vl2e7xO254FQUnlD94UYSP6kIWjvoGInBDXZvhEa3loI/4EGRudaZX1GRggOH1piAIoT6hetPvIUhBdoWz7y00BTEIlZYgNIcc6YJAMnrTxPFClCOg2hSkoM51yFgYu/IzUYxgUtN1BFKSj1DJvSrN9krAwnHLoyg4of6xlabrCKQkG/XlQ9iGhObwgNZy0Ed8BDK3+dFL9zVEhmRggMGFpiQIoTzxhaaHI5CSOVB4DvYVnJIYhILrT3BKAoUUnJIc4QSnJAV1zgPGIplYNjclOYIpTscJSFE+Qkn3qTjL9mrA0nHXoyg4oQCyFafjBKQoG/XtQ9gGFCcwoLUc9BFfvJPbLt4pY2oyMMDwilMQhFCeUMXp4+IdSWSFI+8tMAUxCPUVF5j2i3ckUYJKS0GOgNJSkII6uSFjMbFsZkpyBJOWjnt3RPkItdurtGyvACwddzqKghNKH1taOu7dEWWjvn0I25C0HB7QWg66+b8/evt11dLqD10a0vPhR6PhtFGPiYM3TVWfN9DhxziynX7kBtyvInuefvzXtVNSH3X8fC39Plm92Rx5bBTgxlZ50sjBX2sf5Uerf96ebPxy9Wp9Eu83zf97/fDXzd99sFaMX/YOPRrORpqS8ZydjAxLho9zkNwQFSlEILykGZCT3WHI1evJiWUU12PylbYnPHzPMairf9Da/82jsXv47vZ3/Pat/Wjj4E3ZmQGPl+Bq2Gok5UYIng0hiFz7gUtujOChkH0FLDM6ygEQIH95nkyK7XejnopTZoyHO3NZpvqkpb4DqNR3AJW5/lHoH/owZlltjz6VifMIJpsbnKkZRzDzOLEewWSHC07VxCOYZdIdwSyt9xi+5EcNztc+FL+GGc0cGGd8DHCm3eMIZhP744GwH8FkUygiBfwc6cyedoH1Ap7zAwbnSHjZBJSlWpelWpelWpelWpelWpelWpelGixLCz4zOOsST2TaS9J7/FDByZdwIrMrR+853uMLfsSUCZn1QHWrVHcpqtkIwicyuzLUDoD9RCabAJx4qScym2enC6oX7JIXrI42usrLu7s4GVe3Ward9IV205cHPpFZ2E5klimNEwU0bRY4uCgbBiaQd0RBCFuR6EbCf3/47sN3Hr67+q1e6r/RPz5ZvWoWj79Z7wukz9S6kWQctOeirApnxRfhJoypKAZhExVfMTv6R4IoIv2jLDOBvBAFCdhAEqSgbmEDg5FUcbNSN77sM1GWYE2kaFIpE967sniEwu1jRdmtK9O25eC4blYUnFD+4MUQOqYLWTTq+4egDbWQhsezloNey8rq6v6quLq9GSd5lI2z6/tyXMZJOk6TKkuyPFNlcRBZaZTPjazMqMnAAMPLSkEQQnUiy8q1EamRkaPE+I4+FwVTONjeGlIQg1BEvWhIQRQRDZnYejOCIAE1pCAFdQ4DBiNOE6Vst/xIsgTUkObvk7wri0eo0l41ZHsNYem4V1IUnFD+9tCQ5jFdyKJR3z8EbUhDDo9nLQd9xA73wnqmUlGTgQGG15CCIITqhGpILw53QWSFI++tLgUxCOXVi7oURJFRl5PEuLh8IYoSUF8KUlDnN2A44qyIJ2lu26QUhAkmMF1Od0k+Qg33qjDbWwdLxzWSouCEEshWmC6nuyQb9RVE2IYk5vCA1nLQa4mZR8ldehPdjq+LKtFbmtW4jO6uDt79zkzJaCRmTk0GBhheYgqCEMoTKjEffbbjxPbJDn1vzU9PkvLhe0nx8L3oWb75IPEvNmZ6/QffPPxV8xu/2qjT5he/0v8qq2teMEcKz9HemlQQg1CQcU06+FkPQSARZRqn5n22F6IoAZWpIAV1WgSGo6yypsDnxl2EmShMMGWaJvb+uSQfofR7Vabt9YSl48JJUXBCIWQrU+ugLmTZqK8gwjakTIcHtJaD3mx+3l0ncaGKcamb7dntfaNn7+6r5o9eFeX1XaNl49v3D6BMjU9Ao0xdN4KYZToEGF6ZCoIQyhOqTP/Lww9Xv1q92sjLT9e3ZPx69Vn7bblPN7dd6r/OR+bPjj8XJVY48d46UxCDUF5xnenY+xREEVGYaToxH9t7IcoSUGIKUlDnN2A8kiTNy0muchPNTJQmmMaMJpVt81MSj1DDvUrMolUkjhsYRcEJNZAtMW1jupBFo76BCNqQwhwez1oOeq0w7+6vbpP06n58f319O87SJBlfxdfFOLpJq/Imye7SdDvmYRWmsWg1CtN1UYgxGRhgeIUpCEKoTqjC/PHuCraHH6xenXTfonj98OFGeK5vyHi16b+/1hez/XH7ZRDdkNfd+e1tGp+vvljvk67/qb6xbRQnUTRKlLnj8Vw0VQpP1d7SVBCDUJZxaWr/1IYgiYgytRxTeSFKElCXClJQZ0VgNOK0iiel7do2SZhgsjRO1UQZ93bflQUklH6vwrS95Kt0XNsmCk6ogGxhah/VhSwc9SVE4Iak6fCI1nLQa2kaq6vbKM+SsSqiRsbm99fjKi+uxmlyn1zfRVV+o7aJCStNbV+nq6jJwADDS1NBEEJ9wqWpPoK++Vzd69UXrez8V31F8OZ8eqNbP+4k6ufP9Ln111qlbr+dtvWImpLxXDQZCk/G3uJTEINQenHx6dgXFUQRUZ+ReTH7QpQkoPoUpKBOfMBopFUxyXNlYpmJsoQTn3E1MR+gfFcWkFDcvYrP9uKv0nGTmyg4oQLyxad1VBeycNR3EIEbEp/DI1rLQa+/fqzRs/fd6vIv7m6+/Sd/9i1DIljiMjNxfiOrXBeINHK5z2n76rE9Wopk3H342BjuO+xw+4+ZI7mgMPyJVnebD+ieNPLvhxvD5TO9RalNl68aCfhqLQe/04jE76/145vVFyaq5w3V78/YaE8Ko51tv7q4+eJoFT9rfqSWQsiGyOgQ+JfZdOTnOvJzW+Tn/MgVPXL8i2xN4HMd+NwW+JwfOP5O8Cvv5nOQDUBtA6jZAE8+4zcAQHteLnXUl7aoL/lR43We+PW+JuilDnppC3rJC/qtcq9jD/ap/sz2gb4qdlKU1tRjwTInrImlD/AOO95+Yffxof715KRPBnyhP8PfzVvtZ9o/XO9qvFn70/9t/TH3zbff28/w63+wnsl+0/y5Vybc52zc/hQg+Cl+boiKFCIQ3urn287lx+2QvNaXI5ikhR6D/7D6aaMqfrX+Bv8XWlmsjXf/Yf1p/vW3+E9W/0fzx75cb1h9x8Q+ZbP3lyF7f2zfvgnDDRH87i++ueL42j43RvCDv3tum3Cj62uCPb+2b9zMnrGjO9x39qtk+8nqan1jjvVL+mwycCKlf0k/yVRp/ZI+O1xwKiV+Sb+Kuy/pV9abiV7yowYn1P2WSe3GURWPZg6MMz4GOFEyFkqb2HXYo8cDYaM451MoIgX8HOnMnnaBPV0vcQMGJ0B4Dw4oPDVYeBZ8KnDOpH0rP0mKyHbI/D1+rODcSfhYfldx3nO8qhf8iCnzKeuZaTc1B6pNzUYQ/lh+V2naAbARXPIJwLmVuNzWz04X1NOVNidYHe3Vzc31TXlVjO+ybHeA6+aQnwvI9H+bMJuleELDRPlMy3UHFmXJbgJ5RxSE0LlC1/L/rFeF673lZt34evXr5j/bi9r0NwIca3n9j3+yu3zvpFTRw/eSOIrWHxKYzvLo2fait4fvNL978wWB19p6+/Pt1wjeWNf9gilUeAoJi+9NFl3r6s/0xxdOtIXj4XsN+Wd6hb6+wPCLtT9Zf5vhh0P5/j2d1f/p5On/xMnvNeK8SX+cqGjdONDD8hu9A/Db9f0HeqNl/T/zVZN//Vufab/zV5PN/17zb/jyJEmi6P/RjN7mz7/RH7rVtyk2/8t/q40o7RckPm7K6rohoc/xfaY3GkxDOBUdQkIb08segiCKiJHDWGFfiHKEs3FIUlBbyMBY2PYtBCnCGTjyIo4mqeVgmygiYSL0sQbvVuLJtuFfOe61EwUn1D54+fhkXFVcJfYve4nyUV9BhG/AxQEMai0HrV0czwJfXZ3ZbhaoUidl1acM1g8zxvsOO15w+w7V0D76Yet/xSst0Eyoz9moGYbqpRfGDFGRQgTCI/fCftkI5u/p4aP3wJjM4BagF/3KDBHczyPoUkcPjBkjuI+3r+ZkRkfZswPylxuTN2OHd8AmWNbuRafuJhiXDJw9GU2wqEzt</t>
  </si>
  <si>
    <t>TTBuuOD8SW2CpbsmmPVupZf8qMFZ1IcA1zCjmQPjjI8BzpD7NMHS0eOBcDTBuBSKSAE/Rzqzp11gvYDn/IDBGRBexQCFpwYLz4JPBU6atCZYFbl6YNxQwbmT0gNLdz0w65t6wY+YMp+yHpluSeguNjUbQboHlo4eD4CjB8YlAKdWcg8sPe2C6gW75AWro71PbrM4T9PxXVpWx9IDs9g7m+V3RsNE+UxLdAcWZZluAnlHFKSvOlzjA67fvfXA8lI3YSovPTDBFCo8hYRF91s9sN56Wufss81/6YbVx+vG1XeHMjud1Xl0su6VfbX9x28djj75vbeaV0Wk815G0f+t+eVPm8T+av3v0R/92XzuZ53tX28W8g8/2I5TUUa6m/Vr/YH05vd+pxud/99f/rfs5OG7a3vyb9fdru23z0+2bbH1nsL/0fzL/nJzPOfZycP3N/+L3V0+r9b/4oe/Wf+GL1avm4jX/0t6G6J51j44WX+YSKfp0+3/so70y5Pm9/7m4YfN/8ab1ZcT06MxFX00CPvLXvYmBFGC9tYEOQL21gQpqBv7wFhY90MEMY6luSaJSJhhfaztuxV+e4lf5biUURScUPzgZemTDaQiyxN7b00Sj/oKInhDvbXhMa3loDcnpN8SjVaR7/WItHER06h75cLMoj6mrbnm94C0Mdh32MHiR0FRcf7zt86JvTYF22hlpU89MyMOfeo5f3amYmt540JkdAh8e2F76jl/dm6L/JwfuaJHjm8rbE4958/mtsDn/MDxR51fTbe7lvmz2gZQswHETz3nzy5tUV/yo8ZLN3ELanPqOX+2tAW95AW9fljeDzn/WPeXcmf4sTXncLSsGch62pkZLv5ionPQ/7n+dttX3dJ+vWLXDtwPH36w8diutyc2X3Fbb3xsbvZ9fMq5+Q0m0Gb+yvX8xaQNPX8VzfwVRfpHqn/o6SyqbNMZlynEdFY001kDcq5BzjXIuQ3knA+i6CCkijXXHHPNMdccc80xt3HM+Rz4O7X3ZFc0k13DU2ueWvPUNp6azSM+9xXN3NdAXGqISw1xaYO45EPgswhrKiyaqbBhWGqGpWZY2hiWPIa3Zkb9X4H8j6njEJLzDoMstY4EFixzdrTF+w473v6Usaf/8R8efrBtZ2y+Zdp1Od6e/T7Wm97rPXt9cOSTboN++1X+5nd9rjf7P9Vb7Guj3sZLuf5l8+S6sU6uZ9//tvp75+/aRPHwN5MTpZ2AX5rS+Zydzv5sJemxZIaoSCEC4SUnD/+vjZvSFOiUHShoC8GbD9brAbgRghYPQk/B4Ytkxgh6O/btFzCjo/g4gPzZ2gDM6A5oiyz1F/Gq1qJUuL2RXDxwZqV7I1Vhcyn9z/xowamVao0sdtZI651GL/lRgxPsfguyrnFSjGYOjDM+BjixMdZgnWOpGD0eCIc1kkuhiBTwc6Qze9oF9nSxxQ0YnAPhHhRQfGpdfGqw+Cz4aODkSfNH2gvPe/xIwSmUYo8sdvZI69t6wY+YMq2yHpuuq+cuODUbQdoeWYweD4DDHsklAGdX4oJcPztdUE8X35xg1+vARGXX2fXd+OpGpePsKqnG+t6TcVUk13eFur5JsusNj3Vd/qdXPu2RjtVuszp3XuPyFBPlM63gHViUVbwJ5B1REIJ5A13e/3f9Jer1ByVetefpPt3ds6d9ce1lJuvLnddGubcuN3n4y+Y/f7U22L3Zbg5szHSbpfvPV/+0+mi8+sXql6u/W/109V+an/+y+uWzkzRq/qc+Pfm9d2Znxnf0uWgaFZ5GfM28yaR2+FkzebL6hV5Vr12S670R3UT41dq82P2OXZaTSPsFP33//W8x/9V6bNZj9P3tmLT/RkPCp6IJ72seR8IJa38Lyh+IoogYDzPzZfYvREkCWg8FKai+J2A0bFsOghThnIfJRJUmvndl+Qgzl491c7d6bm+Qqxx3AoqCE0ofvOSDB3Uhy0Z99xA254AukAGt5aDXurrMy+SmuC3G12kRjbP87n5c3WTX47RKo+q+urpK77alNaiuNm6EN7q6ouYC4wuvqwVBCNUJ1dU/7rW6Gsn296v/2ujgn61+Ol59pP9rLYo/Wv3yj7WeNkE/F4VWODSugk0YU1EMQoH1oi0FUUS0ZTTRe6RPUV6IogQUl4IU1AkOGQ4TxUyUIpy4tJ5kf1cWkFC/varL9oq4ynHpnyg4ofjx1aV1VBeycNS3D4EbkpfDI1rLQa+PtDzrprTAtimzgFTbobfRPrniMJBtKrfYptjxgl1dVP/9fH22+dOtR2qrAC0+4l80KvDvd46nt1xVm1/7b+0/dfib2NwZxu3B38QOUZFCBMJLO3/T5MS0udozdvc3aX9vfaz9t3p7+5fjeJI9a/+q7P4q3v5VMkm7v8q6v8q7v9r9iaT7td2fVd1fFU/+RPP7ot1ftv/GrPvTWfe/rLpfU93/Stn9Wjkx17kpe7jADjdBjVtcXuwIwUY1LrLtLi92jH0FLeLyYkdHaUcD+UuKspqkxg7ojB3jwbxeKor1wYntnSzaZu3wevHxQDlA93oVldXrxY8W1AM0r1cTTuv12qbZFPVLftSgKvCxqtAwo5kD44yPAU7yfK+Xjv3xQFi9XnwKRaSAnyOd2dMusF7Ac37A4EwIL82A4lPr4lODxWfBRwOnUJrXy1543uNHCk6kuNdrV3Tec7ytF/yIKZMr67HZLneHCk7NRpD1eu2KTTsAVq8XnwCcXYleL/3sdEH1gl3ygtXR3qi72yoqq/H1nVLj7PquHJe31+k4uk/K/Cq5vb6+Uhse62aCY3eFu6Fg8Xo1FYqGifKZth0cWJStBxPIO6IghD1NdE/ikF4vUwKfiyZQ4QnEdw5MGFNRDMIWL2FFbetviaKI9Lds3ilRkmDtLVEK6gY7MBpxopTejjKOyUyUJlybK5lExq2Kd2X5CDOCj/VotyqNNz2R7V+YwM9kwQklEF5KwYO6kGWjvoMIm7vJhQxoLQd9vB4qy01EjV5NqLnA+MLrVUEQQnVC9aoXD5UotMKh99aYghiEAutFYwqiiGhMq4dKFCWgyBSkoE5wwHBkcTnJotzEMhNlCScx7U4qWUBCFfeqMZNWktjv3pQFJ5RAvsa0O6lk4ajvIAI3JDKHR7SWg9Yq0yUe/TqnUhNdIxtTB13m2HrGgqXIQcw5xYwX7JGiqi+8c4rJnWHcXpxTzBAVKUQgvOR3zinEOcUcLrBfTNDgVucUM0Kw7YtLa5dzihkj2PDdVzMzo6M0d4H8pVoM6x730xhn7BgP6JzKtHNKteYF5w2ifDxQDnh2TnGjBfUA1TmV7pxT9gtE+VGDqsDHKkLDjGYOjDM+BjjJ7+OcSkePB8LhnOJSKCIF/BzpzJ52gfUCnvMDBmdCeCkGFJ9aF58aLD4LPho4hXp0TnEjBSdSinMq3Tmn7JeI8iOmTK6sx6Zb3roLTs1GkHZOpaPHA+BwTnEJwNmV7JxKT7ugesEuecEebSfKdslDU6FomChf+E6UIEhfebjGB9yT8NSJEoRWODS+2jdhTEUxCNuwhFWwvRMliBK6EyWIErATJUhB3QUHhkPFyaRIbOeWBFmOoxMlCUio4j7WkN1KMmv7FvaLKmXBCSUQXv7go7qQhaO+gwjcUCdqeERrOejjteenVruTouYC4wsvMgVBCOUJFZlHaM8XTKDCE7i3YBXEIFRrL4JVEEVEsNrt+YIkAfWqIAV1rgRGI1ZpGU9K4+7CTBQmnGB1uPMl+QgTgle9qlp1oxx6VRKcUAH5etXhzpdko76CCNuQXB0e0FoOWn+C6tlmVgv46anMRNkI0dxBmWZ5nzKYgcpoPX2HHW+/dByRgUpLx4fvP3z48F39i/q/G3n5xerV5h8nDlMVMxcZlgsvpipmiIoUIhAe1VT15MP+69H9bPNfX6zvAPig+e/v/ruxWzEHEmwyE3S71W7FjBDsFeNy3GW3YsYIdon3FdrM6CgdYSB/brsVM8YD2q3WF36XreMhd9utuHigeKDbrVSW2+1W3GhB9UC1W+U7u1XusFtxowY1hI+lh4YZzRwYZ3wMcPrfx26Vjx4PhMNuxaVQRAr4OdKZPe0C6wU85wcMzoTw+g0oPrUuPjVYfBZ8NHAKpdmt7IXnPX6k4ERKsVvlO7uV9W294EdMmVxZj023KHYXnJqNIG23ykePB8Bht+ISgLMr2W6Vn3ZB9YJd8oJdL3UT5KIVzWPdenDswXC3H6x2K/fdi08wUT7TJoUDi7JRYQJ5RxSEsPGJ7mAcshPmuJRQNI0KTyO+s2DCmIpi9JWEA4Owrrb3wwRRRPph8cS4eHwhShKwHyZIQd2MB0Yjj5U2cGUmmJkozFH0wyT5CNOCj0VptzQt2vaJ9QrrM1lwQgWE11PwoC5k2aivIMLmHNAFMqC1HPRatF5f39xd3afVWGXZzTgryvvxVR6pcRZfl7fx9dVtqrZvc1DRatxrbkRrSc0FxhdetAqCEKoTKlqfnhHQf9vI1k3b7YNGh/7m4W+b3/CD1ecnq39uVKdWoP+0+knzn5/+cadff9oeJ9C/5380f/OLk5cLFZ+s/s6UpeeiWVJ4lvbWpIIYhIrsRZMKoohoUsehAkGUgKJUkII6IwLD4T5UIMgSTJOW5aS0nSmQ5CNUfa+atGwljP0WallwQgVka1LroC5k2ahvIMI2pEmHB7SWgw77cStlomtUZuWgyxzb1ViwFPWIebOY8YJ9VVQkHoc3i5mLDMuFF28WM0RFChEIj3pV4O+8WT1dzxxIsCNN0OtWbxYzQrCxjMtwlzeLGSPYUt5XXzOjo7SPgfy5LxFkxng4b1bzZjY/4tYeUbm9WVw8UDx49mZxowXVA9WbVe28WdZ7n1/yowY1hI8lh4YZzRwYZ3wMcPrfx5tVjR4PhMObxaVQRAr4OdKZPe0C6wU85wcMzoTwug0oPrUuPjVYfBZ8NHAK9ejN4kYKTqQUb1a182ZZ39YLfsSUyZX12HSLYXfBqdkI0t6savR4ABzeLC4BOLuSvVnVaRdUL9glL9ijbXMpmzcrjmiYKF/wNpckCGHDE93BOFCbSzJLCs8SvnFgwpiKYhA2eQnLZmubSxIlcJtLEiVcm0uSoq8mHBToct15i4skyzG0uUT5CFXfx5qzXXnG0bYrEjuusBcFJ1RAeLkED+pClo36BiJsA20uYEBrOejjPS+gbNar2HVpojEXGF94TSoIQqhOqCY91vMCkmlUeBr3Fq2CGISS7UW0CqKIiFbreQFJkoCaVZCCOmMCo6GiJJqUuU20CsIEE62O8wKifIRpwatobS9Djh23W4uCEyogW7Q6zguIslFfQYRtSLQOD2gtB62/n/Wf35JrVlX6F3c33/6TP/uWIREsUWoTpImDM82KPqfNpWWPlqI1d0YtY7jvsMPtP2aO5IKK8v9s1OAHmz3Ohx+sXp1o404jHt88fPjwg60stLi2eoYgE2gjDJPfn7Fpn5RKO+5+lXLrQ0i1DyHXP6rmR5LoH0r/KJsfaax/6Fu7Uv0tmUybFjL9JzL9JzL9J5T+E0r/CaX/RK7/RK7/RK7/RKH/RKH/RKH/RKH/RKn/RKn/RKn/RKX/RKX/RNX8iTyK9I9U/8j1j+ZP5HGifyj9o/kTeRLrH5n+of9Eqv9Eqv9Eqv9EWtnqPHdEMvqI4A0rPQznehjO9TCc62E418NwrofhXA/DuR6Gcz0M53oYzvUwnOthONfDcK6H4VwPw7kehnM9DOd6GM71MJzrYTjXw3Cuh+FcD8O5HoZzPQznehjO9TCc62E418NwrofhXA/DuR6Gcz0M53oYzvUwnOthONfDcK6H4VwPw7kehnM9DOd6GM71MJzbhuGcPwyKPgx4160ZhbkehbkehbkehbkehbkehbkehbkehbkehbkehbkehbkehbkehbkehbkehbkehbkehbkehbkehbkehbkehbkehbkehbkehbkehbkehbkehbkehbkehbkehbkehbkehbkehbkehbkehbkehbkehbkehbkehbkehbkehbkehbkehbltFOb8UcCrMX/O37oUUu1SyPWPqvnRjEatR6PWo1Hr0aj1aNR6NGo9GrUejVqPRq1Ho9ajUevRqPVo1Ho0aj0atR6NWo9GrUej1qNR69Go9WjUejRqPRq1Ho1aj0atR6PWo1Hr0aj1aNR6NGo9GrUejVqPRq1Ho9ajUevRqPVo1Ho0aj0atW00avZoPGmiD4wGrSxd6iG41ENwqYfgUg/BpR6CSz0El3oILvUQXOohuNRDcKmH4FIPwaUegks9BJd6CC71EFzqIbjUQ3Cph+BSD8GlHoJLPQSXeggu9RBc6iG41ENwqYfgUg/BpR6CSz0El3oILvUQXOohuNRDcKmH4FIPwaUegks9BJd6CC71EFzqIbjUQ3BpG4JL/hDg2o9oBGhGYKlHYKlHYKlHYKlHYKlHYKlHYKlHYKlHYKlHYKlHYKlHYKlHYKlHYKlHYKlHYKlHYKlHYKlHYKlHYKlHYKlHYKlHYKlHYKlHYKlHYKlHYKlHYKlHYKlHYKlHYKlHYKlHYKlHYKlHYKlHYKlHYKlHYKlHYKlHYKlHYKlHYKlHYGkbgSVvBNY16f1OhAf7rG1idS6kTorK+hxhwTIVuY7aFO877HhB2yMqyX+2s8/bDk280paDJ478D5pfa/7kq9Vn673g7zTSXv/WtUuh+R3NH3mz+rTnaniz/TcZ/yc2W8efnCTNv7v5n3nz8CNT4p6zE9dXk4LnLLghKlKIQHi7b+CaAp2yAwXdk4S9Zds5Am6EoAmSsmVsPUfAjRG0P+67GcyMjmJ1BPJnzN2MHd0BTxDoJXPc3mcbuy/TZuOBcyj9BEEa2U8QsKMFJ1HiCYJ4d5l27LhMmx01OJXut93TbYnru23tGGd8DHBiY+yRtKbeeHeZdjxwmTabQhEp4OdIZ/a0C+zpgpwbMDgHwt0FoPjUuvjUYPFZ8NHAyZN2giApSusJAnak4BRKOEEQ7y7Ttr+tF/yIKdMq67HpWjbuglOzEYRPEMS7y7TdxeaSTwDOrsSNA/3sdEE9XWZzgl1L2bv7Mo7ur8dVnMTjOL6rxmV0dzWOIhWpvCzjSg31xf70yq9by7qubdbhGQ0T5TOt1R1YlPW6CeQdUZC+8nCND7iQ/+jtZfwn6w8iNKvrcfNfr5tf/e32GMHr5h90PqzX66W5/gd/q3+2v/x36y2B13oNvrF5PTtZfdmsx3/48Df675oFe/ObfrK2hu1+w4/j31t9tPpJ3LytF994eVJEqTKl9bloWhWeVnwN3d8i+bIjX29nDKZ6/bt2/4b13362+o1O4icPP1ib6b5Y/+fjh79u/qjeDvlk9Wr3R/W+y2drg90Xq9cn3/jWt+/+l6uT1S8ePlwb67pdl5Pf6w/S/3Ty8FfrnZYP9Y6KDkofHnn4/ubftR2mTH/6QA+cabSmoqNFsGgQNhLsJjVBFBGTWjQxziQvREkCmtQEKagOGWQ0TBQzUYpg7rRU2++NBx/flQUkzIM+VuHdWry9vDp2XEcuCk6offACEh/VhSwc9e1D4Ib8acMjWstBr2V6fl9G+f1tNL5PovtxdpM3v/e2qsY3d3dZlKf3V1G2nSaCynTjvnoj0xU1FxhfeJkuCEIoT6hM93HQ9+Vi7DrTK5gQhScEF9gmjKkoBqH6elGegihCytN6plcQJaD0FKSgTn7IcJgoZqIUwaSn6zSvJB+htHtVnu091LHjYnFRcELtYytP12leSTbqu4ewDQnP4QGt5aBDfrQ2sUrJ3EGX4cchgjmvmPH2S8a/P+cVM3EZljgvzitmiIoUIhDeoPOKGSjYdSbIVqvzihkh2DzG1ajLecWMEWwb7yszmdFRWsRA/mzykRndAZ1X+mRT3F5tG7vv1WbjgXOoZ+cVN1pwEqU6r3b3aseOe7XZUYNTqQ/lrWFGMwfGGR8DnNj2cV7t7tWOB+7VZlMoIgX8HOnMnnaB9QKe8wMG50B4+QIUn1oXnxosPgs+Gjh5enRecSMFp1CK82p3r7b9bb3gR0yZVlmPTbcmdBecmo0g7bza3avtLjaXfAJwdiU7r/S92uZCs+QFe7QtHfsJqIKGifKFb+kIghD2/dCFfICWjmBCFJ4QfPVrwpiKYvQ1gQODsDa2t3QEUUK3dARRArZ0BCmo28rIcJgoZqIUR9HSkeQjlHYfC8tuedlepRw77sYWBSfUPnhNBA/qQpaN+u4hbM4BXSADWstBr4Vn8y+5re7L2/H9/ZX+vXfluCxuk3GSJvlVflNlZZq9H1542hpArjsZjbnA+MILT0EQQnVChecjy/9Xq1frGxC/8/DDh7/eGPn7pv3Fn//Zt+9uvn3yH+9u/uzPt8JTu8CrKEpNCXkumhCFJwQXno9z8qbJyFdbT/2b1edrj/2PHBb61U9XP362c82Pt1+2XQv3NlEbu7yxFE5F80Wo8l4UriCKkMI1PsQvREkCClxBCuoki4yGiWImShFM4CZJPskLE+C7soCEOcSrwm0vZo4dN22LghNqH1vh2kd1IQtHffsQuCGJOzyitRx0WNeScVZoRGvlpCv7dAd3LTHjBVutqOb8GrqWmInLsMR5cS0xQ1SkEIHwBl1LzEDBji1Bt1pdS8wI+5JU1LXEjBFsue4rNJnRUdqrQP5sApIZ3eFcS4n+FHPSXvoau2+cZuOBc6hn1xI3WnASpbqWdjdOx44bp9lRg1OpD+mtYUYzB8YZHwOc2PZxLe1unI4HbpxmUygiBfwc6cyedoH1Ap7zAwbnQHj9AhSfWhefGiw+Cz4aOHl6dC1xIwWnUIpraXfjtP1tveBHTJlWWY9NtyZ0F5yajSDtWtrdOO0uNpd8AnB2JbuW9I3T5kKz5AV7tM2j1OZaSiIaJsoXvHkkCULY+EMX8vLNI8mEKDwh+OrXc/No/U++XH8a6q3vL20+u6T9lY4+kmTqCHuphPW4tY8kiRK2jyRJEq6PJEnR1yoOij23ASQpjqKPJApImE58LGbbJW3S3nycOK6yFgUn1D54HYaP6kIWjvr2IXADfSRgRGs56OP16FuvDkzcVyQacoHxhVe7giCE8oSqXXmPvmRCFJ4QXO2aMKaiGITq60V5CqIIKU+bR18SJaD0FKSgTn7IcJgoZqIUwaSnw6Mvykco7V6VZ3t9ceK4j1oUnFD72MrT4dEXZaO+ewjbkPAcHtBaDjqsgSkz0TVSMnHS2S8/wIKlSETIwMSNF+y6okrw62dg4iYuwxLnw8DEDVGRQgTCGzIwcQMFm7cE2WozMHEjBHuwuBp1GJi4MYLd131lJjM6SqcVyJ9NPjKjO6CBSV8jn2RbD0GSOA1MbDxwDvVrYGJHC06iRANTknQGpk2aTVG/5EcNTqU+lLeGGc0cGGd8DHBi28PA1MT+eCDsBiY2hSJSwM+RzuxpF1gv4Dk/YHAOhJcvQPGpdfGpweKz4KOBk6c/AxM7UnAKJRiYuqLznuNtveBHTJlWWY9NtyZ0F5yajSBsYOqKTTsAdgMTmwCcXakGpubZ6YLqBbvkBXu0LZ3MamBKaZgoX/iWjiAIYd8PXcgHaOkIJkThCcFXvyaMqSgGYVuTsDa2t3QEUUK3dARRArZ0BCmo28rIcJgoZqIUR9HSkeQjlHYfC8tueZm2HQDHneqi4ITaB6+J4EFdyLJR3z2EbailMzygtRz08TrnM6uXKKPmAuMLLzwFQQjVCRWeAZzzgglReEJw4enVOT98WbHNNS+YNkKx9yJ0BVGEhK7xWX4hShJQ5wpSUOdaZDRMFDNRimA61+malwQkTCVehW57tW3iuKxYFJxQ+9hC1+mal4Sjvn0I3JDSHR7RWg46rHlJmega7apcdCrq0x3cvMSMt18z/v2Zl5iJy7DEeTEvMUNUpBCB8AbNS8xAwcYtQbdazUvMCMH+Ky5HXeYlZoxg53VfocmMjtJlBfJnE5DM6A5oXsq1ealo/QPKbV7i4oFzqGfzEjdacBKlmpfUzrxkvQv3JT9qcCr1Ib01zGjmwDjjY4AT2z7mJTV6PBAO8xKXQhEp4OdIZ/a0C6wX8JwfMDgHwusXoPjUuvjUYPFZ8NHAydOjeYkbKTiFUsxLamdesr6tF/yIKdMq67Hp1oTuglOzEaTNS2r0eAAc5iUuATi7ks1L6rQLqhfskhfs0faQlNW8lNMwUb7wPSRBEMLGH7qQD9BDEkyIwhOCr3699pB0Pptf/+7qV+ttjPPn9Ul9kkRpNL4oo3fcXSTBxBF2UgmrcXsXSRAlcBdJkCRgF0mQgrqPjYyGiWImSnEcXSRJQMJk4mMp2y1o87bn4LgIXRScUPvgVRg+qgtZOOrbh8ANdZGGR7SWgz5eo76y+qUKai4wvvBaVxCEUJ5QrRvAqC+YEIUnBNe6JoypKAah+npRnoIoQsrTatQXRAkoPQUpqJMfMhwmipkoRTDp6TLqS/IRSrtX5dlep5s47kcWBSfUPrbydBn1Jdmo7x7CNiQ8hwe0loMOa1/KTXSNlHRejafiPt3B7UvMeMGeK6oEv4b2JWbiMixxXuxLzBAVKUQgvEH7EjNQsHVLkK1W+xIzwr4iFbUvMWMEe6/7ykxmdJQ+K5A/m3xkRndA+1L17EylUesgKN32JS4eOId6ti9xowUnUap9qdzZl6yX4r7kRw1OpT6Ut4YZzRwYZ3wMcGLbx75Ujh4PhMO+xKVQRAr4OdKZPe0C6wU85wcMzoHw8gUoPrUuPjVYfBZ8NHDy9Ghf4kYKTqEU+1K5sy9Z39YLfsSUaZX12HRrQnfBqdkI0valcvR4ABz2JS4BOLuS7UvlaRdUL9glL9ijbenkVvtSRcNE+cK3dARBCPt+6EI+QEtHMCEKTwi++jVhTEUxCNuahLWxvaUjiBK6pSOIErClI0hB3VZGhsNEMROlOIqWjiQfobT7WFh2y8uq7QA47icXBSfUPnhNBA/qQpaN+u4hbEMtneEBreWgj9c3n9u8RGlEzQXGF1x4SoIQqhMqPOV985IJUXhCcOHp1zf/6/UHl15tpbtOVeudz6Pxiyz6ptM7L5k8Qsn3IXclUYTkrvGJfiFKEk7tSlJQZ1xkNEwUM1GKYGrX5Z0XBSRMKD7lbtrecps67i0WBSfUPrbcdXnnReGobx8CN6B3gRGt5aDDWpiMQ9ooWOfleCrp0x3awsSNF+y7ogL062dh4iYuwxLnw8LEDVGRQgTCG7IwcQMF27cE3WqzMHEjBLuwuBx1WJi4MYL9132FJjM6Sq8VyJ9NQDKjO5yFKU20hSndugjS2GlhYuOBc6hfCxM7WnASJVqY0rizMKXWa3Ff8qMGp1If0lvDjGYOjDM+Bjix7WFhamJ/PBB2CxObQhEp4OdIZ/a0C6wX8JwfMDgHwusXoPjUuvjUYPFZ8NHAydOfhYkdKTiFEixMXdF5z/G2XvAjpkyrrMemWxO6C07NRhC2MHXFph0Au4WJTQDOrlQLU/PsdEH1gl3ygj3aTlJhszClCQ0T5QvfSRIEIWz8oQv5AJ0kwYQoPCH46tdvJ+nf1r/+4bqPtOkhxVERjb+ZRBfuHpJg2gj7qIS1uL2HJIgSuIckSBKwhyRIQd3FRkbDRDETpTiOHpIkIGEq8bGQ7ZazSdtxcNyILgpOqH3wGgwf1YUsHPXtQ+CGekjDI1rLQR+vWb+weqZSai4wvvBKVxCEUJ5QpStv1pdMiMITgitdE8ZUFINQfb0oT0EUIeVpM+tLogSUnoIU1MkPGQ4TxUyUIpj0dJj1RfkIpd2r8mzv1U0dFyWLghNqH1t5Osz6omzUdw9hGxKewwNay0GHNS8Zj7c2UjJz0qV9uoObl5jx9kvGvz/zEjNxGZY4L+YlZoiKFCIQ3qB5iRko2LglyFareYkZIdh/xdWoy7zEjBHsvO4rM5nRUbqsQP5s8pEZ3QHNS0qbl/LWP5C5zUtcPHAO9Wxe4kYLTqJU81K2My9Zr8V9yY8anEp9KG8NM5o5MM74GBkRg+EnyEaPB8JhXuJSKCIF/BzpzJ52gfUCnvMDBudAePkCFJ9aF58aLD4LPho4eXo0L3EjBadQinkp25mXrG/rBT9iyrTKemy6NaG74NRsBGnzUjZ6PAAO8xKXAJxdyeal7LQLqhfskhfs0bZ0Sqt5SdEwUb7wLR1BEMK+H7qQD9DSEUyIwhOCr35NGFNRDMK2JmFtbG/pCKKEbukIogRs6QhSULeVkeEwUcxEKY6ipSPJRyjtPhaW3fJStR0Axw3louCE2gevieBBXciyUd89hG2opTM8oLUc9PG65kurlyin5gLjCy88BUEI1QkVngFc84IJUXhCcOHp1zX/Rv/Lmn+Dds9/8pZ3fv39pW+mQ955weQRSr4XuSuIIiR3jU/0C1GSgGpXkII64yKjYaKYiVIEU7tO77wkIGFC8Sp325tuU8fdxaLghNrHlrtO77wkHPXtQ+CG9O7wiNZy0M3//dFb+kjrvT906Vq/lqbKRNso2sJBmzquF8CCpSjVty1NqVmBv8OOF+zDooL0nxu1pL1GrbHpTaNE9bbnq5O1kPqVdjI9/KBRXo1q+vut7ejNExvUI7cT7E1iZiDDMuDFm8QMUZFCBMLbeZMmJ6ufr345jieZKeQpO2SwQ0uQplaXEjNCsNGKK06XS4kZI9hi3VdLMqOjtFOB/EWTUpkCnLEDPKBRqdRGpar1ChRuoxIXD5wZ6UalLM/sRiVutODUSDUqFTujkvUC3Jf8qMEJ0ofA1jCjmQPjjI8BznL7GJWK0eOBcBiVuBSKSAE/Rzqzp11gvYDn/IDBaRBepQDFp9bFpwaLz4KPBs6fNKOSvfC8x48UnEUpRqViZ1Syvq0X/IgpMyvrselWfu6CU7MRpI1KxejxADiMSlwCcHYlG5WK0y6oXrBLXrCbR+bqvri/S8dllqXjTOXl+KqIo3Gi4iS7vy2ym9vtC2tdVzs2Grhra6tRyXUfngET5TOtwB1YlFW4CeQdURDC9h66PH/UG/mkWV5/po8BjZv/et386m+3bqXXzT/4qvl/ulWyWX1/tPpJfFJEZgPJc9EsKDwL+Pp39ZMGbuPWWvfJoFS8vU3x7OQb55fTF984WTu5/mX1s9U/Nf/9X1f/vPr/PNu2iFSURuOLKnqnKU3Nn139Rv9ZfXTr9bob9XrbWXr98KNND8n4qkxFc0vYRyUs1O09JEGUvhpxoOArensPSZAkYA9JkIK6iw2NRqKMBWgmShKsjxRZlO+7sniEacbHIrdb6pZtz8FxL7ooOKH6weuzJ12kKJ8om2tKEo76/iFwQ12k4RGt5aCP165fWV1TFTUXGF94FSwIQihPqAoOYNcXTIjCE4ILYhPGVBSDUH29aE9BFCHtabXrC6IEFJ+CFNTJDxuOxPj1k5koSTDx6bLsS/IRyrtX9dnesJs6rkwWBSfUP7b6dFn2Jdmo7x/CNiQ+hwe0loMO+xWm2Dim31BZ5MDLVNbHO7RniRsv2JJF5eABPUvcDGRYBnx4lrghKlKIQHgGz5JxQp6yQwabtQQ5avMscSPsK01JzxI3RrDbuqd85EZH6axC+VOm+Gbs+A5nWcriZ82PZOsayCKnZYmNB86Mfi1L7GjBmZFoWcqizrKUWS+8fcmPGpwffehpDTOaOTDO+BjgJLeHZamJ/fFA2C1LbApFpICfI53Z0y6wXsBzfsDgLAgvSoDiU+viU4PFZ8FHA6dPf5YldqTgJEqwLHVF5z3H23rBj5gysbIem3alN1BwajaCsGWpKzbtANgtS2wCcHalWpaaZ6cLqhfskhfs0TZr4sjmWcrcF+A94UQBg3drJEEI23no8ly+WyOZEIUnBF8KmzCmohiE3UrC8tjarZFECdytkUQJ162RpKDuFkPDkSTG8ZiJkhxDt0aUj1DefawuuzVmvN3czxwXkIuCE+ofvDCCB3Uhy0Z9/xC2gW4NMKC1HPTxGuYb9WnxCmUJNRkYYHj1KQhCKE+o+hRyzEtmQeFZwCVnCMf8+qNKL7Lom/s55iVzS5gHvOhgQRQhHZyaSF6IkgSUwYIU1GkYGo3MWH9moiDBVLDdMC+KR5hlvIrg9oLbzHFlsSg4ofixRbDLMC8KR339ELghFTw8orUcdGDPkm1XNXXiqT7ewT1LzHjBniwqSw/pWWJmIMMy4MWzxAxRkUIEwjN4lmyilRky2K0liFGrZ4kZIdh0xTWmy7PEjBFst+6rHpnRUVqrSP7SapIYB3nGDvGAtqVM25ZU6xxI3bYlLh44OXq2LXGjBSdHqm0p3dmWrFfdvuRHDU6RPjS1hhnNHBhnfAxwntvHtpSOHg+Ew7bEpVBECvg50pk97QLrBTznBwxOhPDCBCg+tS4+NVh8Fnw0cAb1aFviRgrOoxTbUrqzLVnf1gt+xJS5lfXYdIs9d8Gp2QjStqV09HgAHLYlLgE4u5JtS+lpF1Qv2CUv2ONtHFkWFs0CO6NxooDhG0eCIH3p4RogcIUu1TgSzILCs4AvgWUbR+3lJc9OVr9aX+Hxg9Xne3aPBBNM2EAlLNjt3SNBlMDdI0GSgN0jQQrq9jUwGlk8KfLchDITRTmG/pEkHmGy8bHW7Va8WdttcFyELgpOKH/wMu3J5lbZyCFb/0gSjvoCInBD/aPhEa3loI/Ywx9bXVSKmgwMMLwYFgQh1CdUDAfw8AsmROEJwXWxCWMqikEov17UpyCKkPq0evgFUQLKT0EK6uwHDEcSTcrSuB6YiaIEk58uE78kH6G+e9Wf7aW6meOWZFFwQgFk60+XiV+SjfoCImxD8nN4QGs56MD2JZugzJ14eR/v4PYlZrz9mvE1ti8xM5BhGfBiX2KGqEghAuE9sS8l5g26KTtksGtL0KNW+xIzQrD5istMl32JGSPYdt1XPzKjo7RYkfxl6aSybUsyQzygfanQ9qWydRDkbvsSFw+cHD3bl7jRgpMj1b6U7+xL1mtuX/KjBqdIH5Jaw4xmDowzPgY4z+1jX8pHjwfCYV/iUigiBfwc6cyedoH1Ap7zAwYnQnhdAhSfWhefGiw+Cz4aOIN6tC9xIwXnUYp9Kd/Zl6xv6wU/YsrcynpsusWeu+DUbARp+1I+ejwADvsSlwCcXcn2pfy0C6oX7JIX7PF2bBKrfamgcaKA4Ts2giCEHT10hR6gYyOYEIUnBF8NmzCmohh9UeDAIKyQ7R0bQZTQHRtBlIAdG0EK6oYxMBxJPFFVZkKZiaIcRcdGko9Q330sL7tFZtFu8DtuJBcFJxRAeGUED+pClo36AiJszgFdIANay0Gv5WeU3t3kd0U8vk1ubsdZWWXjSpXNX93c5XEcqULdbxMTVn7a+juu6+qMycAAw8tPQRBCeULl5yP3/GeN1PzR445P86u/ePiw+U1vVp83v/hq9YV2en+0+km01Z7aGF5E5mu2n4tmQ+HZwLXn44R81QB/2mTjOw8/fPjrtWF+wCJfRNoiGCO2eGMpnIpmjFDlvchcQRQhmWvsur0QJQmocgUpqJMsMBpZOolLy1VwkijBVK7DFi+JR5hFvIrc9tbazHEPsSg4ofyxRa7zs0qScNQXEIEbUrnDI1rLQQf2JRlnhka3Vk68oo93cF8SM16w6YrKzkP6kpgZyLAMePElMUNUpBCB8Ay+pMwU8pQdMtiOJchRqy+JGSHYVcVVpsuXxIwR7Kfuqx+Z0VF6p0D+knJSGavxjB3h4WxJKnrW/IhbZ0DltiVx8cC50bMtiRstODdSbUnVzpZkvbr2JT9qcIb0Iak1zGjmwDjjY4DT3D62pGr0eCActiQuhSJSwM+RzuxpF1gv4Dk/YHAehNclQPGpdfGpweKz4KOBE6hHWxI3UnAapdiSqp0tyfq2XvAjpkytrMemW+u5C07NRpC2JVWjxwPgsCVxCcDZlWxLqk67oHrBLnnBHm9fKLXZkrZ7KTAnChi8LyQJQtjRQxfown0hyWwoPBv4SpjdFzpZ/XT14/bijTgqovE30+gC7RGdmNI3FU0fYZeUsCq3NokkUcI2iSRJwjWJJCn6asVBgW4GlJO8ME6RM1GSI+gRieIRZhQfC9p2WauibUdBOe45FwUnVD94LUbpEYnCUd8/BG6gRwSMaC0HfcRGfEuHplG87tv4DMnAAMMrXkEQQn1CFa+8EV8yIQpPCC56TRhTUQxC+fUiPgVRhMSnzYgviRJQfQpSUGc/YDiySZqZQGaiIMHEp8OGL8pHqO5e1Wd7Wa5y3H4sCk4of2z16bDhi7JRXz+EbUh8Dg9oLQcd2KBkLESNnEyceGUf79AGJW68YPsVVYMHNChxM5BhGfBhUOKGqEghAuEZDErGc9xTdshgY5agRm0GJW6EYH8VF5kOgxI3RrCzuq96ZEZH6aIC+UvKibHtMWMHeEB/Uqr9SdnWIqASpz+JjQdOjX79SexowamR6E9SSedPUtZral/yowYnSB+CWsOMZg6MMz4GOMvt4U9qYn88EHZ/EptCESng50hn9rQLrBfwnB8wOA3CqxKg+NS6+NRg8Vnw0cD5058/iR0pOIsS/Eld0XnP8bZe8COmzKysx6Zb6rkLTs1GEPYndcWmHQC7P4lNAM6uVH9S8+x0QfWCXfKCPd5uTWb1J6U0ThQwfLdGEISwn4euzwN0awQTovCE4GthE8ZUFIOwXUlYH9u7NYIoobs1gigBuzWCFNTtYmA4skkaGcdjJkpyFO0aST5CefexuuzWmGm7u++4XVwUnFD/4IURPKgLWTbq+4ewDbVrhge0loM+Ynd8ZvUKZdRkYIDh1acgCKE8oepT2h0vmA2FZwOXnmx3fGuMV1ESjS+K6B3UGG9K3FQ0cYRi70XsCqIIid3URPJClCSg1hWkoM61wGiUk9y4YzETBQkmdR22eEk8wlTiVem2988qx43CouCE4sdWuk5bvCQc9fVD4Iak7vCI1nLQgZ1JyoTXiFflxKv6eAd3JjHj7ReNr7EziZmBDMuAF2cSM0RFChEIz+BMMn7LcMoOGWzJEsSo1ZnEjBDsrOIa0+VMYsYI9lT3VY/M6Cj9UyB/STXJjGM8Y0d4QGtSrq1JResOUG5rEhcPnBs9W5O40YJzI9WapHbWJOsVtC/5UYMzpA9JrWFGMwfGGR8DnOb2sSap0eOBcFiTuBSKSAE/Rzqzp11gvYDn/IDBeRBelwDFp9bFpwaLz4KPBk6gHq1J3EjBaZRiTVI7a5L1bb3gR0yZWlmPTbfWcxecmo0gbU1So8cD4LAmcQnA2ZVsTVKnXVC9YJe8YI+3OaSs1qScxokChm8OCYIQdvTQBbp0c0gwGwrPBr4SZjeHHn06KVt3iKq9O0SC2SNskhIW5fYOkSBK4A6RIEnADpEgBXWLGhiNclImuYlkJkpyDC0iSTzChOJjPdutavO2oeC4q1wUnFD94KUYqUUkCUd9/xC4oRbR8IjWctBH7MVXVjdUQU0GBhhe8AqCEOoTKngDePEFE6LwhOCa14QxFcUglF8v4lMQRUh8Wr34gigB1acgBXX2A4Yjm2TmK5VmoiTB1KfLiy/JRyjvXuVne+GtctxgLApOqH9s+eny4kuyUd8/hG1IfQ4PaC0HHdigZFwGN3rSeXVdHvXxDm5QYsYLtl9ROXhIgxIzAxmWAS8GJWaIihQiEN4Tg1Jsfq6m7JDBxixBjloNSswIwf4qrjJdBiVmjGBndV/5yIyO0kUF8pfG+cT6PXdmiAd0KFXPzlQetSaB0u1Q4uKBk6NnhxI3WnBypDqUyp1DyXoZ7Ut+1OAU6UNSa5jRzIFxxscA57l9HErl6PFAOBxKXApFpICfI53Z0y6wXsBzfsDgRAivS4DiU+viU4PFZ8FHA2dQjw4lbqTgPEpxKJU7h5L1bb3gR0yZW1mPTbfYcxecmo0g7VAqR48HwOFQ4hKAsyvZoVSedkH1gl3ygj3ehk1udShVNE4UMHzDRhCEsKOHrtADNGwEE6LwhOCrYRPGVBSDsGFJWCHbGzaCKKEbNoIoARs2ghTUDWNgOLJiomLbylwQ5Sg6NpJ8hPruY3nZLTKrdoPfcYu4KDihAMIrI3hQF7Js1BcQYRvq2AwPaC0H/Z832Ff3xf1dOi6zLB1nKi/HV0UcjRMVJ9n9bZHd3B5Eflr8QnlETQYGGFx+SoIQyhMqPx/5wT9pNOhnjfh8M27+63Xzq7/datDXzT/4qvl/2iK+6f98tPpJfFJEZlnwXDQLCs8CrjkbPf3xVoNrSCwVbzfKnrk+rLQ5RZBlz95//1vNb9f/pkbOjx++v3ql+2pNjUBs9MaV21Q014R5wYcwlkQREsZG48wLUZJwuliSgjotA6NRqYnlqM5MFCWYLrb76EXxCPOOT1mct/fV5o4biEXBCeWPLYtdPnpROOoLiMAN6GJgRGs56MBOJmMhapSu8467PO7jHdrJxI0XbNOiQvWATiZuBjIsAz6cTNwQFSlEIDzDp5ZsspUZMtjAJchRm5OJG2FfaUo6mbgxgh3YffUjMzpKtxXIn8qziTIaS2fsEA/nZMoT7WRKt2aCPHY6mdh44OTo18nEjhacHIlOpjzunEy59dbal/yowSnSh6bWMKOZA+OMjwHOc3s4mZrYHw+E3cnEplBECvg50pk97QLrBTznBwxOhPDCBCg+tS4+NVh8Fnw0cAb152RiRwrOowQnU1d03nO8rRf8iClzK+ux6RZ77oJTsxGEnUxdsWkHwO5kYhOAsyvVydQ8O11QvWCXvGB1tNgxdc1jXVo79hbYy2ubkylPaJwoYPhWkiAIYUsPXaELf2tJMhsKzwa+FN73W0s6HVUUpft9ZEkybYTtUcJy3N4dEkQJ3B0SJAnYHRKkoG5OA6MR59UkzY0235koyzG0hyTxCHOJj6Vst6BN2maC425zUXBC/YNXYU+e2rJRO7b2kCQc9Q1E4IbaQ8MjWstBH7Frv7DaplJqMjDA8FpXEIRQn1CtK+/al0yIwhOCy10TxlQUg1B+vchPQRQh+Wlz7UuiBNSfghTU2Q8YjjKb5GVmQpmJogSTnw7Xvigfob571Z/tFbm5485jUXBCAWTrT4drX5SN+gIibEPyc3hAaznowO4k4zq4EZSZEy/p4x3cncSMt18zvsbuJGYGMiwDXtxJzBAVKUQgPIM7SZlCnrJDBpuyBD1qdScxIwR7q7jMdLmTmDGCXdV99SMzOkoHFchfavOKztgRHtCcpLQ5KW/9AZnbnMTFA+dGz+YkbrTg3Eg1J2U7c5L14tqX/KjBGdKHotYwo5kD44yPkRExGH6BbPR4IBzmJC6FIlLAz5HO7GkXWC/gOT9gcB6ElyVA8al18anB4rPgo4ETqEdzEjdScBqlmJOynTnJ+rZe8COmTK2sx6Zb67kLTs1GkDYnZaPHA+AwJ3EJwNmVbE7KTrugesEuecHqaK+z6yiJo6txeXWfjZvXKB9fx1fV+P7mKr+J0ywqrq42PNaVtWNrgb26tpqTFI0TBQzfsBEEIWzooQv0pw2bbRfG0rjZnO/+tPmb7+rV+3pN/unqTbNMXxuY9J/4Qh8P139u48Ixpem5aJoUniZ8iWzCmIpiEHYxCctmextHECV0G0cQJWAbR5CCuosMDEdmv6tNkiRcF8fhIpLkIxR9H2vObuWp2k1/xzXkouCE+gcvl+BBXciyUd8/hG2oizM8oLUc9BEb5kuriSinJgMDDK9JBUEI5QnVpNKGecFsKDwbuPTc1zC/uZw4idJofFH2Lyd+//1vUZ3zgvkj1HwvmlcQRUjzpiaSF6IkASWvIAV1ygVGo5rkyrifMRMlCSZ5HYpXEo8wpXhVvO1ltrnjemJRcEL1Yyte52eVJOGo7x8CNyR5h0e0loMObFyqTHiNiC2ceGkf7+DGJWa8YFsW1aCHNC4xM5BhGfBiXGKGqEghAuEZjEtG1T9lhww2bAlq1GpcYkYI9l1xkekyLjFjBDuu+8pHZnSU7iqQv7ScFEaZPmNHeEDjUqmNS1XrHSjcxiUuHjg3ejYucaMF50aqcanYGZesF9q+5EcNzpA+JLWGGc0cGGd8DHCa28e4VIweD4TDuMSlUEQK+DnSmT3tAusFPOcHDM6D8LoEKD61Lj41WHwWfDRwAvVoXOJGCk6jFONSsTMuWd/WC37ElKmV9dh0az13wanZCNLGpWL0eAAcxiUuATi7ko1LxWkXVC/YJS/Y420SVVbjkvsevCecKGD4JpEgCGFHD12gSzeJBLOh8GzgK2F2k6jtD6l1f6jq94fI31USTBxhf5SwHrd3hwRRAneHBEkCdocEKai708BoxPEkt91GJ4lyDO0hSTzCZOJjLdutaMu2meC49VwUnFD+4GUYqT0kCUd9ARG4ofbQ8IjWctBH/FmlyuqIqqjJwADDi11BEEJ9QsVugM8qCSZE4QnB9a4JYyqKQSi/XtSnIIqQ+rT68QVRAspPQQrq7AcMh5qUNm+SIEgw8en6qJIkH6G6e1Wf7c25ueMqZFFwQvljq0/XR5Uk2aivH8I2JD6HB7SWgw7rTTJ/p/UbqoiceFkf79DeJG68YOcVVYMH9CZxM5BhGfDhTeKGqEghAuEZvEnGj4tN2SGDPVmCGrV5k7gRgq1VXGQ6vEncGMGm6p7qkRtdf2ry4E3KTBHO2BEezptUxM+aH8nWHlBETm8SGw+cG/16k9jRgnMj0ZtURJ03qbBeUfuSHzU4Q/pQ1BpmNHNgnPExwGluD29SE/vjgbB7k9gUikgBP0c6s6ddYL2A5/yAwXkQXpYAxafWxacGi8+CjwZOoP68SexIwWmU4E3qis57jrf1gh8xZWplPTbtWm+g4NRsBGFvUlds2gGwe5PYBODsSvUmNc9OF1Qv2CUv2KNt1ySRzZtUxDROFDB4u0YShLChhy7Q5ds1kglReELwxbAJYyqKQdivJCyQre0aSZTA7RpJlHDtGkkK6n4xMBy6XWPp10iSHEO/RpSPUN59rC67NWa83d4vHDeLi4IT6h+8MIIHdSHLRn3/ELaBfg0woLUc9PE64xv1aTELFQk1GRhgePUpCEIoT6j6FHbGS2ZD4dnApSfbGd/7fFIejV9k0Tdhe/z73zIlcCqaQELR9yJ6BVGERG9qInkhShJQ8wpSUOdcYDS0Qz4xzh4zUZRgotfukBfFI0wqXjVve01t4bh4WBScUP7YmtflkBeFo76ACNyQ6B0e0VoOOrBJybaJmjrxVB/v4CYlZrxgCxZVoYc0KTEzkGEZ8GJSYoaoSCEC4RlMSrGxuE3ZMYPdWYIetbqUmBGCTVZcZrpcSswYwfbqvgKSGR2llQrkL00nSpkinLEjPKBLKdMuJdUaBVK3S4mLB06Onl1K3GjByZHqUkp3LiXrVbUv+VGDU6QPTa1hRjMHxhkfA5zn9nEppaPHA+FwKXEpFJECfo50Zk+7wHoBz/kBg/MgvDABik+ti08NFp8FHw2cQD26lLiRgtMoxaWU7lxK1rf1gh8xZWplPTbdYs9dcGo2grRLKR09HgCHS4lLAM6uZJdSetoF1Qt2yQv2ePtEsdWllNE4UcDwfSJBkL70cA0QuEKX7hMJZkPh2cCXwuw+UdsiSqMsGl8k+35BSTJxhA1Swnrc3h8SRAncHxIkCdgfEqSgbk8DoxFHk2h7I9XTfQBBlGPoD0niESYTH2vZbkWbtd0Ex4XmouCE8gcvw0j9IUk46guIwA31h4ZHtJaDPmJLfmw1RSlqMjDA8GJXEIRQn1CxG8CSL5gQhScE17smjKkoBqH8elGfgihC6tNqyRdECSg/BSmosx8wHGoSpcblwEyUJJj6dFnyJfkI5d2r/GwvwC0cNxqLghPqH1t+uiz5kmzU9w9hG1KfwwNay0EHdifZ9GTuxMv7eAd3JzHj7deMr7E7iZmBDMuAF3cSM0RFChEIz+ROyk0xT9kxg11Zgh61upOYEYLNVVxmutxJzBjBtuq++pEZHaWFiuRPRdkktR3WZMZ4QH9Sof1JZWsRyN3+JC4eOD169idxowWnR6o/Kd/5k6w30r7kRw1Okj5EtYYZzRwYZ3wMcKbbx5+Ujx4PhMOfxKVQRAr4OdKZPe0C6wU85wcMzoTwygQoPrUuPjVYfBZ8NHAK9ehP4kYKTqQUf1K+8ydZ39YLfsSUyZX12HTLPXfBqdkI0v6kfPR4ABz+JC4BOLuS/Un5aRdUL9glL9jjbdkkVn9SQeNEAcO3bARBCHt66Bo9QMtGMCEKTwi+HjZhTEUx+qLAgUFYIttbNoIooVs2gigBWzaCFNQtY2A4kkRN8qwwscxEWY6iaSPJRyjwPtaX3SqzaPf4HXeJi4ITKiC8NIIHdSHLRn0DETbngC6QAa3loI/YH59YLUPuG+gMycAAw+tPQRBCeUL1p7Q/XjAbCs8GLj4bYf3xVoxrO/zqyyYXP3z4G/03Dx/oX/hEO97XpvkP1r/vc52kzT940yTwq9WbcfNfr5uU/nar4F83/+Cr5v/p37X+2980//li/T+z+cXHLbf155gurv5Tk9U439NkL5h9wozhRTMLoghpZqOr5oUoSUDJLEhBnbCB0chUPEkqm89JkCWYZHa47CXxCFOSV8Xc3mpbOO4pFgUn1D+2Yna67CXhqG8gAjckmYdHtJaDDuxzMhaiRgRXTryij3dwnxMzXrCFi2rYQ/qcmBnIsAx48TkxQ1SkEIHwnvicMnMzYsoOGWzuEvSo1ebEjLAvNUVtTswYwe7svgKSGR2lEwvkL0mqSVaaQpyxQzycy6mMnjU/4tZoULldTlw8cHL07HLiRgtOjlSXU7VzOVnvtn3JjxqcIn1oag0zmjkwzvgY4Dy3j8upGj0eCIfLiUuhiBTwc6Qze9oF1gt4zg8YnAjhhQlQfGpdfGqw+Cz4aOAM6tHlxI0UnEcpLqdq53Kyvq0X/IgpcyvrsekWe+6CU7MRpF1O1ejxADhcTlwCcHYlu5yq0y6oXrBLXrCbR+bqvri/S8dllqXjTOXl+KqIo3Gi4iS7vy2ym9vtC2tdWjv2FtjLa5vLadt/hDlRwOBdJkkQwpYeukJ/1GWCGiWbBfhHq5/Eug+iTFl4LpoFhWcBXwL3u0tQKh7tVNjv8Xi2bsVVUZRuekKWtbVkzgh7ooQ1uLUnJIkStickSRKuJyRJ0ZcmDgp06Z+Xk+Z/1oQyE0U5gpaQKB5h/vCxfG0XsWW0bSCUjkvPRcEJ5Q9eeT3Z7ysbhWNpCYnCUV9ABG6gJQSMaC0HfcQufktDptG37qv5DMnAAMPrW0EQQn1C9a28i18yIQpPCC51TRhTUQxC+fWiPgVRhNSnzcUviRJQfgpSUGc/YDjSbJLZ7oWTRAkmPx0mflE+Qn33qj/bu3NLx2XIouCEAsjWnw4Tvygb9QVE2Ibk5/CA1nLQgR1JmQmvEZSJE6/s4x3akcSNF2y3onrwgI4kbgYyLAM+HEncEBUpRCA8gyPJuEE3ZYcMNmIJetTmSOJGCPZTcZnpcCRxYwQ7qfvqR2Z0lK4pkr98UloMSdwID2hISrUhKdt6AsrEaUhi44Fzo19DEjtacG4kGpLKpDMkldZ7bF/yowZnSB+KWsOMZg6MMz4GOM3tYUhqYn88EHZDEptCESng50hn9rQLrBfwnB8wOA/CyxKg+NS6+NRg8Vnw0cAJ1J8hiR0pOI0SDEld0XnP8bZe8COmTK2sx6Zb67kLTs1GEDYkdcWmHQC7IYlNAM6uVENS8+x0QfWCXfKCPd6GjeWkQ7O+TmmcKGD4ho0gCGFDD12gB2jYCCZE4QnBF8MmjKkoBmG/krBAtjdsBFFCN2wEUQI2bAQpqPvFwHAkE5Uap6uZKMlR9Gsk+Qjl3cfqsltjpu32vuP6cVFwQv2DF0bwoC5k2ajvH8I21K8ZHtBaDvqI7fCZ1S6UUZOBAYZXn4IghPKEqk8pO7xgFhSeBVxyytvhN99QctnhBXNGqO9e9K0gipC+NXbbXoiSBJS3ghTU6RUYDTWJ8sxEMhMlCSZvHW54STzC9OFV3baX1paOa4hFwQnVj61uXR9IEoWjvn8I3JC8HR7RWg46sB1JmfAawaqceFUf7+B2JGa8/aLxNbYjMTOQYRnwYkdihqhIIQLhPbEjKdsHkrghg21Yghq12pGYEYLdVFxkuuxIzBjBPuq+8pEZHaVniuQvKizu0Bk7xAP6kXLtRypaS4By+5G4eODk6NmPxI0WnBypfiS18yNZb659yY8anCJ9aGoNM5o5MM74GOA8t48fSY0eD4TDj8SlUEQK+DnSmT3tAusFPOcHDE6E8MIEKD61Lj41WHwWfDRwBvXoR+JGCs6jFD+S2vmRrG/rBT9iytzKemy6xZ674NRsBGk/kho9HgCHH4lLAM6uZD+SOu2C6gW75AWro8W+P6x5rEtrx94Ce3lt9SPlNE4UMHxHSBCEsKWHrtCFr+GQzIbCs4EvhR9vPnzVAOsbN77z8MOHv143gax9n7e/gvT21Rnvv/8t4uUZkjkj7I0S1uL2zpAgSuDOkCBJwM6QIAV1ZxoYjTSZxIXN+SSIcgytIUk8wjziYxnbLWbztpHguNdcFJxQ/uAVmOlDSamtNSQJR30BEbih1tDwiNZy0Efsu1dW51NBTQYGGF7nCoIQ6hOqcwP47gUTovCE4FLXhDEVxSCUXy/qUxBFSH1affeCKAHlpyAFdfYDhiPOJ9F28noqPwVRgslPl/Feko9Q373qz/Zy3NJx27EoOKEAsvWny3gvyUZ9ARG2Ifk5PKC1HHRgZ5KxEDWC0nkzXRH18Q7uTGLGC7ZdUT14SGcSMwMZlgEvziRmiIoUIhCewZlkfK6m7JDBhixBj1qdScwIwb4qLjNdziRmjGBHdV/9yIyO0j0F8pdOMtumJDPAA/qSqmdnqopaa0Dp9iVx8cCp0bMviRstODVSfUnlzpdkvWn2JT9qcIL0Iag1zGjmwDjjY4Cz3D6+pHL0eCAcviQuhSJSwM+RzuxpF1gv4Dk/YHAahFclQPGpdfGpweKz4KOB86dHXxI3UnAWpfiSyp0vyfq2XvAjpsysrMemW+q5C07NRpD2JZWjxwPg8CVxCcDZlexLKk+7oHrBLnnBHm+/Jrf6kioaJwoYvl8jCELYz0PX5wH6NYIJUXhC8LWwCWMqikHYriSsj+39GkGU0P0aQZSA/RpBCup2MTQcKjbat2aiJEfRrpHkI5R3H6vLbo1Ztbv7jgvCRcEJ9Q9eGMGDupBlo75/CNtQu2Z4QGs56CN2xec2t1AVUZOBAQZXn5IghPKEqk9hV7xkNhSeDVx6Pk7Im9Wn2hm/NrU3CdC/6HLGn6x+uvpx/6tIFu+7ZGYI1dyHmpVEEVKzRvH0QpQknJiVpKBOpsBoxJPI3PKfiZIEE7N267soHmGy8Kllq/ZG2cpxR7AoOKH6sbWs66tIonDU9w+BGxCzwIjWctCBvUdGHdPIU+cddEXcxzu094gbL9haRdXlAb1H3AxkWAZ8eI+4ISpSiEB4ad97FNu+isQNGWy6EtSozXvEjRDsneIi0+E94sYIdk33lY/M6PpT077eI1VMcmNPbsYO8XDuoyrR7qN0awCoYqf7iI0HTo5+3UfsaMHJkeg+quLOfVRZb5V9yY8anCJ9aGoNM5o5MM74GOA8t4f7qIn98UDY3UdsCkWkgJ8jndnTLrBewHN+wOBECC9MgOJT6+JTg8VnwUcDZ1B/7iN2pOA8SnAfdUXnPcfbesGPmDK3sh6bbrHnLjg1G0HYfdQVm3YA7O4jNgE4u1LdR82z0wXVC3bJC3bzyCAfHdY81qW1Y2+Bvby2uY+qhMaJAobv/wiCELb00BW60D0ZkllQeBbwJfDe92Q8wz6YtPrV6tXqN9rL1RSotz6edGL7dJJtIS6YYMIGKmHBbm8fCaIEbh8JkgRsHwlSULevgdHQX09Oo8zEMhNlOYYGkiQeYbbxsdjtlrxJ225wXE4uCk6of/A6jdRAkoSjvoEI3FADaXhEaznoI/biF1Y3VEpNBgYYXg0LghDqE6qG5b34kglReEJwYWzCmIpiEMqvF/kpiCIkP21efEmUgPpTkII6+wHDodJJrox1fCaKEkx+Osz4onyE+u5Vf7Z33FaOS4tFwQkFkK0/HWZ8UTbqC4iwDcnP4QGt5aAD+5eMDfNGUGZOvKSPd3D/EjPefs34GvuXmBnIsAx48S8xQ1SkEIHwDP4l43M1ZYcMtm0JetTqX2JGCHZfcZnp8i8xYwT7rvvqR2Z0lB4rkD9VFJNKmUKcsUM8oH9Jaf9S3loIMrd/iYsHTo6e/UvcaMHJkepfynb+Jes1tC/5UYNTpA9JrWFGMwfGGR8jI2IwLAXZ6PFAOPxLXApFpICfI53Z0y6wXsBzfsDgRAivS4DiU+viU4PFZ8FHA2dQj/4lbqTgPErxL2U7/5L1bb3gR0yZW1mPTbfYcxecmo0g7V/KRo8HwOFf4hKAsyvZv5SddkH1gl3ygj3ejk1p9S8pGicKGL5jIwhC2NFDV+gBOjaCCVF4QvDVsAljKopB2LAkrJDtHRtBlNAdG0GUgB0bQQrqhjEwHGU+ybf7vU9X5oIoR9GxkeQj1Hcfy8tukanaDX7H9eGi4IQCCK+M4EFdyLJRX0CEbahjMzygtRz0EdvnS6thKKcmAwMMLz8FQQjlCZWfUvZ5wSwoPAu45pS3zxdRlj17//1vNb9d/5saOT9++L720q++2NNJL5hrwrzgRRgLoggJY6MMeyFKElAXC1JQp2VgNOIinaSlsSTNRFmCCWOHk14SjzDxeNXF7Z21leMWYlFwQv1j62Knk14SjvoGInBDwnh4RGs56MBWpsqE10jdwomX9vEObmVixgv2aVGlekgrEzMDGZYBL1YmZoiKFCIQnsHKlJlCnrJDBju4BD1qtTIxI+xLTVErEzNGsAW7r4BkRkdptwL5iyaFbbuUGeABjUylNjJVrZegcBuZuHjg1OjZyMSNFpwaqUamYmdkst5a+5IfNThB+lDUGmY0c2Cc8THAWW4fI1MxejwQDiMTl0IRKeDnSGf2tAusF/CcHzA4DcLLEqD41Lr41GDxWfDRwPnTo5GJGyk4i1KMTMXOyGR9Wy/4EVNmVtZj0y313AWnZiNIG5mK0eMBcBiZuATg7Eo2MhWnXVC9YJe8YI+3k1RZjUzu6+6ecKKA4TtJgiCEDT10fS7VSRLMgsKzgC+AZTtJ58/rk/pERWk0vqiid/bsHAnmlrBzSlip2ztHgih9OeJAwZf09s6RIEnAzpEgBXXfGhqNJDZu185ESY6hbySJR5hmfKxyu7Vu2XYZHNeei4ITqh+8QCP1jSThqO8fAjfUNxoe0VoO+oj9/JXVUFVRk4EBhpfBgiCE+oTK4AB+fsGEKDwhuCI2YUxFMQjl14v4FEQREp9WP78gSkD1KUhBnf2w4TCu0GaiIMHEp8vNL8lHqO5e1Wd7d27luAxZFJxQ/tjq0+Xml2Sjvn4I25D4HB7QWg46rGkpNY7pN/Lt8tGGl/XxDmxaYscL9mRRNXg40xI7AxmWAQ+mJXaIihQiEJ7BtGT8DtmUHTLYrSWoUYtpiR1hX2gKmpbYMYLt1v3UIzs6SmsVyp8yxTdjx3cwz1Iexc+aH8nGNtDE7/Is8fHAmdGrZ4kfLTgz0jxLTTitZ2mbZlPUL/lRg/OjDz2tYUYzB8YZHwOc5PieJR3744Gwepb4FIpIAT9HOrOnXWC9gOf8gMFZEF6UAMWn1sWnBovPgo8GTp/ePEv8SMFJFPcs7YrOe4639YIfMWViZT0225XeUMGp2QiynqVdsWkHwOpZ4hOAsyvRs6SfnS6oXrBLXrBH26xJI4tnqSlRNE4UMHSzRhSEsJ2HLs/FmzWiCVF4QvClsAljKopB2K0kLI9tzRpRlLDNGlGUYM0aUQrqbjE0HEliHI+ZKMkRdGtk+Qjl3cfqsltjxpvN/e1fmMDPZMEJ9Q9eGMGDupBlo75/CJu7W4MMaC0HfbyO+UZ9mq1CzdqYmgwMMLz6FAQhlCdUfco45kWzoPAs4JIzhGM+ifJo/CKLvrmXY140t4R5wIsOFkQR0sGpieSFKElAGSxIQZ2GodHIjPVnJgoSTAVbDfOyeIRZxqsITlrNZL+yWBacUPzYIthhmJeFo75+CNyQCh4e0VoOOrBnybarmjrxVB/v4J4lZrxgTxaVpYf0LDEzkGEZ8OJZYoaoSCEC4T3xLCXm7sKUHTLYrSWIUatniRkh2HTFNabLs8SMEWy37qsemdFRWqtA/opqkuemCGfsCA/oWsq0a0m1xoHU7Vri4oFzo2fXEjdacG6kupbSnWvJesftS37U4AzpQ1JrmNHMgXHGxwCnuX1cS+no8UA4XEtcCkWkgJ8jndnTLrBewHN+wOA8CK9LgOJT6+JTg8VnwUcDJ1CPriVupOA0SnEtpTvXkvVtveBHTJlaWY9Nt9ZzF5yajSDtWkpHjwfA4VriEoCzK9m1lJ52QfWCXfKC1dFG6d1NflfE49vk5naclVU2rlTZ/NXNXR7HkSrU/fahsq6sHVsL7NW11bWU0ThRwPB9I0GQvvRwDRC4QH/UN/ps9RvdDXl7xd386i+aJfp3mr/9vPnFV83a/IN1UyPaWpY211GkhSkbz0WzofBs4Cvhxwn5qgH+tMnGdx5++PDX61aRtTl0svrp6seb2zmqSJegGGkNGWe2qWjaCLujhNW4vTUkiBK4NSRIErA1JEhB3ZsGRiNJJ2VlPD83E0U5huaQJB5hKvGxku3Ws1nbSrBfgy4LTih/8CLsyc5f2YgdW3NIEo76AiJwQ82h4RGt5aCP2KAfWy1SipoMDDC81BUEIdQnVOoGMOgLJkThCcHVrgljKopBKL9e1KcgipD6tBr0BVECyk9BCursBwxHHE+qrDKhzERRgslPl0Nfko9Q373qT9WqFfvtyLLghALI1p8uh74kG/UFRNiG5OfwgNZy0IG9STZBmTvx8j7ewb1JzHj7NeNr7E1iZiDDMuDFm8QMUZFCBMIzeJOMG3RTdshgT5agR63eJGaEYGsVl5kubxIzRrCpuq9+ZEZHaaAC+SujSWGThcwID+hNKrQ3qWztAbnbm8TFA+dGz94kbrTg3Ej1JuU7b5L10tqX/KjBGdKHotYwo5kD44yPAU5z+3iT8tHjgXB4k7gUikgBP0c6s6ddYL2A5/yAwXkQXpYAxafWxacGi8+CjwZOoB69SdxIwWmU4k3Kd94k69t6wY+YMrWyHpturecuODUbQdqblI8eD4DDm8QlAGdXsjcpP+2C6gW75AV7vA0by5mHZn1d0DhRwPANG0EQwoYeukAP0LARTIjCE4Ivhk0YU1GMvihwYBAWyPaGjSBK6IaNIErAho0gBXW/GBiOuKniltvXRFGOomEjyUeo7z6Wl90is2j39+3XjcuCEwogvDKCB3Uhy0Z9ARE254AukAGt5aCP2BqfWP1C7qvoDMnAAMPLT0EQQnlC5ae0NV4wGwrPBq492db4Z9tMZNmernjBjBGqvBeZK4giJHONTbcXoiQBVa4gBXWSBUYjySaJua7MRFGCqVyHK14SjzCLeBW5ZauJ7HcMy4ITyh9b5Do/mSQJR30BEbghlTs8orUcdGBbknFmaHRr5cQr+ngHtyUx4wWbrqjsPKQtiZmBDMuAF1sSM0RFChEIz2BLykwhT9khg+1Yghy12pKYEfaVpqgtiRkj2E/dVz8yo+tPTXvakpJ8UhnHeMaO8HC2pDh61vyIW2dA5bYlcfHAudGzLYkbLTg3Um1J1c6WZL2W9iU/anCG9CGpNcxo5sA442OA09w+tqRq9HggHLYkLoUiUsDPkc7saRdYL+A5P2BwHoTXJUDxqXXxqcHis+CjgROoR1sSN1JwGqXYkqqdLcn6tl7wI6ZMrazHplvruQtOzUaQtiVVo8cD4LAlcQnA2ZVsS6pOu6B6wS55wR5vXyi12ZLiiMaJAgbvC0mCEHb00AW6cF9IMhsKzwa+Emb3hbafTNpcqhFHRTT+ZhpdPO4Rvf/+t4hdIsn8EbZJCctya5dIEiVsl0iSJFyXSJKiL1ccFOhuQDmJCqN1dyZKcgRNIlE8wpTiY0XbrmvjaNtSiB2XmIuCE6ofvBijNIlE4ajvHwI30CQCRrSWgz5iJ76lRdNIXvdVe4ZkYIDhJa8gCKE+oZJX3okvmRCFJwRXvSaMqSgGofx6EZ+CKELi0+bEl0QJqD4FKaizHzAc2SRKLR/ulCQJpj4dRnxRPkJ59yo/26twY8fdxqLghPrHlp8OI74oG/X9Q9iG1OfwgNZy0IEtSpkJr9GTiROv7OMd2qLEjRdswKJy8IAWJW4GMiwDPixK3BAVKUQgPINFSZlCnrJDBluzBDlqsyhxIwQ7rLjKdFiUuDGCvdV95SMzOkofFchfUk5S41M4Y0d4QItSqi1K2dYlECdOixIbD5wb/VqU2NGCcyPRohQnnUUptt5C+5IfNThD+lDUGmY0c2Cc8THAaW4Pi1IT++OBsFuU2BSKSAE/Rzqzp11gvYDn/IDBeRBelgDFp9bFpwaLz4KPBk6g/ixK7EjBaZRgUeqKznuOt/WCHzFlamU9Nt1az11wajaCsEWpKzbtANgtSmwCcHalWpSaZ6cLqhfskhfs8fZrMqtFKaVxooDh+zWCIIQNPXSBHqBfI5gQhScEXwybMKaiGIT9SsIC2d6vEUQJ3a8RRAnYrxGkoO4XA8ORTRKVmkhmoiRH0a+R5COUdx+ry26Nmbbb+47bw0XBCfUPXhjBg7qQZaO+fwjbUL9meEBrOegjNshnVrdQRk0GBhhefQqCEMoTqj6lDfKC2VB4NnDp6ccgn0RpNL4oo3f2+4iSZPYIFd+L4hVEEVK8RoH1QpQkoOAVpKBOuMBolBO1vRjqqeAVJAkmeB32eEk8woTiVe+299DGjpuFRcEJ1Y+td532eEk46vuHwA0J3uERreWgAxuUjIWokbDKiVf18Q5uUGLG2y8aX2ODEjMDGZYBLwYlZoiKFCIQnsGgZDyvNmWHDDZmCWrUalBiRgj2V3GR6TIoMWMEO6v7ykdmdJQuKpC/JJ9Etn1QZoQHNCjl2qBUtB4B5TYocfHAudGzQYkbLTg3Ug1KamdQsl5F+5IfNThD+pDUGmY0c2Cc8THAaW4fg5IaPR4Ih0GJS6GIFPBzpDN72gXWC3jODxicB+F1CVB8al18arD4LPho4ATq0aDEjRScRikGJbUzKFnf1gt+xJSplfXYdGs9d8Gp2QjSBiU1ejwADoMSlwCcXckGJXXaBdULdskL9nhbRMpqUMppnChg+BaRIAhhRw9doEu3iASzofBs4Cthdouo7Q6pKInGF8Xe3SHBxBH2RwnrcXt3SBAlcHdIkCRgd0iQgro7DYxGMSnNHxiciZIcQ3dIEo8wl/hYynYL2rztJTjuKxcFJ1Q/eBVG6g5JwlHfPwRuqDs0PKK1HPQRm/GV1Q5VUJOBAYbXuoIghPqEat0AZnzBhCg8IbjcNWFMRTEI5deL+BREERKfVjO+IEpA9SlIQZ39gOFIJ5XVmyRIEkx9usz4knyE8u5VfraX3saOW4xFwQn1jy0/XWZ8STbq+4ewDanP4QGt5aADe5NyE16jJ53X15VRH+/g3iRmvGDnFZWDh/QmMTOQYRnw4k1ihqhIIQLhGbxJxs3mKTtksCdLkKNWbxIzwr7SFPUmMWMEm6r7ykdmdJQGKpC/NJsUtk1JZoQH9CZVz87yJGrtAaXbm8TFA+dGz94kbrTg3Ej1JpU7b5L1PtqX/KjBGdKHotYwo5kD44yPAU5z+3iTytHjgXB4k7gUikgBP0c6s6ddYL2A5/yAwXkQXpYAxafWxacGi8+CjwZOoB69SdxIwWmU4k0qd94k69t6wY+YMrWyHpturecuODUbQdqbVI4eD4DDm8QlAGdXsjepPO2C6gW75AV7vP2a3OpNqmicKGD4fo0gCGFDD12gB+jXCCZE4QnBF8MmjKkoBmG/krBAtvdrBFFC92sEUQL2awQpqPvFwHCoSRLbFuaCJEfRr5HkI5R3H6vLbo1Ztdv7jnvERcEJ9Q9eGMGDupBlo75/CNtQv2Z4QGs56I0z/uYmie5u</t>
  </si>
  <si>
    <t>1fjuproZZ+VtMi6vbovxTZbm15m6T+7UdtDDqk+LWyiJqMnAAIOrT0kQQnlC1ecjI/iXqzcPP3z4G20Bf/hAe+Q/0cbutTf8g7U+/Vz/vuYf7EzxVRRl+g9+vNGva5G66Q/9/er/q5XqePXR6meNbP3Z6l9MCXsumjCFJwxXpx7M8/rTStW+5nnJxBHmAx96WBJFSA+nJpIXoiTh5LAkBXU6BkYjjiaZ+WzOTBQlmB62u+dF8QjzjU85nLQX1SaOq4dFwQnljy2HXe55UTjqC4jADehhYERrOejA/iVjIWoUrvNuuzLu4x3av8SNF+zOogL1gP4lbgYyLAM+/EvcEBUpRCA8g3/J2E+ZskMG+7YEOWrzL3EjBNuvuMp0+Je4MYKN1331IzM6SpMVyJ8qJ4VRp8/YER7Ov5Qk2r+Ubi0ESez0L7HxwLnRr3+JHS04NxL9S0nc+ZcS62W1L/lRgzOkD0mtYUYzB8YZHwOc5vbwLzWxPx4Iu3+JTaGIFPBzpDN72gXWC3jODxicB+F1CVB8al18arD4LPho4ATqz7/EjhScRgn+pa7ovOd4Wy/4EVOmVtZj06313AWnZiMI+5e6YtMOgN2/xCYAZ1eqf6l5drqgesEuecGuO0jQ2XTNY11ZO7YW2Ktrm38pSWicKGD4DpIgCGFHD12gC39bSTIbCs8GvhJmt4d612/k0fhFFn1zzx6RYPYIm6SERbm9RySIErhHJEgSsEckSEHdogZGIy4mrePi6WaAIMox9Igk8Qgzio8FbbesTdqOguNec1FwQvmD12KkHpEkHPUFROCGekTDI1rLQR+xY7+weqZSajIwwPCKVxCEUJ9QxSvv2JdMiMITgoteE8ZUFINQfr2oT0EUIfVpc+xLogSUn4IU1NkPGI5yUhr3LWaiIMHEp8OwL8pHqO5e1Wd7OW7iuO1YFJxQ/tjq02HYF2Wjvn4I25D4HB7QWg46sEHJaMxo5GTmxEv6eAc3KDHj7deMr7FBiZmBDMuAF4MSM0RFChEIz2BQim2bpsyYwc4sQY5aHUrMCMEGK64yXQ4lZoxga3Vf+ciMjtJGBfKXRpPCpguZER7QoaS0QylvTQKZ26HExQMnR88OJW604ORIdShlO4eS9bbal/yowSnSh6TWMKOZA+OMj5ERMRimgWz0eCAcDiUuhSJSwM+RzuxpF1gv4Dk/YHAehNclQPGpdfGpweKz4KOBE6hHhxI3UnAapTiUsp1Dyfq2XvAjpkytrMemW+y5C07NRpB2KGWjxwPgcChxCcDZlexQyk67oHrBLnnBHm+/prQ6lBSNEwUM368RBCHs6KEr9AD9GsGEKDwh+GrYhDEVxSBsWBIWyPZ+jSBK6H6NIErAfo0gBXXDGBiObJJHRkfiTJTkKBo2knyE8u5jddmtMVW7v++4ZVwUnFD/4IURPKgLWTbq+4ewDTVshge0loM+Yn98aXUL5dRkYIDh1acgCKE8oepT2h8vmA2FZwOXnmx/fGuNT6MsGl8ke38+STBxhGLvRewKogiJ3dRE8kKUJKDWFaSgzrXAaFSTJDaOx0yUJJjWdTjjJfEIc4lXqdveVJs47h4WBSdUP7bUdTrjJeGo7x8CN6R1h0e0loMObE6qTHiNei2ceGkf7+DmJGa8YOcVFZ+HNCcxM5BhGfBiTmKGqEghAuGZzEm5KeYpO2awKUuQo1ZzEjNCsLeKq0yXOYkZI9hV3Vc/MqOjdFCR/CVlU5Ztu6DMGA9oTyq1PalqHQKF257ExQOnR8/2JG604PRItScVO3uS9cLal/yowUnSh6rWMKOZA+OMjwHOdPvYk4rR44Fw2JO4FIpIAT9HOrOnXWC9gOf8gMGZEF6aAMWn1sWnBovPgo8GTqEe7UncSMGJlGJPKnb2JOvbesGPmDK5sh6bbrnnLjg1G0HanlSMHg+Aw57EJQBnV7I9qTjtguoFu+QFu3lkru6L+7t0XGZZOs5UXo6vijgaJypOsvvbIru53b6w1sW1Y3eBvcC22pPcF9094UQBwzeIBEEIm3roGv1RP+STZo392eqr1Ztx81+vm1/97daj9Lr5B181/0+3SDZL8I9WP4lPishsG3kumgWFZwFfBJswpqIYhI1KwrrY3qYRROnP/A4UfAFtb9MIkgRs0whSULeJgdFIy2ySKttpIUGWY2jUSOIRarqPJWW3sCzbbX3H7eKi4IT6B6+GnmwilY3qsDVqJOGobyACN9SoGR7RWg76iC3xldWUVFGTgQGG15yCIIT6hGrOAJZ4wYQoPCF7y09BDEL59SI/BVGE5KfVEi+IElB/ClJQZz9gOOIqmcSFsS05E2UJpj9dpnhJPkKB9ypA21tqE8e1w6LghArIFqAuU7wkG/UNRNiG9OfwgNZy0GGNQplxTL+Rp5ETL+vjHdooxI0X7IGigvCARiFuBjIsAz6MQtwQFSlEILwnRqHMvJs/ZYcMdkcJgtTmE+JG2Neakj4hboxge3NPAcmNjtLKBPLXTLDGIZ6xAzycSSiNnzU/km2fPo2cJiE2Hjg1+jUJsaMFp0aiSSiNOpNQar0V9iU/anCC9CGoNcxo5sA442OAs9weJqEm9scDYTcJsSkUkQJ+jnRmT7vAegHP+QGD0yC8KgGKT62LTw0WnwUfDZw//ZmE2JGCsyjBJNQVnfccb+sFP2LKzMp6bNql3kDBqdkIwiahrti0A2A3CbEJwNmVahJqnp0uqF6wS16wR9uwySKbSSh13yb3hBMFDN6wkQQh7Oeh63P5ho1kQhSeEHwtbMKYimIQtisJ62Nrw0YSJXDDRhIlXMNGkoK6XQwMR1PLE6OBayZKcgztGlE+Qnn3sbrs1pjxdnc/ddzmLQpOqH/wwgge1IUsG/X9Q9gG2jXAgNZy0MdrUW/Up8UulCbUZGCA4dWnIAihPKHqU8iiLpkFhWcBl5yNnP54K8E1JJaKR10y++2/z9YfeqqiKN18tsjW1xHMGaG+e9G3gihC+tYop16IkgSUt4IU1OkVGI1kkmcWN5IkSTB5a3fDi+IRpg+v6ra9/jV1XOgrCk6ofmx16/pskSgc9f1D4Ibk7fCI1nLQgd1Itu3S1Imn+ngHdyMx4wWbrajePKQbiZmBDMuAFzcSM0RFChEIz+BGMgqkKTtksA1LUKNWNxIzQrCbiotMlxuJGSPYR91XPjKjo/RMgfwl2aQsTRHO2BEe0I6UaTuSah0BqduOxMUD50bPdiRutODcSLUjpTs7kvUO2Jf8qMEZ0oek1jCjmQPjjI8BTnP72JHS0eOBcNiRuBSKSAE/Rzqzp11gvYDn/IDBeRBelwDFp9bFpwaLz4KPBk6gHu1I3EjBaZRiR0p3diTr23rBj5gytbIem26t5y44NRtB2o6Ujh4PgMOOxCUAZ1eyHSk97YLqBbvkBXu8DaHYakfKaJwoYPiGkCBIX3q4BghcoEs1hASzoPAs4CvgfkPoy9Wbhx8+/I3+m4cPNh2i3zTrY33DxQfr3/e5ThmrdfRsexFInLv7Q4IpJOyQElbk9v6QIErg/pAgScD+kCAFdX8aGI1i0qhAE8lMlOQY+kOSeITZxMditlvSZm03wXFTuCg4ofrB6zBSf0gSjvr+IXBD/aHhEa3loI/YfB9b7U+KmgwMMLzaFQQh1CdU7QYw3wsmROEJwYWvCWMqikEov17EpyCKkPi0mu8FUQKqT0EK6uwHDEc6KVJjGZ+JkgRTny7zvSQfobx7lZ/tfbOp4wJhUXBC/WPLT5f5XpKN+v4hbEPqc3hAaznowO4km57MnXh5H+/g7iRmvP2a8TV2JzEzkGEZ8OJOYoaoSCEC4T1xJynrt5KYIYNdWYIctbqTmBGCzVVcZbrcScwYwbbqvvKRGR2lhQrkL2lmWGWKcMaO8IDupEK7k8rWIJC73UlcPHBu9OxO4kYLzo1Ud1K+cydZL4F9yY8anCF9KGoNM5o5MM74GOA0t487KR89HgiHO4lLoYgU8HOkM3vaBdYLeM4PGJwH4WUJUHxqXXxqsPgs+GjgBOrRncSNFJxGKe6kfOdOsr6tF/yIKVMr67Hp1nruglOzEaTdSfno8QA43ElcAnB2JbuT8tMuqF6wS16wx9uvSazupILGiQKG79cIghA29NAFeoB+jWBCFJ4QfDFswpiKYvRFgQODsEC292sEUUL3awRRAvZrBCmo+8XAcGSTNLEdGxIkOYp+jSQfobz7WF12a8yi3d533NwtCk6of/DCCB7UhSwb9f1D2JwDukAGtJaDXqvPKL27ye+KeHyb3NyOs7LKxpUqm7+6ucvjOFKFut8mJqz6tHV33BfNGZKBAYZXn4IghPKEqs9H3vjPGqX5o8f9nuZXf/HwYfOb3qw+b37x1eqLhw/Wju5oKz03Pu/ts/xUegpmQ+HZwKXn44R81QBrO/x3Hn748Ndrk7v1k0hvfxGpkeJfaCv9wwc6Wa/XbvrX63Zbo+sffrSxxBtL4VQ0Y4Qq70XlCqIIqdzURPJClCSgyBWkoE6ywGiUk1wpE8lMlCSYyHVY4iXxCJOIV43bXjebOi4QFgUnVD+2xnVdICwKR33/ELghkTs8orUcdGBTknFiaGRr5cQr+ngHNyUx4wVbrqjqPKQpiZmBDMuAF1MSM0RFChEIz2BKMj5XU3bIYDOWoEatpiRmhGBPFReZLlMSM0awm7qvfGRGR+mcAvlrqpzNqs4M8HCepCx61vyIW1tA5fYkcfHAqdGzJ4kbLTg1Uj1J1c6TZL1v9iU/anCC9KGoNcxo5sA442OAs9w+nqRq9HggHJ4kLoUiUsDPkc7saRdYL+A5P2BwGoSXJUDxqXXxqcHis+CjgfOnR08SN1JwFqV4kqqdJ8n6tl7wI6bMrKzHplvquQtOzUaQ9iRVo8cD4PAkcQnA2ZXsSapOu6B6wS55wR5vVyi1eZK296bDnChg8K6QJAhhQw9dnwt3hSSzofBs4Avhxwl5s/pUd4Z6H0myX5ax+unqx/0PIlm6P5KZIex/Etbb1u6PJErY7o8kSbjujyRFX4g4KNBlfjSpzI7cmSjJEXR/RPEIk4WPtWq7Ys2iba8gc1w7LgpOqH7wMovyQSRROOr7h8ANdH+AEa3loI/YYG/pvTRi1n05niEZGGB4MSsIQqhPqJiVN9hLJkThCcH1rAljKopBKL9exKcgipD4tBnsJVECqk9BCursBw1HllsM9pIkwdSnw2Avykco717lZ3t5bea4jVgUnFD/2PLTYbAXZaO+fwjbkPocHtBaDrr5vz/aSNDsfbe+/Iu7m2//yZ99y5AJhrzMTJiNrkwcmKlK+pg2D5I9VopkbG1IxmDfYQfbf8YciQVl4U/0p8s37pa3Nze3VqSH752sjUVf6V2+tYD84uGvGs34uQmrUYDJ78/YbE+qoh1uv6K4NR2k2nSg9A/9SZSsan6oWP/Q/0Dpf6D0P1D6H+T6H+T6HxT616ro2VkRJc2POLOVUW4WMnoW8I6QRj/X6Oca/Vyjn2v0c41+rtHPNfq5Rj/X6Oca/Vyjn2v0c41+rtHPbejnfHRFR8dbSQ35XJPPNflck881+VyTzzX5XJPPNflck881+VyTzzX5XJPPNfncRj7nk+PvNX/q2La7U93uVvqH/hhHk4FaZ6DWGah1BmqdgVpnoNYZqHUGap2BWmeg1hmobRmo2Rl40gEdyADtkb/U2Jca+1JjX2rsS419qbEvNfalxr7U2Jca+1JjX2rsS419qbEvbdiXfGx8piR2ThvqpaZeauqlpl5q6qWmXmrqpaZeauqlpl5q6qWmXmrqpaZeauqljXrJo14/7xtqPfX+oUs3+HMvZ9beaupkeHKZbQDrchOrzbjMjRb0ZXFFw+qz9S7SB/puFH1SrN8mXW8e6dNfza9/fLL6u4fvrL7cKIr1xSmfPjvR21PNP/7Nw98+/Ej/QRP+czZ+f04VdC1zQ1SkEIHwnriWjW29KTtg0KxF2MayeZa5EYKeK3x3yuFZ5sYIuq323XZiRteXJXt6lrM0nZRGM8SMHeIBXcvZ1jOYua94ZZOBsyHdsFymhdWwzI4WnBCJhuVsd8Vr5rjilR01ODHut+Ds9t/0jYt2jDM+BjjBMVaMrYcw213xmg1c8cqmUEQK+DnSmT3tAnu6bOMGDM6B8FYmUHdqsO4s+FTgvEnzKttrznv8SMHZk+BVzna3u9pf1At+xJQZlfXEdFvD7lpTsxGEvcrZ7nZXd5255BOAEytxxa2fnS6op2tlTrA62rsozdVNfD3O7/OrcRzf3Y+rKEv0jvxVdpPe5Wlys+GxLqP/9MqnvUMvT22L6YwGidKZFtwOKMqi2wTyjihIX3K4Rgdcj/+8twT//NFW/uqLk2Zp/f9n799+JDmuNF/0X0nsJymzPOEXM7/MxnmgOCXuZLNYqfQqRoR3NRpxxQjTQwqSBufhoAGJHLVmQ5pW71ZvYCB1t7rV0xsDnIdTosgWRVIksJ/3Q+Z/dMw8Lsn0cDf7bEUst/DuEiRXVWVE1fdbttzWMvv88ju9Cvzr23/UNwZ/oQ+f3v3g7ifra3f3F/G/159YP7LlY/2GVPUH9SL+f3vvvf8YPH1XreHV3/wb/fGzZ0/OrpffXSmKd9efieIwvPtRGob63aqftwX4ddYASzzA+HL69u/2HoLTtEu2f/iZCpxaeJ89f/fb3/nue/NHL168q370g7v31UL8n+pLbr6sNz4+3VwSfftr/Ud6eH4VpCqwP/9f1y+R/UKFb32Tt/ryz9Rv1N+v/op/UGv636nffXz3g92/dveTf3cfdnXQgX90dvcX9Yi+v3kmj+2ia8YhcfB9j7FhwEjCctlL63T6BitHj9e8MFK4eu7AWBg3KRhRervoxXDJNSeeQ9k7xmp7t+bevrFUGN5BywruMPfBC8W9S66TsGtYr3npXM9AhM521Yt9SEs+6P6euCM6L6GWBjaR5002z54VUW1zwhiqZ0XEFxj+UTwrokTpJBGQt+dZtd769JgsGNyvO0YLSlQI7r05tJYGz4qoEdx1O7RtJKpz2WFD4ifiuP0qviuyRI+eVbrdO5Zmz4pKBlbDI3tWVLVgQXT1rOS9Z9X5otK36KrBwniMLlrDnF8ZMJ7QMcACd4hnJc8fDoTBs6JSSEcKOI90ZC92whqCn9IFgzUQXooA804JzjvXdCqwbh7Rs6IqBauni2cl7z2rzhP1hq7YpaKSMma3sDPPNSUZgduzkucPB8DgWVEJwMLq7FnJi52ohtjnNLF1hziPkiQRUZDmaRaI5SwJpsvlIlgk6UKsxHQerzYj0rmMNuwj0JbSnZ5V6gaJ0vXvWTGCOGzeoevxB55V/dBb/TTcuw82rwn4cf2DT9X6+mO9Mn9Zv4Tgs9tPNk+4/T/079S3Pvl//uLsm99973vfX//54/l73/kP7717Vr73Z++dfWO6Wv3Z8qxhSt39SBiNKcYoSjyK+JoZNf8+V//3h837F+obvbfbHh9uP6gdLG3s7QZBf3d92/iXt1/qMP4v2/h+8735f/6e/oNHDavqr4JIzYC7YK99KG0U1qP1+7UB1XomPmYNvcMm7DFW/4wkPAZU++z4BitJjxYUI4XrBjgyGjIVl6loY7liZenNg0pFVnTbUJyEDpXsGAvo3TI63XoWhndos4I7zIDw2s/NhuKkcz0LETqbDWUf0pIPuk8bKmljU51zZmQrmmyebSiiWnC3DW17vdlQRHyB4R/FhiJKlE4SAXl7NlTr5SCPyYLBLbhjNKJEheB2mkuD2W1DETWCG2mHto5EdS6bZkD8EnHZvktzRVbo0YXKt7vBmdmFopKBxfDILhRVLVgPXV2o7N6F6nz96lt01WBdPEYTrWHOrwwYT+gYYH07xIXKzh8OhMGFolJIRwo4j3RkL3bCGoKf0gWDJRBeiQDzTgnOO9d0KrBsHtGFoioFi6eLC5Xdu1CdJ+oNXbFLQSVlzG5dZ55rSjICtwuVnT8cAIMLRSUAC6uzC5Vd7EQ1xD6niV2XqGwa5cU8mM4XYSBmYRhMI/XbIg/jPM2zZFZsZv/OVbRhG4G2ku50ocwviNyDROn6d6EYQRz27tDluN082VtxNxyo37fF4XXWOEg8Dviity0Un65f3q3vIdo+GPjz+jcvVXQ+e+DS7QXutT+bLb9Xm0bPHr/x/K3XbtZ2UfrQGfrqv1CbT/+gf/ZXqY5xEZ6rtXcsvvpO8aaV1HUvE2P0HTZSj7GCZyTp2UpiJOnRSmKkcN3EBkZD9Y55IdtQrlhRenOSsiy/DFufUfwmL6BDMTrGGni3Et6+bloYXiDOCu4w/8HLN3xUr3nhXE9BBM7mI9lHtOSD7tNHEm1sqvctTGxF2GTz7CMR1YL7ZWjj6s1HIuILDP8oPhJRonSSCMjb85Hy9t7oMVkyuI12jD6UqBDcEnPpL7udJKJGcDPs0M6RqM5l4wuIX55ctm60XJEF+jOSZLjd0DW/M5xMBlbDIxtJVLVgQXQ1ku7fGS4M7wwnqwYL4zGaaA1zfmXAeELHAAvcIUbS/TvDheWd4WQK6UgB55GO7MVOWEPwU7pgsALCKxFg3inBeeeaTgVWzSMaSVSlYO10MZLuXxfefaLe0BW71FNSxuwWdua5piQjcBtJ968LN88zz+gEYGF1NpL068Lb55jnNLF1DzsXURKFURDGxTQQMhdqUb3MgrSYLsJotZhNp5sTtnMZbdhHoC2lu4ykzYs3YUiUrncjiRPEYe8OXY/bjaSf3/7D7X/Xb8K+/f/d/vr27zevVLw3NDb3KWl/JFrfptR9lxJncCQeHHwp3IbxmBXDYZvyCMtjTpJ+bRpOkv5sGk6KZgNhoEAX5UV8GXasyjlJenNp8ji8zFvL8pu8gA4z/TEWmNtlpty+FloaXvTNCu4w/cFrI3xUr3nhXM9ABM7i0gAjWvJB9+nSyDY21VgaXyNZRE02vy4NVS24GYV2hb5cGiq+wPCP4dJQJUoniYC8FpemNakekyWDe1THaEOJCsH9Jpf2stOloWoEd5oObRyJ6lx2lYD4SXFZtFbWK7JCjzZNvNkulZHRpiGTgeXwuDYNWS1YER1tGhntbBrZ+Tbot+iqwcp4jC5aw5xfGTCe0DHACneATaO0PxyIbpuGTCEdKeA80pG92AlrCH5KFwyWQHgpAsw7JTjvXNOpwLJ5PJuGrBQsng42zW6++ZbhRL2hK3YpqKSM2a3szHNNSUZgtml288x2ALptGjIBWFhdbRqVOztRDbHPaWLrlUE0n07TdB4ss2gZiGS1CKZiGQXZMokX4Wy1lHO55ulcRxs2Emhr6U6bJnaDROn6t2kYQRw279AFubtNoytIfZ/LD9a3wOjfR2F4rv9ntGgYAyPxwODr4DaMx6wYDnuUx1gbM5L0bNEwkvRo0TBSuG4QA6ORhpeifbP7ihWlP48mKi6TpA3wTV5Ah2n+GKvL3Roz3u7ox4Z1Jie4w/wHL4zwUb3mhXM9BRE4m0djH9GSD7pPjyZtY1NdZWJki5tsnj0aolpwJwptCb15NER8geEfxaMhSpROEgF5cdOjaZ3RHpMFg9tTx+hCiQrBrSaX7rLboSFqBDeZDu0biepcNpSA+CV5fpnINolXZIkeLZrtS+Wl6aXyb9LJwGp4ZIuGqhYsiK4WTXJv0XS+mf0tumqwMB6jidYw51cGjCd0DLDAHWLRJOcPB8Jg0VAppCMFnEc6shc7YQ3BT+mCwRoIr0SAeacE551rOhVYN49o0VCVgtXTxaJJ7i2azhP1hq7YpaKSMma3sDPPNSUZgduiSc4fDoDBoqESgIXV2aJJLnaiGmKf08Rqtdg7djVP5zLasI9AW0p3WjTCDRKl69+iYQRpthym0QHX43aLpn6fza9u//r2H8/UZ77Qh0/vfnD3k/ozv99fxP9ef+KT+p02H99+Xv9BvYj/39577z8GT9/Vjx37TN+Hc/fDs2dPzq6X310pincb7w0yvDOIM8ASDzC+nL79OxWI36qg/uDuL+9+fPvy7mcPYqz+6A/bP9RPedOPZnv+7re/89335o/O1A9+cPe+Wob/k36d0O2X9baHGpS/u/25+uGv9R/pwflVkKqw/vx/bbwfSH387mfqN+pvV3/FP6gV/e/qR8r9YPdv3f3k3331ZU3p+kFxd39Rj+f7m0fBRanx8W+cA+KwaXuM7QJGEh7Tqo3jDVaOHi0rRgrX/XJgLIxbFIwovVlWXS+beZMXz6HoHWOtvVtxi629IQyrbk5wh7kPXiY2x9T4DiFWOtczEKGzOVb2IS35oPt0rFrvblRNtjSyJU02z44VUW1zwhiqY0XEFxj+URwrokTpJBGQt+dYtVq2j8mCwd26Y7SgRIXgzptDa2lwrIgawT23Q9tGojqX/TUkfrGurK0N+hVZo0fLavtOeWl6p/ybdDKwHB7ZsqKqBSuiq2Ul7y2rzhezv0VXDVbGY7TRGub8yoDxhI4BVrhDLCt5/nAgDJYVlUI6UsB5pCN7sRPWEPyULhgsgvBaBJh3SnDeuaZTgYXziJYVVSlYPl0sK3lvWXWeqDd0xS4llZQxu5Wdea4pyQjclpU8fzgABsuKSgAWVmfLSl7sRDXEPqeJrVvEOfI+Xs3TuY42bCTQ1tKdllXqBonS9W9ZMYI47N6hC/IHltXdT24/PlMLv0/vPqgtp6++JedjvTR/qdbcH2uzo/EmoU/+n784++Z33/ve99d//nj+3nf+w3vvnpXv/dl7Z9+YrlZ/tjxreFL6IXEmX4oxihKPIr5oRr2/z9X//UEF9gf6RUR3P73f9/hw+0FtYGlfbzcI9a1ddz+4+0D9hV/WryXaxveb783/8/fWLyd66FX9VRCpGXAX7M0bixovIGo9Ex+zht5hF/YYy39GEh4HqvO2KUaSHj0oRgrXHXBkNJJYbzp07TowwvTmQqUiK7qNKE5Ch1J2jBX0bh2dbl2L1LCW5gR3mALhxZ+bEcVJ53oaInQ2I8o+pCUfdJ9GVOtbpVTrnBnZRJPNsxFFVAtut6F9rzcjiogvMPyjGFFEidJJIiBvz4hqdWIfkwWDe3DH6ESJCsH9NJcOs9uIImoEd9IO7R2J6lx2zZD4pcmlaPVDr8gSPfpQ27fKS9Nb5d+kk4HV8Mg+FFUtWBBdfajs3ofqfDX7W3TVYGE8RhetYc6vDBhP6BhggTvEh8rOHw6EwYeiUkhHCjiPdGQvdsIagp/SBYM1EF6KAPNOCc4713QqsG4e0YeiKgWrp4sPld37UJ0n6g1dsUtFJWXMbmFnnmtKMgK3D5WdPxwAgw9FJQALq7MPlV3sRDXEPqeJXZco5H2+mqdzGW3YR6AtpTt9KOPbivchUbr+fShGEIfNO3Q9brdP9pbcDQ/q921xeJ01DhKPA77qbQvFp7cvFfkP9W1E60f5ndW3Hum18Wf1vUf3Pt1e4F77s9nye7Vt9OzxG8/feu1mbRilD72hr/4Ltf30D/pnf5XqGBfhuVp8x+LR5hamMNk3k7puZ2KMvsNO6jGW8IwkPZtJjCQ9mkmMFK672MhoZMVlHnbtHDCy9OYlZVl+GbZuUb/JC+hQjY6xCN4thfOt75AblsOc4A4TILx+w0f1mhfO9RxE4GxOkn1ESz7oPp2koo1NNb+FkU022Tw7SUS14IYZ2rl6c5KI+ALDP4qTRJQonSQC8vacpI7132OyZHAf7RiNKFEhuCfm0mB2e0lEjeBu2KGtI1Gdy84XEL8ivtzcH7vfEBIV+rOS0u175aXpvfJv0snAcnhkK4mqFqyIrlZScW8ldb6c/S26arAyHqOL1jDnVwaMJ3QMsMIdYiUV5w8HwmAlUSmkIwWcRzqyFzthDcFP6YLBEggvRYB5pwTnnWs6FVg2j2glUZWCxdPFSiruraTOE/WGrtiloJIyZreyM881JRmB20oqzh8OgMFKohKAhdXZSioudqIaYp/TxNZNLPTSYc3TuY42bCTQ1tJdVlIaukGidL1bSZwgDpt36ILcbiU1X5S0cZJ2lsbmXiXtkETrW5W671TiDI7Eg4OvhdswHrNiOOxTHmF9zEnSr1HDSdKfUcNJ0WwgDBToqlz9u5eZ3pDdZ7liZenNqMnj8LL9dVBv8gI6zPXHWGJuF5ppuNnWX/+iDfwJL7jDBAivjvBRveaFcz0HETiLUQOMaMkH3adRE7UuElVvGRnh0iacX6eGqhbcj0IbQ19ODRVfYPjHcGqoEqWTREBei1PTmlSPyZLBbapjdKJEheCWk0uH2enUUDWCm02H9o5EdS4bS0D80uwyai2tV2SFHp2aeLNjmppeLf8mnQysh8d1ashqwYro6NSk0c6pSTvfz/4WXTVYGY/RRmuY8ysDxhM6BljhDnBq0uj84UB0OzVkCulIAeeRjuzFTlhD8FO6YLAEwmsRYN4pwXnnmk4Fls3jOTVkpWDxdHBqdvPNtwwn6g1dsUtBJWXMbmlnnmtKMgKzU7ObZ7YD0O3UkAnAwurq1Kjc2YlqiH1OE1uvDKBXD2uezoW0YSeBuJjutGpiN0oUr3+rhhHEYfsOXZG7WzW6hNR3u/xgfSOM/n0Uhuf6f0abhjEwEg8MvhBuw3jMiuGwS3mMxTEjSc82DSNJjzYNI4XrFjEwGllyWYRda3JGlP5cmqi4TJI2wDd5AR2m+WMsL3eLzHi7px8bFpqc4A7zH7wywkf1mhfO9RRE4GwujX1ESz5o9Z8/ebRuWv7Y1GQe1a3pai8TA2Qiu6/NwrS6tI1fdWta8/AbZLXgnhTaG5LcmvVDdn9++4vbX57dfngW6ddnfna7fo9m/QpH9YHPbz+uH2Os3wH58e3n6z/+4u6/1EbOz+o3QLYF5nVyYAQWmKP4OESJ0kkiIC9p+jgq4R5tf9WaeI/J4sHtrGM0rUSF4NaUSzPa7egQNYKbUoe2mUR1LhtQQPySrP21bldkgR4NHfFIHaQ+pPqQ6UOuD4U6ZKE+RPoQ60OiD/obmf5Gtn0jSGp6if2b9KiA5dbdDIqiouvRxX9ElwtWXFc3KLl3gzpfBf8WXTVYeY/RrmuY8ysDxhM6BlgnD3GDkvOHA2Fwg6gU0pECziMd2YudsIbgp3TBYPmE1zzApFXqSavUk1apJ61ST1qlnrRKPWmVetIq9aRV6kmr1JNWqSetUk9aJThpXdMjApZrNyfJMGF9iy4VrNouVlJybyV1nuU3dMUulZyUbrv1p3miKskI3FZScv5wAAxWEpUALMvOVlJysRPVEPucJrZeP6XzuZjOikAmYRoIMQuDWRgvgiyZT2OxmAuZztY8nat8w3YHcaXfaSUJN0oUr20/wEDlsifQBvINVpBmw2IaHnC74J9uP9JPQqtfrvN+fSPPTx+s7NUf/b52j77qMN39+N5FSsPzuHVN8DprKCQeCnz13YbxmBXDYfMUX4ff/de799tQvsmKwuIehe2bHm+wkvToHjFSuG5dA6Ohpu+kdf6+YiXpzTySl2lro/kmL57DtH6MtehuRSq2RoMwrEo5wR1mP3gZhY7pNS+a69mHoNmMI/t4lnzQ65YzyVdhMsuDMBYyEJlIg+kqmQWFWBQiydJwlnhoOVt3pVXLKZ1DAeH133IygjjMTWjL+T/vPli/llG7TF/ow4f1hUnacPq87jWTR/K83RR8nRVW4rAHN5WMGA7T6lGaSkYUlqYykm0gb7CC9NhTMlK4VjVgMGQqL1vH44qVpLeeMrwsWvHe5MVzmLeP2lPKbQ/S+SL0J7zgDpMfuafsGtNrXjTXsw9Bs/WU9vEs+aDrnrKYrqbZdDEP4jQUgZit8iCP4iRI4kLEIhUyzzbdVp89Zeu2hOopU9dQYHj995SMIA5zk3NPuesf49Yz9HVWMImDHdw/MmI4TKFH6R8ZUVj6x6TrEiJGkB77R0YK1woGDEYUdW5JMoL02D7GHS+HYMVzmKKP2j5uX0qdGt4zzgruMPcd0D62j+k1L5rryYeg2dpH+3iWfNB1+7hIinSeiCQQ4XIeiCRcBrNURsF8lS/zaRSu4ky86L19FG2hUO1j5hoKDK//9pERxGFuQtvHf7z94vbj248sPvhZfTX9H9QffVA/y+jD+nr4D7UTTrbIGeMk8Tgd3I0yYjjMyEfpRhlReLrRy7SN5A1Wkh7bUUYK14oIjEaUyEtdfPZRrlhRemtII3lZdJnknHwOs/5RO9Js28EY3t7NCu4w/5E70s5BveZlcz0BETZbS2of0JIPev009lmRyjBZBjLPC9W+5nkwy1ap+m04n+qbNOPp8kXvLalsC4VqSU0vbmsNBYbXf0vKCOIwOaEt6f/UT8+8/bTuPD+s79S8/ahuMn+n/vgj3aHq99ae3f1X9VPVij46U9/4+9u/Vq2sfu7HL9YN6a+T1n3q11mDIfFgHNx3MmI4zLt436nG7LdtKN9kRWHpO8PLRLahvMGK0mPjyUjhWveA4YiSy6jdlbxiRemt8ZSy4zagN3n5HOb2ozae27eqpob35LKCO0yA5Mazc1CvedlcT0CEzdZ42ge05INe74XOsiwtwjyYZstFIJarZTCNlmEQiXm4SGbTxSpavei98WzdvlCNZ+EaCgyv/8aTEcRhckIbz1/qZ3zoZ1Cc3f7N7Sd3P7p7/+4D/dj2ux/e/ka1nn+4/ajuLaXpqXGMxBInPri7ZMRwmFwdukv9vJffXp61j8s3WYFYeszoMpRtKG+wovTYYzJSuJY4YDiS4lLmrQNyxYrSW48pum8A4sRzmMWP2mIW247E8DpZVnCHWZDcYnaN6TUvmuvph6DZOkz7eJZ80HWHuVwlabpIZ0EURXkgonQeTOdzWW+ILtWfLfN4k+x9dpit5utraWZ61VFrKDC83jtMThCHuYnQYb7ULwdSXeYP7j64+8u7/139/mdnX9O3BOkbgr68+5lqNz+9ffl1a8fJGQGJR+DQjpMTw2GuPV7HyQnE1HG2Xzj8BitKfx0nJ4VryQOGQ2SXUfuAXLGi9NZxxpd5R8fJiucwqx+z48y2byDMDO+UZAV3mAXJHWfXmF7zormefgiapeMExrPkg647zjhfTGWiPhFmaaQ+G06DWS6XQZ6vwkUeTtUXNoHps+Nsvb5XdZym14K0hgLD67/jZARxmJvQjvNXX3lU8U/X1vgfbl/W13e+vP1QP7+47j4/WV+vmclzEZ6Hj0RY30zU2XMyxkDiMTi452TEcJhtj9hzMgKx9JydDzniJOmx5WSkcK15wGgYHnLESdJbxylUgWrNtzd5+Rym9aO2nNG2RTG8iZEV3GESJLecnYN6zcvmev4hbLae0z6gJR/02kdfCpFHYRhMw2QViHg1C2ZFmASrabQIcyGXiZi+6L3nLNpCoXrO2DUUGF7/PScjiMPkdEDPabo/COg3Gfklzn9wv8mI4TDVHrHfZARi6TdFuyHyBitJj/0mI4VrvQNGI8q6X5POidJbw5mml0XHPeysfA5z+lEbzu37uzLDG9lYwR1mQXLD2Tmo17xsricgwmZrOO0DWvJB1w1nuJxls/kqDqZzvSE6W6i+dJmkQTKfz8R8IfM83GR7nw1n1LrLrTrOxDUWGF//HScjiMPsBHec929723s7m/rt3c9uP9fvdLP3om3ReJ01GhKPxsH9JyOGw8yL95/d96pzojB1nnEbyRusJD12nowUroUPGI1I5peJaEO5YkXprfMUl0Vrvr3Ji+cwtR+18Uy2fYrhLWOs4A7TH7nx7BrTa14019MPQbP1nfbxLPmg674zXeVhulqEwSoOVY86T4sgXxRFMF8uRZgmq2koNnWi176z1Z5RfadwjQXG13/fyQjiMDmhfefP60dv/qFuJ9e3qtd3DH2yfq773Q9vX+ot0HWPeXb7y9u/uv3H21/f/vfbv1X/+7s/Xb+B+K3rQEZnt3/VFpDXWQMi8YAc3HoyYjjMvXjr2X27OicKS+sZtr957A1Wkh5bT0YK19oHjEZymbWuMq9YQXprPPO8+7JOTj6Hyf2onef2zTOZ4U1CrOAOsx+58+wc1GteNtfTD2GztZ72AS35oDd3Ek0XcTJdBavZbBGIJFYNazTLgnCeFPk8Fssk2Qx6r61n69pDtZ7SNRYYX/+tJyOIw+wEt56qy/xSv0aofgznx2d3P7x7v3425+4pnnXb+fHZ7Zf6NZfqhz/ZNJz6sk/VmP729gv9Hb0vqp+npBrU+qdRrF9BFIfheSzbH1DxOmuoJB6qg5tSRgyHadmhKf289ST8JisJS0/afXs7J0qPTSkjhWtVBIbDdHs7J0pvbal+OKlM2gDf5AV0mPmP2pdu316TGd5GxAruMAGS+9LuUb3mhXM9BRE4W2NqH9GSD3p98We0iKKFLIKZXOkHLs3DIC+EbmfDKA3DeLbysifamgCqMU1dY4Hx9d+YMoI4TE9oY/pX9Z3rH9/9IKif4fnJ7R9q2z09F13dJCOfxPkO7iYZMRwmU7ybNLjrjCgs7WR4uZn59ttJRpQe20lGCtdaBgxHnF/G7QNyxYrSWztpuHedE89htj5qM7l9l01meDcRK7jD/EduJg33rnOiuZ5+CJqtlbSPZ8kHrXtJU4v4/37vu/+xBZ7WHnZtWmYGOFFkTbh3//Of/Vlb39eh1aXnSy8TJVVqse03w36DrLY5XXRFFmzs/vb2i/XDi27/5ay+M2RzxaV+L5DeTTz7ypWV2gpfbzZ+cvu7s9uf3/7i9pdntx+eRfoJR/p1578/216q+cnt5/qpSPX/PlHHz/eu4PzV7a/aAvM6OTACC8ymI/zTb38Pybs2if+eLFE6SQTkJWd3/209eJc6or8O5GX0aPur1tPkMVl8c7ruEI+3qt0bn0SFzS60QyHegUaXYftu+Rtkjc32skPjoa0lUV2zbnWoQ1vGJLossjaFV2SFe91gh0SnTnCvtF598/HNzdObTXEtnz/5muqF8kfqUKhDHupDpA+xPiT6IPRB6kOqD5k+6G/kxdf1nKmJdV1+FLaW5jfpAQFL7S4g5X/67vW7bXPf/pMDiqLjceZ/RJcLVtudXGS4dPQu1mP1R5s4t6l+i64arLrHaNA1zPmVAeMJHQOskTuMzlzp0K5lnz8ciC6Kt+kU0pECziMd2YudsIbgp3TBYOmEVznAfFXq+arU81Wp56tSz1elnq9KPV+Ver4q9XxV6vmq1PNVqeerEpyvrunBAKv0d441V32LLhUs1t9B8+v6fp76luEEv6ErdingpEzbLTfNc1RJRojBAv/9A+en7QB0ETyjE4AV+ftOc5OO6MVOVEPsc5rYU/V/4vaLW9US3/Q+kRZKFK9/+4cRxGFDEd0lcLd/GPkkzoevpNswHrNiOGx/4mtqg/3DiNIs6QYUfPFtsH8YUXq0fxgpXPefgeGIE7WWb31EwhUryinYP5x4DrP1MVaXuzXm9vVdmeF9bKzgDvMfvDBCx/SaF8319EPQbPaPfTxLPuiTvbsybt8FV51k4RoKDK//TpIRxGFuQjvJHm6uZAyIxANycOvJiOEw9eKtp+HmSkYUptaz6+ZKRpIeO09GCtfSB4yGfhNw667HFStJb42n6e5KTj6H2f2onef2tV6Z4TVtrOAO0x+58zTdXcnJ5nr+IWy21tM+oCUf9Mk+UC5uv/LntTQ3vUCkNRQYXu+tJyeIw+SEtp7Mz5PjjIbEo3Fo38mJ4TDx4n1n95YnJwpL39n5PDlOkv76Tk4K17oHjEaUqPHYPBVgr/PkZOmt8+x+oBwrnsPcfszGM9++3Ss3vK2NFdxh/iM3nt0PlGNFcz3/EDRL3wmMZ8kHfbJva4svW6cs1XeaXiLSGgoMr/++kxHEYW6C+06Ot7VxxkDiMTi422TEcJht8W7T9vYMTiCWnrPzbW2cJD32nIwUrjUPGI3iUhate89XrCT9dZzdb2tj5XOY1o/acm5f7pUb3tbGCu4wCdJbzu63tbGyuZ5/CJut57QPaMkHfbJva4svZVsoVM8Zu4YCw+u/52QEcZicDug5D3tbGye/xPkP7jcZMRym2iP2m4xALP1m59vaOEl67DcZKVzrHTAakQwvY1m0sVyxsvTWcRpe18bK5zCpH7Xj3L7dKze8ro0V3GEaJHechte1sbK5noEIm63jtA9oyQe9eXZxkqaLdBZEkd4RjVSfOp3PZSCSUDWmUbTM402299lxpm2hUB1n4hoKDK//jpMRxGFyQjvOX+pnfehnUZzdvlTN5+e3n+grPeudzZd3Pzv7mn5GyMfqB1/e/ay+mejl1+u2VIbqo5+3ReB11ghIPAIH95yMGA6T7RF7TkYglp4zUj1OG8obrCg9Np2MFK4lDxiOpLgs0tYNoytWlN56zu5biVjxHGb1o7ac2xd75YYXtbGCO8yC5Jaz+1YiVjTX0w9Bs3Wc9vEs+aDXe5yzLEuLMA+m2XIRiOVqGUyjZRhEYh4uktl0sYpWL3rvOFs3LlTHKVxDgeH133EygjjMTYSO829Ut/mju/frW4l+qxrN39y+VL/6yN5hMhJLnPjgDpMRw2FuPWKHyQjE1GF2vfqCE6XHDpORwrXEAcORJJcy7drVZETprcMUl2lXh8mJ5zCLH7XD3L6/Kze8kI0V3GEWJHeYXWN6zYvmevohaLYO0z6eJR903WFG02IRz9MoUF2n3v9MZDCLijxYFlkYLWaLTIrli947zNY9bdVhStdQYHj9d5iMIA5zE9ph/mr9kjXdYf5CX7N598Hdfzm7/R+qufx9vZf5m9sv1PGjzW3p+tVqdz/Sb1nTx0vZ0d28zhoFiUfh4K6TEcNhvnXoOrseOMxJ0ne7yYjSY7vJSOFa74DhMLabjCi9tZthx7M13+TFc5jSj9pubt/KlRves8YK7jD9kdvNSMbhZdK6DX/NS+d6BiJ0to7TPqQlH3TdcWazIpVhsgxknutHKeV5MMtWqfptOJ9Op2kaT5cveu84W2ct1XGmrqHA8PrvOBlBHKYntOP8n7dfqu5SP2Pz483jkW4/qq/e/J3644/0K4D1a33P7v6r+ukXtx8+OlPf+Pvbv779x9v/fvvL21+sr/T8dftZ/TprMCQejIMbT0YMh5nXofHsfDQSJwpL56lKhmxDeYMVpcfOk5HCte4Bw6FfldnVeDKS9NZ4StndeXLyOUztR+08ty/xyg0vZWMFd5j/yJ1n56Be87K5nn8Im63vtA9oyQe99tKTIp0nIglEuJzXbnswS2UUzFf5Mp9G4ap+xkXffWfUmgCq8cxcY4Hx9d94MoI4zE5o4/mPqp38WHWYn+iHcd69rzvNu58+eEyS+qPfn9WPUPqD+qMP9A9UE6pf8fahvpfIfpNRW5xeZ42TxON0cE/KiOEwJ+M9qeGxSYwoLD1p0n4t+BusJD22pIwUriURGI0oUuW9/Rk0V6wsvTWlCrDoako5+Rym/aM2pdm2hzG8kowV3GECJDelnYN6zcvmegYibLam1D6gJR903ZQW09U0my7mQZyGQjWwqzzIozgJkrgQsUiFzLNNt9ZrU9r66A3VlDo/Nx/j678pZQRxmJ3QpvR/6jbz7oPbL+vmMnkkz9vv43idFUziYAd3kYwYDpPoUbpIRhSeLrJ19n+DFaTHJpKRwrWEAYNRyKL9GfxXrCS9tZDhZdx1UzonnsMcfdQOcvtymtzwsiFWcIfJj9xBdo3pNS+a69mHoNkaSPt4lnzQdQMpknwVJrM8CGMhA5GJNJiukllQiEUhkiwNZ8nsRf8NZOuyVzWQhWssML7+G0hGEIfJybmB1Heff6EP9WuG9Pbk7ee7prK97X+dFVbisAc3lYwYDvPqUZpKRhSWplK/q3wf5A1WkB6bSkYK17IGDIbIikvZOiBXrCg9dpVFK96bvHgOE/dRu8rte2dyw4uEWMEdZr8Dusr2Mb3mRXM9/RA0W1dpH8+SD1q3laZuseMl7rROsfX6vNfSwvyw+rwJt3vjPKbVpf1LLxMlVWqx7Q+I/gZZbXO66Ios2OP9rerl6tvAb//lrL6vePOOH21T3/5WdX1fMaX1BZX1vTq3n9z+7uz257e/uP3l2e2HZ5FuDXVT+Puz7cuBPrn9XN9fXv/vE3X8fO+dQb+6/VVbYF4nB0Zggdn0g3/67e8hedcm8d+TJUoniYC8+Ozuv60H71JH9NeBSrhH21+1Jt5jsvjmdN0hHm9UO28ooips9qAdCh36z8uw/VKrN8gam+1lh8YDW0uqumbd6lCHtoyxUBNh69UFV2SJe+1gh0anVnCvtl598/HNzdObTXUtnz/52pO0iB6pQ6wPiT4IfZD6kOpDpg+5PhSPnmRhqA/R1/V8qWF1TX4UtpblN+mxAMvsLhblf/ru9btt897+ZQhF0XGZ4R/R5YKVdicXGSkdvYv1MP3RJs5tqt+iqwYr7jGacw1zfmXAeELHAOvjDqMzVzq0a9nnDweii+JtOoV0pIDzSEf2YiesIfgpXTBYNuEVDjBVlXqqKvVUVeqpqtRTVamnqlJPVaWeqko9VZV6qir1VFWCU9U1PQ5gcf7Osaapb9GlgjX6O2hqXd9PUd8ynNs3dMUudZuUZNtVpmV6KskIMVjWv3/g1LQdgC6CZ3QCsBh/32la0hG92IlqiH1OE1uvltL5XExnRSCTMA2EmIXBLIwXQZbMp7FYzIVMe3eAknbTWq3sza8E2aNE8Xo3gDhBHPYR0c2Bf7r9SD/Dw3hRO/XKdc5QSDwU+Fq7DeMxK4bDBim+6u62hzhRWOyhzpevcZL05w9xUrhuUAOjkSWXRdh6CccVK0pv/pDsfGocK57DvH6MJehuIbp9V1dhePkaK7jD9AevntAxveZFcz39EDSLPwSMZ8kHfbJXHSXtL41XPWfsHAoIr/+ekxHEYW5Ce87DLjrihJU47MFdJSOGw7R6lK6SEYWlq+y66IgTpMemkpHCtaoBg5GkhWx/I/sVK0pvTWX3RUeseA4T91Gbyu3ruArD+9VYwR1mP3JT2X3RESua6+mHoNmaSvt4lnzQJ3svZNK+MaGaysQ1FBhe/00lI4jD3OTcVFpvheQEkzjYwQ0kI4bDFHqUBpIRhaWB7LoVkhOkxwaSkcK1ggGDkSVF2P5g+CtWlB4byK57IVnxHCbpozaQ27drFYa3pbGCO8x+BzSQXfdCsqK5nn4Imq2BtI9nyQd9sk94S9rXvKqBFK6hwPD6byAZQRzmJrSB9PaAN844STxOB/ejjBgOM/JR+lFGFJ5+tOsBb5wkPTakjBSuFREYjTxPL/Oi66J4RpbeOlLDA95Y+Rym/aO2pNvXcRWG16uxgjtMgOSW1PCAN1Y21zMQYbP1pPYBLfmgT/YNvsmlbAuF6kmlcyggvP57UkYQh8kJ7UmP8AZfTmKJEx/cXTJiOEyueHdpe4MvJxBLj9n9SjVOlB6bTEYK1xIHDEcs88s069r2ZGTprcnsfoUvK57DNH7UHnP7Aq7C8E41VnCHaZDcY3a/wpcVzfX8Q9BsLaZ9PEs+6LrFXK6SNF2ksyCKojwQUToPpvO5rBvTpfqzZR5vkr3PFrN1XaxazNQ1FBhe/y0mI4jD3ERoMV/e/UD1kZ9oG/3uL+/+d/X7n519TV+eqS/O/PLuZ6rf/PT25dftLSdjBCQegYNbTkYMh7n2iC0nIxBTy9l+DccbrCg9tpyMFK4lDxiOJMw6Lnu7YkXpreOML/OujpMTz2FWP2rHuX31VmF4lxoruMMsSO44u8b0mhfN9fRD0Gwdp308Sz7ouuOM88VUJuoTYZZG6rPhNJjlchnk+Spc5OFUfWETmD47zlbfVXWc5hd4tIQCw+u/42QEcZib0I7zV195StxP16b5H25f1kb7y9sP9aPj6u7zk7VxnslzEZ6Hj0RYX9fZ2XMyxkDiMTi452TEcJhtj9hzMgKx9Jzdd5wzkvTYcjJSuNY8YDSMd5wzovTWcoquh52+ycvnMK8ftefcvlmrMLwqjRXcYRYk95ydg3rNy+Z6AiJstqbTPqAlH/TaSV8KkUdhGEzDZBWIeDULZkWYBKtptAhzIZeJmL7ovelsnbRU02l+6Ufbji+E13/TyQjiMDkd0HSartQEGk5GfonzH9xwMmI4TLVHbDgZgVgaTtG+Pn2DlaTHhpORwrXeAaMRRTK7zLvezssJ01vLmaaXRdf9RJx8DrP6UVvO7bu4CsO71VjBHeZBcsvZOajXvGyupyDCZms57QNa8kHXLWe4nGWz+SoOpnO9JzpbqM50maRBMp/PxHwh8zzcZHufLWfRFgrVchauocDw+m85GUEcJie45bx/1cbeqzHUb+9+dvu5fqGGvRlti8brrNGQeDQObkAZMRwmXrwBNdw2xIjC1Hq29jlvsJL02HoyUrjWPWA0ojBRa4H2N2RescL01nqKy/bO+k1ePIfJ/aid5/Z9XYXh/Wus4A4TILnz7BrTa1401xMQQbM1nvbxLPmgN5d0ThdxMl0Fq9lsEYgkVt+KZlkQzpMin8dimSSbMe+z8Yxar7B4LQsdH12P8vXdebKCOExOaOf5c9VmfqmfrVnfmP7x2d0P796v71bf3dded5gf6ze/fab/8O4nf7p57duH6g9e6rfC6e/o9vT2U+3Er38axfq5nHGomlLZ/kqO11lDJfFQHdiWsmI4zMp4W9r1qjVWEpautPNGI1aU3tpSVgrXqggMh+lGI1aW3rrSKJGXMmkDfJMX0GHqP2Jfqt8GVfcxm1+0gT/hBXeYAcl9afeoXvPCuZ6DCJy5M0VGtOSDXrvw0SKKFrIIZnJVqC52HgZ5IVaBmIdRGobxbCU21aLXzrT1IeKqM3V+Cj7G139nygjiMD2hnelf1fcQfXz3g0D9X/3eoXr7Mz0XXe0kI5/E+Q5uJxkxHCZTvJ3s3OVkRWHpJ8PLTLahvMGK0mM/yUjhWsuA4YhycZm1ehpXrCi9tZOddxHx4jnM1kdtJqNt69H9EiFecIf5j9xMdt5FxIvmevohaLZW0j6eJR+07iVNLWLHCzdp7aFog1O9YWyEK5pwu7eDYlpder70UrWwl1KLbb8t4Rtktc3poiuyYGP3t7dfrG8jv/2Xs/oSvY3zrR+VqbcTz77icH96+3Kz2/jJ7e/Obn9++4vbX57dfngW6XvN9UuAfn+2tcw/uf1c359e/+8Tdfx8z0n/1e2v2gLzOjkwAgvMpiP8029/D8m7Non/nixROkkE5MVnd/9tPXiXOqK/DuSlOvs3v2rdV3xMFt+crjvE461q984nUWGzC+1QiHeg0WXYvl3+Blljs73s0Hhoa0lU16xbpvckI/GLwss0bZN4RZa41w4aXjMPt4J7tXX/ze2qGUoeqYPQB6kPqT5k+pDrQ6EOUagPkT7E+pCs39yuYHVN7nhz+5v0WIBldheLY7y9/Y/ocsFKu5OLjJSO3uYN7n+0iXOb6rfoqsGKe4zmXMOcXxkwntAxwPq4w3B+k7vW/nAguijeplNIRwo4j3RkL3bCGoKf0gWDZRNe4QBTVamnqlJPVaWeqko9VZV6qir1VFXqqarUU1Wpp6pST1UlOFVd0+MAFufvHGua+hZdKlijv4Om1vX9FPUtw7l9Q1fsUrdJSbZbZZqnp5KMEINl/fsHTk3bAegieEYnAIvx952mJR3Ri52ohtjnNLGnavuo/7ZRqpV94kaJ4vXv+jCCOOwjopsD7q4PI5/E+fAFdBvGY1YMh11PfCltcH0YUfp2fRhRenR9GClct52B4cjjy6Lj2XGsKKfg+nDiOczWx1hY7paXydYl6H5JGy+4w/wHr4nQMb3mRXM9/RA0m+tjH8+SD/pk76nsuEFKdZLCNRQYXv+dJCOIw9yEdpK891SyRkPi0Ti472TEcJh3j9J3MqKw9J1d91SykvTYdjJSuNY9ZDRSfbFR64hcsbL01nd23lLJi+cwtx+17xTbPqX7TWy84A7zH7nv7LylkhfN9fxD0Gx9p308Sz7ok31msWi/2kf1ndI1FBhe/30nI4jD3AT3nQzPLGaNgcRjcHC3yYjhMNvi3ablEXKsQCw9Z9czi1lJeuw5GSlcax4wGklyGbU/i+uKFaW/lrPzmcW8fA7z+lF7TrntUbrfzMYL7jAL0nvOzmcW87K5noAIm63ptA9oyQd9ss8sFpeiLRSq6UxdQ4Hh9d90MoI4TE4HNJ0HPbOYlV/i/Ac3nIwYDlPtERtORiCWhrPrmcWsJD02nIwUrvUOGA0Zh5dR+5VdV6wsvXWc3Y8s5uVzmNSP2nGm2wal+81svOAO0yC54+x+ZDEvm+sZiLDZOk77gJZ80Cf7MmBxKdtCoTrOzDUUGF7/HScjiMPkhHacx38ZMGsEJB6Bg3tORgyHyfaIPScjEEvP2fkyYFaUHptORgrXkocMR5JfJu0jcsXK0lvTabiikxPPYVo/as+ZbVuU7jez8YI7TIPkntNwRScnmuv5h6DZWk77eJZ80OtNzlmWpUWYB9NsuQjEcrUMptEyDCIxDxfJbLpYRasXvbecaVsoVMtpfmFIW/cN4fXfcjKCOMxNhJbzb1S7+aO79+8+UL3lb1Wn+Zvbl+pXH9lbTEZiiRMf3GIyYjjMrUdsMRmBmFrMzicPM6L02GIyUriWOGQ4ovQyKpI2litWlt5aTFWNulpMTjyHafyoLWa+bUm638TGC+4wDZJbzK4xveZFcz3/EDRbi2kfz5IPum4xo2mxiOdpFKi2U++AJjKYRUUeLIssjBazRSbF8kXvLWarOaZazMI1FBhe/y0mI4jD3IS2mL9av+RCt5i/0Jdt3n1w91/Obv+H6i5/X+9m/ub2C3X8aPMKDP1qi7sf6bdc6OOl7GhvXmeNgsSjcHDbyYjhMN86tJ2dz3tjJOm732RE6bHfZKRwrXfIcBj7TUaW3vrNsOMhR2/y4jnM6UftN4ttf9L9/jVecIf5j9xvRvryj6Q1a6956VxPQYTO1nLah7Tkg17vaiZFOk9EEohwOa/3PYNZKqNgvsqX+TQKV3EmXvTecrZeSPFaFpnf+dHWfUN4vbecnCAO0xPacv7j7Re3H99+pB91dP/StQd3rKs/+v1ZfTf7H9QffVC/nu3D+knH+p1t5DvYOeMk8Tgd2pRyYjhMynhT2n0HOycKS1eatFskb7CS9NeUclK4VkRkNIr8MslaR+SKlaW3pjSSl0VHV8rK5zDtH7Mrjbbv6ooMb19jBXeYAA/oSjsG9ZqXzfUMRNgsPSkwoCUfdN2TFtPVNJsu5kGchiIQs1Ue5FGcBElciFikQubZplvrsyct2kKhelLzy0NaQoHh9d+TMoI4TE5oT/o/dZd598Htl3VvmTyS5+2Xb73OCiZxsIObSEYMhzn0KE0kIwpPE9k6+b/BCtJjD8lI4VrBkMFIoqJ9h+CKFaW3FjK8jDtuD2LFc5ikj9pBbl/RFRleucYK7jD7kTvIrjG95kVzPf0QNFsDaR/Pkg+6biBFkq/CZJYHYSxkIDKRBtNVMgsKsSiEWn6Gs2T2ovcGMmotIqqDjF1jgfH130EygjhMTs4dpL4P6At9+LA20PU72z7fdZXt71x+nRVW4rAHd5WMGA7z6lG6SkYUlq5Sv7ZnH+QNVpAeu0pGCteyhgxGKov2Nf4VK0qPXWX7E+vf5MVzmLiP2lXG2y7E8NYwVnCH2e+ArrJ9TK950VxPPwTN1lXax7Pkg153lel8LqazIpBJmAZCzMJgFsaLIEvm01gs5kKmPrrK1v5EdZWJcywgvv67SkYQh8kJ7Sr/6faj9UuBDE452Q5nDIXEQ3Fwz8mI4TDrHqXnZERh6Tk7H67JSdJj08lI4Vr1gNEwPVyTE6W3plN23hLEiucwrx+16dy+dyYyvEeIFdxh+iM3nV1jes2L5nr6IWi2ptM+niUftPrPn3yl29K95B+bmsuON2vSGkvZBqu6SmGATWTWhN29BhTT6tItppdq8ryUSmzc/obMb5DVNqePrsiCLeHf3b5UTeFv6merf6rv2/mdPuhX+9S3it/+y1l97/HmTUD6Csrb395+cfaVBrH+lm4iPznTF1Tq/UrdXJ7pm33qlvLjs+RRrP7OR2f1v/HZ3V+qllI/5Eh1oT+s/3bVh6p/V1+VqW9D/0R/+bP6n1N/dKb/3rUEperuh3Xj+vu2mL5OjqnAYrrpLf/0299DUrZN4r8nS5ROEgF5ydndf1uPcJvQx2ShzVm+Qyje4HbehERV2OxdOxTifWt0Gbbf7PEGWWOzK+3QeGhHSlTXLHem9yYD8YtD/U7w1nnyiqxxr400vHee3EJ23+VDlg1Wzp1s/M3rcdSh9o/oasHauVPbonOvz9HB27x8XSvr6m7eoqsGa6hT+42mxhO6bOEo2/2l65E4fxj4ruC/TaeQjhRw3ujIXuyENQQ/pQsGKxp5zdKVKdd0yWCJ+86RJpBv0ZWChe47aBJc308e3zJMHjd0xS7F75jpUJIlx2Ap/P6Bk8Y24F1Bf0YnAKvi950mDB3Ri52ohtjnNLF6XfyVfr1zQfy95fz7337v3RYGwppYtgGoBbE0AuSd0Ya1UtbErWK/QRbbPB0NgQWXxH+zudZGux71MlZfdPPp7SdtutWaU/67K7L4vU6kW71TM7Kf6s+ffE3Vx/SROuTqEIf6EOuD0Af9g1j/INE/SPQPEv2DRP8g0T8Q+gdC/0DoHwj9A6F/IPUPpP6B1D+Q+gdS/yDVP0j1D1L9gzTt2nSkBk+4Bw+f3XTE3tYRe1tH7G0dsbd1xN7WEXtbR+xtHbG3dcTe1hF7W0fsbR2xt3XE3tYRe1tH7G0dsbd1xN7WEXtbR+xtHbG3dcTe1hF7W0fsbR2xt3XE3tYRe7srYm/TIybdI4bPpipgT3XAnuqAPdUBe6oD9lQH7KkO2FMdsKc6YE91wJ7qgD3VAXuqA/ZUB+ypDthTHbCnOmBPdcCe6oA91QF7qgP2VAfsqQ7YUx2wpzpgT3XAnnYF7Ck9YPjsAtf71sCVOnClDlypA1fqwJU6cKUOXKkDV+rAlTpwpQ5cqQNX6sCVOnClDlypA1fqwJU6cKUOXKkDV+rAlTpwpQ5cqQNX6sCVOnBlV+BKcuD2Wg5L4NzOy2c6Ws90tJ7paD3T0Xqmo/VMR+uZjtYzHa1nOlrPdLSe6Wg909F6pqP1TEfrmY7WMx2tZzpaz3S0nuloPdPReqaj9UxH65mO1jMdrWc6Ws+6ovWMHi28O3DscFSwnutgPdfBeq6D9VwH67kO1nMdrOc6WM91sJ7rYD3XwXqug/VcB+u5DtZzHaznOljPdbCe62A918F6roP1XAfruQ7Wcx2s5zpYz3WwnutgPe8K1nNasPx4DrJ9E191WKmJQUUC7LCOaDlIg+VAVAtul6D91T/Vm/gvay9hYzp8fvvx7b+oX36hfqUfG/a+br7ufnR2+1HdieknNejXIOz+cNeg6d9uGzT1t7Vxv07mbvYXnLYAUaJ0kgjI23a/dz89ezL97rffO7v59nt/9u2zr93+4vZXZ9rZOQvVGRFfxmEsv355dvvr209uv/x3Z7d/E8g2ssdkMnDXBfcRDBfKECWCuyzHMRKIGsH9lUONBKI6l70UJH6twbsiy2PxEPaK9NU3H9/cPL3ZOPublVr2dX29nZZe76iErUX0TToZWCzdbYYkzgw+A1UuWDBdfYb03mfofF3UW3TVYOE8bGm/u8AnPb8yYDyhY4B1kLDI3m0hpucPB8LgO1AppCMFnEc6shc7YftrT6pgsALCvgMw8ZTgxHNNpwKLpps1USRh0e1NUKWCtdPFm0jvvYnOM/WGrtilnpJSZnf1mXmyKckI3F5Fev5wAAxeBZUALK2OK3mdOztR+4tpilitdiZn8bSQqyAtwlUgptNFkC/mIljOErnM81k431axznX2f5oe88YRqY9tkGq1bXqHTgskSte2IjdAuazK20C+wQricHkxumD/27bVubZGtgvxT766Vtw83Pv6u++9+/33ztIwXP/+9pf6cj/13Q/1a2jqW1D+Qi/9f6PvQ6kvB9x87m+COL395aP6F9n2F/ntL+v7Un55+3/e/nX9q//r9r9v/uwf1K9+/qdx/et/vv2H+q+5/ZX64K//9MnTm/p3v1B/rC8iPEvq3/7N7S82/9pZrFZcZ3c/OivW/7d+rXf9AXGZXBbhmfqb/vr2n9vG8XXWcZT4OLqs7gN5eRZH9RPXFfmljsL/cvvz27+//cfbX5+JTAZxGKX6BUF/fRadqdB+qT6tP3t2+/Mz/Zr0M5UNHyU6Kv90+9/P9N9R/3VqlP6gM+LzenD1NZ+5+ol+kdCjs7v/ql9uWd929HJ9Kedn9SWi+rfF5lNnagz/oJKs/vbGe/u9/slLlTM/VN/9UI/L3X+pt430B16efa0eUH056N2P6r2kz+prUz+prxetH/L5ye3vVLbpK0e3tzv97OtnF5rgb27/x1m6/ofvfljn8d0HavTr/Pyi/u4fzlREdHa/X/+9H39lK+r2i0f1la7q39fXzr6sX9r5iZa7vpXqfS1XfUeT/kv9ds81jcr3Tza3X32kA7m5FPYsqC+63Wy7vF9viG1u+r9Xc/eTdeRUfNU/9nF9+vxMf1Nfv/sv6u9cn5k/W59Pv1v/jWvF+sz9ZP0Hn6p/4Cfbq2zX3/91ffrpa20/rSV/cvfjze/qv+3TjYDfbGTpMHyxeYz/F/UlveqfrR/6/+P6yl39T3VF9FKF9Kz+9sf69VMPo62k/JP657eZ8fH2OuAPN9cW1xOH/vDLux+plPpgMx19WV9h/Gl9KfKHemq6++nm762vUK5FXp59ZVNL/y36oKYcfSHz5rO/X/91X7kieafhE5Voteb6Jx8rzk/qf6Ue4t/VV0r/S/1g2R+u//jLzfNl9TNpt+O0+ffqz+k80T/5nU4EldBa/V9ssnb9RaXzR9u/cf3s2vtzRv2NX79sm4wes05GzaWIYTI6yoYcIwrLnWutDcsbrBw93rfGSOF64wwyFl2bgIwYvd2zZrjgmBPPoak8xmbWbktr+2bNyPCmVFZwh4kP3ofZ2zEtRJhepq33VV/z4rmefgiecUyvkTEt+aD10xJMa9ljesatt62oVazpNV0y7N5XwKS6rE4Rz5ioFtz6Rpeg/XvGRG6BcR/FMyZKlE4SAXkHeMZfu/2sdQp4TKYDd82P0qYSJYJb4A7tp8E3JmoE974PbS2J6lz2uYH4iTZ1V2R1Hm3jYuve5GbbmEoG1stj28ZUuWDNdLWN83vbuPN9nG/RVYO18xidtoY5vzJgPKFjgKXwENs4P384EAbbmEohHSngPNKRvdgJawh+ShcMFkB4uQJMPCU48VzTqcCaeUzbmCoVLJ0utnF+bxt3nqk3dMUu5ZSUMrvFn3myKckI3LZxfv5wAAy2MZUALK3OtnF+sRPVEPucJvZEbeOOJaxacBdukChd/7YxI4jDDh+6Zn9lG/9z2zi+zjqOEh9HlwX+eqX+0Do22cafvbKNX9nGr2zjIdjGjJORg3tylP04RpRebWNGjh5tY0YKV98KGAvRRnHFSnEKrjEnnkNPeYy9rN2O1vbN5ZHhZfSs4A7zHrwN4+gac+K5nn0Ins01to9pyQfdp2uctLG9lsWhkS1qsvl1jalqwZ1vdAXau2tM5RYY9zFcY6pE6SQRkEd3jdNu15hKB26aH6NLpUoEd8Adus9u15iqEdz6PrCzpKpz2eZG4tem7oqszp9rHEcb8yYOja4xmQysl0d2jclywZrp6BrH4c41jjtfX/4WXTVYO4/RaWuY8ysDxhM6BlgKD3CNlfaHA9HtGpMppCMFnEc6shc7YQ3BT+mCwQIIL1eAiacEJ55rOhVYM4/oGpOlgqXTwTXeTTjfMpypN3TFLuWUlDLbxZ9lsinJCMyu8W6i2Q5At2tMJgBLq6trrHJnJ6oh9jlN7Im6xkmXaxxHbpAoXe+uMSeIww4fumZ/5Rr/c9s4vs46jhIfR5cFfptrbLvhuMs5/sc6Vv+03sH5aLcV8/KVmfzKTH5lJp+Imcw5RzmYKkfZpmNE6dNM5uToz0zmpHC1s6hjccVKcQJmMiueQ6t5jC2u3UZXtDEe179oA3/CC+4w78G7M25mMiue69mH4FnMZGBMSz7oPs1k0cam1raxkS1usnk2k4lqwQ1xdGHav5lM5BYY91HMZKJE6SQRkEc3kzODmUykA/fSj9KlEiWCG+MO3afBTCZqBHfED+0siepcdr+R+LWpuyKr82gmJ1tPJzabyVQysF4e20ymygVrpquZHN+bybHBTKaqBmvnMTptDXN+ZcB4QscAS+EhZnJ8/nAgDGYylUI6UsB5pCN7sRPWEPyULhgsgPByBZh4SnDiuaZTgTXzmGYyVSpYOl3M5PjeTO48U2/oil3KKSlldos/82RTkhG4zeT4/OEAGMxkKgFYWp3N5PhiJ6oh9jlN7ImayaLTTE7cIFG6/s1kRhCHHT50zf7KTP7ntnF8nXUcJT6OLgv89WXfR/GSf/XQxVwnxGfaJKt9vtqUW7t5n937Z181zHQGfHL3g7sP1r6rNhJ/UNvEW4fwC20afqLGRf/51sdTf8vdB1vjsjYrtVn8xVltx9bJpTeY1F/7s+OZ2pen52o/Ort57S0tMDlTdH/9ysR+ZWKflonNODc6mDlH2R5kROnVxGbk6NHEZqRwtdGoY3HFSnEKJjYnnkOLe4yttd0GW7I1PBPDJhsnuMO8B+8KOZrYnHiuZx+CZzOx7WNa8kH3aWLLNja1phZGtqTJ5tnEJqptzhiDM7GJ3ALjPoqJTZQonSQC8ugmdtSadY/JaOAG/lFaVKJEcDfeofU0ONhEjeA2/KFtJVGdy5Y7ED/Zpu6KrM6jgy23RpIwO9hUMrBYHtvBpsoFC6argy3uHWxhcLCpqsHCeYw2W8OcXxkwntAxhCMGwVgS5w8HwuBgUymkIwWcRzqyFzthDcFP6YLBAgivVYCJpwQnnms6FVgzj+lgU6WCpdPFwRb3DnbnmXpDV+xSTkkps1v5mSebkozA7WCL84cDYHCwqQRgaXV2sMXFTlRD7HOaWK02lPE8FHkWyEQUgZit4mCapotAZisZZmGUxOnmNOhcZxs2Gmhr7U4HW7pBonT9O9iMIA7be+iCvX8He+28vLz9cGtH/8NRXOtjmNaMQyfxoXNZ0K8vL3+0da0jCbjWm1cuR49k5z3QX9bbBD/Uhl/tGr7UZrOK+i/VF/Q/0mEdF5B1HIXyVG+IfmS5I9rdTH7x4t1e7GRN9NBKrg3MV2byv3YzmXHOcjBVjrJTx4jSq5nMyNGjmcxI4WpnAWMh2yiuWClOwUzmxHPoNo+xy7Xb65Jb41Ea9rs4wR3mPXiDxtFM5sRzPfsQPJuZbB/Tkg+6TzM5bWNTy9vUyCaabJ7NZKJacE8cXZv2byYTuQXGfRQzmShROkkE5B1iJhtuiSbigfvpR2lTiRLBzXGH9tNgKBM1grvih7aWRHUuO+BA/JI2dVdkdR4N5Wzr66RmQ5lKBhbMYxvKVLlg0XQ1lNN7Qzk1GMpU1WDxPEarrWHOrwwYT+gYYC08xFBOzx8OhMFQplJIRwo4j3RkL3bCGoKf0gWDBRBerwATTwlOPNd0KrBmHtNQpkoFS6eLoZzeG8qdZ+oNXbFLOSWlzG71Z55sSjICt6Gcnj8cAIOhTCUAS6uzoZxe7EQ1xD6nidVqsYu3NU/nWtuw2UBbb3caypkbJErXv6HMCOKwxYcu2vs3lIdySzTjOEp8HF1W+Jul+kN7Gbgh+pW1/MpafmUtD95aZpywmssVw4R1lD07RpRerWVGjh6tZUYKV3MLGIuufUJGilOwljnxHPrOY+x37Xa9sq0NmRl2vjjBHeY9eKumOaYiTHKDtcyJ53r2IXjGMb1GxrTkg+7TWm4dULXQzY1sssnm2VomqgV3x9FVav/WMpFbYNxHsZaJEqWTREDeIdbyZdwG95gMB+6rH6VJJUoEN8kdmk+DsUzUCO6OH9pYEtW57IQD8Wvddr0iq/NoLBdbfyc3G8tUMrBcHttYpsoFS6arsZzfG8u5wVimqgZL5zEabQ1zfmXAeELHACvhIcZyfv5wIAzGMpVCOlLAeaQje7ET1hD8lC4YLIDwagWYeEpw4rmmU4E185jGMlUqWDpd</t>
  </si>
  <si>
    <t>jOX83ljuPFNv6IpdyikpZXZrP/NkU5IRuI3l/PzhABiMZSoBWFqdjeX8YieqIfY5TeyJGstZp7FcuEGidP0by4wgDht86JL9lbH8z23j+DrrOEp8HF3W9/VC/dGx71r+W/X9v3tUPyr79ne1J6adyc/ufrrNlPoD2gJcm3K1N7rdufn43n3+12c+H9171hF8WT9PfC343uXV39VPML/9VH9kLaHWpf+uB36x+ue14vpk/sHdB9pzrsfmv+mv3r1f69vut6mPfaaofqxP0fX2W/049foN3bUTvfFF14b2F5rhbP0wbW0nb71Y9ZuPak/55cYh/b//v+svq79UCa1H5Yc17m/qSKuB+L8/O9AS79MQf+TJEH+0Rv+yPje2KaTG9oPNOKrgbCbdLzZJOtRk+Ldi/TOWFAcL7Ci7qowovVr/jBw9Wv+MFK7mIzAWXTu5jBSnYP1z4jmsDI6xI7nblyy2NnFh2JvkBHeY9+DNtL1t71wUBuufE8/17EPwbNa/fUxLPug+rf/W/ZbXsiQ0sqVNNr/WP1Ut6F+g+wi9W/9UboFxH8P6p0qUThIBeYdZ/933lVMBQffjGI0qVSJoZTg0oN32P1Uj6GEc2FxS1bn4FUD8RJu6K7I6f/Z/Em1cuCQ02v9kMrBkHtn+J8sFy6aj/Z+EO/t/Hec21W/RVYPl8xjNtoY5vzJgPKFjgNXwAPtfaX84EN32P5lCOlLAeaQje7ET1hD8lC4YLIDwigWYeEpw4rmmU4E184j2P1kqWDod7P/dhPMtw5l6Q1fsUk5JKbNd/1kmm5KMwGz/7yaa7QB02/9kArC0utr/Knd2ohpin9PEnqj9n3fZ/0nkBonS9W7/c4I4bPKhy/ZX9v8/t43j66zjKPFxdFnj7xbrry4BeHUJwJFdXxbb99U1AK+uAfi3dg0AZ11x8MKOsrXKiNLnNQCcHP1dA8BJ4epCAmMh2iiuWClO4BoAVjyH5cExtiV3m5PRxi9e/6IN/AkvuMO8B++ouV0DwIrnevYheJZrAIAxLfmg+7wGoGhjey1LYiNb1mTzfA0AUS1oYqCbCf1fA0DkFhj3Ua4BIEqUThIBeQdcAxC3oT0mo4Hmx1FaVKJE0MlwaD0N7j9RI2hhHNpWEtW52BVI/FqDd0WW59H+T7YuXGy2/6lkYLU8tv1PlQtWTFf7P763/2OD/U9VDVbOY/TZGub8yoDxhI4BFsJD7P/4/OFAGOx/KoV0pIDzSEf2YiesIfgpXTBYAeHFCjDxlODEc02nAovmMe1/qlSwdrrY//G9/d95pt7QFbvUU1LK7JZ+5smmJCNw2//x+cMBMNj/VAKwtDrb//HFTlRD7HOaWK0We42b5ulcaBt2GmiL7U77P3GDROn6t/8ZQRz299AVe//2/9nJvqecc+gkPnQuK3q1NH/o9R/o82/svs/X5r420da7L7XHt7b9v9Ae6+2nrx4q7+Tqv3jxbn06/G5t536uN8fW1m79kPjP9O+Du5/d/u7uJyq+X6j4HmaN9/vEeE/e+L8Vx5hxXnJwTo6yHceI0qtjzMjRo2PMSOHqWSFj0bUFyIhxCpYxJ55DS3mMrazdhlaytRcTw6YWJ7jDxAfvwuztl2ZZYrCMOfFcTz8Ez2YZ28e05IPu0zJun4jUIlYY4fImnGfPmKgW3PlGV6D9e8ZEboFxH8UzJkqUThIBeYd4xoa7xol44K75URpVokRwC9yhATX4xkSN4N73oc0lUZ3LPjcQP9Gm7oqszqNtLLfujTDbxlQysGIe2zamygWLpqttLO5tY2GwjamqweJ5jF5bw5xfGTCe0DGEIwbBzRHnDwfCYBtTKaQjBZxHOrIXO2ENwU/pgsECCC9YgImnBCeeazoVWDOPaRtTpYKl08U2Fve2ceeZekNX7FJOSSmzW/6ZJ5uSjMBtG4vzhwNgsI2pBGBpdbaNxcVOVEPsc5pYrRa7RlvzdC62DbsNxAV3p28s3ShRvP59Y0YQh00+dNXev288lNvGGcdR4uPossTfrNUfOd00DryS/JWZ/MpMfmUm356Ymcw4Pzl4KkfZo2NE6dVMZuTo0UxmpHB1s4CxaO2ar1gpTsFL5sRzaDOPsb+12+WSW99RGna6OMEd5j14a8bRS+bEcz37EDybl2wf05IPulcvuWthmxrhiiacZy+ZqBbcDkdXpf17yURugXEfxUsmSpROEgF5B3jJ8ryN7TGZDdxHP0qTSpQIboo7NJ8GI5moEdwNP7SxJKpz2fkG4ifb1F2R1Xk0krOtn5OajWQqGVguj20kU+WCFdPVSE7vjeTUYCRTVYOV8xiNtoY5vzJgPKFjgIXwECM5PX84EAYjmUohHSngPNKRvdgJawh+ShcMFkB4tQJMPCU48VzTqcCa6WYkR2Emu2adb9G1grXTxUlO753kzlP1hq7YpZ6Scma3+DPPNiUZgdtJTs8fDoDBSaYSgLXV2UlOL3aiGmKf08Rqtdil25qnc6lt2GsgLrc7neTMjRLF699JZgRx2OJD1+z9O8knfAcy49BJfOhc1vR6cf7QOa4N2I9q5/KT24/uPrjdPCh87X1qK/W3tUn1Re137Sy8ztuUb/9+4yw/vkpU+H5Rm2QfbZy8n62fNlwPu976ufvB3c8ebR9P/HFth27+/rUbvX5u8le2iD452xqVSunmb934cf92Tek60gHFmlYB0TblZ3VAPtIXBXyqhP3l3Y/1X6e95fUW0Psbn1gjfkXV3U/2hm5tPw/GvL705V63TSiPWSeU5hrCMKEcZSONEaVXt5eRo0e3l5HC1W8CxkK2UVyxUpyC28uJ59AKHmMTarcVlW2dwcywHcUJ7jDvwfsne/mayjjsdns58VzPPgTPOKbXyJiWfNC9ur1xG5xafOYmuChswnl2e4lqwT1rdOXYv9tL5BYY91HcXqJE6SQRkHeQ22u4dZjIB254H6VRJUoEd68dGlCD40vUCO5aH9pcEtW57FAj8WtTd0VW59HxLbbGS252fKlkYMk8tuNLlQtWTVfHN793fHOD40tVDVbPYzTbGub8yoDxhI4BFsNDHN/8/OFAGBxfKoV0pIDzSEf2YiesIfgpXTBYAOEVCzDxlODEc02nAmvmUR1fqlawdro4vvm949t5qt7QFbvUU1LO7BaA5tmmJCNwO775+cMBMDi+VAKwtjo7vvnFTlRD7HOaWK0Wu8Ba83Qutw37DcQld6fjW7hRonj9O76MIA7bfOi6vX/Hdyj3DjOOo8TH0WWRv12tH9cCbt5c/MoCfmUBv7KAiRYw46TiYIUcZWeNEaVXC5iRo7nKMHAcukvHSOFqQlHH4oqV4hQsYE48h97wGLtSu72pYmsXFob9KU5wh3kP3lBxtIA58VzPPgTPZgHbx7Tkg+7VAk7a4F7LRGiEi5pwfi1gqlpwExtdSvZuAVO5BcZ9DAuYKlE6SQTkHWABt96J8JiMBm5+H6NHpUoEd7Ides9u95eqEdzBPrCvpKpz2a0G4ifb1F2R1flzf0W0MWFEaHR/yWRgtTyy+0uWCxZMR/dXhDv3dx3nNtVv0VWDhfMYfbaGOb8yYDyhY4B18AD3V2l/OBDd7i+ZQjpSwHmkI3uxE9YQ/JQuGCyA8GIFmHhKcOK5plOBNdPN/TU+OJosFSydDubvbsL5luFMvaErdimnpJTZLv0sk01JRmA2f3cTzXYAus1fMgFYWl3NX5U7O1ENsc9pYrVa7HprzdO50DbsNBAX213mr4jcKFG83s1fThCHDT50xd6/+Xu6t/tyDp3Eh85lRa+W5g+tXsVrfE5090uHf/GVHHhZe7j1w3G1CfvpxjHTTzX+BzV0v7tdPy56YyPXCfO19TN4aydxs23z9X/Vfu3RHyP9yqc9JZ+WczJw8CuOsgfGiNKnT8vJ0Z9Py0nh6hQBYyHbKK5YKU7Ap2XFc2jjjrF/tNtFijae3voXbeBPeMEd5j1462Nvk7IQYfeDmVnxXM8+BM/i0wJjWvJB9+rTijY4tXCMjXBxE86zT0tUC243o6u+/n1aIrfAuI/i0xIlSieJgLxDfNruO3WpeOBW9VH6VKJEcN/Zof80eLVEjeCG86G9JVGdy+YyEL/WS2quyOo8erXJ1jKJzV4tlQysmMf2aqlywaLp6tXG915tbPBqqarB4nmMXlvDnF8ZMJ7QMcBaeIhXG58/HAiDV0ulkI4UcB7pyF7shDUEP6ULBgsgvGABJp4SnHiu6VRgzTymV0uVCpZOF682vvdqO8/UG7pil3JKSpnd8s882ZRkBG6vNj5/OAAGr5ZKAJZWZ682vtiJaoh9ThOr1U6L+XI1XabBdBqqBXeaZUGez5fBKknjWVLEsVws1jydi23DbgNxwd3p1SZulChe/14tI4jDJh+6au/Zq739eRDHt788qz2UD8/ufqj+/MXdBy82N+rq/3/t+vHr5Z+OXnd2a9f/xtatzUhuLePgSXzwXNb1mwW6m2Pb/WbfV47tK8f2lWN7v8PFOCE4OBdH2QljROnVsWXk6NGxZaRw9YyAsejafWOk6M2xTYSIu01bTkKHfu4YG0m77aRka/Alhi0lTnCHqQ/eA3E0bTnxXE9ABM9m2trHtOSD7tW0lW1wagUpjHBJE86zaUtUC+47o8u//k1bIrfAuI9i2hIlSieJgLwDTNvsvI3tMZkN3LA+Sp9KlAjuPjv0nwbHlqgR3HY+tLckqnPZYkbiJ9vkXZHlebRs5dY5EWbLlkoG1stjW7ZUuWDJdLVsxb1lKwyWLVU1WDqP0WlrmPMrA8YTOoZwxCA4KeL84UAYLFsqhXSkgPNIR/ZiJ6wh+CldMFgB4eUKMPGU4MRzTacCi6abZWt+uDJZK1g8XTxbce/Zdp6qN3TFLgWVlDO71Z95tinJCNyerTh/OAAGz5ZKANZWZ89WXOxENcQ+p4nVarGLpDVP51rbsNlAXG93erbSjRLF69+zZQRx2ONDF+09e7anfX8t49BJfOhcFvV6dd5i1x74PGXLK3V/qf6+tSP3Uj9CuTbv9F/wb9WbPaM//PiVQ9vt0KqI/+L2n27/5mydKh+qcVWDd6YH9EO9Q7j+Xd8mLuMc4eBkHGVzjBGlVxOXkaNHE5eRwtVDQsZCtmFcsWL05uIa7rvlxHNo746xsbTbXpJbu08atpg4wR0mPnhPxO35yKx4rqcfgmezcO1jWvJB92rhpm1wakGZGuFEE86zhUtUC+5Do6vB/i1cIrfAuI9i4RIlSieJgLyDLFzDjbdEPnAT+yidKlEiuCPt0IEabFyiRnAn+tDukqjOZdcZiJ9oU3dFVufRxc22ZkpqdnGpZGDJPLaLS5ULVk1XFze9d3FTg4tLVQ1Wz2M02xrm/MqA8YSOARbDQ1zc9PzhQBhcXCqFdKSA80hH9mInrCH4KV0wWADhFQsw8ZTgxHNNpwJr5lFdXKpWsHa6uLjpvYvbeare0BW71FNSzuwWgObZpiQjcLu46fnDATC4uFQCsLY6u7jpxU5UQ+xzmlitFnslkebpXG4b9huIS+5OFzdzo0Tx+ndxGUEctvnQdXv/Lu5AXpHLOY4SH0eXRf52tX58W9fymtxXtu4rW/ffrK3LOE801wmGeeIom2WMKL3auowcPdq6jBSuvhIwFqKN4oqV4hRcXU48h3bvGBtNu+2mbOsAZoYtJ05wh3kP3iNxdHU58VzPPgTPOKbXyJiWfNC9urqtI6oWmLkRTjbhPLu6RLXgvjS6Ouzf1SVyC4z7KK4uUaJ0kgjIo7u6cXjexvaYzAZuaB+lSSVKBHenHZpPg6NL1AjuSh/aWBLVuexAA/GL29RdkdV5dHSLrbGSmx1dKhlYLo/t6FLlghXT1dHN7x3d3ODoUlWDlfMYjbaGOb8yYDyhY4CF8BBHNz9/OBAGR5dKIR0p4DzSkb3YCWsIfkoXDBZAeLUCTDwlOPFc06nAmnlUR5eqFaydLo5ufu/odp6qN3TFLvWUlDO7xZ95tinJCNyObn7+cAAMji6VAKytzo5ufrET1RD7nCZWq8UuotY8nUttw14Dcbnd6egWbpQoXv+OLiOIwxYfumbv39E94ftyGYdO4kPnsqbXi/OHBu6h5q3hntwyDWt7r3ZI7229T9Y+5Me1mfuDf9027s1rb2mKbTRembZHNm09PC2Z8aR3cCaOstnFiNKrI8vI0Wz8DRyHbpwxUrh6QsBYdG2wMVKcgiPLiefQrh1jo2i3XVRs3bvCsGXECe4w78F7HM0xTZNQyI5xvebFcz37EDybI2sf05IPuldHtnUZ/FomQyNc2oTz68hS1YL7yujqrndHlsotMO5jOLJUidJJIiDvAEe2Nesek9HA/ehj9KhUieDmskPv2W3IUjWCm8oH9pVUdS4byED8OvpFqjp/hqyMNr6IDI2GLJkMrJZHNmTJcsGC6WjIynBnyK7j3Kb6LbpqsHAeo8/WMOdXBowndAywDh5gyCrtDwei25AlU0hHCjiPdGQvdsIagp/SBYMFEF6sABNPCU4813QqsGa6GbLGd9uSpYKl08GP3U043zKcqTd0xS7llJQy26WfZbIpyQjMfuxuotkOQLcfSyYAS6urH6tyZyeqIfY5Teyp+rF5lx8rIzdKFK93P5YTxGGDD12xv/Jjt0P3OuvQSXzoXFb0amn+aP9+WsNbbZt26/1bbf+qNgHX4/jQjts5rJf/Ch1Ww42yl6/c1qG7rZyntIPrcJSdLEaUPt1WTo7+3FZOCle/BxiLrt0zRooTcFtZ8RyasWPsAu32gqKNM7f+RRv4E15wh3kP3sDY22o0vpiWFc/17EPwLG4rMKYlH3SvbmvRBqeWf7ERLmvCeXZbiWrBTWN07da/20rkFhj3UdxWokTpJBGQd4DbGp+3sT0ms4G7zUdpUokSwa1jh+bTYLcSNYJ7xoc2lkR1LvvDQPy6GkaiOo92a7J1PWKz3UolA8vlse1WqlywYrrarfG93Rob7FaqarByHqPR1jDnVwaMJ3QMsBAeYrfG5w8HwmC3UimkIwWcRzqyFzthDcFP6YLBAgivVoCJpwQnnms6FVgz3exW8/2vZK1g7XTxW+N7v7XzVL2hK3app6Sc2S3+zLNNSUbg9lvj84cDYPBbqQRgbXX2W+OLnaiG2Oc0safqtxadfmviRoni9e+3MoI4bPGha/ZXfut26F5nHTqJD53Lml4vzl8Zrq8M11eGa5fhynhOOxgPR9nLYkTp1XBl5OjRcGWkcLV8gLHo2j9jpDgFw5UTz6EbO8Y+0G43KNmac4lhR4gT3GHeg7cw3B44zIrnevYheDbD1T6mJR90n4Zr3HqmqvWfMMLlTTjPhitRLbhtjC7e+jdcidwC4z6K4UqUKJ0kAvIOMly7XyNL5QP3nI/SqBIlghvIDg2owXQlagQ3jg9tLonqXDaJgfh1NY1EdR5NV7n1PoTZdKWSgSXz2KYrVS5YNV1NV3FvugqD6UpVDVbPYzTbGub8yoDxhI4hHDEIVog4fzgQBtOVSiEdKeA80pG92AlrCH5KFwwWQHjFAkw8JTjxXNOpwJp5VNOVqhWsnS6mq7g3XTtP1Ru6Ypd6SsqZ3QLQPNuUZARu01WcPxwAg+lKJQBrq7PpKi52ohpin9PEarXYO340T+dy27DfQFxyd5qu0o0SxevfdGUEcdjmQ9ft/ZuuA3mNLOc4SnwcXRb529V6iwt74JOILa+R7bRrH9WWY+0Nru2yrxi4Z/8aH0r86t2y/wZ8XMaZwcHPOMr2GCNKrz4uI0ePPi4jhauTBIxF15YcI8Up+LiceA4N3jG2lnYbTHLr+UnDJhMnuMO8B++KOPq4nHiuZx+CZ/Nx7WNa8kH36uN2LSlTI1zRhPPs4xLVgjvR6Hqwfx+XyC0w7qP4uESJ0kkiIO8AHzdpQ3tMRgN3sI/SoxIlgtvRDr2nwcIlagS3oQ/tK4nqXLacgfi1puAVWZ1HCzfbOimp2cKlkoHV8tgWLlUuWDBdLdz03sJNDRYuVTVYOI/RZ2uY8ysDxhM6BlgHD7Fw0/OHA2GwcKkU0pECziMd2YudsIbgp3TBYAGEFyvAxFOCE881nQqsmW4WrvkxxVSpYOl0cXDTewe380y9oSt2KaeklNkt/cyTTUlG4HZw0/OHA2BwcKkEYGl1dnDTi52ohtjnNLFaLXbRtObpXGgbdhqIi+1OBzdzo0Tx+ndwGUEcNvjQFXv/Du4J3zbLOHQSHzqXFb1amm/92rNDb5v9hRqU39Qu4cd375/dfli7Xj++ffmo/tTtF/WrYT+6++DeK/30q9/YfGztEmvT7MetH7s84ntlHw3Mw31l3g7GvD37ym7Zeuw+rC9F0Fc6rD/7+/Vfd6anvk2CbjV8orKs1lz/5GPF+Un9r9QD/DslQQ/xH9Z/k/7jdd7pyfOj3Sht/r36c3os9E9+p9NAZbNW/xeblF1/Uen80fZvVD/+/VdPGfU3fr3LjGac8ZprHMOMd5SNPkaUXs1oRo4ezWhGClc7DBiLrs1FRopTMKM58Rx61WNsku22yrKtcZkZtss4wR3mPXh/x/Epzpx4rmcfgmcc02tkTEs+6F7N6NarYtTqODfBxWETzrMZTVQL7qmjS9v+zWgit8C4j2JGEyVKJ4mAvAPMaNGG9piMBu7FH6VHJUoEN9Ydek+DGU3UCO6oH9pXEtW57J4D8eu6eJGozqMZXWw9odxsRlPJwGp5bDOaKhcsmK5mdH5vRucGM5qqGiycx+izNcz5lQHjCR0DrIOHmNH5+cOBMJjRVArpSAHnkY7sxU5YQ/BTumCwAMKLFWDiKcGJ55pOBdbMY5rRVKlg6XQxo/N7M7rzTL2hK3Ypp6SU2S39zJNNSUbgNqPz84cDYDCjqQRgaXU2o/OLnaiG2Oc0sadqRncsYNVyu3CjRPH6N6MZQRw2+NAV+yszejt0r7MOncSHzmVFr5bmj/ZvHj6GF/2lNnPvfnS7dWu1J934yPoH2sLTLtrLI7rMr0zmVyYzi8ncduI/Zj3xHbyJo+x3MaL06skycjSbfwPHoXtnjBSurhAwFl17bIwUp+DJcuI5tGzH2Cva7RgVW/+uMOwacYI7zHvwNoejJ8uJ53r2IXg2T9Y+piUfdK+ebOvFIa9laWiEi5pwfj1Zqlpwaxld4fXuyVK5BcZ9DE+WKlE6SQTkHeDJyja0x2Q0cEv6GD0qVSK4v+zQe3Z7slSN4MbygX0lVZ3LJjISvzZ1V2R1/jzZNNpYI2lo9GTJZGC1PLInS5YLFkxHTzYNd57sOs5tqt+iqwYL5zH6bA1zfmXAeELHAOvgAZ6s0v5wILo9WTKFdKSA80hH9mInrCH4KV0wWADhxQow8ZTgxHNNpwJr5hE9WbJUsHQ6eLK7CedbhjP1hq7YpZySUma79LNMNiUZgdmT3U002wHo9mTJBGBpdfVkVe7sRDXEPqeJPVVPNunyZNPIjRLF692T5QRx2OBDV+yvPNnt0L3OOnQSHzqXFb1amh/Lk/0rNeSf1x5hPZa15bU2FNvu8/1XbcA+euXA/qtwYDtui+U8zx2siKNsbzGi9GnBcnL0Z8FyUriaQNSxuGKlOAELlhXPoUM7xtbQboMo2th161+0gT/hBXeY9+BdDTcLlhXP9exD8CwWLDCmJR90rxasaINTa8LYCBc34TxbsES14E4yuqDr34IlcguM+ygWLFGidJIIyKNbsEnc/apdKh64C32UPpUoEdxSdug/DTYsUSO4l3xob0lU57JvjMSvTd0VWZ1HGzbZuiGx2YalkoEV89g2LFUuWDRdbdj43oaNDTYsVTVYPI/Ra2uY8ysDxhM6BlgLD7Fh4/OHA2GwYakU0pECziMd2YudsIbgp3TBYAGEFyzAxFOCE881nQqsmW42bBSnau3V6cNStYK108WHje992M5T9Yau2KWeknJmt/4zzzYlGYHbh43PHw6AwYelEoC11dmHjS92ohpin9PEarXYW5E0T+dq27DdQFxxd/qwiRslite/D8sI4rDLhy7b+/dhB/KqXc5xlPg4uqzxN4t1Ne+J2phNLcZsvHmLrtCf3Tdm//Hu/bsPaiPzZ2faPbx9qXJEG3of1Bnz8kz/A/W/dbZnxUZxhxf7xd0PN1tEf6it0y/27dnw3449W3uk+rm9n2rfUTuwm120D/XfrsDqb365tk9rq/P2r/b+8OXZJrT6fDvbnIdacvfndRj+oPjer0/w7q9v3NYHZq8a/7sfbx1j/WfrhNj9NfcDrD74lw/+wrsPHLziRwZdl/o+7S/q3320zqz1KK2nnN/pnPuy/vPf1l6xHrGX/6adZ8bJzMGBOcqOHiNKr84zI0ePzjMjhav3RR2LK1aKU3CeOfEcetJj7Ibt9sSSrUuZGPbFOMEd5j14I2fvIvQsymXHuF7z4rmefQiezXm2j2nJB92r8yzb4NQqWBjhkiacZ+eZqLY5ZQzOeSZyC4z7KM4zUaJ0kgjIO8B5Ts7b2B6T2cBd96M0qUSJ4Ba6Q/NpsJ2JGsGt80MbS6I6l21yJH5t6q7I6jzaznLr/giz7UwlA8vlsW1nqlywYrrazuLedhYG25mqGqycx2i0Ncz5lQHjCR1DOGIQzCBx/nAgDLYzlUI6UsB5pCN7sRPWEPyULhgsgPBqBZh4SnDiuaZTgTXTzXaOk1x0Lby+RdcK1k4X21nc286dp+oNXbFLPSXlzG7xZ55tSjICt+0szh8OgMF2phKAtdXZdhYXO1ENsc9pYrVa7EJvzdO51DbsNRCX2522s3SjRPH6t50ZQRy2+NA1e/+28wnf/ss4dBIfOpc1vV6ct9jM2rD96Hb9qt6P7j7QbtndT+t9mY/XnuNva8tLb9N8dm977azoLxtW9O3fb6zox1dJ6OJH798a/K/SjzbZ0Y/WQXt0fFu61Zd+NHRj+tErZ9qPM804+Tk4NEfZ9GNE6dWZZuTo0ZlmpHD1xqhjccVKcQrONCeeQ9t6jA2z3baZ3LqY0rB1xgnuMO/Bez17+ZqFmer7Om+K5uRzPf0QPps1bR/Ukg+6V2s6bYNTK+XUCCeacJ6taaJacIMdXeb2b00TuQXGfRRrmihROkkE5B1gTYvzNrbHZDZwZ/4oXSpRIrjN7tB9GqxpokZwe/3QzpKozmUrHYhf6+1CV2R1Hq3pbOsQpWZrmkoGlstjW9NUuWDFdLWm03trOjVY01TVYOU8RqetYc6vDBhP6BhgITzEmk7PHw6EwZqmUkhHCjiPdGQvdsIagp/SBYMFEF6uABNPCU4813QqsGYe1ZqmagVrp4s1nd5b052n6g1dsUs9JeXMbvFnnm1KMgK3NZ2ePxwAgzVNJQBrq7M1nV7sRDXEPqeJPVVrOu20pjM3ShSvf2uaEcRhjw9ds7+yprdD9zrr0El86FzW9HpxvrWmYwV/kDWNetZx3O5Yb2zIn6l/em1Sfu3uh2tLTP2Vm82cr59pmXy+9aNBGtcBybg++uOuH+0/7Xov/q1uMq+XrD599xNt9q6H8t+wfcw4QTXXJIYJ6igbc4wovdrHjBw92seMFK7+FTAWXZuBjBSnYB9z4jm0lsfY1NptbWVbpzEzbG9xgjvMe/B+zN7ckYR5LLvtY04+19MP4TMO6jUyqCUftPrPn/x5/Z9H99vLnSvc7y3n3//2e++2RMNhgds6H6k1bW5ATNLuF2DBGl2Wq1Grym+QVTYTyxBJcC36N5se97O6WVz32T/drEfrJaNu4t6/+8l64aCvf6w/9IftkvWrXepP9CWs6+Z922x93savVn35v7siB2Fv3uyOwmHT5sY8KrqmSKp+4a4f35rTot/uEv02XbR0F43vxinNT7s0P6Vrxk8X+jS82ehv116Ste9t3Fq0uyXIsy7Bz+iC8VnecatW6X3epfc5TW+dHS/6qFKde6+FUXbcGWZYpVud6rzMiagTP/VOpVKdfa3eUNCbPr/bbNG8VL//XH+7NfdUGSt0GSNGqOcylrV7j0/o+nsoYx2i36aLlu6inWaqp12an9I14+fSoWWsQ3tJ1s5dxjoEP6MLxssApYx16H1O01tPtJvsYK9jXZUsM73FN0m77zmGdbpWssuiaJP6DbJU/AREi9mvapPhx/Xm9VeLV5vu15VuVWeo4vuuM1FHnSHr76POtIt+my5auot2mkqedml+SteMp/nBdaZde0nWzl5n2gU/owvGp2lSnWnX+5ym96sZrXX/saneHH6rSLy+dqUNQJWbyAggOwOOySTUmsuo4+EP3yCLBS91RatNfZNIvdr5/db/Pbv9sPbDP99cPbJ2+OsVU22v1uug2vTXDuof9I3xtW9/+5E24reLJ33tyUdbJ7u+o6H+7Wd1bVvfUXJf3c52FwGohdvdfw1u9X0mf6ivBfhNfWv1Dy/Paqf98/oyhC82FvbGE1eq7v4P9ZtPb19qY3endLcUVH/6X2qR9fJwK3d9OcHl17cXL+ze+P1VW/iHX1Gplo8fbl399V3fa59Y2/P1Tep3P11f2fD++lKd2tf+QhvQn9RXGdR3tev7zl/e/ktbUrxOTopmHWS8g4YqUTpJBOTd/v06Rx599eIo/d/6Jie1otfDpy/J+OJ+of/l5lKP326c/Y/qKx3aQB+TQZsO1sG309x+3moVfJOsELwy2MGM776bhqoRvCL4QKOdqq7ZDh14N02UiPxycwNnQ+MVWSPLPTW4PU6WDTYN7jfMZLm4jFuXf39EVwv2Do73y2TR7n6ZrPNFyG/RVYNNhNOiD02NJ3TZYJkjrPW2V61n0fnDwHffH0OmkI4UcN7oyF7shO0v/qiCwYpGvh6jK1Ou6ZLBEud280v3BPItulKw0Dnc+rKbPL5lmDxu6Ipdit8x06EkS2a+1WU3aWwD3n2rC5kArIqOGwI6V3ai9jcEKGK/ernPf/j2YrF893W1br6ul82aIJ3N49lsGgZLsZKByMNVkOfZKpiKJJwmUkSLxXT9yd02gn5hwQP45Z8td7n0kH/9L8I1q3WLZFI8mmRp3jqCk3ZLWZM3o4Gi1sPbnGIhQjxTNVZVPKq6sComrOY0DGHh6auoXnutePTaa11cr73GAPaVRV53inbv2R0lRaN2s2hisopimbWesW35B8l3zL8OzRVVczO5IM2OydWhWWUdQfRXtu/8JU777u8kMm3+xjL3mzntoiuy6F5Sp120zimC6rrz8p077V3NJDL1CbEs/OZOu+iKLLqX3GkXrZOKoPor26/+cid5NIlS8WgiCvlokopY9ViR7Min2ASZhn7zKXlUaZBKg1QapOoCqcggveRYohonTfLaaxrltdc0i2qlOmB0UhJoTmLeUmmX5Y8mRdKRb4kRrPu61l7yTaWaEl91iK/I4nvJMZ1dSr3ql9rl6zQk6D+JrFLzWKSyKlZTWawyLFH/L0L1v/TRRKpfq0I+SdWvs66qKYzgsd+sU3ObgqsUXKXgKgVXKbhKwVUKrlJwlYKrOuAqMlwvWalnu0hnZaxnvFgnaaJ/pQjVIVUHqX8r9UdS/dsOTJ3gBM6vrAN0Ej+4ZCIGDYU1PezbdOxdXUdy/aSG6DLu2rR6R29YGxi7H88CugxfQcGzdLPhBugfkfULZ/248htA+ZisXLoop8+Dm+dZASgTMkpztrOjuCbRM0B/RdYPOhGU2UwF9WIrbH9mogjWihcrscizaBrkkVwGIkzTIJ/Po2CZJMUqWSXzYrV80Si9zUnrP00772o9zsS1nb7Wz8VSg2ecwFK3UKAxaD3VrOiHn26pNV0nbMh1isxm8+V0lRSBFGIeiCxfBdM0lIGIZvkimk0XiQxPJkUyKEVMtz+3xguLga8UyYAU4UJuPjC875Ymt7K/E5nvDEyb7L22NHb9I7J+3pbGrnxMVt48iex19IAkKgGUCRmlj5bGrr8i62dtafKLrbD9loYieHD1qoDqlcl/agkFGgNf9aqwpuuEDblOERGtsjCbFUEWLTP1iTAK8nQVB9l0FReLVK7k6XS9cYikSGy+naMlXlgMPKVIHNpThA15cAujOIJSxHyBT0u8sBj4SpEISBEu5PrCp0e7i+t9b+zFsTUW78RmQ8drFwzoH5H1C2f9uPIbQPmYrLx5UtlbrwOSqARQJmSUHrpgQH9F1s/ZBcfxxVbYXhdMEqwVL5exXK6WRTCTURZE0TIP8nApgzCUoUzzPCrkZo46gfqVQPXL7B22TOZYDHzVr8SarhM25G392t5/o+d4rwVMWIPxjp7IDcHovv6rjwJm1z8i6+ctYHblY7Ly5lllnzUPSKISQJmQUfooYHb9FVk/awETF1th+wWMIlgrzotFnIYiVut53Ymv4nlQZGEYRGFcTIuVDGO5d1GItwImoQIm3UKBxsBXAbMbqRM25PVO3yKJw9U0C2ZLIQKRJFEwlfkyKGQeJbNZsYzz0+lxIPNy80pUh3hhMfCVIoB5yYa8TpFVHi9n6mMzMY8DERXzYDZNVkEYRzKPs0jOZHEyKQKZl7HZyWuLFxQDXykCmJdsyOvN4GlYFGkYBcV0IQP1+TDIl+ksWK6ShYynUZTOFieTIjmUIibrpDVeWAx8pYjd3pqwIa9vAJNyOovmqU4n9VmxWAV5lE0DGSXxQhSLKMvzk0kRyFKKTf5Ka7ywGPhKEcBSYkMenKWUQJZSYrxzqfWUgmLgKUUSwFJiQx6cMZ1AllJivEGptTBDMfCVIoClxIbs+UKqxL57/k5i2oxO0u6bd3vYgQP0j8j6hbN+XPkNoHxMVt48iezbPgckUQmgTMgoPezAAforsn7OHbgkvtgK29uBIwkeXL2CLKTE5Ke0hAKNga96BVhIbMjD63oFlCLCNV5YDHyliN1TmLAhD27tnED7+Il0jRcWA18pAuzjsyEPbgcugfbxE9OmdvspBcXAV4oA+/hsyIPbx0+gffzEtKndXpihGPhKEWAfnw15cG5gAu3jJ+ZbINriBcXAV4oA+/hsyIO7piCB9vET06Z2a7ywGPhKEWAfnw3Z8w6csG9QvyPM9zx4vQYO0D8i6xfO+nHlN4DyMVl58ySyb/sckEQlgDIho/SwAwfor8j6OXfgRHixFba3A0cSPLR6JSDHSJjvyKFfENZ2qlnRDz/dAMeIDblOEbVMEqkURZBG9To7V42QnGfBapYtwkWUyzQ9mYWRiKEUMe9Xt8QLi4GvFLF7ChM25MGtnQW0jy/Mm9r0C8I8pQiwj8+GPLh9fAHt4wvhGi8sBr5SBNjHZ0MenBsooH18IV3jhcXAV4oA+/hsyL7XzvYN6neEeYO6+xnQfayd7fpHZP3CWT+u/AZQPiYrb55E9gXbAUlUAigTMkofa2e7/oqsn3XtnF5she2vnSmCB1evIMdImO2TvVCgMfBVrwDHiA15eF0v5BgJs33SEi8sBr5SBHCM2JCHt3aGHCNRuMYLi4GvFAEcIzbkwe3ASejOD2ner26JFxYDTyki7Z7ChA15cPv4EtrHl+ZN7ZZ4YTHwlSLAPj4bsue1s7RvUL8jjRvUWdhk73PtDOgfkfULZ/248htA+ZisvHkS2RdsByRRCaBMyCg9rJ0B/RVZP+faWcYXW2F7a2eS4MHVK8gxkkb7ZD8UaAx81SvAMWJDHl7XCzlGUrjGC4uBrxQBHCM25MGtnSXkGEnpGi8sBr5SBHCM2JAHtwMnoTs/pHG/ui1eWAx8pYjdU5iwIQ9uH19C+/jSuKndekpBMfCVIsA+Phuy+s+f6Hnkhd/nl0r7RvU70vyIIq/+M6B/RNYvnPXjym8A5WOy8ubJZF+4HZBEJYAyIaP0sYa266/I+lnX0PnFVtj+GpoieHBraMg50m2bSyjQGPiqW4BzxIY8uDsWU8g5Ss0P0Gpz2qAYeEqRFHCO2JAHt4ZOIecoNT9Ai27GekoRwDliQx7c0xPSGEoR0751a7ywGPhKEbu3MGFDHtwzWFJoPz81vxmjJV5YDHylCLCfz4Y8uJ24FNrPT4VrvLAY+EoRYD+fDXlwO3EptJ+fStd4YTHwlSLAfj4bsuerWFL7RvU7qXmjOmqy97kDB+gfkfULZ/248htA+ZisvHkS2bd9DkiiEkCZkFF62IED9Fdk/Zw7cGl6sRW2twNHEjy4egU5R6nZRtkLBRoDX/UKcI7YkIfX9UJ3gKTG2yHa4oXFwFeK2D2FCRvy8HbgoH381LSp3X5KQTHwlSLAPj4b8uCuhcugffzMeDtEW7ywGHhKkQzYx2dDHpwbmEH7+Jnxdoi2eGEx8JUiwD4+G7LntXNm36B+JzNfSx432ftcOwP6R2T9wlk/rvwGUD4mK2+eRPYF2wFJVAIoEzJKD2tnQH9F1s+5ds7ii62wvbUzSfDg6hXkGGXm2yH2QoHGwFe9AhwjNuThdb2QY5QJ13hhMfCVIoBjxIY8uLVzBjlGmXSNFxYDXykCOEZsyIPbgcugO0Ay8351S7ywGPhKEbunMGFDHtw+fgbt42fmTe22UwqKga8UAfbx2ZD1HSB1msTNHGgG4nvL+fe//d67DHEonz/52iQrHk3yWP1Pqv9l6n/q90XUEQ3jVeUOt8JDTPhaSINUCqRSIJUCqRRIpUCqDpCKDNJcEUEg8KJIc6jVT/HotdcUiTpIfcj0Qf9ZB436BgVH82wWQzoHfd6HlNn3wt/JCiPj3pnY606OXf+IrF8468eV3wDKx2Tl0kU5fRrbTud2lAkZpY+dHLv+iqyfdSenuNgK25+ZKIK14jRXa/b5IgvkQq/XolWhOq1p3W4lWV4U2SxZvDiR7imHzKnceMdFWyuBxcBT95QD5hQbcp0iqzzN5vPVMlisZBSIPE2D6UKoJX0Sz+YyTEW6nJ9MikDmVG6846ItXlgMfKUIYE6xIXs2p3L7vvw7uXmbO2my99nSAPpHZP2sLQ2gfExW3jyJ7HX0gCQqAZQJGaWHlgbQX5H1c7Y0eXyxFbbX0pAED65eQeZUbnZq9kKBxsBXvQLMKTbk4XW9kDmVC9d4YTHwlSKAOcWGXO8ZPlo/NkZha3qfuza53YV5J5eGWMSZaMai1xbHrn9E1i+c9ePKbwDlY7Ly5kllr6sHJFEJoEzIKH20OHb9FVk/a4sjL7bC9lscimCtOInyxXy6iINITNNAxNpCjZdFINI0k7O5yLJs9eJU6hdki+apWyjQGPiqX4Atyobse0lu9/veyc1+n996Zdc/IuvnrVd25WOy8uZJZJ8kD0iiEkCZkFH6qFd2/RVZP2u9yi62wvbrFUXw4OoVdCNdbr6rjD55t51qVvTDTzfgRjo25O16a4OtzXKv6y27QfhObvbb0s5Tt4/6Zdc/IuvnrV925WOy8uZJZZ80D0iiEkCZkFH6qF92/RVZP2v9Ki62wvbrF0WwVhwl+qrmVRSotlxNX3E4XV+yOium0SyK8lWe7V1f5qt+FZBLXpgt471QoDHwVL8KwCVnQ/a83irs9u87hfneRNl5qvZQrwD9I7J+1noFKB+TlTdPIvskeUASlQDKhIzSQ70C9Fdk/Zz1qogutsL26hVJ8ODqVQzVK7MbvBcKNAa+6pXdsZ+wIe+uiU+aOdAMBHTZNSkO9TXxhXg0icJQH6Q+5OoQxfqQ6kOhDrH+bax/Gmf6oP8s0V9L9K+E/pXQv5L6V7LoiKTx2ZhZ1nniNycuKB743FVfT6+CUOkgVDoIlQ5CpYNQ6SBUOgiVDkKlg1DpIFQ6CJUOQqWDUOkgVDoIlQ5C1RWEihyEPq7FV0F47TUdBX2U9THXxyiuj2l91Nfm61joY/2ZOKuP9Z8n9d+Q1L8W9a9F/WtZ/7ojKOofpkSlnmJfnMRmRWE3yt8phJHR66tFAP0jsn7e5s+ufExWLl2U02fhbTWyo0zIKH00f3b9FVk/a/MnLrbC9mcmiuBacTGdFWGYBHImkkAU0yzIZ9M4yEWaxnkoxSJbvjiV5g+6rbqQbqFAY+Cr+bNfyzBhQ15fIpmu5GK6nAZJPCuCKFoug2kUxsEiStNoOg9ns2KvN/SWItD1A0XqGi8sBr5SBLh+gA15fYlkmOWzpIiDOJnOA7GayiCX6VStKuZFPs+WyXQlTiZFoNuqC5N72RovLAa+UsTuME/YkOsUmcdFEsfRLFgUifqsiEWQx2EYLKNZUcyyKFUfP5kUgVzdwnyDb0u8sBj4ShHA1WVDXs8iqzxMV4swWMXhKhDztAjyRVEE8+VShGmymoYiO5kUgR6PWpg9pLZTCoqBrxSx+3wTNuSt8b8Zcd9r6Si0u0jvqA+ZopF7fU0AQjCiEwhnAlz7DaJ9TNfePLXsy7gDUqlEYCZ0mB7W1AhBRSfgXFUrVRc7aXvraprmestvmiyTWEq1wtKXMxXLLJjN5nmgpkBV+6I4L6Yn86ShKITuhFYfcwsGGgVP5UzxWLN2wge97nnUSjubL5NgFuV5IFIZB+rbM70kX0SzdLrI5cncf6hWf1iamLyo1ohhUfCWJoD/xge9fobqTLVIch4GYhpG6hOx+la6yNRyqyjCVT5fykieTppA96mqj7lGDIuCtzQB7lTlg67TJItX8SIt8iCdRSIQeZEEhVgtgzBd5GKxLMLFKaUJdK+q+phrxLAoeEsTu/8w4YPerqI27+j0v4qyb2+rFJDGaHh9JgdCMKITCGcCXPsNon1M1948uext+wGpVCIwEzpML6soO0FFJ+BdRcmLnbSWVRRFsxYtkmi1EKEIwoWa0FSPlAZFEUWqs17O5vNVGMXxybxtOAoh80l9zC0YaBS8FTTAfuKDXl+blmT5PItkEM3mqkcKVzLIF2ERRHJaRPEyFPNicTppAhlQ6mOuEcOi4C1NAAuKD9rzZfdRaHdX1JCbb5rzeqMYQjCiEzD3OXbtY7r25slkL6wHpFKJwEzoML30OXaCik7A2+fkFztpLX0ORfPwChjkfaqPuQUDjYK3Aga4n3zQw2uHI+jeQvUx14hhUfCVJpHdCpvwQddpUhTFbJUvZ8EiT0UgRJrpvaAw0E+2S6LpbBVOT8dUiDDvKTLf3tQSMSwK3tIE8Z7YoLfbgNHGg/S+DxjZPRaVA2aPxeuNqQjBiE4gnAlw7TeI9jFde/PssjdkB6RSicBM6DB99McAQUUnYO2Po/hiJ22/PyZpriuaXMzTaBUHQibqIGQRzMQ0C2bzWTJNZ/olcpsJ6xQqGuZ/RmYrsOWWTSwK3ioa4n+yQQ/uIuMowvzPSLhGDIuCtzRB/E826MFdaBxF0F1PkXZ33SKGRcFbmti9sAkf9K4/PpE7d6PIbrKoHDCbLN13bffSH9sJRnQC4UyAa79BtI/p2ptnl70hOyCVSgRmQofppT+2E1R0At7+OL3YSWvpjymatehMtUHxSszUOl9fKbZYLYLpSmSBnOXTOFFzXn46b0eOIswAjcxe4F4w0Ch4q2iIAcoGPTybIYLuwlMfc40YFgVvaWI3xyZ80LvGZ1NQ/Tc+dtdF5YDJdYlzrw8tQQhGdALmxseufUzX3jy77JX2gFQqEZgJHaaXxsdOUNEJeBuf4mInraXxoWjWoldiOSvSdBrMluunFMyCPFzNgjCUoUzzPCrk6WwMxpgjGpvvOWt7VgMUBV8VLUYcUTboOk3kssiWIpdqnb9S1W82S4NiKpaBDJcLGcfparZITydNMEc0Nt+Y1hIxLAre0gRxRNmgfV8gGNs9HzXkJv8kMTyWr48+ByAY0Ql4+xxA+5iuvXky2QvrAalUIjATOkwffQ5AUNEJWPucWBugcZcBStI8vAKGGaCxyQtsCQYaBW8FDDFA2aAH2A5jBqie+t0ihkXBW5ogBigb9G6DZzNd6LrqdYMntht9KgekIRxx4fc5OgDBiE7A3PjYtY/p2ptnl73SHpBKJQIzocP00vjYCSo6AW/jo+8A3UhraXwomrXoxTKK08VqFSTxIjzxp48qpVhFS92CgUbBW0Wz+7ETPmjvK3e7r6eG3OTrJVneec72UsDsBCM6AXMBs2sf07U3Tyb7jHlAKpUIzIQO00sBsxNUdALeApZd7KS1FDCK5uEVMMxzj833Oe4FA42CtwKGeO5s0LslWbEm9+65x3abUeWA0bIr/D6UByAY0QmYK5pd+5iuvXl22afQA1KpRGAmdJheKpqdoKIT8FY07blvpLVUNIpmLXq2zNJZtgqDRR5HgYijJJiGMxksxKKYhXke5avNZdMnUNESzHNPjPbzfjDQKPiqaAniubNBrxsfEWcyyyJV/eb5qTc+Cea5J0b7uS1iWBS8pQniubNB//kaWy7j2VIGxXym7Q2p30KziANRJEL1XNE8L07nmQZJjKWJyeZrjRgWBW9pYvdjJ3zQw7tnK8EM0MR4M2RbxLAoeEsTxABlg/a9D5jYfT015MJAn/h9vSJCMKITCGcCXPsNon1M1948mext+gGpVCIwEzpMH6smgKCiE7CumhJxsZO2v2oiaR5eAcNuOk6kWzDQKHgrYHb7dcIHPcB2GPM7k9Q1YlgUvKUJ4neyQW9chbnMs2kepCuxDMR0NQtmC3UopmkWRvl8msWn84ivBLvhMzFbLC0Rw6LgLU3sXtiED3qAW3WY+ZSYfZiWiGFR8JYmiPnEBu191WTfXldDbtqqTvKwSd/vqslOMKITCGcCXPsNon1M1948mext+gGpVCIwEzpML6smO0FFJ+BdNWmvaSOtZdVE0Ty4AiYwr0kYH/66Hww0Cr4KmEC8Jjbo4XlNAvOahPHhr20Rw6LgLU0Qr4kNeniLa4F5TcJku7RGDIuCtzRBvCY26OFt1QnMaxLG+87aIoZFwVuaIF4TG/T2kr34VJ6fLez77SoHhCEcceH3+dkAwYhOIJwJcO03iPYxXXvz7LL37QekUonATOgwfSyjAIKKTsC6jBLafNpI219GkTTXoovprAjDJJAzkeg3DGdBPpvqEpimcR5KsciWL06momHmk5BuwUCj4K2iIeYTG/TwXAWBmU/C5MO0RgyLgrc0QcwnNugBLqMw80mYfJj2EwuKgrc0QcwnNugBLqMw80kYH7zZFjEsCt7SBDGf2KB9m0/Cvt+uhty8d+332RMAwYhOIJwJcO03iPYxXXvzZLK36QekUonATOgwvaya7AQVnYB31aTNp420llUTRfPgCpjEzCdp9mFaHsOARcFXAZOI+cQGPbx2WGLmkzT7MC0Rw6LgLU0Q84kNeniLa4mZT9Lsw7Q+1AWJgrc0QcwnNujhbdVJzHySZh+m7cSCouAtTRDziQ1am08a/IVnz0nat9nV0AtDFOKi+zXufayeAIIRnUA4E+DabxDtY7r25kllb9cPSKUSgZnQYfpYPQEEFZ2AdfUktee0kba/eiJp1qJnxUJORZIH8TQqApHmq2Am9WyWinyxiBaLWJ5QW4x5TlK6BQONgrdChnhObNB1miTTeZEvkzSQ84VUvdE8C4ooSoO8yObRfB7NFun0dNIE85yk2X5piRgWBW9pgnhObNB1mmDvdz2VNME8J2m2X1oihkXBW5ognhMb9AC37DDPSZrtl5aIYVHwliaI58QG7dtzkvZtdjXk5i3ruEnf76rJTjCiEwhnAlz7DaJ9TNfePJnsbfoBqVQiMBM6TC+rJjtBRSfgXTVpz2kjrWXVRNE8uAKWYp5TarZf9oKBRsFXAUsRz4kNenjtcIp5TqnZfmmJGBYFb2mCeE5s0MNbXKeY55Sa7ZeWiGFR8JYmiOfEBj28rboU85xSs/3SEjEsCt7SBPGc2KDrG57W/mQzEZqx+N5y/v1vv/cuQyjK50++phjlo0mciEcTEalfiSLsioUwxCIu8DccQkB476spKk1RaYpKU1RdFBWdotn8QhRw/6shVJurKF57TWO89prmUMcOEP1ZColG2bvBv/eMSx+pQ6EOWaIPuTrkkT4IfcjUoQj1Qf+0UD+Nw0Qf9K8i/atI/yqO9SHVyduZstIYIvzVHlBEnFM2fVTpMFQ6DJUOQ6XDUOkwVDoMlQ5DpcNQ6TBUOgyVDkOlw1DpMFQ6DJUOQ9UVhooehn5yPn2kj4U+qkDoY66PKhT6KOpjpo8qGvpYf6bQn9EB0cf611H966j+tQqKPqb12dR9BlHi8pUzyPtdqqndR1CF2+QjJGHYOfp97H0BBCM6gXAmwLXfINrHdO3SRTt9Rt61Q3aYCR2mj70vgKCiE7DufaXpxU5ayzRF0VxvasjlogjzIpgtpVqyzJZ5kC9mSRCu4jydxovZbLrJslNYhmAeX2qyu1qCgUbB2zIE8fjYoOs0WU6XyWJWREFaiHkgEr0BkmQztdCdqUVMmovwhK6QTDGPLzU+368tYlgUvKUJ4vGxQe8ez7EG142B377HbnOoFDBaBmHcjEa/fY+dYEQnYO577NrHdO3Nk8teaA9IpRKBmdBheul77AQVnYC379Ge30ZaS99D0Vxvv4ayiMJ8GaTpXN8eINOgyFIZzItYLMU8nOWz0/H8Mszzy4z2134w0Cj4KmgZ4vmxQddpkqd5PM8WWTBLsjAQ6XIVFHMxC5IiCYtVMZ0my9PZpc8wzy8z2l9tEcOi4C1NEM+PDXo9mySzaZRHYZBEqUqpKMqDIlzOgvkyLhZynidhlp5OmmCeX2a0v1pPLCgK3tIE8fzYoLft8abt0oPvtT3O7NaWSgGjtRWKZjR6bY8BghGdQDgT4NpvEO1juvbmyWXvxw5IpRKBmdBh+miPAYKKTsDaHmfJxU7afntM0lwXtCifpmkxD6ScFapHSmZBMVvOg1wky9VSVcBVcjo3TmcCK2jCLRhoFLwVNPvtbxM+6PWVk9NprgpgEWRpIgIRropgKufqEMbRfJnIVRbJ00kT7H6zTLpGDIuCtzRB7jdjg67TZFVIuUzmSRDJfKafF54HebgogjCUoUzzPCrk3iUu/tIEu99Md3VuEcOi4C1N7NbYhA96eNdhZ5gXlZltmbYTC4qCtzRBvCg2aN83EmV2i0UNudFiyffettvvqslOMKITCGcCXPsNon1M1948mext+gGpVCIwEzpML6smO0FFJ+BdNeUXO2ktqyaK5uEVsAIrYEaHZT8YaBS8FTC7FTbhgx7e4jrHvKfcfOtVS8SwKPhKkxzxntigt7vFG29J83vdLc7tFotKAbPF4vexUwDBiE7A2/cA2sd07c2Ty15oD0ilEoGZ0GH66HsAgopOwNr35NHFTtp+30PSrEUvo1mSiHkWzOU8UsVPxMFUyChYTUVcyHk2XaWblzadQkHD7M/c7AS2PAwDi4K3gobYn2zQw2uPc+yWx9zssNCfmeIrTexW2IQP2vf+Tm63VNSQCxN97tcVBwhGdALmPseufUzX3jyZ7IX1gFQqEZgJHaaXPsdOUNEJePsc/XjNjbSWPoeieXgFDLM7c+kWDDQK3goYYneyQQ+wHcbszjx1jRgWBW9pgtidbNDe+xy7i6eG3Oji5X5fXQsQjOgEzH2OXfuYrr15MtkL6wGpVCIwEzpML32OnaCiE/D2OdnFTlpLn0PRPDyDArvbMzebei0v1MOi4K2A2d3XCR/0ANthzO7Mzc4f/b2LvtIEsTvZoH33OYXdxXtHfchI79e3AghGdALePgfQPqZrb55M9sJ6QCqVCMyEDtNHnwMQVHQC1j6nCC920vb7HJLmwRWwAru7szA/3JS+N992zlnhj3De2d3WCR/08NrhArM3C6PT1xYxLAre0gSxN9mgt9frRJt9Pe9PfSvsNp7KAbON1/3Mv14aHzvBiE7A3PjYtY/p2ptnl73SHpBKJQIzocP00vjYCSo6AW/jo2/vLLpu7yRprhufRN+wVSRBHopFIGQ6DabhbBkkszgsxGyRZKvixclUNOz2zkK4BQONgreKZrdfJ3zQdZoUqyiPVokIijwTgVhO42AWhstgIcVivszyVbg6HSOrwPzOQrpGDIuCtzRB/E426OE9/aTA/M4idY0YFgVvaYL4nWzQw3uWUoHd3lkYLZa2iGFR8JYmdi9swgf95yfylu3C7q2ooTc/SbNoRqHf1ZOdYEQnEM4EuPYbRPuYrr15Utnb9QNSqURgJnSYXlZPdoKKTsC7etK3eRZdt3mSNA9v9YT5nkXhFgw0Ct4KGeJ7skEPbvUUh9BtnupjrhHDouApTRSPPU34oAe3eopDyIRSH3ONGBYFb2kCmFB80INbPcUhZEKpj7lGDIuCtzQBTCg+aM8X28ShfZtdDblxyzrvfrdaD6smhGBEJxDOBLj2G0T7mK69eTLZ2/QDUqlEYCZ0mB5WTQhBRSfgXDUpVRc7aXurJprmetUEXXFxKgUM8pzUx9yCgUbBWwEDPCc+6AG2w5DnpD7mGjEsCt7SBPCc+KAHuLiGPCf1MdeIYVHwliaA58QHPbitujiEPCf1MdeIYVHwliaA58QH7X3VZN9eV0Nuvo/H65V6CMGITiCcCXDtN4j2MV1782Syt+kHpFKJwEzoML2smuwEFZ2Ad9WUX+yktayaKJqHV8Agr0l9zC0YaBS8FTDAa+KDHl47HGFeU2S+rYd+0ZqnNIkQr4kNeniL6wjzmiLzvT/0i9Z8pQniNbFBD89rijCvKTLf+0O/aM1XmiBeExu071VTZN9eV0Nu3qr2eoUeQjCiEwhnAlz7DaJ9TNfePJnsbfoBqVQiMBM6TB+rJoCgohOwrpoi7TVFXV4TSfPgvKYI85oi4RYMNAreChjiNbFBD7Adxrwm/dY1t4hhUfCWJojXxAY9wMU15jVFqWvEsCh4SxPEa2KDHt5WXYR5TZHZdqFfIe0rTRCviQ1695iIzbDr//N5o1Mc2ffbVQ4Y966jqBmOfpdRdoIRnUA4E+DabxDtY7r25tll79sPSKUSgZnQYXpZRtkJKjoB7zJKm09Rl/lE0lz3x6EsojBfBmk6V03SVKZBkaUymBexWIp5OMtnJ7SMwsynyOjD7AcDjYK3ioaYT2zQw1tGxZj5FBt9mNaIQVHwlSYxYj6xQQ/PVYgx8yk2+jBtEcOi4C1NEPOJDdq3qxDbPRU15EZPpQib9L22wwDBiE4gnAlw7TeI9jFde/NksvdfB6RSicBM6DB9tMMAQUUnYG2H4/hiJ22/HSZpHpyrEEPvr4tjo8WyHww0Ct4KmN0Lm/BBD7AdxswnPfW7RQyLgrc0QcwnNujhLa5jzHzSQ+kYMSgK3tIEMZ/YoL23w3ZPRQ15aqT3uzsMEIzoBMKZANd+g2gf07U3TyZ7/3VAKpUIzIQO00s7bCeo6AS87XB6sZPW0g5TNA+vgGF+Z2y0/vaDgUbBWwFD/E426AG2w9DLxNTHnCMGRcFbmtitrwkf9AB3hzGvKTbaLm0Rw6LgLU0Qr4kN2nc7nNgtlHfUh4z0cZO+13YYIBjRCYQzAa79BtE+pmtvnkz2/uuAVCoRmAkdpo92GCCo6ASs7XASXuyk7bfDJM2D2x1OMHszMTp9+8FAo+CrgCWIvckGPbx2OImxNDE7Ki0Rw6LgLU3s1teED3p4i+sE85oSs+3SFjEoCt7SBPGa2KDri4lr9GYeNEPxveX8+99+712GSJTPn3xNIcpHk1hE+pCpgwz1IdGHVB8KdUhjfdCfS3N1yPSHM6EP+hu5/kauv5Hrb+T6G4X+RqG/UahvJGGkD0If1DeSKNSHRB9SfVDfSOJYH6Q+6G8k+huJ/kaifyr0r4T+lZaWSP0RrSrRghKtJcn0T3P9K60gKfSvCvUrEaq/VERh1wgL0whHeyPc2adB44S3anpwKj04lR6cSg9OpQen0oNT6cGp9OBUenAqPTiVHpxKD06lB6fSg1Ppwan04FR6cCo9OJUenEoPTqUHp9KDU+nBqfTgVHpwKj04lR6cSg9OpQen0oNT6cGp9OBUenAqPTiVHpxKD06lB6fSg1Ppwan04FR6cCo9OJUenEoPTqUHp9KDU+nBqboGp6IPTrMFhQYH7kL12OhmUz5SRzU6+pjpoxoffUzqY1ofC31U0dDH+vMqKOqY1d9SsdHH+rt5/d28/m5efzevv1vU3y3q7xb6u3rA9FHUR/1dPWb6mNTHtD7q7+px00dZH+vvJvV3k/q7Sf0ZUf9a1L+ulesBVMdac1KrTWqdehDVMa9/XWvT46iP+td6JNWxYyh1tChj+ZUZ0vdbOdVwWwuGqpLSSCk6M7aXHQQ7wYhOIJwJcO03iPYxXbt00U6vuLveww4zocP0soNgJ6joBLw7CPJiJ61lmqJo1qIXSVhMk9UiCKNYBmKRxGoZKRbBKsrz2XK2DMX2HD+Fnh+7zzRJ3YKBRsFbz2+3gSd80Oul4TJLZ9kqDBZ5HAUijhJ9s6EM1OeLWZjnUb6KTidNMN81MVqQbRHDouAtTRDflQ26TpNVnGZhPp0F2TJRn00Wahk5zUUQRVGyihbTIlkuTidNMN81Md/J1hIxLAre0gTxXdmg6zSZx4Vq8qNZsCiSeSBELII8DsNgGc2KYpZFqfo7TidNMN81MVqQbRHDouAtTRDflQ167W6IRZbNl0kwUxUpEKmMg2mynAWimC6iWTpd5HJ+MmkisHv8hPl2t5aIYVHwlSbC7slN+KB92/PC7u2oITd7O0mTvtfFNUAwohMIZwJc+w2ifUzX3jyZ7Ku5A1KpRGAmdJg+FtcAQUUnYF1ci+hiJ21/cU3SPLwChvmuwmxB7gUDjYK3Aob4rmzQ663iRZyEchoHYRGtVE+UL4Ppap4FUT6bJlGaitnqdC5DFJjvKswWZEvEsCh4SxPEd2WDrtNELES0CqM4SKZyoVZYIgymRb5SrfN0nhVFLqfR6djzArvHTwjXiGFR8JYmyD1+bNDD26oT2D1+QrpGDIuCtzSx+xATPujhbfwLbONfGPfA2yKGRcFbmiAb/2zQ2ycHbtLAu5Mt7PvbKgXM+9tpMxr9LrbtBCM6gXAmwLXfINrHdO3Nk8u+ujsglUoEZkKH6WWxbSeo6AS8i+3sYietZbFN0VwvtqELok+loGHekzDbMHvBQKPgraAh3hMb9HoVlSRSRIUIotV0GUTRUn02XGZBGMpQpqpHKuTexa3+0gTznoTZhmmJGBYFb2mCeE9s0L5NBWm3VN5RHzLRF36v2AMIRnQC3j4H0D6ma2+eTPbCekAqlQjMhA7TR58DEFR0AtY+R+p7/mTXPX8kzVp0tlzlUbiaBUWkFvnbWWx6mgVMYvf8SbPD0mIQY1HwVcCk3Qqb8EEPrx2WmPckzTZM23UEUBS8pQniPbFBe+9z7JaKGnKzpSKb9P32OXaCEZ2Auc+xax/TtTdPJnthPSCVSgRmQofppc+xE1R0At4+R79PbyOtpc+haB5eAcPsTincgoFGwVsBQ+xONug6TZJ8Po1DMQ9msyINhL7VfaZW//pW91U8jVaRmIvTSRPM7pTSNWJYFLylCWJ3skF773PsLp4a8tRI79e3AghGdALmPseufUzX3jyZ7IX1gFQqEZgJHaaXPsdOUNEJePsc/UjTjbSWPoeieXj7OditddJo4u0HA42CtwJmd1snfNADbIcxe1Oan+5Jd/p8pQlib7JBe+9z7K6dGnKja1dkTfp++xw7wYhOwNzn2LWP6dqbJ5O9sB6QSiUCM6HD9NLn2AkqOgFvn1Nc7KS19DkUzYMrYCl2N2dqNvH2goFGwVcBS+1u64QPenjtcIrZm6nZ6WuJGBYFb2mC2Jts0L77nNTu2qkhN7t2eZO+1z4HIBjRCXj7HED7mK69eTLZC+sBqVQiMBM6TB99DkBQ0QlY+5xUv7FxI22/zyFpHl4Bw+7mTM0m3l4w0Ch4K2B2t3XCBz3AdhizN1PhGjEsCt7SBLE32aC99zl2104NuTTSF036fvscO8GITsDc59i1j+namyeTvbAekEolAjOhw/TS59gJKjoBb5+jnxy6kdbS51A0D6+AYTcQp6lbMNAoeCtgdrd1wgc9wHYYszdTs9PXEjEsCt7SBLE32aC395lvnnHj/T7z1O7iqRQw36ToeX/HTjCiEzD3PXbtY7r25sllL7QHpFKJwEzoML30PXaCik7A2/fkFztpLX0PRbMWvb6LdCoHcQNxit1AnBpNvf1goFHwVtDs7uuED3p47XGG2Z2Z+Tmu9K0OT2mSIXYnG7Tv/Z3M7uKpITe5eCIMm/S99jkAwYhOwNvnANrHdO3Nk8leWA9IpRKBmdBh+uhzAIKKTsDa52T64bVZ18NrSZqHV8BirICZTL2WYKBR8FbA7O7rhA96ePs7GWZ3ZibnrzViWBS8pQlid7JBe+9z7C6eGnJhpI+a9P32OXaCEZ2Auc+xax/TtTdPJnthPSCVSgRmQofppc+xE1R0At4+R1zspLX0ORTNwytg2A3EmXQLBhoFbwXM7r5O+KAH2A5jdqd+9btbxLAoeEsTxO5kg/be59hdPDXkJhdPhHGTvt8+x04wohMw9zl27WO69ubJZC+sB6RSicBM6DC99Dl2gopOwNvn6Ocjb6S19DkUzcMrYNgNxJnJxGsJBhoFbwXM7rZO+KAH2A5j9mZmcvpaI4ZFwVuaIPYmG7TvPie3u3bvqA8Z6f2+dBEgGNEJePscQPuYrr15MtkL6wGpVCIwEzpMH30OQFDRCVj7nFw/Hznvej4ySfPgCliO3UCcm028lnf8YFHwVcByu9s64YMeXjucY/Zmbnb62l5TCUXBW5og9iYbtPc+x+7aqSE3u3Z+3wMBEIzoBMx9jl37mK69eTLZC+sBqVQiMBM6TC99jp2gohPw9jn6+ch51/ORSZqHV8CwG4hz4RYMNAreCpjdbZ3wQQ+wHcbszVy6RgyLgrc0QexNNmjvfY7dtVNDnhrp/b4HAiAY0QmY+xy79jFde/NkshfWA1KpRGAmdJhe+hw7QUUn4O1z9PORN9Ja+hyK5uEVMOwG4txs4rU86x6LgrcCZndbJ3zQA2yHMXszNzt99Ddn+EoTxN5kg/be59hdOzXkZtfO73sgAIIRnYC5z7FrH9O1N08me2E9IJVKBGZCh+mlz7ETVHQC3j5HPx95I62lz6FoHlwBK7AbhguziUd/1n3bOWeFP/y8K+xu64QPenjtcIHZm4XZ6aO/OcNXmiD2Jhu07z6nsLt2asjNrp3f90AABCM6AW+fA2gf07U3TyZ7YT0glUoEZkKH6aPPAQgqOgFrn1Po5yNvpO33OSTNWjT21r5TKWDYDcOF2cRredY9FgVvBczutk74oAfYDmP2ZiFcI4ZFwVuaIPYmG7T3Psfu2qkhl0Z6v88JBAhGdALmPseufUzX3jyZ7IX1gFQqEZgJHaaXPsdOUNEJePsc/XzkjbSWPoeieXgFDLthuEjdgoFGwVsBs7utEz7oAe7nYPZmYXb66G/O8JUmiL3JBu29z7G7dmrIza6d3/dAAAQjOgFzn2PXPqZrb55M9sJ6QCqVCMyEDtNLn2MnqOgEvH2Ofh5y0fU8ZJLm4RUw7Ibhwmzi0Z9133bOWeGPcN7Z3dYJH/Tg2uEkhOxN9THXiGFR8JQmiseeJnzQnvucJLS7dmrIja5dFDbp++xzEIIRnYC1z0G0j+namyeTvbAekEolAjOhw/TQ5yAEFZ2As89Rqi520vb6HJrm4RWwGCtgRhNvPxhoFLwVMLvbOuGDrtMEe0fEqaQJZG+qj7lGDIuCtzQB7E0+aO99jt21U0MujPRen4eMEIzoBMx9jl37mK69eTLZC+sBqVQiMBM6TC99jp2gohPw9jniYietpc+haB7afk4SQjcMq4+5BQONgrcCZndbJ3zQA2yHIXtTfcw1YlgUvKUJYG/yQXvvc+yunRpyo2sXxU36fvscO8GITsDc59i1j+namyeTvbAekEolAjOhw/TS59gJKjoBb5+TXeyktfQ5FM3DK2DQDcPqY27BQKPgrYDZ3dYJH/QA22HI3lQfc40YFgVvaQLYm3zQvvucyO7avaM+ZKT3+jxkhGBEJ+DtcwDtY7r25slkL6wHpFKJwEzoMH30OQBBRSdg7XOi8GInbb/PIWkeXAGLoBuG1cfcgoFGwVcBi+xu64QPenjtcITZm5HZ6aM/GthXmiD2Jhu09z7H7tqpITe7dl6fh4wQjOgEzH2OXfuYrr15MtkL6wGpVCIwEzpML32OnaCiE/D2OcnFTlpLn0PRPLwCBt0wrD7mFgw0Ct4KmN1tnfBBD7AdxuzNSLpGDIuCtzRB7E02aO99jt21U0OeGum9Pg8ZIRjRCZj7HLv2MV1782SyF9YDUqlEYCZ0mF76HDtBRSfg7XPSi520lj6Honl4BQy6YVh9zC0YaBS8FTC72zrhgx5gO4zZm5HZ6aM/GthXmiD2Jhu09z7H7tqpITe7dl6fh4wQjOgEzH2OXfuYrr15MtkL6wGpVCIwEzpML32OnaCiE/D2OcXFTlpLn0PRPLgCFmM3DMdmE4/+aOC2c84Kf/h5F9vd1gkf9PDa4RizN2Oz00d/NLCvNEHsTTZo331ObHft1JCbXTuvz0NGCEZ0At4+B9A+pmtvnkz2wnpAKpUIzIQO00efAxBUdALWPieOL3bS9vsckubhFTDshuHYbOK1PPMVi4K3AmZ3Wyd80ANshzF7U0/9bhHDouAtTRB7kw3ae59jd+3UkEsjvdfnISMEIzoBc59j1z6ma2+eTPbCekAqlQjMhA7TS59jJ6joBLx9jrzYSWvpcyiah1fAsBuGdSq5BAONgrcCZndbJ3zQdZpg74g4lTTB7M3Y7PS1RAyLgrc0QexNNmjvfY7dtVNDbnbtvD4PGSEY0QmY+xy79jFde/NkshfWA1KpRGAmdJhe+hw7QUUn4O1z8oudtJY+h6JZi54vkyxLFkkwFdNlIESYB9NstgzyWGZiNo9ita5/cTIFDLthODabeC3PfMWi4K2A2d3WCR/08NrhBLM3E7PTR380sKc0SRB7kw3ad5+T2F07NeRG1y4Om/S99jkAwYhOwNvnANrHdO3Nk8leWA9IpRKBmdBh+uhzAIKKTsDa5yT6echJ1/OQSZqHV8BirIAZTbz9YKBR8FbA7G7rhA96ePZmgtmbidHpa4sYFgVvaYLYm2zQ6j9/osmLNbheHP2x177H7uKpFBCGaCS++x47wYhOwNz32LWP6dqbJ5e90B6QSiUCM6HD9NL32AkqOgFv36Ofj7yR1tL3UDTX+ztxkcRxNAsWRTJXi/xYqPV9GAbLaFYUsyxKs+XmHD+FgobdQJxIt2CgUfBW0Ozu64QPet0ei0WWzZdJMIvyPBCpjINpspwFopguolk6XeRyfjppgtmdSeoaMSwK3tIEsTvZoOs0mRULORVJHsTTqFCfzVfBTE7jIE9FvlhEi0Us89NJE8zuTEzOX2vEsCh4SxPE7mSDXq+iwlW8kGIWTGdSBiKZCZVcSRhM5Spf5XKZhcUJpQl2N2diclhaI4ZFwVua2K2wCR+0991iu6WihtxoqcR+3yoDEIzoBMKZANd+g2gf07U3TyZ7m35AKpUIzIQO08uqyU5Q0Ql4V036bs6NtJZVE0WzFj1N43AaJqsgW031lmEUBdPVahkIuYhX02U4l6vZi1MpYAKzO4XR+dsPBhoFXwVMIHYnG/Tw2mGB3c0pzA5LS8SwKHhLE7sVNuGDHt7iWmDekzDbMG3v4YGi4C1NEO+JDXp4W3UC856E2YZpiRgWBW9pgnhPbNC+V03Cvr2uhlwY6eMmfa+rJoBgRCcQzgS49htE+5iuvXky2dv0A1KpRGAmdJg+Vk0AQUUnYF01Ce01baTtr5pImodXwDCvSUi3YKBR8FbAEK+JDXqA7TDmNQmT7dIaMSwK3tIE8ZrYoAe4uMa8JmGyXVojhkXBW5ogXhMbdJ0mURgmcZEmQRrORaAmnlWQF9kiyHP1g2ieTmdFejppgnlNwng3T1vEsCh4SxPEa2KD9r5qsm+vqyE3b1X7feMdQDCiEwhnAlz7DaJ9TNfePJnsbfoBqVQiMBM6TC+rJjtBRSfgXTVpr2kjrWXVRNGsRYtFEs6jZBGsVJ8ciFAUQSGTpZrU8nyeqN/PosWLUylgEvOapNl2aXmrFxYFXwVMIl4TG/Tw2mGJeU3SbLu0RAyLgrc0QbwmNujh7cFIzGuSZtulJWJYFLylCeI1sUH7boel3UJRQ262UPy+GBEgGNEJhDMBrv0G0T6ma2+eTPb+64BUKhGYCR2mj3YYIKjoBKzt</t>
  </si>
  <si>
    <t>sNQvRtxI22+HSZqHV8CwJ4dK4RYMNAreCpjd+prwQQ/PRJCY1ySla8SwKHhLE8RrYoMe4KoJ85pk6hoxLAre0gTxmtigh2ciSMxrkmbbpSViWBS8pQniNbFBe1812S0UNeRmC8Xva1YBghGdQDgT4NpvEO1juvbmyWRv0w9IpRKBmdBhelk12QkqOgHvqkk/xlF2PcaRpFmLxu5aOJUChj3GUZodlZZXSWJR8FbA7NbXhA96eO1winlNqdl2aYkYFgVfaZIiXhMb9PD2YFLMa0rNtktLxLAoeEsTxGtig/bdDqd2C0UNudlC8fs2XoBgRCcQzgS49htE+5iuvXky2fuvA1KpRGAmdJg+2mGAoKITsLbDqX5L3UbafjtM0lyLXsRJqKtbWESqJxL5UvVE8yyI8tk0idJUzFYn1Odgt9KlZkel5Y2jWBS8FTC79TXhgx5gO4x5TalwjRgWBW9pgnhNbNB1miySsJgmq0UQRrEMxCJRH1uIRbCK8ny2nC1DEZ9QO4x5Tal0jRgWBW9pgnhNbNB1mixFFmVykQSJnKrPikIGeZLPg1W8SleraZQm0xNKE8xrSlPXiGFR8JYmiNfEBj28rboU85pSs+3SEjEsCt7SBPGa2KC9L67t2+tqyM1b1X5fAQ8QjOgEwpkA136DaB/TtTdPJvtq7oBUKhGYCR2ml8W1naCiE/AurrXXlHZ5TSTNWjT2iMdTKWCY15SabZe2t6FDUfBWwBCviQ16eO1whnlNmdl2aYkYFgVfaZIhXhMb9PD2YDLMa8rMtktLxLAoeEsTxGtigx7e9b5ZjKWJeXu7JWJYFLylid2HmPBBD8+5zrCN/8y8B94SMSwK3tIE2fhng/a9uM7s+9lqyIWRfu9t5L0urgGCEZ1AOBPg2m8Q7WO69ubJZF/NHZBKJQIzocP0sbgGCCo6AeviOtPP0NtI219ckzQPr4BhXlMm3YKBRsFbAUO8JjboAbbDmNeUmW2XlohhUfCWJojXxAY9wMU15jVlZtulJWJYFLylCeI1sUEPz5LMsGfoZebt7ZaIYVHwliZ2H2LCB+191WTfz1ZDbt7PLpr0/a6a7AQjOoFwJsC13yDax3TtzZPJ3qYfkEolAjOhw/SyarITVHQC3lWTfobeRlrLqomiWYvGbuI9kQKWY15TbrZd9oKBRsFXAcsRr4kNenjtcI55TbnZdmmJGBYFb2mCeE1s0MNbXOeY15SbbZeWiGFR8JYmiNfEBj28rboc85pys+3SEjEsCt7SBPGa2KB9r5py+/a6GnJhok/CJn2vqyaAYEQnEM4EuPYbRPuYrr15Mtnb9ANSqURgJnSYPlZNAEFFJ2BdNeXaa9pI2181kTQPr4BhXlMu3YKBRsFbAUO8JjboAbbDmNeUp64Rw6LgLU0Qr4kNeoCLa8xryo22S1vEsCh4SxPEa2KDrtMEe+fBqaQJ5jXlRtulLWJYFLylCeI1sUF7XzXZt9fVkBu3qpO9d/z2u2qyE4zoBMKZANd+g2gf07U3TyZ7m35AKpUIzIQO08uqyU5Q0Ql4V03aa9pIa1k1UTQPzmsqMK+pMNou+8FAo+CrgBWI18QGPbx2uMC8psJou7RFDIuCtzRBvCY26OEtrgvMayqMtktbxLAoeEsTxGtigx7eVl2BeU2F0XZpixgWBW9pgnhNbNC+V02FfXtdDbkw0sdN+l5XTQDBiE4gnAlw7TeI9jFde/NksrfpB6RSicBM6DB9rJoAgopOwLpqKrTXtJG2v2oiaR5eAcO8pkK6BQONgrcChnhNbNADbIcxr0mvCd0ihkXBW5ogXhMb9AAX15jXVJhtl5aIYVHwliaI18QGPbz7mgrMayrMtktLxLAoeEsTxGtig/a+arJvr6shN29V770Kut9Vk51gRCcQzgS49htE+5iuvXky2dv0A1KpRGAmdJheVk12gopOwLtq0l7TRlrLqomieWgFTISQ16Q+5hYMNAqeCpjisWbthA96cI9aFCHkNamPuUYMi4K3NAG8Jj7owa2aRAh5TepjrhHDouAtTQCviQ96cHswIoS8JvUx14hhUfCWJoDXxAddp8lKivk0E2GwnC2mgcimWTANZzKYCZmv4vkyLJLV6aQJ9PIc9THXiGFR8JYmdh9iwget/vMnGlx954+NaWBf1R0QBTX49n1tNfTSEIUk9npBJ0IwohMIZwJc+w2ifUzX3jyp7Ku6A1KpRGAmdJgeFtkIQUUn4FxkK1UXO2l7i2yaZi06ChM5X67yYDWL9EPtVTM9FbkMwjiU09litQhPqd+BPCf1MbdgoFHwVsgAz4kPeoCrJ8hzUh9zjRgWBW9pAnhOfNCDu9BBhJDnpD7mGjEsCt7SBPCc+KAHuMiGXqKjPuYaMSwK3tLE7kdM+KA9W5Misu9rv6M+ZKAXiWjS97pqAghGdALhTIBrv0G0j+namyeTvU0/IJVKBGZCh+lj1QQQVHQC1lVTFF7spO2vmkiaB1fAIsxzisz2y14w0Cj4KmAR4jmxQQ9vlzjCPKfIbL+0RAyLgrc0QTwnNujhLa4jzHOKzPZLS8SwKHhLE8RzYoOu06SQi3kareJAqNZarbBkobJJ5dVsPkum6SyVoohPJ00wzykSrhHDouAtTRDPiQ1ae051quxtsjRD8b3l/Pvffu9dhkiUz598TSGmjyYiDvVB6EOuDkmsD1If9G9FpA/6c1J/TurPSf2DNNEH/atM/yrL1CHvjKU0xDKJ42YsOxtnKCJ476zDUOkwVDoMlQ5DpcNQ6TBUOgyVDkOlw1DpMFQ6DJUOQ6XDUOkwVDoMlQ5DpcNQdYWhooeh2X1DYYAbcB0F3Wenj9RRxUEfRX3M9VGFQh9lfaz/REVDH+vPy/rzsv68rH+qQqKP9a+z+tcqKurYERb9L1PiUvsimxPnhWf7NrLv/atZ1Lz373kjwk4wohMIZwJc+w2ifUzXLl2002fkXW2yw0zoML1sRNgJKjoB70ZEerGT1jJNUTTXhksxC9M4TYPFolCNwTTMg2IVzoJFPlcq8yxKF8WLk+kJMV8uMltULe0RFgVvPSHiy7FB12kSz+UsCUUe5IuV3qqIwqCYylkQzubqD3LVdGaz00kTzJeLzBZVS8SwKHhLE8SXY4Ou0yRP83ieLdS6IslCtRpdroJiLmZBUiRhsSqm02R5QhsRmC8XmS2qlohhUfCWJogvxwZdrzAfrfvi/8+6S/baHsd2a+Id9SFjNNJmNHptjwGCEZ1AOBPg2m8Q7WO69ubJZe/HDkilEoGZ0GH6aI8BgopOwNoex9qni7t8OpLmuj2Wy0UR5kUwW0oZiNlSl8FZEoSrOE+n8WI2m26y7AQKWoz5dLHJsmoJBhoFXwUtRnw6Nug6TUQerlS1SwORyyQQ2TIKpvMkDBIRLrJ4uQpFEp5OmmA+XWyyrFojhkXBW5ogPh0b9Nr1X+VhulqEwSoO9V2paaFSqiiC+XIpwjRZTUORnU6aYD5dbLKsWiOGRcFbmiA+HRu078vWYrv9pIZcGOj1bnxXB9BLO2wnGNEJhDMBrv0G0T6ma2+eTPb+64BUKhGYCR2ml3bYTlDRCXjbYXGxk9bSDlM0D6+AQc8hFPq8cAkGGgVvBcx+i9qED3qA7TB2T1hsclhaI4ZFwVua2K2wCR/0ABfXmPcUm2yY1ohhUfCWJoj3xAbtvR22WypqyM2P1/O8O2wnGNEJhDMBrv0G0T6ma2+eTPb+64BUKhGYCR2ml3bYTlDRCXjb4fxiJ62lHaZoHl4Bw+zO2OT8tQQDjYK3AobYnWzQ61XTdJrPklkRZGkiAqEapGAq5+oQxtF8mchVFp1OmiTYcwgT851PbTtgUBR8pUlit74mfNDDW1wnmNeUmG+Pom+U+koTxGtig/bdDid2C0UNuclCEUnWpO+1HQYIRnQC4UyAa79BtI/p2psnk73/OiCVSgRmQofpox0GCCo6AWs7nMQXO2n77TBJ8/AKGGZvJuY78vaCgUbBWwFD7E026OGtmhLsNsREuEYMi4K3NLFbXxM+6O1FopuOwPtFoondUlEpIA3RSOK8GY1++x47wYhOwNz32LWP6dqbJ5e90B6QSiUCM6HD9NL32AkqOgFv36MfgbmR1tL3UDTXBS0Lk2W4UNVO5rNApIt5MF0Wy6AQ05lYruQqmm/uBj2FgobZnUnqFgw0Ct4KGmJ3skEPsD3G7M7E5Py1RgyLgrc0QexONmjv+zt2h0cNudkt8dzn2AlGdALmPseufUzX3jyZ7IX1gFQqEZgJHaaXPsdOUNEJePscbXcmXXYnSfPwChhmdyZm548+l7edc1b4I5x3iN3JBl2nyVKkWbFYzYN5upwGIlyqdmiVzYJlLqe5nIVzIU7nGc4CszuF2flriRgWBV9pIhC7kw16u7+zmS287+8Iu6unUsB4B1kSNqPRa98DEIzoBLx9D6B9TNfePLnshfaAVCoRmAkdpo++ByCo6ASsfY+ILnbS9vsekuZ6mpoVqVTr/EDmeRGIWZ4Hs2yVqt+G8+l0mqbxdPniZApajBU0k8nXEgw0Ct4Kmt2NnfBBr9vjeJFKGUfBaqFKngin+gUGeRqIaCWLaDYTebQ6nTTB7E9hvNGxLWJYFLylCWJ/skGv2+PVdBEn01Wwms0WgUjiOJhGsywI50mRz2OxTJL0dNIEsz+FcI0YFgVvaYLYn2zQ6+dHyukiTEUcyCxMApGuZkGRZtMgiVfxbBkW6VwWp5Mm2K12QrpGDIuCtzSxW2ETPujtKmqTBv5XUXaLRaVAaoxG3IxGv6soO8GITiCcCXDtN4j2MV178+Syt+0HpFKJwEzoML2souwEFZ2AdxWlnzS6kdayiqJo1qLFMkyzWSgDNbmp4idzGRSz5SyYLVaqyc7DJJxvJqxTKGiY/SmMTuB+MNAoeCtoiP3JBr2+mCJeRYtoHgbRfB6rFddCtdJL9dXlKlqmhUiTPJ6dTppgTxoVxodutkUMi4K3NLFbYxM+6HV7PC0W8TyN1DorWQUiTmQwi4o8WBZZGC1mi0yK5emkCeZFCZMt0xoxLAre0gTxotigfV9MIe0WyzvqQwZ67WF2dQB9tMMAwYhOIJwJcO03iPYxXXvzZLL3XwekUonATOgwfbTDAEFFJ2Bth6V+sqjserIoSfPgCpjE7vaU5hsf94KBRsFXAZN2K2zCBz28VZPEvCdpsmFaI4ZFwVuaIN4TG/TwVk0S856k+S60lohhUfCWJoj3xAatd4s1+AvPu8TSbq2ooReGKCRJ0oxCv22xnWBEJxDOBLj2G0T7mK69eVLZ+7ADUqlEYCZ0mF7aYjtBRSfgbYv1E0Y30lraYorm4fU7mO0ppVsw0Ch4K2SI7ckGPcB+B7vlTpqdlZaIYVHwliZ2C2zCB12nSRzP5HIl5kGYpjKIIn2/ub5bLwxlKNM8jwp5QrMJ5jlJs/3SEjEsCt7SBPGc2KC97xLbrRQ15MY7dsTeJST9tsN2ghGdQDgT4NpvEO1juvbmyWTvvw5IpRKBmdBhemmH7QQVnYC3Hda33MmuW+5ImrVoGa3EKpyqniidzrez2DI+0QKG2ZzS5Pi1BAONgrcChticbNDDWzWl2C13qdFZaYsYFgVfaZLaLbAJH/TwVk0p5jmlRvulLWJYFLylCeI5sUGvi46M5jMpFsFUrFaBWKomepbP80Aul8VyOo3zPD6d59mkmOeUxq4Rw6LgLU0Qz4kN2veqKbVbKWrIjVaKiJr0va6aAIIRnUA4E+DabxDtY7r25slkb9MPSKUSgZnQYfpYNQEEFZ2AddWUJhc7afurJpLm4RUw7Ba7VLgFA42CtwJmt74mfNADXDVhXlMqXSOGRcFbmiBeExv0AFdNmNeUmmyX1ohhUfCWJojXxAY9vK26FPOaUpPt0j7/QlHwliaI18QG7X3VZN9eV0Nu3qqOm/T9rprsBCM6gXAmwLXfINrHdO3Nk8neph+QSiUCM6HD9LJqshNUdALeVZP2mtIur4mkeZ1D81mRJ4tgOV8mgSgWRTBbTWdBnMulXKTTLF1ssE6hgGFeU2q2XfaCgUbBWwFDvCY26OGtmjLMa8rMtktLxLAo+EqTDPGa2KCHt2rKMK8pM9suLRHDouAtTRCviQ16eFt1GeY1ZWbbpSViWBS8pQniNbFB+141ZfbtdTXk5q1qvzesAAQjOoFwJsC13yDax3TtzZPJ3qYfkEolAjOhw/SxagIIKjoB66op015T1uU1kTQPrx3GvKZMuAUDjYK3AoZ4TWzQA2yHMa8pk64Rw6LgLU0Qr4kNeng3rGSY15SZbRf6vRu+0gTxmtigvbfDdgtFDbnZQhFN+n7bYTvBiE4gnAlw7TeI9jFde/NksvdfB6RSicBM6DC9tMN2gopOwNsOZxc7aS3tMEXz8AoY9vjGzOyo7AUDjYK3Ama3viZ80ANcNWFeU2a2XVoihkXBW5ogXhMb9PBWTTnmNeVm26UlYlgUfKVJjnhNbNDDMxFyzGvKzbZLS8SwKHhLE8RrYoP+8827EqJwM/wvPD8GK7d7KioHYkM4kkQ2w9HrMgogGNEJhDMBrv0G0T6ma2+eXfa+/YBUKhGYCR2mj2UUQFDRCViXUXl8sZO2v4wiadaiw2maL5dRHBQLkeheOtO9dH6ay6gce55jbn6t1l4w0Ch4q2h2L2zCB12nSTFdTbPpYh7EaShUk7RSS64oToIkLkQsUtVcZyeUJpj5lAvXiGFR8JYmiPnEBj3A/hgzn3LpGjEsCt7SBDGf2KDrNEnDeJnM1aJ8lhWxnnkKfRvD9ESLDmY+5SYfpjViWBS8pQliPrFBr2eT5SyOMqnKki5QYrFSybVcFeqr0yyfLVViRYvTSRPsRqfctN/dfmJBUfCWJnZjYsIHXacJ9rLLU0kTzAnIze80aokYFgVvaYI4AWzQdZpgL7s8lTTBnIDctCneGjEsCt7SBHEC2KDrvbvaNGrmQTMU31vOv//t995liET5/MnXJqKIHqlD0hGAwrTHrTK+GYDOLRYIA99l0dorrb3q0l7RtTc3VyDt8P6Klv7aa1q7PraL1z+hqK/lr9V7f3VuYd8cf0d9yEiZd45RH7vBAMGITiCcCXDtN4j2MV27dNFOn6G2czUAM6HD9LEbDBBUdALW3eAiuthJa5mmKJq16Ol8Ppvn0yxYCnG/Opuf5sK8iKEeqTBvje8FA42Crx6psHsYEz7oPz+Rt/sU9j1xNfTmPXG/L70ECEZ0AuZCZtc+pmtvnlT2mfOAVCoRmAkdppdCZieo6AS8hUzfLFV03SxF0qxFr+KFiNIkCZZJXpx8IcP8qkK4BQONgrdChvhVbNDrxb5mT5qJ0IwFtNQkhWKz2k8fTWTUGQFpioDDixQgDHzy2az200dVl/aKrr2f1X6qVvtd4vXPKerrrUbvGZWpjApDfUj0QSdYWHQlWGrExJ85C1E5J1imEkyhVBql0ihVF0pFR+kn3zKdb4pFH5P6WGdgB06doQSer2Sg//0muz2kCpvRHvL8TAOAYEQnEM4EuPYbRPuYrl26aKfPaLt2wQ4zocP00qbbCSo6AW+brm/i2khrmaYomuvWK5ZiJmbLYDqXSSCmcRFoQy8osni2zORsHovZi5Np0zHrtjC6mG035GJR8NamI9YtG3SdJnmax/NskQWzJAsDkS5XQTEXsyApkrBYFdNpssxPJ00w67YoXCOGRcFbmiDWLRv09raLzTTuu+9RTZ41Gu+oDxmj4fWuC4RgRCdg7XsQ7WO69ubJZS+0B6RSicBM6DA99D0IQUUn4Ox7lKqLnbS9voemWYuey+WiCPMimC2lDFQVzIN8MUuCcBXn6TRezGbTTZb5L2gyhO4jVB9zCwYaBU8FTfFYs3bCBz24vkeGkB2rPuYaMSwK3tIEsGP5oD0/pEeGdudJDbn5kXee+xw7wYhOwNzn2LWP6dqbJ5O9sB6QSiUCM6HD9NLn2AkqOgFvn5Nc7KS19DkUzcMrYJANqz7mFgw0Ct4KGGDD8kEPsB2GbhtUH3ONGBYFb2kC3DbIB7257EzP4n73dex3xamhTw1RSET3Ne699Dt2ghGdgLnfsWsf07U3Typ7gT0glUoEZkKH6aXfsRNUdALefie92Elr6XcomofmZ8kQumNVfcwtGGgUvBUyuws74YOu02Q2my+nq6QIVE2cByLLV8E0DVX5i2b5IppNF4kMTydNINtTfcw1YlgUvKUJYHvyQXvf17G7eWrITW6e8N3n2AlGdALmPseufUzX3jyZ7IX1gFQqEZgJHaaXPsdOUNEJePuc4mInraXPoWgeXAGLoMelysj85FD6XN52zlnhDz/vIrvrOuGDHl47HGE2Z2R+cii9M/SVJojNyQa9e+RC3MyDZiigK7JJkagvmZeRvlA+qu/EKNQhjvVB6kOuDkmkD0If9KX1Ql9aL/Q3hP6G0N+Q+htSf0Pqb6T6G6n+Rqq/kelvZPobmf5Gpr+R62/k+hu5/oZ+6IMs9Df05fupvnw/1Zfvp/ry/TRU30ijWB+kPqhvpHGkD0If9DcS/Y1EfyPR30g6LviXkdmNzJqj2VlsoTHB6219wb8eiEoPRKUHotIDUemBqPRAVHogKj0QlR6ISg9EpQei0gNR6YGo9EBUeiAqPRCVHohKD0SlB6LSA1Hpgaj0QFR6ICo9EJUeiEoPRKUHotIDUemBqPRAVHogKj0QlR6ISg9EpQei0gNR6YGo9EBUeiAqPRCVHohKD0TVNRAVfSD6uF1BD4Q+rm+SKfRRjYU+yvqY62MS1UdRH+vbG0R9e4Oovyvq74r6u7L+rqy/K+vvpvV30/q7af3drP5uVn83q7+b1d/N6+/m9Xfz+rv1gzr0GOmj/m5a31aR1rdVpPVtFXqg1DGK66Osj/q7erD0UdTH+rtJ/d2k/m5Sf7djyHQkKGOmB+1EbslQw2qd8FWVM954KbzeOY0QjOgEwpkA136DaB/TtUsX7fSKuesd7DATOkwfSzuAoKITsC7tIm3ZR12WPUmzFp0tV3kU6idkRXF04s/mlBFm2UfCLRhoFLz17Ihlzwa9foTrKg/T1SIMVnG4CsQ8VZ9dFEUwXy5FmCaraSiy00kTzLKPpGvEsCh4SxPEsmeD9r2FHdndSTXkJqdPGDrwXvocO8GITsDc59i1j+namyeTvbAekEolAjOhw/TS59gJKjoBb5+jrfqNtJY+h6J5eAUMs+ojk2vdEgw0Ct4KGGLVs0Gvr2At4kWxyhfBajXVn9XXp2WLOIiTOJ2m80LkiTidNMGs+sj8xsWWiGFR8JYmiFXPBu29z7G7k2rIzU6f10e6IgQjOgFzn2PXPqZrb55M9sJ6QCqVCMyEDtNLn2MnqOgEvH2Otuo30lr6HIrmwRWwGLPqY7Nr3fJ0UywKvgpYjFj1bNDDa4djzKqPza51S8SwKHhLE8SqZ4P23efE9htt1ZCb3Dnh2bcCCEZ0At4+B9A+pmtvnkz2wnpAKpUIzIQO00efAxBUdALWPieOL3bS9vsckubhFTDoRaYyNt93S9+bbzvnrPBHOO/sbuuED3qA7TBmb+qp3y1iWBS8pQlib7JBe+9z7K6dGnJpopdhk77fPsdOMKITMPc5du1juvbmyWQvrAekUonATOgwvfQ5doKKTsDb58iLnbSWPoeieXgFDHp3rtSp5BIMNAreCpjdbZ3wQQ+wHcbszdjo9LVFDIuCtzRB7E02aO99jt21U0NudO1k9wP9e+lz7AQjOgFzn2PXPqZrb55M9sJ6QCqVCMyEDtNLn2MnqOgEvH1OfrGT1tLnUDQPr4BBz/xWH3MLBhoFbwXM7rZO+KCH1w4nmL2ZGJ2+tohhUfCVJglib7JB++5zErtrp4bc6NrJuEnfa58DEIzoBLx9DqB9TNfePJnshfWAVCoRmAkdpo8+ByCo6ASsfU4SXeyk7fc5JM3DK2AxVsCMJt5+MNAoeCtgdrd1wgc9vHY4wezNxOj0tUUMi4K3NEHsTTZo732O3bVTQy6M9F5f9YcQjOgEzH2OXfuYrr15MtkL6wGpVCIwEzpML32OnaCiE/D2OeJiJ62lz6FoHl4Bw24YTqRbMNAoeCtgdrd1wgc9wHYYszeT1DViWBS8pQlib7JB//nmVX+bjkAPvtfn6SR2F0+lgMnFSzz7WADBiE4gnAlw7TeI9jFde/PkshfaA1KpRGAmdJhe+h47QUUn4O17soudtJa+h6JZi46K6SpbLZMgFyIJhEzzYJpFYRDLKBarRSbmixPqe7AbiBPjY6/b9uqxKHgraHb3dcIHPcD2GLM7E5Pz1xoxLAre0gSxO9mgfe/vCLuL9476kIFeSNGk77XPAQhGdALePgfQPqZrb55M9sJ6QCqVCMyEDtNHnwMQVHQC1j5H6Fcai65XGpM0D66ACewGYmE29faCgUbBVwETdvd1wgc9vHZYYHanMDt/LRHDouAtTRC7kw3ae59jd/HUkJtdPL+vNAYIRnQC5j7Hrn1M1948meyF9YBUKhGYCR2mlz7HTlDRCXj7HP18ZNH1fGSS5uEVMOwGYiHcgoFGwVsBs7uvEz7oAbbDmN0ppGvEsCh4SxPE7mSD9t7n2F08NeSpkd7vK/4AghGdgLnPsWsf07U3TyZ7YT0glUoEZkKH6aXPsRNUdALePkc/H3kjraXPoWgeXgHDbiDWil2CgUbBWwGzu60TPug6TcJkOU+XWRQs4vkiEHkhgkLmC335RhpFoczkqjidNMHsTWG+Z7ElYlgUvKUJYm+yQXvvc+yunRpyk2snpN/3QAAEIzoBc59j1z6ma2+eTPbCekAqlQjMhA7TS59jJ6joBLx9jn4+8kZaS59D0Ty4AiaxG4il2cRredY9FgVfBUza3dYJH/Tw2mGJ2ZvS7PTR35zhK00Qe5MN2nefI+2unRpys2vn9z0QAMGITsDb5wDax3TtzZPJXlgPSKUSgZnQYfrocwCCik7A2udI/XzkjbT9PoekeXgFDLuBWJpNPPqz7tvOOSv8Ec47u9s64YMeYDuM2ZtSuEYMi4K3NEHsTTZo732O3bVTQy6N9H7fAwEQjOgEzH2OXfuYrr15MtkL6wGpVCIwEzpML32OnaCiE/D2Ofr5yBtpLX0ORfPwChh2A7FM3YKBRsFbAbO7rRM+6AG2w5i9Kc1OH/3NGb7SBLE32aC99zl2104NudG1S8Mmfb99jp1gRCdg7nPs2sd07c2TyV5YD0ilEoGZ0GF66XPsBBWdgLfP0c9Hll3PRyZpHl4Bw24YloVbMNAoeCtgdrd1wgc9vMvVU8zeTI1OX1vEsCj4SpMUsTfZoH33OandtVNDbnTtUr/PzwEIRnQC3j4H0D6ma2+eTPbCekAqlQjMhA7TR58DEFR0AtY+J9XPR067no9M0jy4/Zw0xgqY0cTbDwYaBW8FzO62Tvigh9cOp5i9mRqdvraIYVHwliaIvckG7b3Psbt2asiFkT5u0vfb59gJRnQC5j7Hrn1M1948meyF9YBUKhGYCR2mlz7HTlDRCXj7HP185I20lj6HolmLnolZGEfhNMinKxGIVKTBLJoWwWo+TedRIsJsOn1xMgUMu2E4lW7BQKPgrYDZ3dYJH/QA22HM3kxT14hhUfCWJoi9yQbtvc+xu3ZqyI2uXer3PRAAwYhOwNzn2LWP6dqbJ5O9sB6QSiUCM6HD9NLn2AkqOgFvn6Ofh7yR1tLnUDQPr4BhNwynZhOv5Vn3WBS8FTC72zrhgx7gfg5mb6aFa8SwKHhLE8TeZIP23edkdtfuHfUhI73f5yEDBCM6AW+fA2gf07U3TyZ7YT0glUoEZkKH6aPPAQgqOgFrn5Pp5yFnXc9DJmkeXAHLsBuGM7OJR380cNs5Z4U/wnlnd1snfNDDa4czzN7MzE5fS8SwKHhLE8TeZIP23ufYXTs15GbXzu/zkAGCEZ2Auc+xax/TtTdPJnthPSCVSgRmQofppc+xE1R0At4+Rz8POet6HjJJ8/AKGHbDcCbcgoFGwVsBs7utEz7oAbbDmL2ZSdeIYVHwliaIvckG7b3Psbt2ashTI73f5yEDBCM6AXOfY9c+pmtvnkz2wnpAKpUIzIQO00ufYyeo6AS8fY5+HvJGWkufQ9E8vAKG3TCcmU08+qOB2845K/wRzju72zrhgx5gO4zZm5nZ6aM/GthXmiD2Jhu09z7H7tqpIS+M9H6fhwwQjOgEzH2OXfuYrr15MtkL6wGpVCIwEzpML32OnaCiE/D2Ofp5yBtpLX0ORbMWjd01eiIFLMduGM7NJl7LM1+xKPgqYLndbZ3wQQ+vHc4xezM3O330RwP7ShPE3mSD9t3n5HbXTg252bXz+zxkgGBEJ+DtcwDtY7r25slkL6wHpFKJwEzoMH30OQBBRSdg7XNy/TzkjbT9PoekeXgFDLthODebePRHA7edc1b4I5x3drd1wgc9wHYYszdz4RoxLAre0gSxN9mgvfc5dtdODbk00vt9HjJAMKITMPc5du1juvbmyWQvrAekUonATOgwvfQ5doKKTsDb5+jnIW+ktfQ5FM2DMyRy7IbhPHULBhoFbwXM7rZO+KAH2A5j9mZudvrojwb2lSaIvckG7b3Psbt2asiNrl0WNun77XPsBCM6AXOfY9c+pmtvnkz2wnpAKpUIzIQO00ufYyeo6AS8fY5+HnLe9TxkkubhFTDshuHcaOLtBwONgrcCZndbJ3zQw2uHC8zeLIxOX1vEsCj4SpMCsTfZoH33OYXdtVNDbnTtMr/PQwYIRnQC3j4H0D6ma2+eTPbCekAqlQjMhA7TR58DEFR0AtY+p9DPQy66nodM0jw4Q6KIsQJmNPH2g4FGwVsBs7utEz7o4bXDBWZvFkanry1iWBS8pQlib7JBe+9z7K6dGnJhpI+b9P32OXaCEZ2Auc+xax/TtTdPJnthPSCVSgRmQofppc+xE1R0At4+Rz8PeSOtpc+haB5eAcNuGC6kWzDQKHgrYHa3dcIHPcB2GLM3i9Q1YlgUvKUJYm+yQXvvc+yunRpyo2uX+X0eMkAwohMw9zl27WO69ubJZC+sB6RSicBM6DC99Dl2gopOwNvn6Ochb6S19DkUzcMrYNgNw4XZxGt55isWBW8FzO62TvigB9gOY/ZmYXb66I8G9pUmiL3JBu25z0lDu2v3jvqQkd7r85ARghGdgLXPQbSP6dqbJ5O9sB6QSiUCM6HD9NDnIAQVnYCzz1GqLnbS9vocmuahFbA0hG4YVh9zCwYaBU8FTPFYs3bCBz24djgNIXtTfcw1YlgUvKUJYG/yQXvvc+yunRpys2vn9XnICMGITsDc59i1j+namyeTvbAekEolAjOhw/TS59gJKjoBb5+TXOyktfQ5FM1aNHaV4akUMOiGYfUxt2CgUfBWwOxu64QPeoDtMGRvqo+5RgyLgrc0AexNPmjvfY7dtVNDnhrpvT4PGSEY0QmY+xy79jFde/NkshfWA1KpRGAmdJhe+hw7QUUn4O1z0oudtJY+h6J5eAUMumFYfcwtGGgUvBUwu9s64YMeYDsM2ZvqY64Rw6LgLU0Ae5MP2nufY3ft1JAXRnqvz0NGCEZ0AuY+x659TNfePJnshfWAVCoRmAkdppc+x05Q0Ql4+5ziYietpc+haB5cAYugG4bVx9yCgUbBVwGL7G7rhA96eO1whNmbkdnpoz8a2FeaIPYmG7TvPieyu3ZqyM2undfnISMEIzoBb58DaB/TtTdPJnthPSCVSgRmQofpo88BCCo6AWufE8UXO2n7fQ5J8/AKGHTDsPqYWzDQKHgrYHa3dcIHPcB2GLM3I+EaMSwK3tIEsTfZoL33OXbXTg25NNJ7fR4yQjCiEzD3OXbtY7r25slkL6wHpFKJwEzoML30OXaCik7A2+fIi520lj6Honl4BQy6YVh9zC0YaBS8FTC72zrhgx5gO4zZm5HZ6aM/GthXmiD2Jhu09z7H7tqpITe6dnnYpO+3z7ETjOgEzH2OXfuYrr15MtkL6wGpVCIwEzpML32OnaCiE/D2OfnFTlpLn0PRPLwCBt0wrD7mFgw0Ct4KmN1tnfBBr9vh+TwOlwsZLOfFXPVEizjIp4ssmIsknQm5ipcyPZk0iTF7MzY6fW0Rw6LgK01ixN5kg/bd58R2104NudG1y70+DxkhGNEJePscQPuYrr15MtkL6wGpVCIwEzpMH30OQFDRCVj7nDi62Enb73NImge3nxPHWAEzmnj7wUCj4K2A2d3WCR/08NrhGLM3Y6PT1xYxLAre0gSxN9mgvfc5dtdODbkw0sdN+n77HDvBiE7A3OfYtY/p2psnk72wHpBKJQIzocP00ufYCSo6AW+fIy520lr6HIrm4RUw7IZhfV64BAONgrcCZndbJ3zQA2yHMXtTzzhuEcOi4C1NEHuTDdp7n2N37dSQG1273OvzkBGCEZ2Auc+xax/TtTdPJnthPSCVSgRmQofppc+xE1R0At4+J7vYSWvpcyiatWjsKWCnUsCwG4Zjs4lHfzRw2zlnhT/CeWd3Wyd80ANshzF7My5cI4ZFwVuaIPYmG7TvPiexu3bvqA8Z6f0+DxkgGNEJePscQPuYrr15MtkL6wGpVCIwEzpMH30OQFDRCVj7nEQ/Dznpeh4ySfPgCliC3TCcmE08+qOB2845K/wRzju72zrhgx5eO5xg9mZidvrojwb2lSaIvckG7b3Psbt2asjNrp3f5yEDBCM6AXOfY9c+pmtvnkz2wnpAKpUIzIQO00ufYyeo6AS8fY5+HnLS9TxkkubhFTDshuFEuAUDjYK3AmZ3Wyd80ANshzF7M5GuEcOi4C1NEHuTDdp7n2N37dSQp0Z6v89DBghGdALmPseufUzX3jyZ7IX1gFQqEZgJHaaXPsdOUNEJePsc/TzkjbSWPoeieXgFDLthOMncgoFGwVsBs7utEz7o4V2fk2D2ZmJ2+uiPBvaVJoi9yQbtvc+xu3ZqyM2und/nIQMEIzoBc59j1z6ma2+eTPbCekAqlQjMhA7TS59jJ6joBLx9jn4e8kZaS59D0Ty4AiawG4aF2cSjPxq47Zyzwh9+3gm72zrhgx5eOywwe1OYnT76o4F9pQlib7JBq//8yTpXRDMRmrH43nL+/W+/9y5DKMrnT76mGJNH6iD1IdOHQh1kpA/6B1L/QOofSP2DVP8g1T/I9J8V4aNJFsbqEImuEJqsv0TGzRB2VjgoDniR0/CVhq80fKXhKw1fafhKw1cavtLwlYavNHyl4SsNX2n4SsNXXfAVHb5ZHCF4uD5qdlUGFbw+yvqY1cdCH1UA9LH+qax/Kuufyvqnaf3TtP5pVv+5CsRrr+lIqGNHKPTfTYlFbaJsTgz1f3/sc20g7PaWmiZNVlEi/V7TBhCM6ATCmQDXfoNoH9O1Sxft9Bl3V3zsMBM6TB9rA4CgohOwrg2E9npFl9dL0qxFL8MklfNoFqSrdBpE0XIVFKGIdfmfinmyTJN4/uJkmj7M6xXCLRhoFLw1fYjXywbte3NL2C1MNeTSQC9yvy/BAAhGdALmAmbXPqZrb55M9hnzgFQqEZgJHaaXAmYnqOgEvAVMPxx6I62lgFE0a9H5PEqSRERBmqdZIJazJJgul4tgkaQLsRLTebwKX5xMAcPunhapWzDQKHgrYHbrecIH7b2A2S1MNeRmC9Pv2w0AghGdgLmA2bWP6dqbJ5N9xjwglUoEZkKH6aWA2QkqOgFvAdN3T2+ktRQwiuZ6oyjJplFezIPpfBEGYhaGwTRSvy3yMM7TPEtmxeYMOYUChl1eIMxOe8sT3LEoeCtgyOUFbNDeC5jdUVVDXpjoi7DznO2lgNkJRnQC5gJm1z6ma2+eTPYZ84BUKhGYCR2mlwJmJ6joBLwFTF9esJHWUsAomrXobC6iJAqjIIyLaSBkLtR8tsyCtJguwmi1mE2np+MbS+zyAml02veDgUbBVwGTyOUFbNC+C5i0u+ZqyI2ueeH3eeQAwYhOwFvAAO1juvbmyWSfMQ9IpRKBmdBh+ihgAEFFJ2AtYFI/j1x2PY+cpFmLltF8Ok3TebDMomUgktUimIplFGTLJF6Es9VSzjdZdgoFLMYKmOm6hZZgoFHwVsCQG/bZoL0XMLtvrYbceL9vEXees70UMDvBiE7AXMDs2sd07c2TyT5jHpBKJQIzocP0UsDsBBWdgLeA6Ys4ZNdFHCTNWjTm5J9KAcMu4pDCLRhoFLwVMOQiDjZo7wXM7lurIZdGer9PEAYIRnQC5gJm1z6ma2+eTPYZ84BUKhGYCR2mlwJmJ6joBLwFTF/EsZHWUsAomrVozMk/lQKGXcSh38TnEgw0Ct4KGHIRBxu09wJm963VkBs94MLvZfQAwYhOwFzA7NrHdO3Nk8k+Yx6QSiUCM6HD9FLA7AQVnYC3gOmLOGTXRRwkzVo05uSfSgHDLuKQxusZ9oOBRsFbAUMu4mCD9l7A7L61GnKzB+z3mZ8AwYhOwFzA7NrHdO3Nk8k+Yx6QSiUCM6HD9FLA7AQVnYC3gOmLODbSWgoYRbMWjTn5J1LAUuwijtR8PUPLcw2xKPgqYClyEQcbtO8Cltp9azXkZg/Y78McAYIRnYC3gAHax3TtzZPJPmMekEolAjOhw/RRwACCik7AWsBSfRFH2nURB0mzFo05+adSwGKsgJmvZ2h5YB0WBW8FDLmIgw1aP71GfVnP9F6fyJHa/Ws19OYb+v2uxACCEZ2AuZDZtY/p2psnlX3mPCCVSgRmQofppZDZCSo6AW8h0xdzpF0Xc5A0a9Einc/FdFYEMgnTQIhZGMzCeBFkyXwai8VcyHT24mQKGXYxRyrcgoFGwVshQy7mYINep0mSr8JklqtVm5CByEQaTFfJLCjEohBJloaz5ITSBHv7QiqdIwZFwVua2I3+CR90nSbFdDXNpot5EKehCMRslQd5FCdBEhciFqla7Wfx6aQJ5qynqWvEsCh4SxPEWWeDrtNkkRTpPNGvfAmXc9VCh8tglsoomK/yZT6NwlWcidNJE+xR+KnJzGuNGBYFb2lid10nfNDrXeJZkcowWQYyzwuVUnkezLJVqn4bqiWYWoPF0+XppAlmc6Ymx681YlgUvKUJYnOyQa9nk1mWpUWYB9NsuQjEcrUMptEyDCIxDxfJbLpYRavTSRPsTd+pyVlpP7GgKHhLE7sFNuGDXl+2vkrSdJHOgiiK8kBEqfbQ57Keg5bqz5b5djfjBNIkwzynzGS/tEYMi4KvNMkQz4kNuk6TOF9MZaI+EWZppD4bToNZLpdBrrrgRR5O1ReK00kT7LnkmWmbuzViWBS8pYndj5jwQa+LzlKIPNJX34TJKhDxahbMijAJVtNoEeZCLhMxPZ00wQyAzLQX3j7/QlHwliaIAcAGvX4ZxnKWzearWM03euaZLVQ2LZM0SObzmZgvVHcTnlDRSbA0cdxrRKPgLU3sm8ITPujhvQwjw3Zh9TrOLWJYFLylCbILywa9aWGniziZroLVbKba3SRWyRXNsiCcJ0U+j8UySdLTSRNsFzaTrhHDouAtTZBdWDbodW8SLaJoIYtgJld68TwPg7wQOrnCKA3DeLY6pdkE24XNnDcksSh4SxNkF5YN2vfVdZl9c1ENuWlzURR+XyEIEIzoBMKZANd+g2gf07U3Tya7C35AKpUIzIQOkzrDuKbSM4SgohOwXpSQ6fubNtL2L0ogaR5eAcM2/jPzrT4tr0nDouCtgCEb/2zQA1w1YRv/mWkPvDViWBS8pQmy8c8GPbw9mBzb+M/N9120vZsTioKvNMmRjX826OFt/OfYxn9uvr69JWJYFLylCbLxzwY9vI3/HNv4z0174O1lGoqCtzRBNv7ZoIfnNufYxn9ufmJcS8SwKHhLE2Tjnw16eNeu5NjGfy5cI4ZFwVuaIBv/bNDrB35Mi0U8V7VJpY6eeRIZzKIiD5ZFFkaL2SKTYnk6aYJt/OfSNWJYFLylCbLxzwY9vAsmc2zjPzftgbdGDIuCtzRBNv7ZoId3+XWOXX6dO+41olHwlib2TeEJH/TwbubIsV3Y3HlDEouCtzRBdmHZoId3a1iO7cLmzhuSWBS8pQmyC8sG7dttLuybi++oDxnp/b7TGyAY0QmEMwGu/QbRPqZrb55MdnvzgFQqEZgJHSZ1hnFNpWcIQUUnYHWbi/BiJ23fbSZprgsYdB/0iRSwAtv4L8x74C2vt8ai4KuAFcjGPxv08PqcAtv4L8x74G0Rg6LgLU2QjX826OGtmgps478w74G3RAyLgrc0QTb+2aCHtwdTYBv/+snDbhHDouAtTZCNfzbo4flDBbbxX0jniEFR8JYmyMY/G/Tw3OYC2/gvzHvgLRHDouAtTZCNfzbo4V3iVGAb/4V5D7wlYlgUvKUJsvHPBj28S5wKbOO/MO+Bt82/UBS8pQmy8c8GPbzragts478w74G3RAyLgrc0QTb+2aAHd9NqFkKXX6uPuUYMi4KnNFE89jThgx7cPT9ZCO3Cqo+5RgyLgrc0AXZh+aA924hZaN9cVENu3lwsmvR92ogIwYhOIJwJcO03iPYxXXvzZLL7VgekUonATOgwqTOMayo9QwgqOgGnjahUXeyk7dmINM3DK2DQxn8WmvfA94KBRsFbAQM2/vmgB7dqykJo4199zDViWBS8pQmw8c8HPbituiyENv7Vx1wjhkXBW5oAG/980IPbqstCaONffcw1YlgUvKUJsPHPBz04fygLoY1/9THXiGFR8JYmwMY/H/Tg3OYshDb+1cdcI4ZFwVuaABv/fNCDuxsxC6GNf/Ux14hhUfCWJsDGPx/04C5xyiJs4z8y74G3nVhQFHylSYRs/LNBD+6CySzCNv4j8x54S8SwKHhLE2Tjnw16cJdfZ1GMpYnjXiMaBW9pYt8UnvBBD+5mjizCdmEj5w1JLAre0gTZhWWDVv/5k5p8Da4mLS8v6O0YamGgTqTXZ94qcdZxG9EJhDMBrv0G0T6ma2+eRHa/6lgpM6GLTp1Fu6bMMyTsFZ2A1SaMxMVO2r5NSNKsZx4tfJMu91NOM3++t5x//9vvvXv8FPp/lc+ffE2xpY/UIVeHONSHWB+EPugfxPoHif5Bon+Q6B8k+geJ/oHQPxD6B0L/QOgfCP0DqX8g9Q+k/oHUP5D6B6n+Qap/kOofpGnXlC+NMcXvm4XChyezjlmlY1bpmFU6ZpWOWaVjVumYVTpmlY5ZpWNW6ZhVOmaVjlmlY1bpmFU6ZpWOWaVjVumYVTpmlY5ZpWNW6ZhVOmaVjlmlY1Z1xayix6x57kAxg08fHTJ9lqSP9DHXRxU1fYzro6iP9U/j+qdJ/dOk/mlS/zSpf5rUPxX1T0X9U1H/VNQ/FfVPZf1TWf9U1j+V9U9l/dO0/mla/zStf9oRTK2UEs0TaCZ21yhFdq9BNRkmryFR8fLaZNgJRnQC5ibDrn1M1y5dtNMrxK5Lt8NM6DC9NB92gopOwNt8pBc7aS3TFEWzFj2Ts3hayFWQFvqx2dPpIsjVwihYzhK5zPNZOI9OxweMMB8wMlliLcFAo+BtdYz4gGzQvi+yjez2lhpyk70lQ88FzE4wohMwFzC79jFde/Nkss+YB6RSicBM6DC9FDA7QUUn4C1g+cVOWksBo2geXgHDrOfI5MK2BAONgrcChljPbNC+C1hsd1TfUR8y0ked52wfBQwgGNEJeAsYoH1M1948mewz5gGpVCIwEzpMHwUMIKjoBKwFLA4vdtL2CxhJ8+AKWIxd7RCbjP+WYKBR8FXAYuRqBzZo7wXMbuKrITeZ+DKMO8/ZXgqYnWBEJ2AuYHbtY7r25slknzEPSKUSgZnQYXopYHaCik7AW8D0bY4baS0FjKJ5eAUMu8AmNl1r0hIMNAreChhygQ0btPcCZr/mQA25MNInnedsLwXMTjCiEzAXMLv2MV1782Syz5gHpFKJwEzoML0UMDtBRSfgLWD6ApyNtJYCRtGsRYcynocizwKZCH2ztr4fN00XgcxWMszCKInT/MXJFDDszlp9XrgEA42CtwKG3FnLBu29gNl9azXkqZFedJ6zvRQwO8GITsBcwOzax3TtzZPJPmMekEolAjOhw/RSwOwEFZ2At4Dpizg20loKGEXz8FZg2EUcsel6hpZgoFHwVsCQizjYoL0XMLtvrYbc7AHLznO2lwJmJxjRCZgLmF37mK69eTLZZ8wDUqlEYCZ0mF4KmJ2gohPwFjB9EUfcdREHSfPwChh2EUdcuAUDjYK3AoZcxMEG7buAJXbf+h31ISN92nnO9lHAAIIRnYC3gAHax3TtzZPJPmMekEolAjOhw/RRwACCik7AWsASfRFH0nURB0nz4ApYgl3EkZivZ9gLBhoFXwUsQS7iYIP2XsDsvrUacrMH7Pdmc4BgRCdgLmB27WO69ubJZJ8xD0ilEoGZ0GF6KWB2gopOwFvA9EUcSddFHCTNg/PAEuwijsR8PUPL68uxKHgrYMhFHGzQ3guY3bdWQy6M9F7f2Y4QjOgEzAXMrn1M1948mewz5gGpVCIwEzpMLwXMTlDRCXgLmL6IYyOtpYBRNA9vBYZdxJFIt2CgUfBWwJCLONigvRcwu2+thjw10vt9WxBAMKITMBcwu/YxXXvzZLLPmAekUonATOgwvRQwO0FFJ+AtYPoijo20lgJG0Ty8FRh2EUdivp6h7Y0oUBS8FTDkIg42aO8FzO5bqyE3esCR3ydxAAQjOgFzAbNrH9O1N08m+4x5QCqVCMyEDtNLAbMTVHQC3gKmL+JIui7iIGke3goMu4gjKdyCgUbBWwFDLuJgg/ZdwITdt35HfchI7/dJHADBiE7AW8AA7WO69ubJZJ8xD0ilEoGZ0GH6KGAAQUUnYC1gQl/EIbou4iBpHtwKTGAXcQjj9Qz7wUCj4KuACeQiDjZo7wXM7lurITd6wFHcec72UsDsBCM6AXMBs2sf07U3Tyb7jHlAKpUIzIQO00sBsxNUdALeAqYv4hBdF3GQNGvR02K+XE2XaTCdhmoWS7MsyPP5MlglaTxLijiWi8WLkylg2EUcwng9w34w0Ch4K2DIRRxs0N4LmN23VkMujPR+n8QBEIzoBMwFzK59TNfePJnsM+YBqVQiMBM6TC8FzE5Q0Ql4C5i+iGMjraWAUTQPbwWGXcQhpFsw0Ch4K2DIRRxs0N4LmN23VkOeGun9PokDIBjRCZgL2P+/mrP5bVOJovi/UnlV6XlRu4bI3VZKV32L0hc+qi4chyToYYgw6ZfU/733YidqMcy9PnQY4Y0jwsD5DXfmGM3RyNojXHt7MMkz5oBSCjQwMQ4zioHJBAlOYNfAOMRxlNZhYIjmya2BrXQhjpUxz3DaGdpecGZgmhCHNWjnBiavW9MjN68Bu92JQ0EQ4gSWDUzWHuHa24NJnjEHlFKggYlxmFEMTCZIcAK7BsYhjlVfiAPSPL03MF2IY7U+rzO0veDMwDQhDmvQrg3Mk9etr+gkI73bnTgUBCFOYNfAFNojXHt7MMkz5oBSCjQwMQ4zhoEpCBKcwKqBeRzi8PpCHJDmyRmYpwtxeOY8Q8emFLpecGVgnibEYQ3auYHJ69b0yM1rwG534lAQhDiBZQOTtUe49vZgkmfMAaUUaGBiHGYUA5MJEpzAroFxiMPrC3FAmqdnYLoQh2fOM+CbUnSNORH+L4w7TYjDGrRzA5PXremRr4z0bnfiUBCEOIFlA5O1R7j29mCSZ8wBpRRoYGIcZhQDkwkSnMCugXGI4yitw8AQzZNbA/N0IQ7PO68ztL3gzMA0IQ5r0M4NTF63pkfuG+nd7sShIAhxAssGJmuPcO3twSTPmANKKdDAxDjMKAYmEyQ4gV0D4xDHUVqHgSGap/cGpgtxeOY8A74pRdeYE+H/wrjThDisQTs3MHndmh65cQ146XYnDgVBiBNYNjBZe4Rrbw8mecYcUEqBBibGYUYxMJkgwQnsGhiHOLy+EAekeXoGpgtxeOvzOkPbC84MTBPisAbt2sB8ed36ik4y0rvdiUNBEOIEdg1MoT3CtbcHkzxjDiilQAMT4zBjGJiCIMEJrBqYzyEOvy/EAWmenIH5uhCHb8wznHaGthdcGZivCXFYg3ZuYPK6NT1y4xrwctk7ZkcxMJkgxAksG5isPcK1tweTPGMOKKVAAxPjMKMYmEyQ4AR2DYxDHH5fiAPSPLk1MF8X4vCNeYbTztD2gjMD04Q4rEE7NzB53Zoe+cpI73YnDgVBiBNYNjBZe4Rrbw8mecYcUEqBBibGYUYxMJkgwQnsGhiHOI7SOgwM0Ty9NzBdiMP3zusMbS84MzBNiMMatHMDk9et6ZH7Rnq3O3EoCEKcwLKBydojXHt7MMkz5oBSCjQwMQ4zioHJBAlOYNfAOMRxlNZhYIjm6RmYLsThG/MMp52h7QVnBqYJcViDps/nn82HLrFYtouh3R/7dFtnZWGhO4L/3r8kznVfB5iWgV/7+rULFYF+7mHZSZ/sBJfdnm1UstUTDqvmeaVbNv8H0d2UkOsKunjVV0FrI9LSbQX1yE5w2aNUUI/sprYA3Sx8vXZeQoueErowLeW99vWv7yqCs0uoW3aCyx6nhLplN8UF6G4moWPF8GT0yfjjRn4fQOqoi+eKQI04bveTupAXMkOcYHU2gV77B432CNfunaMdnnp6JhxU9BivW4puT3ACq69bF4t/nqV1zDuI5uff0T9n89+uOXszu1zQkT8udmgy/+0qT0f29fc83RP57LYsav7elnlZ8R+b6u6ar3a5vPTodz29r8yKzY5v8DHbpfsX/6ZfX3wod5uC7rbPftA/Fsv57LG4Sas8K/i8oqQvarbJs7uC65Ive19W2Q+61yanM/L0tqbmX9KqzrbNkS2dllZ07Gu1efiYfqM2dfWY0lWuCTGtGq3XZV2Xu8NffDBgiqcbzjsQXjUfevuYz26yzV1Z8L2Q1o1gqGWV3d2DTevyAWlILW+zvAHlb65POmFf5vT4uRZu3va25cLYVPXpCU+1wMXwuLtOq8uyojI7FBD/9ba84bu8S4u0ok6m8x6qsj74OJ+Vl9v/Uyq/p8MpazkMKjqYFfc0k9Us/hdeXrbb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</si>
  <si>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</si>
  <si>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</si>
  <si>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</si>
  <si>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</si>
  <si>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</si>
  <si>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</si>
  <si>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</si>
  <si>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</si>
  <si>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</si>
  <si>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</si>
  <si>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</si>
  <si>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</si>
  <si>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</si>
  <si>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</si>
  <si>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</si>
  <si>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</si>
  <si>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</si>
  <si>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</si>
  <si>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</si>
  <si>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</si>
  <si>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</si>
  <si>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</si>
  <si>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</si>
  <si>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</si>
  <si>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</si>
  <si>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</si>
  <si>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</si>
  <si>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</si>
  <si>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</si>
  <si>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</si>
  <si>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</si>
  <si>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</si>
  <si>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</si>
  <si>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</si>
  <si>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</si>
  <si>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</si>
  <si>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</si>
  <si>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</si>
  <si>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</si>
  <si>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</si>
  <si>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</si>
  <si>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</si>
  <si>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</si>
  <si>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</si>
  <si>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</si>
  <si>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</si>
  <si>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</si>
  <si>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</si>
  <si>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</si>
  <si>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</si>
  <si>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</si>
  <si>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</si>
  <si>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 xml:space="preserve">  ВЫПОЛНЕНИЕ КС2</t>
  </si>
  <si>
    <t>Осталось 
закрыть</t>
  </si>
  <si>
    <t>С начала договора КС2.</t>
  </si>
  <si>
    <t>КС2 № 1</t>
  </si>
  <si>
    <t>СУММА</t>
  </si>
  <si>
    <t>СУММА ВЫПОЛНЕНИЯ С НАЧАЛА КОНТРАКТА</t>
  </si>
  <si>
    <t>с начала периода</t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</si>
  <si>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2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(начало)</t>
    </r>
  </si>
  <si>
    <r>
      <rPr>
        <i/>
        <sz val="15.5"/>
        <rFont val="ISOCPEUR"/>
        <family val="2"/>
      </rPr>
      <t>Номер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помещени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я</t>
    </r>
  </si>
  <si>
    <r>
      <rPr>
        <i/>
        <sz val="15.5"/>
        <rFont val="ISOCPEUR"/>
        <family val="2"/>
      </rPr>
      <t>Наименование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помещения</t>
    </r>
  </si>
  <si>
    <r>
      <rPr>
        <i/>
        <sz val="15.5"/>
        <rFont val="ISOCPEUR"/>
        <family val="2"/>
      </rPr>
      <t>ЧЕРНОВАЯ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СТЕН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ИЛИ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ПЕРЕГОРОДОК</t>
    </r>
  </si>
  <si>
    <r>
      <rPr>
        <i/>
        <sz val="15.5"/>
        <rFont val="ISOCPEUR"/>
        <family val="2"/>
      </rPr>
      <t>Железобетон</t>
    </r>
  </si>
  <si>
    <r>
      <rPr>
        <i/>
        <sz val="15.5"/>
        <rFont val="ISOCPEUR"/>
        <family val="2"/>
      </rPr>
      <t>Кирпич</t>
    </r>
  </si>
  <si>
    <r>
      <rPr>
        <i/>
        <sz val="15.5"/>
        <rFont val="ISOCPEUR"/>
        <family val="2"/>
      </rPr>
      <t>Газобетон</t>
    </r>
  </si>
  <si>
    <r>
      <rPr>
        <i/>
        <sz val="15.5"/>
        <rFont val="ISOCPEUR"/>
        <family val="2"/>
      </rPr>
      <t>ГСП</t>
    </r>
  </si>
  <si>
    <r>
      <rPr>
        <i/>
        <sz val="15.5"/>
        <rFont val="ISOCPEUR"/>
        <family val="2"/>
      </rPr>
      <t>ПГП</t>
    </r>
  </si>
  <si>
    <r>
      <rPr>
        <i/>
        <sz val="15.5"/>
        <rFont val="ISOCPEUR"/>
        <family val="2"/>
      </rPr>
      <t>Утеплитель</t>
    </r>
  </si>
  <si>
    <r>
      <rPr>
        <i/>
        <sz val="15.5"/>
        <rFont val="ISOCPEUR"/>
        <family val="2"/>
      </rPr>
      <t>Финишный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слой</t>
    </r>
  </si>
  <si>
    <r>
      <rPr>
        <i/>
        <sz val="15.5"/>
        <rFont val="ISOCPEUR"/>
        <family val="2"/>
      </rPr>
      <t>Вид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</si>
  <si>
    <r>
      <rPr>
        <i/>
        <sz val="15.5"/>
        <rFont val="ISOCPEUR"/>
        <family val="2"/>
      </rPr>
      <t>Площадь,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м²</t>
    </r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</si>
  <si>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</si>
  <si>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</si>
  <si>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</si>
  <si>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</si>
  <si>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</si>
  <si>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</si>
  <si>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</si>
  <si>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</si>
  <si>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</si>
  <si>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</si>
  <si>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</si>
  <si>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Столбец13</t>
  </si>
  <si>
    <t>Столбец14</t>
  </si>
  <si>
    <t>Столбец15</t>
  </si>
  <si>
    <t>Столбец16</t>
  </si>
  <si>
    <t>Столбец17</t>
  </si>
  <si>
    <r>
      <rPr>
        <i/>
        <sz val="11"/>
        <rFont val="ISOCPEUR"/>
        <family val="2"/>
      </rPr>
      <t>Универсальное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внеурочное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время,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продленного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дня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</si>
  <si>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</si>
  <si>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</si>
  <si>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</si>
  <si>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</si>
  <si>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начальных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коридором)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</si>
  <si>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рабочим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пространством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</si>
  <si>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</si>
  <si>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Административный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</si>
  <si>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Верхние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ряды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актового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</si>
  <si>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Технический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центр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</si>
  <si>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клетка</t>
    </r>
  </si>
  <si>
    <r>
      <rPr>
        <i/>
        <sz val="11"/>
        <rFont val="ISOCPEUR"/>
        <family val="2"/>
      </rPr>
      <t>Лифтовый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</si>
  <si>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</si>
  <si>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</si>
  <si>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</si>
  <si>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уборочного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</si>
  <si>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(2-4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</si>
  <si>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</si>
  <si>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детей)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</si>
  <si>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личной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гигиены</t>
    </r>
  </si>
  <si>
    <r>
      <rPr>
        <i/>
        <sz val="11"/>
        <rFont val="ISOCPEUR"/>
        <family val="2"/>
      </rPr>
      <t>Многофункциональный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информационный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библиотечный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центр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групповых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медиатеки,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закрытый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фонд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выдачи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книг</t>
    </r>
  </si>
  <si>
    <r>
      <rPr>
        <i/>
        <sz val="11"/>
        <rFont val="ISOCPEUR"/>
        <family val="2"/>
      </rPr>
      <t>Раздевальная</t>
    </r>
  </si>
  <si>
    <r>
      <rPr>
        <i/>
        <sz val="11"/>
        <rFont val="ISOCPEUR"/>
        <family val="2"/>
      </rPr>
      <t>Душевая</t>
    </r>
  </si>
  <si>
    <r>
      <rPr>
        <i/>
        <sz val="11"/>
        <rFont val="ISOCPEUR"/>
        <family val="2"/>
      </rPr>
      <t>Туалет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</si>
  <si>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инструктора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</si>
  <si>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</si>
  <si>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Инвентарная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(снарядная)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</si>
  <si>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иностранного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языка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</si>
  <si>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>Универсальный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трансформируемый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спортивный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18x30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разделительным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занавесом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электрическом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приводе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</si>
  <si>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музыки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</si>
  <si>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универсального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назначения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5-9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</si>
  <si>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коридором</t>
    </r>
  </si>
  <si>
    <r>
      <rPr>
        <i/>
        <sz val="11"/>
        <rFont val="ISOCPEUR"/>
        <family val="2"/>
      </rPr>
      <t>Специализированный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экология+география+ОБЖ)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зонами</t>
    </r>
  </si>
  <si>
    <r>
      <rPr>
        <i/>
        <sz val="11"/>
        <rFont val="ISOCPEUR"/>
        <family val="2"/>
      </rPr>
      <t>Коридор</t>
    </r>
  </si>
  <si>
    <r>
      <rPr>
        <i/>
        <sz val="11"/>
        <rFont val="ISOCPEUR"/>
        <family val="2"/>
      </rPr>
      <t>Лаборантская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АВ)</t>
    </r>
  </si>
  <si>
    <r>
      <rPr>
        <i/>
        <sz val="11"/>
        <rFont val="ISOCPEUR"/>
        <family val="2"/>
      </rPr>
      <t xml:space="preserve">Инженерный
</t>
    </r>
    <r>
      <rPr>
        <i/>
        <sz val="11"/>
        <rFont val="ISOCPEUR"/>
        <family val="2"/>
      </rPr>
      <t>лабороторно-исследовательский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</si>
  <si>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Лаборантская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</si>
  <si>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мальчиков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средней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</si>
  <si>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средней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</si>
  <si>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Верхние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ряды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многофункционального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пространства</t>
    </r>
  </si>
  <si>
    <r>
      <rPr>
        <i/>
        <sz val="11"/>
        <rFont val="ISOCPEUR"/>
        <family val="2"/>
      </rPr>
      <t xml:space="preserve">Академический
</t>
    </r>
    <r>
      <rPr>
        <i/>
        <sz val="11"/>
        <rFont val="ISOCPEUR"/>
        <family val="2"/>
      </rPr>
      <t>лабораторно-исследовательский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</si>
  <si>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Лекционная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аудитория</t>
    </r>
  </si>
  <si>
    <r>
      <rPr>
        <i/>
        <sz val="11"/>
        <rFont val="ISOCPEUR"/>
        <family val="2"/>
      </rPr>
      <t>Книгохранилище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</si>
  <si>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личной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гигиены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</si>
  <si>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</si>
  <si>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Шахматный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кружок</t>
    </r>
  </si>
  <si>
    <r>
      <rPr>
        <i/>
        <sz val="11"/>
        <rFont val="ISOCPEUR"/>
        <family val="2"/>
      </rPr>
      <t>Лабораторно-исследовательский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</si>
  <si>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(биология)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фронтальной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формой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обучения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</si>
  <si>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универсального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назначения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(10-11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</si>
  <si>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Специализированный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физика+химия+биология)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</si>
  <si>
    <r>
      <rPr>
        <i/>
        <sz val="11"/>
        <rFont val="ISOCPEUR"/>
        <family val="2"/>
      </rPr>
      <t>Лаборантская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</si>
  <si>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информатики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</si>
  <si>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 xml:space="preserve">Медицинский
</t>
    </r>
    <r>
      <rPr>
        <i/>
        <sz val="11"/>
        <rFont val="ISOCPEUR"/>
        <family val="2"/>
      </rPr>
      <t>лабороторно-исследовательский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</si>
  <si>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IT-полигон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</si>
  <si>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Мастерская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акварельной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живописи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рисунка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кладовой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</si>
  <si>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старшей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</si>
  <si>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(физика)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фронтальной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формой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обучения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</si>
  <si>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обработки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материалов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</si>
  <si>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установки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технологического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оборудования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</si>
  <si>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оборудования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расходных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материалов</t>
    </r>
  </si>
  <si>
    <r>
      <rPr>
        <i/>
        <sz val="11"/>
        <rFont val="ISOCPEUR"/>
        <family val="2"/>
      </rPr>
      <t>Кладовая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</si>
</sst>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"/>
  </numFmts>
  <fonts count="69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4"/>
      <color rgb="FFFF0000"/>
      <name val="Times New Roman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theme="0" tint="-0.14999847407452621"/>
      <name val="Times New Roman"/>
      <family val="1"/>
      <charset val="204"/>
    </font>
    <font>
      <i/>
      <sz val="14"/>
      <color theme="0" tint="-0.14999847407452621"/>
      <name val="Times New Roman"/>
      <family val="1"/>
      <charset val="204"/>
    </font>
    <font>
      <sz val="14"/>
      <color theme="0" tint="-0.1499984740745262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i/>
      <sz val="14"/>
      <color theme="0" tint="-0.34998626667073579"/>
      <name val="Times New Roman"/>
      <family val="1"/>
      <charset val="204"/>
    </font>
    <font>
      <sz val="14"/>
      <color theme="0" tint="-0.34998626667073579"/>
      <name val="Times New Roman"/>
      <family val="1"/>
      <charset val="204"/>
    </font>
    <font>
      <b/>
      <sz val="12"/>
      <color theme="0" tint="-0.34998626667073579"/>
      <name val="Times New Roman"/>
      <family val="1"/>
      <charset val="204"/>
    </font>
    <font>
      <b/>
      <sz val="14"/>
      <color theme="0" tint="-0.34998626667073579"/>
      <name val="Times New Roman"/>
      <family val="1"/>
      <charset val="204"/>
    </font>
    <font>
      <sz val="11"/>
      <color theme="0" tint="-0.34998626667073579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0" tint="-0.14999847407452621"/>
      <name val="Calibri"/>
      <family val="2"/>
      <charset val="204"/>
    </font>
    <font>
      <b/>
      <sz val="14"/>
      <color theme="0" tint="-0.14999847407452621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sz val="11"/>
      <color theme="0" tint="-0.249977111117893"/>
      <name val="Calibri"/>
      <family val="2"/>
      <charset val="204"/>
    </font>
    <font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8"/>
      <color rgb="FFFF0000"/>
      <name val="Calibri"/>
      <family val="2"/>
      <charset val="204"/>
    </font>
    <font>
      <sz val="16"/>
      <color rgb="FF000000"/>
      <name val="Calibri"/>
      <family val="2"/>
      <charset val="204"/>
    </font>
    <font>
      <sz val="16"/>
      <color theme="0" tint="-0.34998626667073579"/>
      <name val="Times New Roman"/>
      <family val="1"/>
      <charset val="204"/>
    </font>
    <font>
      <sz val="16"/>
      <color theme="0" tint="-0.34998626667073579"/>
      <name val="Calibri"/>
      <family val="2"/>
      <charset val="204"/>
    </font>
    <font>
      <b/>
      <sz val="18"/>
      <color rgb="FF002060"/>
      <name val="Times New Roman"/>
      <family val="1"/>
      <charset val="204"/>
    </font>
    <font>
      <b/>
      <sz val="16"/>
      <color rgb="FFFF0000"/>
      <name val="Calibri"/>
      <family val="2"/>
      <charset val="204"/>
    </font>
    <font>
      <b/>
      <sz val="16"/>
      <name val="Times New Roman"/>
      <family val="1"/>
      <charset val="204"/>
    </font>
    <font>
      <b/>
      <sz val="16"/>
      <color rgb="FF00206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8"/>
      <color rgb="FF000000"/>
      <name val="Calibri"/>
      <family val="2"/>
      <charset val="204"/>
    </font>
    <font>
      <sz val="18"/>
      <color rgb="FF000000"/>
      <name val="Times New Roman"/>
      <family val="1"/>
      <charset val="204"/>
    </font>
    <font>
      <sz val="18"/>
      <color theme="0" tint="-0.34998626667073579"/>
      <name val="Times New Roman"/>
      <family val="1"/>
      <charset val="204"/>
    </font>
    <font>
      <sz val="18"/>
      <color theme="0" tint="-0.14999847407452621"/>
      <name val="Times New Roman"/>
      <family val="1"/>
      <charset val="204"/>
    </font>
    <font>
      <sz val="18"/>
      <color theme="0" tint="-0.249977111117893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5.5"/>
      <name val="ISOCPEUR"/>
      <family val="2"/>
    </font>
    <font>
      <sz val="15.5"/>
      <name val="Times New Roman"/>
      <family val="1"/>
    </font>
    <font>
      <i/>
      <sz val="15.5"/>
      <name val="ISOCPEUR"/>
      <family val="2"/>
      <charset val="204"/>
    </font>
    <font>
      <i/>
      <sz val="11"/>
      <color rgb="FF000000"/>
      <name val="ISOCPEUR"/>
      <family val="2"/>
    </font>
    <font>
      <i/>
      <sz val="11"/>
      <name val="ISOCPEUR"/>
      <family val="2"/>
      <charset val="204"/>
    </font>
    <font>
      <i/>
      <sz val="11"/>
      <name val="ISOCPEUR"/>
      <family val="2"/>
    </font>
    <font>
      <sz val="1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61" fillId="0" borderId="0"/>
  </cellStyleXfs>
  <cellXfs count="47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7" xfId="0" applyFont="1" applyFill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0" borderId="7" xfId="0" applyFont="1" applyBorder="1" applyAlignment="1">
      <alignment horizontal="right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64" fontId="11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2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3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1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2" fillId="7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164" fontId="14" fillId="6" borderId="7" xfId="0" applyNumberFormat="1" applyFont="1" applyFill="1" applyBorder="1" applyAlignment="1">
      <alignment horizontal="center" vertical="center"/>
    </xf>
    <xf numFmtId="4" fontId="7" fillId="6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2" fillId="3" borderId="7" xfId="0" applyFont="1" applyFill="1" applyBorder="1" applyAlignment="1">
      <alignment horizontal="right" vertical="center"/>
    </xf>
    <xf numFmtId="4" fontId="12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15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left" vertical="center"/>
    </xf>
    <xf numFmtId="0" fontId="21" fillId="9" borderId="7" xfId="0" applyFont="1" applyFill="1" applyBorder="1" applyAlignment="1">
      <alignment horizontal="left" vertical="center"/>
    </xf>
    <xf numFmtId="0" fontId="22" fillId="10" borderId="7" xfId="0" applyFont="1" applyFill="1" applyBorder="1" applyAlignment="1">
      <alignment horizontal="right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/>
    </xf>
    <xf numFmtId="164" fontId="23" fillId="9" borderId="7" xfId="0" applyNumberFormat="1" applyFont="1" applyFill="1" applyBorder="1" applyAlignment="1">
      <alignment horizontal="center" vertical="center"/>
    </xf>
    <xf numFmtId="4" fontId="23" fillId="10" borderId="7" xfId="0" applyNumberFormat="1" applyFont="1" applyFill="1" applyBorder="1" applyAlignment="1">
      <alignment horizontal="center" vertical="center"/>
    </xf>
    <xf numFmtId="0" fontId="22" fillId="9" borderId="7" xfId="0" applyFont="1" applyFill="1" applyBorder="1" applyAlignment="1">
      <alignment horizontal="right" vertical="center" wrapText="1"/>
    </xf>
    <xf numFmtId="0" fontId="24" fillId="0" borderId="7" xfId="0" applyFont="1" applyBorder="1" applyAlignment="1">
      <alignment horizontal="left" vertical="center"/>
    </xf>
    <xf numFmtId="0" fontId="25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164" fontId="25" fillId="0" borderId="7" xfId="0" applyNumberFormat="1" applyFont="1" applyBorder="1" applyAlignment="1">
      <alignment horizontal="center" vertical="center"/>
    </xf>
    <xf numFmtId="4" fontId="23" fillId="3" borderId="7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right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164" fontId="23" fillId="0" borderId="7" xfId="0" applyNumberFormat="1" applyFont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 wrapText="1"/>
    </xf>
    <xf numFmtId="0" fontId="23" fillId="0" borderId="7" xfId="0" applyFont="1" applyBorder="1" applyAlignment="1">
      <alignment horizontal="left" vertical="center" wrapText="1"/>
    </xf>
    <xf numFmtId="164" fontId="23" fillId="0" borderId="7" xfId="0" applyNumberFormat="1" applyFont="1" applyBorder="1" applyAlignment="1">
      <alignment horizontal="center" vertical="center" wrapText="1"/>
    </xf>
    <xf numFmtId="4" fontId="23" fillId="0" borderId="7" xfId="0" applyNumberFormat="1" applyFont="1" applyBorder="1" applyAlignment="1">
      <alignment horizontal="center" vertical="center" wrapText="1"/>
    </xf>
    <xf numFmtId="4" fontId="23" fillId="3" borderId="7" xfId="0" applyNumberFormat="1" applyFont="1" applyFill="1" applyBorder="1" applyAlignment="1">
      <alignment horizontal="center" vertical="center" wrapText="1"/>
    </xf>
    <xf numFmtId="0" fontId="26" fillId="0" borderId="0" xfId="0" applyFont="1"/>
    <xf numFmtId="4" fontId="23" fillId="0" borderId="7" xfId="0" applyNumberFormat="1" applyFont="1" applyBorder="1" applyAlignment="1">
      <alignment horizontal="center" vertical="center"/>
    </xf>
    <xf numFmtId="0" fontId="27" fillId="9" borderId="7" xfId="0" applyFont="1" applyFill="1" applyBorder="1" applyAlignment="1">
      <alignment horizontal="left" vertical="center"/>
    </xf>
    <xf numFmtId="0" fontId="28" fillId="9" borderId="7" xfId="0" applyFont="1" applyFill="1" applyBorder="1" applyAlignment="1">
      <alignment horizontal="left" vertical="center" wrapText="1"/>
    </xf>
    <xf numFmtId="0" fontId="28" fillId="9" borderId="7" xfId="0" applyFont="1" applyFill="1" applyBorder="1" applyAlignment="1">
      <alignment horizontal="center" vertical="center" wrapText="1"/>
    </xf>
    <xf numFmtId="164" fontId="28" fillId="9" borderId="7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righ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164" fontId="19" fillId="0" borderId="7" xfId="0" applyNumberFormat="1" applyFont="1" applyBorder="1" applyAlignment="1">
      <alignment horizontal="center" vertical="center"/>
    </xf>
    <xf numFmtId="4" fontId="19" fillId="3" borderId="7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164" fontId="19" fillId="0" borderId="7" xfId="0" applyNumberFormat="1" applyFont="1" applyBorder="1" applyAlignment="1">
      <alignment horizontal="center" vertical="center" wrapText="1"/>
    </xf>
    <xf numFmtId="4" fontId="19" fillId="0" borderId="7" xfId="0" applyNumberFormat="1" applyFont="1" applyBorder="1" applyAlignment="1">
      <alignment horizontal="center" vertical="center" wrapText="1"/>
    </xf>
    <xf numFmtId="4" fontId="19" fillId="3" borderId="7" xfId="0" applyNumberFormat="1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right" vertical="center" wrapText="1"/>
    </xf>
    <xf numFmtId="0" fontId="29" fillId="0" borderId="0" xfId="0" applyFont="1"/>
    <xf numFmtId="4" fontId="19" fillId="0" borderId="7" xfId="0" applyNumberFormat="1" applyFont="1" applyBorder="1" applyAlignment="1">
      <alignment horizontal="center" vertical="center"/>
    </xf>
    <xf numFmtId="164" fontId="30" fillId="0" borderId="7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/>
    </xf>
    <xf numFmtId="0" fontId="32" fillId="0" borderId="7" xfId="0" applyFont="1" applyBorder="1" applyAlignment="1">
      <alignment horizontal="right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/>
    </xf>
    <xf numFmtId="164" fontId="34" fillId="0" borderId="7" xfId="0" applyNumberFormat="1" applyFont="1" applyBorder="1" applyAlignment="1">
      <alignment horizontal="center" vertical="center"/>
    </xf>
    <xf numFmtId="164" fontId="33" fillId="0" borderId="7" xfId="0" applyNumberFormat="1" applyFont="1" applyBorder="1" applyAlignment="1">
      <alignment horizontal="center" vertical="center"/>
    </xf>
    <xf numFmtId="4" fontId="33" fillId="3" borderId="7" xfId="0" applyNumberFormat="1" applyFont="1" applyFill="1" applyBorder="1" applyAlignment="1">
      <alignment horizontal="center" vertical="center"/>
    </xf>
    <xf numFmtId="0" fontId="35" fillId="0" borderId="0" xfId="0" applyFont="1"/>
    <xf numFmtId="4" fontId="33" fillId="0" borderId="7" xfId="0" applyNumberFormat="1" applyFont="1" applyBorder="1" applyAlignment="1">
      <alignment horizontal="center" vertical="center"/>
    </xf>
    <xf numFmtId="0" fontId="32" fillId="5" borderId="7" xfId="0" applyFont="1" applyFill="1" applyBorder="1" applyAlignment="1">
      <alignment horizontal="right" vertical="center" wrapText="1"/>
    </xf>
    <xf numFmtId="0" fontId="33" fillId="0" borderId="7" xfId="0" applyFont="1" applyBorder="1" applyAlignment="1">
      <alignment horizontal="left" vertical="center" wrapText="1"/>
    </xf>
    <xf numFmtId="164" fontId="33" fillId="0" borderId="7" xfId="0" applyNumberFormat="1" applyFont="1" applyBorder="1" applyAlignment="1">
      <alignment horizontal="center" vertical="center" wrapText="1"/>
    </xf>
    <xf numFmtId="4" fontId="33" fillId="0" borderId="7" xfId="0" applyNumberFormat="1" applyFont="1" applyBorder="1" applyAlignment="1">
      <alignment horizontal="center" vertical="center" wrapText="1"/>
    </xf>
    <xf numFmtId="4" fontId="33" fillId="3" borderId="7" xfId="0" applyNumberFormat="1" applyFont="1" applyFill="1" applyBorder="1" applyAlignment="1">
      <alignment horizontal="center" vertical="center" wrapText="1"/>
    </xf>
    <xf numFmtId="4" fontId="16" fillId="0" borderId="7" xfId="0" applyNumberFormat="1" applyFont="1" applyBorder="1" applyAlignment="1">
      <alignment horizontal="center" vertical="center" wrapText="1"/>
    </xf>
    <xf numFmtId="4" fontId="36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right" vertical="center" wrapText="1"/>
    </xf>
    <xf numFmtId="164" fontId="25" fillId="9" borderId="7" xfId="0" applyNumberFormat="1" applyFont="1" applyFill="1" applyBorder="1" applyAlignment="1">
      <alignment horizontal="center" vertical="center"/>
    </xf>
    <xf numFmtId="0" fontId="26" fillId="9" borderId="0" xfId="0" applyFont="1" applyFill="1"/>
    <xf numFmtId="0" fontId="23" fillId="10" borderId="7" xfId="0" applyFont="1" applyFill="1" applyBorder="1" applyAlignment="1">
      <alignment horizontal="right" vertical="center" wrapText="1"/>
    </xf>
    <xf numFmtId="0" fontId="23" fillId="9" borderId="7" xfId="0" applyFont="1" applyFill="1" applyBorder="1" applyAlignment="1">
      <alignment horizontal="right" vertical="center" wrapText="1"/>
    </xf>
    <xf numFmtId="0" fontId="23" fillId="9" borderId="7" xfId="0" applyFont="1" applyFill="1" applyBorder="1" applyAlignment="1">
      <alignment horizontal="left" vertical="center" wrapText="1"/>
    </xf>
    <xf numFmtId="164" fontId="23" fillId="9" borderId="7" xfId="0" applyNumberFormat="1" applyFont="1" applyFill="1" applyBorder="1" applyAlignment="1">
      <alignment horizontal="center" vertical="center" wrapText="1"/>
    </xf>
    <xf numFmtId="4" fontId="23" fillId="9" borderId="7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left" vertical="center"/>
    </xf>
    <xf numFmtId="0" fontId="19" fillId="9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center" vertical="center" wrapText="1"/>
    </xf>
    <xf numFmtId="164" fontId="19" fillId="9" borderId="7" xfId="0" applyNumberFormat="1" applyFont="1" applyFill="1" applyBorder="1" applyAlignment="1">
      <alignment horizontal="center" vertical="center" wrapText="1"/>
    </xf>
    <xf numFmtId="4" fontId="19" fillId="9" borderId="7" xfId="0" applyNumberFormat="1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right" vertical="center" wrapText="1"/>
    </xf>
    <xf numFmtId="0" fontId="19" fillId="9" borderId="7" xfId="0" applyFont="1" applyFill="1" applyBorder="1" applyAlignment="1">
      <alignment horizontal="center" vertical="center"/>
    </xf>
    <xf numFmtId="164" fontId="19" fillId="9" borderId="7" xfId="0" applyNumberFormat="1" applyFont="1" applyFill="1" applyBorder="1" applyAlignment="1">
      <alignment horizontal="center" vertical="center"/>
    </xf>
    <xf numFmtId="4" fontId="19" fillId="10" borderId="7" xfId="0" applyNumberFormat="1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right" vertical="center" wrapText="1"/>
    </xf>
    <xf numFmtId="0" fontId="16" fillId="0" borderId="7" xfId="0" applyFont="1" applyBorder="1" applyAlignment="1">
      <alignment horizontal="left" vertical="center"/>
    </xf>
    <xf numFmtId="0" fontId="28" fillId="9" borderId="7" xfId="0" applyFont="1" applyFill="1" applyBorder="1" applyAlignment="1">
      <alignment horizontal="left" vertical="center"/>
    </xf>
    <xf numFmtId="0" fontId="37" fillId="0" borderId="7" xfId="0" applyFont="1" applyBorder="1" applyAlignment="1">
      <alignment horizontal="left" vertical="center"/>
    </xf>
    <xf numFmtId="0" fontId="37" fillId="0" borderId="7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center" vertical="center" wrapText="1"/>
    </xf>
    <xf numFmtId="164" fontId="37" fillId="0" borderId="7" xfId="0" applyNumberFormat="1" applyFont="1" applyBorder="1" applyAlignment="1">
      <alignment horizontal="center" vertical="center" wrapText="1"/>
    </xf>
    <xf numFmtId="0" fontId="38" fillId="5" borderId="7" xfId="0" applyFont="1" applyFill="1" applyBorder="1" applyAlignment="1">
      <alignment horizontal="right" vertical="center" wrapText="1"/>
    </xf>
    <xf numFmtId="0" fontId="39" fillId="5" borderId="7" xfId="0" applyFont="1" applyFill="1" applyBorder="1" applyAlignment="1">
      <alignment horizontal="right" vertical="center" wrapText="1"/>
    </xf>
    <xf numFmtId="0" fontId="32" fillId="9" borderId="7" xfId="0" applyFont="1" applyFill="1" applyBorder="1" applyAlignment="1">
      <alignment horizontal="right" vertical="center" wrapText="1"/>
    </xf>
    <xf numFmtId="0" fontId="32" fillId="10" borderId="7" xfId="0" applyFont="1" applyFill="1" applyBorder="1" applyAlignment="1">
      <alignment horizontal="right" vertical="center" wrapText="1"/>
    </xf>
    <xf numFmtId="0" fontId="31" fillId="9" borderId="7" xfId="0" applyFont="1" applyFill="1" applyBorder="1" applyAlignment="1">
      <alignment horizontal="left" vertical="center"/>
    </xf>
    <xf numFmtId="0" fontId="33" fillId="9" borderId="7" xfId="0" applyFont="1" applyFill="1" applyBorder="1" applyAlignment="1">
      <alignment horizontal="center" vertical="center" wrapText="1"/>
    </xf>
    <xf numFmtId="0" fontId="40" fillId="11" borderId="7" xfId="0" applyFont="1" applyFill="1" applyBorder="1" applyAlignment="1">
      <alignment horizontal="left" vertical="center"/>
    </xf>
    <xf numFmtId="0" fontId="28" fillId="0" borderId="7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center" vertical="center" wrapText="1"/>
    </xf>
    <xf numFmtId="164" fontId="28" fillId="0" borderId="7" xfId="0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164" fontId="16" fillId="0" borderId="1" xfId="0" applyNumberFormat="1" applyFont="1" applyBorder="1" applyAlignment="1">
      <alignment horizontal="center" vertical="center" wrapText="1"/>
    </xf>
    <xf numFmtId="164" fontId="23" fillId="9" borderId="1" xfId="0" applyNumberFormat="1" applyFont="1" applyFill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4" fontId="23" fillId="0" borderId="3" xfId="0" applyNumberFormat="1" applyFont="1" applyBorder="1" applyAlignment="1">
      <alignment horizontal="center" vertical="center" wrapText="1"/>
    </xf>
    <xf numFmtId="0" fontId="40" fillId="11" borderId="1" xfId="0" applyFont="1" applyFill="1" applyBorder="1" applyAlignment="1">
      <alignment vertical="center"/>
    </xf>
    <xf numFmtId="0" fontId="40" fillId="11" borderId="2" xfId="0" applyFont="1" applyFill="1" applyBorder="1" applyAlignment="1">
      <alignment vertical="center"/>
    </xf>
    <xf numFmtId="164" fontId="28" fillId="9" borderId="1" xfId="0" applyNumberFormat="1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/>
    </xf>
    <xf numFmtId="164" fontId="33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25" fillId="9" borderId="1" xfId="0" applyNumberFormat="1" applyFont="1" applyFill="1" applyBorder="1" applyAlignment="1">
      <alignment horizontal="center" vertical="center"/>
    </xf>
    <xf numFmtId="164" fontId="23" fillId="9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center" vertical="center"/>
    </xf>
    <xf numFmtId="164" fontId="37" fillId="0" borderId="1" xfId="0" applyNumberFormat="1" applyFont="1" applyBorder="1" applyAlignment="1">
      <alignment horizontal="center" vertical="center" wrapText="1"/>
    </xf>
    <xf numFmtId="4" fontId="23" fillId="9" borderId="3" xfId="0" applyNumberFormat="1" applyFont="1" applyFill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48" fillId="4" borderId="2" xfId="0" applyFont="1" applyFill="1" applyBorder="1"/>
    <xf numFmtId="4" fontId="41" fillId="3" borderId="7" xfId="0" applyNumberFormat="1" applyFont="1" applyFill="1" applyBorder="1" applyAlignment="1">
      <alignment horizontal="center" vertical="center" wrapText="1"/>
    </xf>
    <xf numFmtId="4" fontId="49" fillId="3" borderId="7" xfId="0" applyNumberFormat="1" applyFont="1" applyFill="1" applyBorder="1" applyAlignment="1">
      <alignment horizontal="center" vertical="center" wrapText="1"/>
    </xf>
    <xf numFmtId="4" fontId="7" fillId="4" borderId="3" xfId="0" applyNumberFormat="1" applyFont="1" applyFill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4" fontId="23" fillId="0" borderId="3" xfId="0" applyNumberFormat="1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 wrapText="1"/>
    </xf>
    <xf numFmtId="0" fontId="48" fillId="4" borderId="20" xfId="0" applyFont="1" applyFill="1" applyBorder="1"/>
    <xf numFmtId="0" fontId="48" fillId="0" borderId="25" xfId="0" applyFont="1" applyBorder="1"/>
    <xf numFmtId="0" fontId="48" fillId="0" borderId="0" xfId="0" applyFont="1"/>
    <xf numFmtId="4" fontId="41" fillId="0" borderId="22" xfId="0" applyNumberFormat="1" applyFont="1" applyBorder="1" applyAlignment="1">
      <alignment horizontal="center" vertical="center" wrapText="1"/>
    </xf>
    <xf numFmtId="4" fontId="41" fillId="3" borderId="22" xfId="0" applyNumberFormat="1" applyFont="1" applyFill="1" applyBorder="1" applyAlignment="1">
      <alignment horizontal="center" vertical="center"/>
    </xf>
    <xf numFmtId="4" fontId="49" fillId="0" borderId="22" xfId="0" applyNumberFormat="1" applyFont="1" applyBorder="1" applyAlignment="1">
      <alignment horizontal="center" vertical="center" wrapText="1"/>
    </xf>
    <xf numFmtId="4" fontId="49" fillId="3" borderId="22" xfId="0" applyNumberFormat="1" applyFont="1" applyFill="1" applyBorder="1" applyAlignment="1">
      <alignment horizontal="center" vertical="center"/>
    </xf>
    <xf numFmtId="0" fontId="50" fillId="0" borderId="0" xfId="0" applyFont="1"/>
    <xf numFmtId="4" fontId="7" fillId="10" borderId="1" xfId="0" applyNumberFormat="1" applyFont="1" applyFill="1" applyBorder="1" applyAlignment="1">
      <alignment horizontal="center" vertical="center"/>
    </xf>
    <xf numFmtId="0" fontId="0" fillId="9" borderId="0" xfId="0" applyFill="1"/>
    <xf numFmtId="4" fontId="7" fillId="9" borderId="1" xfId="0" applyNumberFormat="1" applyFont="1" applyFill="1" applyBorder="1" applyAlignment="1">
      <alignment horizontal="center" vertical="center"/>
    </xf>
    <xf numFmtId="4" fontId="9" fillId="9" borderId="3" xfId="0" applyNumberFormat="1" applyFont="1" applyFill="1" applyBorder="1" applyAlignment="1">
      <alignment horizontal="center" vertical="center" wrapText="1"/>
    </xf>
    <xf numFmtId="4" fontId="9" fillId="9" borderId="1" xfId="0" applyNumberFormat="1" applyFont="1" applyFill="1" applyBorder="1" applyAlignment="1">
      <alignment horizontal="center" vertical="center" wrapText="1"/>
    </xf>
    <xf numFmtId="4" fontId="23" fillId="9" borderId="1" xfId="0" applyNumberFormat="1" applyFont="1" applyFill="1" applyBorder="1" applyAlignment="1">
      <alignment horizontal="center" vertical="center" wrapText="1"/>
    </xf>
    <xf numFmtId="0" fontId="43" fillId="12" borderId="20" xfId="0" applyFont="1" applyFill="1" applyBorder="1" applyAlignment="1">
      <alignment vertical="center"/>
    </xf>
    <xf numFmtId="4" fontId="7" fillId="9" borderId="3" xfId="0" applyNumberFormat="1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 wrapText="1"/>
    </xf>
    <xf numFmtId="0" fontId="51" fillId="10" borderId="32" xfId="0" applyFont="1" applyFill="1" applyBorder="1" applyAlignment="1">
      <alignment vertical="center"/>
    </xf>
    <xf numFmtId="0" fontId="43" fillId="13" borderId="20" xfId="0" applyFont="1" applyFill="1" applyBorder="1" applyAlignment="1">
      <alignment vertical="center"/>
    </xf>
    <xf numFmtId="164" fontId="43" fillId="12" borderId="20" xfId="0" applyNumberFormat="1" applyFont="1" applyFill="1" applyBorder="1" applyAlignment="1">
      <alignment horizontal="center" vertical="center" wrapText="1"/>
    </xf>
    <xf numFmtId="164" fontId="45" fillId="12" borderId="20" xfId="0" applyNumberFormat="1" applyFont="1" applyFill="1" applyBorder="1" applyAlignment="1">
      <alignment horizontal="center" vertical="center"/>
    </xf>
    <xf numFmtId="164" fontId="43" fillId="12" borderId="20" xfId="0" applyNumberFormat="1" applyFont="1" applyFill="1" applyBorder="1" applyAlignment="1">
      <alignment horizontal="center" vertical="center"/>
    </xf>
    <xf numFmtId="164" fontId="45" fillId="12" borderId="20" xfId="0" applyNumberFormat="1" applyFont="1" applyFill="1" applyBorder="1" applyAlignment="1">
      <alignment horizontal="center" vertical="center" wrapText="1"/>
    </xf>
    <xf numFmtId="164" fontId="43" fillId="12" borderId="36" xfId="0" applyNumberFormat="1" applyFont="1" applyFill="1" applyBorder="1" applyAlignment="1">
      <alignment horizontal="center" vertical="center" wrapText="1"/>
    </xf>
    <xf numFmtId="164" fontId="45" fillId="12" borderId="3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/>
    </xf>
    <xf numFmtId="0" fontId="43" fillId="12" borderId="17" xfId="0" applyFont="1" applyFill="1" applyBorder="1" applyAlignment="1">
      <alignment vertical="center"/>
    </xf>
    <xf numFmtId="0" fontId="4" fillId="9" borderId="11" xfId="0" applyFont="1" applyFill="1" applyBorder="1" applyAlignment="1">
      <alignment vertical="center" wrapText="1"/>
    </xf>
    <xf numFmtId="0" fontId="4" fillId="9" borderId="40" xfId="0" applyFont="1" applyFill="1" applyBorder="1" applyAlignment="1">
      <alignment vertical="center" wrapText="1"/>
    </xf>
    <xf numFmtId="164" fontId="16" fillId="0" borderId="4" xfId="0" applyNumberFormat="1" applyFont="1" applyBorder="1" applyAlignment="1">
      <alignment horizontal="center" vertical="center" wrapText="1"/>
    </xf>
    <xf numFmtId="164" fontId="16" fillId="0" borderId="9" xfId="0" applyNumberFormat="1" applyFont="1" applyBorder="1" applyAlignment="1">
      <alignment horizontal="center" vertical="center" wrapText="1"/>
    </xf>
    <xf numFmtId="164" fontId="43" fillId="12" borderId="30" xfId="0" applyNumberFormat="1" applyFont="1" applyFill="1" applyBorder="1" applyAlignment="1">
      <alignment horizontal="center" vertical="center" wrapText="1"/>
    </xf>
    <xf numFmtId="4" fontId="9" fillId="9" borderId="34" xfId="0" applyNumberFormat="1" applyFont="1" applyFill="1" applyBorder="1" applyAlignment="1">
      <alignment horizontal="center" vertical="center" wrapText="1"/>
    </xf>
    <xf numFmtId="4" fontId="9" fillId="9" borderId="9" xfId="0" applyNumberFormat="1" applyFont="1" applyFill="1" applyBorder="1" applyAlignment="1">
      <alignment horizontal="center" vertical="center" wrapText="1"/>
    </xf>
    <xf numFmtId="4" fontId="41" fillId="0" borderId="43" xfId="0" applyNumberFormat="1" applyFont="1" applyBorder="1" applyAlignment="1">
      <alignment horizontal="center" vertical="center" wrapText="1"/>
    </xf>
    <xf numFmtId="4" fontId="41" fillId="3" borderId="4" xfId="0" applyNumberFormat="1" applyFont="1" applyFill="1" applyBorder="1" applyAlignment="1">
      <alignment horizontal="center" vertical="center" wrapText="1"/>
    </xf>
    <xf numFmtId="4" fontId="9" fillId="0" borderId="34" xfId="0" applyNumberFormat="1" applyFont="1" applyBorder="1" applyAlignment="1">
      <alignment horizontal="center" vertical="center" wrapText="1"/>
    </xf>
    <xf numFmtId="4" fontId="9" fillId="0" borderId="4" xfId="0" applyNumberFormat="1" applyFont="1" applyBorder="1" applyAlignment="1">
      <alignment horizontal="center" vertical="center" wrapText="1"/>
    </xf>
    <xf numFmtId="0" fontId="47" fillId="13" borderId="41" xfId="0" applyFont="1" applyFill="1" applyBorder="1"/>
    <xf numFmtId="0" fontId="15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47" fillId="13" borderId="33" xfId="0" applyFont="1" applyFill="1" applyBorder="1"/>
    <xf numFmtId="4" fontId="12" fillId="10" borderId="40" xfId="0" applyNumberFormat="1" applyFont="1" applyFill="1" applyBorder="1" applyAlignment="1">
      <alignment horizontal="center" vertical="center"/>
    </xf>
    <xf numFmtId="0" fontId="0" fillId="10" borderId="30" xfId="0" applyFill="1" applyBorder="1"/>
    <xf numFmtId="0" fontId="0" fillId="9" borderId="48" xfId="0" applyFill="1" applyBorder="1"/>
    <xf numFmtId="4" fontId="9" fillId="10" borderId="31" xfId="0" applyNumberFormat="1" applyFont="1" applyFill="1" applyBorder="1" applyAlignment="1">
      <alignment horizontal="center" vertical="center" wrapText="1"/>
    </xf>
    <xf numFmtId="0" fontId="0" fillId="9" borderId="25" xfId="0" applyFill="1" applyBorder="1"/>
    <xf numFmtId="4" fontId="9" fillId="10" borderId="20" xfId="0" applyNumberFormat="1" applyFont="1" applyFill="1" applyBorder="1" applyAlignment="1">
      <alignment horizontal="center" vertical="center" wrapText="1"/>
    </xf>
    <xf numFmtId="4" fontId="23" fillId="10" borderId="20" xfId="0" applyNumberFormat="1" applyFont="1" applyFill="1" applyBorder="1" applyAlignment="1">
      <alignment horizontal="center" vertical="center" wrapText="1"/>
    </xf>
    <xf numFmtId="0" fontId="26" fillId="9" borderId="25" xfId="0" applyFont="1" applyFill="1" applyBorder="1"/>
    <xf numFmtId="4" fontId="19" fillId="10" borderId="20" xfId="0" applyNumberFormat="1" applyFont="1" applyFill="1" applyBorder="1" applyAlignment="1">
      <alignment horizontal="center" vertical="center" wrapText="1"/>
    </xf>
    <xf numFmtId="0" fontId="29" fillId="9" borderId="25" xfId="0" applyFont="1" applyFill="1" applyBorder="1"/>
    <xf numFmtId="0" fontId="35" fillId="9" borderId="25" xfId="0" applyFont="1" applyFill="1" applyBorder="1"/>
    <xf numFmtId="4" fontId="33" fillId="10" borderId="20" xfId="0" applyNumberFormat="1" applyFont="1" applyFill="1" applyBorder="1" applyAlignment="1">
      <alignment horizontal="center" vertical="center" wrapText="1"/>
    </xf>
    <xf numFmtId="4" fontId="9" fillId="10" borderId="30" xfId="0" applyNumberFormat="1" applyFont="1" applyFill="1" applyBorder="1" applyAlignment="1">
      <alignment horizontal="center" vertical="center" wrapText="1"/>
    </xf>
    <xf numFmtId="0" fontId="0" fillId="10" borderId="41" xfId="0" applyFill="1" applyBorder="1"/>
    <xf numFmtId="0" fontId="0" fillId="10" borderId="47" xfId="0" applyFill="1" applyBorder="1"/>
    <xf numFmtId="0" fontId="4" fillId="9" borderId="46" xfId="0" applyFont="1" applyFill="1" applyBorder="1" applyAlignment="1">
      <alignment vertical="center" wrapText="1"/>
    </xf>
    <xf numFmtId="4" fontId="7" fillId="10" borderId="3" xfId="0" applyNumberFormat="1" applyFont="1" applyFill="1" applyBorder="1" applyAlignment="1">
      <alignment horizontal="center" vertical="center"/>
    </xf>
    <xf numFmtId="4" fontId="12" fillId="10" borderId="46" xfId="0" applyNumberFormat="1" applyFont="1" applyFill="1" applyBorder="1" applyAlignment="1">
      <alignment horizontal="center" vertical="center"/>
    </xf>
    <xf numFmtId="0" fontId="44" fillId="9" borderId="41" xfId="0" applyFont="1" applyFill="1" applyBorder="1" applyAlignment="1">
      <alignment horizontal="center" vertical="center" wrapText="1"/>
    </xf>
    <xf numFmtId="0" fontId="52" fillId="4" borderId="24" xfId="0" applyFont="1" applyFill="1" applyBorder="1"/>
    <xf numFmtId="0" fontId="52" fillId="0" borderId="26" xfId="0" applyFont="1" applyBorder="1"/>
    <xf numFmtId="4" fontId="42" fillId="0" borderId="27" xfId="0" applyNumberFormat="1" applyFont="1" applyBorder="1" applyAlignment="1">
      <alignment horizontal="center" vertical="center" wrapText="1"/>
    </xf>
    <xf numFmtId="4" fontId="42" fillId="0" borderId="21" xfId="0" applyNumberFormat="1" applyFont="1" applyBorder="1" applyAlignment="1">
      <alignment horizontal="center" vertical="center" wrapText="1"/>
    </xf>
    <xf numFmtId="0" fontId="4" fillId="14" borderId="51" xfId="0" applyFont="1" applyFill="1" applyBorder="1" applyAlignment="1">
      <alignment vertical="center" wrapText="1"/>
    </xf>
    <xf numFmtId="0" fontId="0" fillId="15" borderId="30" xfId="0" applyFill="1" applyBorder="1"/>
    <xf numFmtId="0" fontId="0" fillId="14" borderId="52" xfId="0" applyFill="1" applyBorder="1"/>
    <xf numFmtId="4" fontId="9" fillId="14" borderId="51" xfId="0" applyNumberFormat="1" applyFont="1" applyFill="1" applyBorder="1" applyAlignment="1">
      <alignment horizontal="center" vertical="center" wrapText="1"/>
    </xf>
    <xf numFmtId="0" fontId="0" fillId="14" borderId="25" xfId="0" applyFill="1" applyBorder="1"/>
    <xf numFmtId="4" fontId="9" fillId="14" borderId="22" xfId="0" applyNumberFormat="1" applyFont="1" applyFill="1" applyBorder="1" applyAlignment="1">
      <alignment horizontal="center" vertical="center" wrapText="1"/>
    </xf>
    <xf numFmtId="4" fontId="23" fillId="14" borderId="22" xfId="0" applyNumberFormat="1" applyFont="1" applyFill="1" applyBorder="1" applyAlignment="1">
      <alignment horizontal="center" vertical="center" wrapText="1"/>
    </xf>
    <xf numFmtId="0" fontId="26" fillId="14" borderId="25" xfId="0" applyFont="1" applyFill="1" applyBorder="1"/>
    <xf numFmtId="4" fontId="19" fillId="14" borderId="22" xfId="0" applyNumberFormat="1" applyFont="1" applyFill="1" applyBorder="1" applyAlignment="1">
      <alignment horizontal="center" vertical="center" wrapText="1"/>
    </xf>
    <xf numFmtId="0" fontId="29" fillId="14" borderId="25" xfId="0" applyFont="1" applyFill="1" applyBorder="1"/>
    <xf numFmtId="0" fontId="35" fillId="14" borderId="25" xfId="0" applyFont="1" applyFill="1" applyBorder="1"/>
    <xf numFmtId="4" fontId="33" fillId="14" borderId="22" xfId="0" applyNumberFormat="1" applyFont="1" applyFill="1" applyBorder="1" applyAlignment="1">
      <alignment horizontal="center" vertical="center" wrapText="1"/>
    </xf>
    <xf numFmtId="4" fontId="9" fillId="14" borderId="43" xfId="0" applyNumberFormat="1" applyFont="1" applyFill="1" applyBorder="1" applyAlignment="1">
      <alignment horizontal="center" vertical="center" wrapText="1"/>
    </xf>
    <xf numFmtId="0" fontId="0" fillId="15" borderId="41" xfId="0" applyFill="1" applyBorder="1"/>
    <xf numFmtId="0" fontId="0" fillId="15" borderId="53" xfId="0" applyFill="1" applyBorder="1"/>
    <xf numFmtId="4" fontId="53" fillId="14" borderId="22" xfId="0" applyNumberFormat="1" applyFont="1" applyFill="1" applyBorder="1" applyAlignment="1">
      <alignment horizontal="center" vertical="center" wrapText="1"/>
    </xf>
    <xf numFmtId="4" fontId="46" fillId="3" borderId="8" xfId="0" applyNumberFormat="1" applyFont="1" applyFill="1" applyBorder="1" applyAlignment="1">
      <alignment horizontal="center" vertical="center"/>
    </xf>
    <xf numFmtId="4" fontId="44" fillId="10" borderId="50" xfId="0" applyNumberFormat="1" applyFont="1" applyFill="1" applyBorder="1" applyAlignment="1">
      <alignment horizontal="center" vertical="center"/>
    </xf>
    <xf numFmtId="4" fontId="44" fillId="10" borderId="47" xfId="0" applyNumberFormat="1" applyFont="1" applyFill="1" applyBorder="1" applyAlignment="1">
      <alignment horizontal="center" vertical="center"/>
    </xf>
    <xf numFmtId="4" fontId="44" fillId="3" borderId="0" xfId="0" applyNumberFormat="1" applyFont="1" applyFill="1" applyAlignment="1">
      <alignment horizontal="center" vertical="center"/>
    </xf>
    <xf numFmtId="4" fontId="43" fillId="3" borderId="8" xfId="0" applyNumberFormat="1" applyFont="1" applyFill="1" applyBorder="1" applyAlignment="1">
      <alignment horizontal="center" vertical="center"/>
    </xf>
    <xf numFmtId="0" fontId="42" fillId="0" borderId="1" xfId="0" applyFont="1" applyBorder="1" applyAlignment="1">
      <alignment vertical="center"/>
    </xf>
    <xf numFmtId="0" fontId="42" fillId="0" borderId="2" xfId="0" applyFont="1" applyBorder="1" applyAlignment="1">
      <alignment vertical="center"/>
    </xf>
    <xf numFmtId="0" fontId="45" fillId="0" borderId="7" xfId="0" applyFont="1" applyBorder="1" applyAlignment="1">
      <alignment horizontal="left" vertical="center"/>
    </xf>
    <xf numFmtId="0" fontId="43" fillId="0" borderId="1" xfId="0" applyFont="1" applyBorder="1" applyAlignment="1">
      <alignment vertical="center"/>
    </xf>
    <xf numFmtId="0" fontId="43" fillId="0" borderId="2" xfId="0" applyFont="1" applyBorder="1" applyAlignment="1">
      <alignment vertical="center"/>
    </xf>
    <xf numFmtId="4" fontId="54" fillId="0" borderId="54" xfId="0" applyNumberFormat="1" applyFont="1" applyBorder="1" applyAlignment="1">
      <alignment horizontal="center" vertical="center"/>
    </xf>
    <xf numFmtId="4" fontId="40" fillId="14" borderId="22" xfId="0" applyNumberFormat="1" applyFont="1" applyFill="1" applyBorder="1" applyAlignment="1">
      <alignment horizontal="center" vertical="center" wrapText="1"/>
    </xf>
    <xf numFmtId="4" fontId="54" fillId="0" borderId="38" xfId="0" applyNumberFormat="1" applyFont="1" applyBorder="1" applyAlignment="1">
      <alignment horizontal="center" vertical="center"/>
    </xf>
    <xf numFmtId="0" fontId="48" fillId="9" borderId="25" xfId="0" applyFont="1" applyFill="1" applyBorder="1"/>
    <xf numFmtId="0" fontId="48" fillId="14" borderId="25" xfId="0" applyFont="1" applyFill="1" applyBorder="1"/>
    <xf numFmtId="4" fontId="40" fillId="10" borderId="20" xfId="0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left" vertical="center"/>
    </xf>
    <xf numFmtId="0" fontId="55" fillId="0" borderId="7" xfId="0" applyFont="1" applyBorder="1" applyAlignment="1">
      <alignment horizontal="left" vertical="center"/>
    </xf>
    <xf numFmtId="0" fontId="44" fillId="0" borderId="7" xfId="0" applyFont="1" applyBorder="1" applyAlignment="1">
      <alignment horizontal="left" vertical="center" wrapText="1"/>
    </xf>
    <xf numFmtId="0" fontId="44" fillId="0" borderId="7" xfId="0" applyFont="1" applyBorder="1" applyAlignment="1">
      <alignment horizontal="center" vertical="center" wrapText="1"/>
    </xf>
    <xf numFmtId="164" fontId="44" fillId="0" borderId="7" xfId="0" applyNumberFormat="1" applyFont="1" applyBorder="1" applyAlignment="1">
      <alignment horizontal="center" vertical="center" wrapText="1"/>
    </xf>
    <xf numFmtId="164" fontId="44" fillId="0" borderId="1" xfId="0" applyNumberFormat="1" applyFont="1" applyBorder="1" applyAlignment="1">
      <alignment horizontal="center" vertical="center" wrapText="1"/>
    </xf>
    <xf numFmtId="0" fontId="50" fillId="9" borderId="25" xfId="0" applyFont="1" applyFill="1" applyBorder="1"/>
    <xf numFmtId="0" fontId="50" fillId="14" borderId="25" xfId="0" applyFont="1" applyFill="1" applyBorder="1"/>
    <xf numFmtId="4" fontId="49" fillId="10" borderId="20" xfId="0" applyNumberFormat="1" applyFont="1" applyFill="1" applyBorder="1" applyAlignment="1">
      <alignment horizontal="center" vertical="center" wrapText="1"/>
    </xf>
    <xf numFmtId="4" fontId="49" fillId="14" borderId="22" xfId="0" applyNumberFormat="1" applyFont="1" applyFill="1" applyBorder="1" applyAlignment="1">
      <alignment horizontal="center" vertical="center" wrapText="1"/>
    </xf>
    <xf numFmtId="0" fontId="56" fillId="16" borderId="39" xfId="0" applyFont="1" applyFill="1" applyBorder="1"/>
    <xf numFmtId="0" fontId="56" fillId="17" borderId="38" xfId="0" applyFont="1" applyFill="1" applyBorder="1"/>
    <xf numFmtId="4" fontId="57" fillId="17" borderId="14" xfId="0" applyNumberFormat="1" applyFont="1" applyFill="1" applyBorder="1" applyAlignment="1">
      <alignment horizontal="center" vertical="center" wrapText="1"/>
    </xf>
    <xf numFmtId="4" fontId="58" fillId="16" borderId="15" xfId="0" applyNumberFormat="1" applyFont="1" applyFill="1" applyBorder="1" applyAlignment="1">
      <alignment horizontal="center" vertical="center"/>
    </xf>
    <xf numFmtId="4" fontId="57" fillId="17" borderId="15" xfId="0" applyNumberFormat="1" applyFont="1" applyFill="1" applyBorder="1" applyAlignment="1">
      <alignment horizontal="center" vertical="center" wrapText="1"/>
    </xf>
    <xf numFmtId="4" fontId="58" fillId="17" borderId="15" xfId="0" applyNumberFormat="1" applyFont="1" applyFill="1" applyBorder="1" applyAlignment="1">
      <alignment horizontal="center" vertical="center" wrapText="1"/>
    </xf>
    <xf numFmtId="0" fontId="56" fillId="17" borderId="13" xfId="0" applyFont="1" applyFill="1" applyBorder="1"/>
    <xf numFmtId="4" fontId="59" fillId="16" borderId="15" xfId="0" applyNumberFormat="1" applyFont="1" applyFill="1" applyBorder="1" applyAlignment="1">
      <alignment horizontal="center" vertical="center"/>
    </xf>
    <xf numFmtId="4" fontId="59" fillId="17" borderId="15" xfId="0" applyNumberFormat="1" applyFont="1" applyFill="1" applyBorder="1" applyAlignment="1">
      <alignment horizontal="center" vertical="center" wrapText="1"/>
    </xf>
    <xf numFmtId="4" fontId="60" fillId="16" borderId="15" xfId="0" applyNumberFormat="1" applyFont="1" applyFill="1" applyBorder="1" applyAlignment="1">
      <alignment horizontal="center" vertical="center"/>
    </xf>
    <xf numFmtId="4" fontId="60" fillId="17" borderId="15" xfId="0" applyNumberFormat="1" applyFont="1" applyFill="1" applyBorder="1" applyAlignment="1">
      <alignment horizontal="center" vertical="center" wrapText="1"/>
    </xf>
    <xf numFmtId="4" fontId="57" fillId="16" borderId="15" xfId="0" applyNumberFormat="1" applyFont="1" applyFill="1" applyBorder="1" applyAlignment="1">
      <alignment horizontal="center" vertical="center"/>
    </xf>
    <xf numFmtId="4" fontId="51" fillId="17" borderId="15" xfId="0" applyNumberFormat="1" applyFont="1" applyFill="1" applyBorder="1" applyAlignment="1">
      <alignment horizontal="center" vertical="center" wrapText="1"/>
    </xf>
    <xf numFmtId="4" fontId="46" fillId="17" borderId="15" xfId="0" applyNumberFormat="1" applyFont="1" applyFill="1" applyBorder="1" applyAlignment="1">
      <alignment horizontal="center" vertical="center" wrapText="1"/>
    </xf>
    <xf numFmtId="4" fontId="57" fillId="17" borderId="39" xfId="0" applyNumberFormat="1" applyFont="1" applyFill="1" applyBorder="1" applyAlignment="1">
      <alignment horizontal="center" vertical="center" wrapText="1"/>
    </xf>
    <xf numFmtId="0" fontId="56" fillId="16" borderId="8" xfId="0" applyFont="1" applyFill="1" applyBorder="1"/>
    <xf numFmtId="0" fontId="56" fillId="16" borderId="33" xfId="0" applyFont="1" applyFill="1" applyBorder="1"/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4" fontId="7" fillId="9" borderId="21" xfId="0" applyNumberFormat="1" applyFont="1" applyFill="1" applyBorder="1" applyAlignment="1">
      <alignment horizontal="center" vertical="center"/>
    </xf>
    <xf numFmtId="4" fontId="7" fillId="9" borderId="23" xfId="0" applyNumberFormat="1" applyFont="1" applyFill="1" applyBorder="1" applyAlignment="1">
      <alignment horizontal="center" vertical="center"/>
    </xf>
    <xf numFmtId="4" fontId="7" fillId="9" borderId="34" xfId="0" applyNumberFormat="1" applyFont="1" applyFill="1" applyBorder="1" applyAlignment="1">
      <alignment horizontal="center" vertical="center"/>
    </xf>
    <xf numFmtId="4" fontId="7" fillId="9" borderId="16" xfId="0" applyNumberFormat="1" applyFont="1" applyFill="1" applyBorder="1" applyAlignment="1">
      <alignment horizontal="center" vertical="center"/>
    </xf>
    <xf numFmtId="0" fontId="43" fillId="12" borderId="39" xfId="0" applyFont="1" applyFill="1" applyBorder="1" applyAlignment="1">
      <alignment horizontal="center" vertical="center"/>
    </xf>
    <xf numFmtId="0" fontId="43" fillId="12" borderId="14" xfId="0" applyFont="1" applyFill="1" applyBorder="1" applyAlignment="1">
      <alignment horizontal="center" vertical="center"/>
    </xf>
    <xf numFmtId="4" fontId="7" fillId="9" borderId="42" xfId="0" applyNumberFormat="1" applyFont="1" applyFill="1" applyBorder="1" applyAlignment="1">
      <alignment horizontal="center" vertical="center"/>
    </xf>
    <xf numFmtId="4" fontId="7" fillId="9" borderId="49" xfId="0" applyNumberFormat="1" applyFont="1" applyFill="1" applyBorder="1" applyAlignment="1">
      <alignment horizontal="center" vertical="center"/>
    </xf>
    <xf numFmtId="0" fontId="3" fillId="0" borderId="37" xfId="0" applyFont="1" applyBorder="1" applyAlignment="1">
      <alignment horizontal="left" vertical="center"/>
    </xf>
    <xf numFmtId="0" fontId="46" fillId="3" borderId="28" xfId="0" applyFont="1" applyFill="1" applyBorder="1" applyAlignment="1">
      <alignment horizontal="center" vertical="center"/>
    </xf>
    <xf numFmtId="0" fontId="46" fillId="3" borderId="29" xfId="0" applyFont="1" applyFill="1" applyBorder="1" applyAlignment="1">
      <alignment horizontal="center" vertical="center"/>
    </xf>
    <xf numFmtId="0" fontId="46" fillId="3" borderId="41" xfId="0" applyFont="1" applyFill="1" applyBorder="1" applyAlignment="1">
      <alignment horizontal="center" vertical="center"/>
    </xf>
    <xf numFmtId="0" fontId="46" fillId="3" borderId="44" xfId="0" applyFont="1" applyFill="1" applyBorder="1" applyAlignment="1">
      <alignment horizontal="center" vertical="center"/>
    </xf>
    <xf numFmtId="0" fontId="46" fillId="3" borderId="45" xfId="0" applyFont="1" applyFill="1" applyBorder="1" applyAlignment="1">
      <alignment horizontal="center" vertical="center"/>
    </xf>
    <xf numFmtId="4" fontId="43" fillId="3" borderId="41" xfId="0" applyNumberFormat="1" applyFont="1" applyFill="1" applyBorder="1" applyAlignment="1">
      <alignment horizontal="center" vertical="center"/>
    </xf>
    <xf numFmtId="0" fontId="43" fillId="3" borderId="44" xfId="0" applyFont="1" applyFill="1" applyBorder="1" applyAlignment="1">
      <alignment horizontal="center" vertical="center"/>
    </xf>
    <xf numFmtId="0" fontId="43" fillId="3" borderId="45" xfId="0" applyFont="1" applyFill="1" applyBorder="1" applyAlignment="1">
      <alignment horizontal="center" vertical="center"/>
    </xf>
    <xf numFmtId="0" fontId="40" fillId="3" borderId="41" xfId="0" applyFont="1" applyFill="1" applyBorder="1" applyAlignment="1">
      <alignment horizontal="center" vertical="center"/>
    </xf>
    <xf numFmtId="0" fontId="40" fillId="3" borderId="44" xfId="0" applyFont="1" applyFill="1" applyBorder="1" applyAlignment="1">
      <alignment horizontal="center" vertical="center"/>
    </xf>
    <xf numFmtId="0" fontId="40" fillId="3" borderId="45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3" fillId="16" borderId="12" xfId="0" applyFont="1" applyFill="1" applyBorder="1" applyAlignment="1">
      <alignment horizontal="center" vertical="center" wrapText="1"/>
    </xf>
    <xf numFmtId="0" fontId="43" fillId="16" borderId="13" xfId="0" applyFont="1" applyFill="1" applyBorder="1" applyAlignment="1">
      <alignment horizontal="center" vertical="center"/>
    </xf>
    <xf numFmtId="0" fontId="43" fillId="16" borderId="14" xfId="0" applyFont="1" applyFill="1" applyBorder="1" applyAlignment="1">
      <alignment horizontal="center" vertical="center"/>
    </xf>
    <xf numFmtId="0" fontId="43" fillId="10" borderId="12" xfId="0" applyFont="1" applyFill="1" applyBorder="1" applyAlignment="1">
      <alignment horizontal="center" vertical="center" wrapText="1"/>
    </xf>
    <xf numFmtId="0" fontId="43" fillId="10" borderId="25" xfId="0" applyFont="1" applyFill="1" applyBorder="1" applyAlignment="1">
      <alignment horizontal="center" vertical="center" wrapText="1"/>
    </xf>
    <xf numFmtId="0" fontId="43" fillId="10" borderId="31" xfId="0" applyFont="1" applyFill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3" fillId="12" borderId="35" xfId="0" applyFont="1" applyFill="1" applyBorder="1" applyAlignment="1">
      <alignment horizontal="center" vertical="center" wrapText="1"/>
    </xf>
    <xf numFmtId="0" fontId="43" fillId="12" borderId="25" xfId="0" applyFont="1" applyFill="1" applyBorder="1" applyAlignment="1">
      <alignment horizontal="center" vertical="center" wrapText="1"/>
    </xf>
    <xf numFmtId="0" fontId="43" fillId="12" borderId="31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 applyProtection="1">
      <alignment horizontal="center" vertical="center"/>
      <protection locked="0"/>
    </xf>
    <xf numFmtId="0" fontId="41" fillId="3" borderId="18" xfId="0" applyFont="1" applyFill="1" applyBorder="1" applyAlignment="1" applyProtection="1">
      <alignment horizontal="center" vertical="center"/>
      <protection locked="0"/>
    </xf>
    <xf numFmtId="0" fontId="41" fillId="3" borderId="19" xfId="0" applyFont="1" applyFill="1" applyBorder="1" applyAlignment="1" applyProtection="1">
      <alignment horizontal="center" vertical="center"/>
      <protection locked="0"/>
    </xf>
    <xf numFmtId="4" fontId="7" fillId="9" borderId="2" xfId="0" applyNumberFormat="1" applyFont="1" applyFill="1" applyBorder="1" applyAlignment="1">
      <alignment horizontal="center" vertical="center"/>
    </xf>
    <xf numFmtId="0" fontId="44" fillId="9" borderId="56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4" fontId="9" fillId="9" borderId="1" xfId="0" applyNumberFormat="1" applyFont="1" applyFill="1" applyBorder="1" applyAlignment="1">
      <alignment horizontal="center" vertical="center"/>
    </xf>
    <xf numFmtId="4" fontId="23" fillId="9" borderId="1" xfId="0" applyNumberFormat="1" applyFont="1" applyFill="1" applyBorder="1" applyAlignment="1">
      <alignment horizontal="center" vertical="center"/>
    </xf>
    <xf numFmtId="4" fontId="19" fillId="9" borderId="1" xfId="0" applyNumberFormat="1" applyFont="1" applyFill="1" applyBorder="1" applyAlignment="1">
      <alignment horizontal="center" vertical="center" wrapText="1"/>
    </xf>
    <xf numFmtId="4" fontId="19" fillId="9" borderId="1" xfId="0" applyNumberFormat="1" applyFont="1" applyFill="1" applyBorder="1" applyAlignment="1">
      <alignment horizontal="center" vertical="center"/>
    </xf>
    <xf numFmtId="4" fontId="33" fillId="9" borderId="1" xfId="0" applyNumberFormat="1" applyFont="1" applyFill="1" applyBorder="1" applyAlignment="1">
      <alignment horizontal="center" vertical="center"/>
    </xf>
    <xf numFmtId="4" fontId="33" fillId="9" borderId="1" xfId="0" applyNumberFormat="1" applyFont="1" applyFill="1" applyBorder="1" applyAlignment="1">
      <alignment horizontal="center" vertical="center" wrapText="1"/>
    </xf>
    <xf numFmtId="4" fontId="7" fillId="9" borderId="9" xfId="0" applyNumberFormat="1" applyFont="1" applyFill="1" applyBorder="1" applyAlignment="1">
      <alignment horizontal="center" vertical="center"/>
    </xf>
    <xf numFmtId="4" fontId="7" fillId="9" borderId="11" xfId="0" applyNumberFormat="1" applyFont="1" applyFill="1" applyBorder="1" applyAlignment="1">
      <alignment horizontal="center" vertical="center"/>
    </xf>
    <xf numFmtId="4" fontId="53" fillId="9" borderId="1" xfId="0" applyNumberFormat="1" applyFont="1" applyFill="1" applyBorder="1" applyAlignment="1">
      <alignment horizontal="center" vertical="center" wrapText="1"/>
    </xf>
    <xf numFmtId="4" fontId="49" fillId="9" borderId="1" xfId="0" applyNumberFormat="1" applyFont="1" applyFill="1" applyBorder="1" applyAlignment="1">
      <alignment horizontal="center" vertical="center"/>
    </xf>
    <xf numFmtId="4" fontId="49" fillId="9" borderId="1" xfId="0" applyNumberFormat="1" applyFont="1" applyFill="1" applyBorder="1" applyAlignment="1">
      <alignment horizontal="center" vertical="center" wrapText="1"/>
    </xf>
    <xf numFmtId="4" fontId="41" fillId="9" borderId="1" xfId="0" applyNumberFormat="1" applyFont="1" applyFill="1" applyBorder="1" applyAlignment="1">
      <alignment horizontal="center" vertical="center"/>
    </xf>
    <xf numFmtId="4" fontId="7" fillId="9" borderId="10" xfId="0" applyNumberFormat="1" applyFont="1" applyFill="1" applyBorder="1" applyAlignment="1">
      <alignment horizontal="center" vertical="center"/>
    </xf>
    <xf numFmtId="4" fontId="12" fillId="10" borderId="57" xfId="0" applyNumberFormat="1" applyFont="1" applyFill="1" applyBorder="1" applyAlignment="1">
      <alignment horizontal="center" vertical="center"/>
    </xf>
    <xf numFmtId="4" fontId="43" fillId="10" borderId="58" xfId="0" applyNumberFormat="1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left" vertical="center" wrapText="1"/>
    </xf>
    <xf numFmtId="0" fontId="51" fillId="10" borderId="55" xfId="0" applyFont="1" applyFill="1" applyBorder="1" applyAlignment="1">
      <alignment vertical="center"/>
    </xf>
    <xf numFmtId="0" fontId="44" fillId="9" borderId="55" xfId="0" applyFont="1" applyFill="1" applyBorder="1" applyAlignment="1">
      <alignment horizontal="center" vertical="center" wrapText="1"/>
    </xf>
    <xf numFmtId="0" fontId="4" fillId="9" borderId="55" xfId="0" applyFont="1" applyFill="1" applyBorder="1" applyAlignment="1">
      <alignment horizontal="center" vertical="center" wrapText="1"/>
    </xf>
    <xf numFmtId="4" fontId="7" fillId="10" borderId="55" xfId="0" applyNumberFormat="1" applyFont="1" applyFill="1" applyBorder="1" applyAlignment="1">
      <alignment horizontal="center" vertical="center"/>
    </xf>
    <xf numFmtId="4" fontId="7" fillId="9" borderId="55" xfId="0" applyNumberFormat="1" applyFont="1" applyFill="1" applyBorder="1" applyAlignment="1">
      <alignment horizontal="center" vertical="center"/>
    </xf>
    <xf numFmtId="4" fontId="9" fillId="9" borderId="55" xfId="0" applyNumberFormat="1" applyFont="1" applyFill="1" applyBorder="1" applyAlignment="1">
      <alignment horizontal="center" vertical="center" wrapText="1"/>
    </xf>
    <xf numFmtId="4" fontId="9" fillId="9" borderId="55" xfId="0" applyNumberFormat="1" applyFont="1" applyFill="1" applyBorder="1" applyAlignment="1">
      <alignment horizontal="center" vertical="center"/>
    </xf>
    <xf numFmtId="4" fontId="23" fillId="9" borderId="55" xfId="0" applyNumberFormat="1" applyFont="1" applyFill="1" applyBorder="1" applyAlignment="1">
      <alignment horizontal="center" vertical="center" wrapText="1"/>
    </xf>
    <xf numFmtId="4" fontId="23" fillId="9" borderId="55" xfId="0" applyNumberFormat="1" applyFont="1" applyFill="1" applyBorder="1" applyAlignment="1">
      <alignment horizontal="center" vertical="center"/>
    </xf>
    <xf numFmtId="4" fontId="19" fillId="9" borderId="55" xfId="0" applyNumberFormat="1" applyFont="1" applyFill="1" applyBorder="1" applyAlignment="1">
      <alignment horizontal="center" vertical="center" wrapText="1"/>
    </xf>
    <xf numFmtId="4" fontId="19" fillId="9" borderId="55" xfId="0" applyNumberFormat="1" applyFont="1" applyFill="1" applyBorder="1" applyAlignment="1">
      <alignment horizontal="center" vertical="center"/>
    </xf>
    <xf numFmtId="4" fontId="33" fillId="9" borderId="55" xfId="0" applyNumberFormat="1" applyFont="1" applyFill="1" applyBorder="1" applyAlignment="1">
      <alignment horizontal="center" vertical="center"/>
    </xf>
    <xf numFmtId="4" fontId="33" fillId="9" borderId="55" xfId="0" applyNumberFormat="1" applyFont="1" applyFill="1" applyBorder="1" applyAlignment="1">
      <alignment horizontal="center" vertical="center" wrapText="1"/>
    </xf>
    <xf numFmtId="4" fontId="53" fillId="9" borderId="55" xfId="0" applyNumberFormat="1" applyFont="1" applyFill="1" applyBorder="1" applyAlignment="1">
      <alignment horizontal="center" vertical="center" wrapText="1"/>
    </xf>
    <xf numFmtId="4" fontId="49" fillId="9" borderId="55" xfId="0" applyNumberFormat="1" applyFont="1" applyFill="1" applyBorder="1" applyAlignment="1">
      <alignment horizontal="center" vertical="center"/>
    </xf>
    <xf numFmtId="4" fontId="49" fillId="9" borderId="55" xfId="0" applyNumberFormat="1" applyFont="1" applyFill="1" applyBorder="1" applyAlignment="1">
      <alignment horizontal="center" vertical="center" wrapText="1"/>
    </xf>
    <xf numFmtId="4" fontId="41" fillId="9" borderId="55" xfId="0" applyNumberFormat="1" applyFont="1" applyFill="1" applyBorder="1" applyAlignment="1">
      <alignment horizontal="center" vertical="center"/>
    </xf>
    <xf numFmtId="4" fontId="12" fillId="10" borderId="55" xfId="0" applyNumberFormat="1" applyFont="1" applyFill="1" applyBorder="1" applyAlignment="1">
      <alignment horizontal="center" vertical="center"/>
    </xf>
    <xf numFmtId="4" fontId="43" fillId="10" borderId="55" xfId="0" applyNumberFormat="1" applyFont="1" applyFill="1" applyBorder="1" applyAlignment="1">
      <alignment horizontal="center" vertical="center"/>
    </xf>
    <xf numFmtId="0" fontId="0" fillId="0" borderId="55" xfId="0" applyBorder="1"/>
    <xf numFmtId="0" fontId="61" fillId="0" borderId="1" xfId="1" applyFill="1" applyBorder="1" applyAlignment="1">
      <alignment horizontal="center" vertical="top" wrapText="1"/>
    </xf>
    <xf numFmtId="0" fontId="61" fillId="0" borderId="2" xfId="1" applyFill="1" applyBorder="1" applyAlignment="1">
      <alignment horizontal="center" vertical="top" wrapText="1"/>
    </xf>
    <xf numFmtId="0" fontId="61" fillId="0" borderId="0" xfId="1" applyFill="1" applyBorder="1" applyAlignment="1">
      <alignment horizontal="left" vertical="top"/>
    </xf>
    <xf numFmtId="0" fontId="61" fillId="0" borderId="9" xfId="1" applyFill="1" applyBorder="1" applyAlignment="1">
      <alignment horizontal="center" vertical="top" wrapText="1"/>
    </xf>
    <xf numFmtId="0" fontId="61" fillId="0" borderId="9" xfId="1" applyFill="1" applyBorder="1" applyAlignment="1">
      <alignment horizontal="left" vertical="top" wrapText="1" indent="5"/>
    </xf>
    <xf numFmtId="0" fontId="61" fillId="0" borderId="10" xfId="1" applyFill="1" applyBorder="1" applyAlignment="1">
      <alignment horizontal="center" vertical="top" wrapText="1"/>
    </xf>
    <xf numFmtId="0" fontId="61" fillId="0" borderId="10" xfId="1" applyFill="1" applyBorder="1" applyAlignment="1">
      <alignment horizontal="left" vertical="top" wrapText="1" indent="5"/>
    </xf>
    <xf numFmtId="0" fontId="64" fillId="0" borderId="1" xfId="1" applyFont="1" applyFill="1" applyBorder="1" applyAlignment="1">
      <alignment horizontal="left" vertical="top" wrapText="1"/>
    </xf>
    <xf numFmtId="0" fontId="64" fillId="0" borderId="2" xfId="1" applyFont="1" applyFill="1" applyBorder="1" applyAlignment="1">
      <alignment horizontal="left" vertical="top" wrapText="1"/>
    </xf>
    <xf numFmtId="0" fontId="64" fillId="0" borderId="1" xfId="1" applyFont="1" applyFill="1" applyBorder="1" applyAlignment="1">
      <alignment horizontal="center" vertical="top" wrapText="1"/>
    </xf>
    <xf numFmtId="0" fontId="64" fillId="0" borderId="2" xfId="1" applyFont="1" applyFill="1" applyBorder="1" applyAlignment="1">
      <alignment horizontal="center" vertical="top" wrapText="1"/>
    </xf>
    <xf numFmtId="0" fontId="61" fillId="0" borderId="1" xfId="1" applyFill="1" applyBorder="1" applyAlignment="1">
      <alignment horizontal="left" vertical="top" wrapText="1"/>
    </xf>
    <xf numFmtId="0" fontId="61" fillId="0" borderId="2" xfId="1" applyFill="1" applyBorder="1" applyAlignment="1">
      <alignment horizontal="left" vertical="top" wrapText="1"/>
    </xf>
    <xf numFmtId="0" fontId="61" fillId="0" borderId="0" xfId="1" applyFill="1" applyBorder="1" applyAlignment="1">
      <alignment horizontal="left" vertical="top" wrapText="1"/>
    </xf>
    <xf numFmtId="0" fontId="61" fillId="0" borderId="11" xfId="1" applyFill="1" applyBorder="1" applyAlignment="1">
      <alignment horizontal="center" vertical="top" wrapText="1"/>
    </xf>
    <xf numFmtId="0" fontId="61" fillId="0" borderId="11" xfId="1" applyFill="1" applyBorder="1" applyAlignment="1">
      <alignment horizontal="left" vertical="top" wrapText="1" indent="5"/>
    </xf>
    <xf numFmtId="0" fontId="61" fillId="0" borderId="1" xfId="1" applyFill="1" applyBorder="1" applyAlignment="1">
      <alignment horizontal="left" vertical="top" wrapText="1" indent="5"/>
    </xf>
    <xf numFmtId="0" fontId="61" fillId="0" borderId="1" xfId="1" applyFill="1" applyBorder="1" applyAlignment="1">
      <alignment horizontal="left" vertical="top" wrapText="1" indent="2"/>
    </xf>
    <xf numFmtId="3" fontId="65" fillId="0" borderId="11" xfId="1" applyNumberFormat="1" applyFont="1" applyFill="1" applyBorder="1" applyAlignment="1">
      <alignment horizontal="center" vertical="center" shrinkToFit="1"/>
    </xf>
    <xf numFmtId="0" fontId="61" fillId="0" borderId="11" xfId="1" applyFill="1" applyBorder="1" applyAlignment="1">
      <alignment horizontal="left" vertical="top" wrapText="1"/>
    </xf>
    <xf numFmtId="165" fontId="65" fillId="0" borderId="11" xfId="1" applyNumberFormat="1" applyFont="1" applyFill="1" applyBorder="1" applyAlignment="1">
      <alignment horizontal="center" vertical="center" shrinkToFit="1"/>
    </xf>
    <xf numFmtId="0" fontId="66" fillId="0" borderId="11" xfId="1" applyFont="1" applyFill="1" applyBorder="1" applyAlignment="1">
      <alignment horizontal="left" vertical="center" wrapText="1"/>
    </xf>
    <xf numFmtId="0" fontId="61" fillId="0" borderId="11" xfId="1" applyFill="1" applyBorder="1" applyAlignment="1">
      <alignment horizontal="left" vertical="center" wrapText="1"/>
    </xf>
    <xf numFmtId="3" fontId="61" fillId="0" borderId="0" xfId="1" applyNumberFormat="1" applyFill="1" applyBorder="1" applyAlignment="1">
      <alignment horizontal="left" vertical="top"/>
    </xf>
    <xf numFmtId="165" fontId="61" fillId="0" borderId="0" xfId="1" applyNumberFormat="1" applyFill="1" applyBorder="1" applyAlignment="1">
      <alignment horizontal="left" vertical="top"/>
    </xf>
    <xf numFmtId="3" fontId="65" fillId="0" borderId="1" xfId="1" applyNumberFormat="1" applyFont="1" applyFill="1" applyBorder="1" applyAlignment="1">
      <alignment horizontal="center" vertical="center" shrinkToFit="1"/>
    </xf>
    <xf numFmtId="0" fontId="61" fillId="0" borderId="1" xfId="1" applyFill="1" applyBorder="1" applyAlignment="1">
      <alignment horizontal="left" vertical="top" wrapText="1"/>
    </xf>
    <xf numFmtId="165" fontId="65" fillId="0" borderId="1" xfId="1" applyNumberFormat="1" applyFont="1" applyFill="1" applyBorder="1" applyAlignment="1">
      <alignment horizontal="center" vertical="center" shrinkToFit="1"/>
    </xf>
    <xf numFmtId="0" fontId="66" fillId="0" borderId="1" xfId="1" applyFont="1" applyFill="1" applyBorder="1" applyAlignment="1">
      <alignment horizontal="left" vertical="center" wrapText="1"/>
    </xf>
    <xf numFmtId="0" fontId="61" fillId="0" borderId="1" xfId="1" applyFill="1" applyBorder="1" applyAlignment="1">
      <alignment horizontal="left" vertical="center" wrapText="1"/>
    </xf>
    <xf numFmtId="3" fontId="65" fillId="0" borderId="9" xfId="1" applyNumberFormat="1" applyFont="1" applyFill="1" applyBorder="1" applyAlignment="1">
      <alignment horizontal="center" vertical="center" shrinkToFit="1"/>
    </xf>
    <xf numFmtId="0" fontId="61" fillId="0" borderId="9" xfId="1" applyFill="1" applyBorder="1" applyAlignment="1">
      <alignment horizontal="left" vertical="center" wrapText="1"/>
    </xf>
    <xf numFmtId="0" fontId="61" fillId="0" borderId="9" xfId="1" applyFill="1" applyBorder="1" applyAlignment="1">
      <alignment horizontal="left" vertical="top" wrapText="1"/>
    </xf>
    <xf numFmtId="165" fontId="65" fillId="0" borderId="9" xfId="1" applyNumberFormat="1" applyFont="1" applyFill="1" applyBorder="1" applyAlignment="1">
      <alignment horizontal="center" vertical="center" shrinkToFit="1"/>
    </xf>
    <xf numFmtId="0" fontId="66" fillId="0" borderId="9" xfId="1" applyFont="1" applyFill="1" applyBorder="1" applyAlignment="1">
      <alignment horizontal="left" vertical="center" wrapText="1"/>
    </xf>
    <xf numFmtId="165" fontId="65" fillId="18" borderId="9" xfId="1" applyNumberFormat="1" applyFont="1" applyFill="1" applyBorder="1" applyAlignment="1">
      <alignment horizontal="center" vertical="center" shrinkToFit="1"/>
    </xf>
    <xf numFmtId="165" fontId="65" fillId="0" borderId="1" xfId="1" applyNumberFormat="1" applyFont="1" applyFill="1" applyBorder="1" applyAlignment="1">
      <alignment horizontal="right" vertical="center" indent="5" shrinkToFit="1"/>
    </xf>
    <xf numFmtId="165" fontId="65" fillId="0" borderId="1" xfId="1" applyNumberFormat="1" applyFont="1" applyFill="1" applyBorder="1" applyAlignment="1">
      <alignment horizontal="right" vertical="center" indent="4" shrinkToFit="1"/>
    </xf>
    <xf numFmtId="165" fontId="65" fillId="18" borderId="1" xfId="1" applyNumberFormat="1" applyFont="1" applyFill="1" applyBorder="1" applyAlignment="1">
      <alignment horizontal="center" vertical="center" shrinkToFit="1"/>
    </xf>
  </cellXfs>
  <cellStyles count="2">
    <cellStyle name="Обычный" xfId="0" builtinId="0"/>
    <cellStyle name="Обычный 3" xfId="1"/>
  </cellStyles>
  <dxfs count="20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</dxfs>
  <tableStyles count="0" defaultTableStyle="TableStyleMedium9"/>
  <colors>
    <mruColors>
      <color rgb="FF99FFCC"/>
      <color rgb="FFCCCCFF"/>
      <color rgb="FFFFFFCC"/>
      <color rgb="FF00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Таблица3" displayName="Таблица3" ref="A5:P143" totalsRowShown="0" headerRowDxfId="19" dataDxfId="18" headerRowBorderDxfId="16" tableBorderDxfId="17" headerRowCellStyle="Обычный 3" dataCellStyle="Обычный 3">
  <autoFilter ref="A5:P143">
    <filterColumn colId="0">
      <customFilters>
        <customFilter operator="lessThan" val="3000"/>
      </customFilters>
    </filterColumn>
  </autoFilter>
  <tableColumns count="16">
    <tableColumn id="1" name="Столбец1" dataDxfId="15" dataCellStyle="Обычный 3"/>
    <tableColumn id="2" name="Столбец2" dataDxfId="14" dataCellStyle="Обычный 3"/>
    <tableColumn id="3" name="Столбец3" dataDxfId="13" dataCellStyle="Обычный 3"/>
    <tableColumn id="4" name="Столбец4" dataDxfId="12" dataCellStyle="Обычный 3"/>
    <tableColumn id="5" name="Столбец5" dataDxfId="11" dataCellStyle="Обычный 3"/>
    <tableColumn id="6" name="Столбец6" dataDxfId="10" dataCellStyle="Обычный 3"/>
    <tableColumn id="7" name="Столбец7" dataDxfId="9" dataCellStyle="Обычный 3"/>
    <tableColumn id="8" name="Столбец8" dataDxfId="8" dataCellStyle="Обычный 3"/>
    <tableColumn id="9" name="Столбец9" dataDxfId="7" dataCellStyle="Обычный 3"/>
    <tableColumn id="10" name="Столбец10" dataDxfId="6" dataCellStyle="Обычный 3"/>
    <tableColumn id="11" name="Столбец11" dataDxfId="5" dataCellStyle="Обычный 3"/>
    <tableColumn id="13" name="Столбец13" dataDxfId="4" dataCellStyle="Обычный 3"/>
    <tableColumn id="14" name="Столбец14" dataDxfId="3" dataCellStyle="Обычный 3"/>
    <tableColumn id="15" name="Столбец15" dataDxfId="2" dataCellStyle="Обычный 3"/>
    <tableColumn id="16" name="Столбец16" dataDxfId="1" dataCellStyle="Обычный 3"/>
    <tableColumn id="17" name="Столбец17" dataDxfId="0" dataCellStyle="Обычный 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8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918" sqref="AA918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3"/>
      <c r="P1" s="3"/>
      <c r="Q1" s="3"/>
      <c r="R1" s="3"/>
      <c r="S1" s="3"/>
      <c r="T1" s="3"/>
      <c r="U1" s="3"/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24</v>
      </c>
    </row>
    <row r="2" spans="1:35" ht="30.75" customHeight="1" x14ac:dyDescent="0.3">
      <c r="A2" s="335" t="s">
        <v>4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</row>
    <row r="3" spans="1:35" ht="15" customHeight="1" x14ac:dyDescent="0.3">
      <c r="A3" s="336" t="s">
        <v>5</v>
      </c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</row>
    <row r="4" spans="1:35" ht="15" customHeight="1" x14ac:dyDescent="0.3">
      <c r="A4" s="337" t="s">
        <v>6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</row>
    <row r="5" spans="1:35" ht="40.799999999999997" customHeight="1" x14ac:dyDescent="0.3">
      <c r="A5" s="344" t="s">
        <v>25</v>
      </c>
      <c r="B5" s="344" t="s">
        <v>26</v>
      </c>
      <c r="C5" s="344" t="s">
        <v>27</v>
      </c>
      <c r="D5" s="344" t="s">
        <v>28</v>
      </c>
      <c r="E5" s="344" t="s">
        <v>29</v>
      </c>
      <c r="F5" s="344" t="s">
        <v>30</v>
      </c>
      <c r="G5" s="344" t="s">
        <v>31</v>
      </c>
      <c r="H5" s="344" t="s">
        <v>32</v>
      </c>
      <c r="I5" s="344" t="s">
        <v>33</v>
      </c>
      <c r="J5" s="338" t="s">
        <v>7</v>
      </c>
      <c r="K5" s="339"/>
      <c r="L5" s="339"/>
      <c r="M5" s="339"/>
      <c r="N5" s="339"/>
      <c r="O5" s="340"/>
      <c r="P5" s="341" t="s">
        <v>8</v>
      </c>
      <c r="Q5" s="342"/>
      <c r="R5" s="343"/>
      <c r="S5" s="341" t="s">
        <v>9</v>
      </c>
      <c r="T5" s="342"/>
      <c r="U5" s="343"/>
    </row>
    <row r="6" spans="1:35" ht="15.75" customHeight="1" x14ac:dyDescent="0.3">
      <c r="A6" s="345"/>
      <c r="B6" s="345"/>
      <c r="C6" s="345"/>
      <c r="D6" s="345"/>
      <c r="E6" s="345"/>
      <c r="F6" s="345"/>
      <c r="G6" s="345"/>
      <c r="H6" s="345"/>
      <c r="I6" s="345"/>
      <c r="J6" s="347" t="s">
        <v>34</v>
      </c>
      <c r="K6" s="348"/>
      <c r="L6" s="344" t="s">
        <v>34</v>
      </c>
      <c r="M6" s="347" t="s">
        <v>37</v>
      </c>
      <c r="N6" s="348"/>
      <c r="O6" s="344" t="s">
        <v>38</v>
      </c>
      <c r="P6" s="347" t="s">
        <v>34</v>
      </c>
      <c r="Q6" s="348"/>
      <c r="R6" s="344" t="s">
        <v>34</v>
      </c>
      <c r="S6" s="347" t="s">
        <v>37</v>
      </c>
      <c r="T6" s="348"/>
      <c r="U6" s="344" t="s">
        <v>38</v>
      </c>
    </row>
    <row r="7" spans="1:35" ht="31.2" customHeight="1" x14ac:dyDescent="0.3">
      <c r="A7" s="346"/>
      <c r="B7" s="346"/>
      <c r="C7" s="346"/>
      <c r="D7" s="346"/>
      <c r="E7" s="346"/>
      <c r="F7" s="346"/>
      <c r="G7" s="346"/>
      <c r="H7" s="346"/>
      <c r="I7" s="346"/>
      <c r="J7" s="5" t="s">
        <v>35</v>
      </c>
      <c r="K7" s="5" t="s">
        <v>36</v>
      </c>
      <c r="L7" s="346"/>
      <c r="M7" s="5" t="s">
        <v>35</v>
      </c>
      <c r="N7" s="5" t="s">
        <v>36</v>
      </c>
      <c r="O7" s="346"/>
      <c r="P7" s="5" t="s">
        <v>35</v>
      </c>
      <c r="Q7" s="5" t="s">
        <v>36</v>
      </c>
      <c r="R7" s="346"/>
      <c r="S7" s="5" t="s">
        <v>35</v>
      </c>
      <c r="T7" s="5" t="s">
        <v>36</v>
      </c>
      <c r="U7" s="346"/>
    </row>
    <row r="8" spans="1:35" ht="30" customHeight="1" x14ac:dyDescent="0.3">
      <c r="A8" s="349" t="s">
        <v>39</v>
      </c>
      <c r="B8" s="350"/>
      <c r="C8" s="350"/>
      <c r="D8" s="350"/>
      <c r="E8" s="350"/>
      <c r="F8" s="350"/>
      <c r="G8" s="350"/>
      <c r="H8" s="350"/>
      <c r="I8" s="351"/>
      <c r="J8" s="7"/>
      <c r="K8" s="7"/>
      <c r="L8" s="7"/>
      <c r="M8" s="8">
        <f>SUM(M9,M914)</f>
        <v>46316046.340000004</v>
      </c>
      <c r="N8" s="8">
        <f>SUM(N9,N914)</f>
        <v>82654319.040000007</v>
      </c>
      <c r="O8" s="8">
        <f>SUM(O9,O914)</f>
        <v>128970365.38000001</v>
      </c>
      <c r="P8" s="7"/>
      <c r="Q8" s="7"/>
      <c r="R8" s="7"/>
      <c r="S8" s="8">
        <f>SUM(S9,S914)</f>
        <v>50774880.949999996</v>
      </c>
      <c r="T8" s="8">
        <f>SUM(T9,T914)</f>
        <v>83900402.040000007</v>
      </c>
      <c r="U8" s="8">
        <f>SUM(U9,U914)</f>
        <v>134675282.99000001</v>
      </c>
      <c r="Y8" s="9">
        <f>SUM(Y9,Y914)</f>
        <v>42312400.940000005</v>
      </c>
      <c r="Z8" s="9">
        <f>SUM(Z9,Z914)</f>
        <v>69917001.74000001</v>
      </c>
      <c r="AA8" s="9">
        <f>SUM(AA9,AA914)</f>
        <v>112229402.68000001</v>
      </c>
      <c r="AC8" s="4" t="s">
        <v>40</v>
      </c>
    </row>
    <row r="9" spans="1:35" ht="16.95" customHeight="1" x14ac:dyDescent="0.3">
      <c r="A9" s="10" t="s">
        <v>41</v>
      </c>
      <c r="B9" s="10" t="s">
        <v>42</v>
      </c>
      <c r="C9" s="352" t="s">
        <v>43</v>
      </c>
      <c r="D9" s="353"/>
      <c r="E9" s="353"/>
      <c r="F9" s="353"/>
      <c r="G9" s="353"/>
      <c r="H9" s="353"/>
      <c r="I9" s="354"/>
      <c r="M9" s="6">
        <f t="shared" ref="M9:O11" si="0">SUM(M10)</f>
        <v>46316046.340000004</v>
      </c>
      <c r="N9" s="6">
        <f t="shared" si="0"/>
        <v>81596586.330000013</v>
      </c>
      <c r="O9" s="6">
        <f t="shared" si="0"/>
        <v>127912632.67000002</v>
      </c>
      <c r="S9" s="6">
        <f t="shared" ref="S9:U11" si="1">SUM(S10)</f>
        <v>50774880.949999996</v>
      </c>
      <c r="T9" s="6">
        <f t="shared" si="1"/>
        <v>82842669.330000013</v>
      </c>
      <c r="U9" s="6">
        <f t="shared" si="1"/>
        <v>133617550.28</v>
      </c>
      <c r="Y9" s="9">
        <f t="shared" ref="Y9:AA11" si="2">SUM(Y10)</f>
        <v>42312400.940000005</v>
      </c>
      <c r="Z9" s="9">
        <f t="shared" si="2"/>
        <v>69035557.810000002</v>
      </c>
      <c r="AA9" s="9">
        <f t="shared" si="2"/>
        <v>111347958.75</v>
      </c>
      <c r="AD9" s="4">
        <v>298925257</v>
      </c>
      <c r="AE9" s="4">
        <v>16194151</v>
      </c>
    </row>
    <row r="10" spans="1:35" ht="16.95" customHeight="1" x14ac:dyDescent="0.3">
      <c r="A10" s="10" t="s">
        <v>44</v>
      </c>
      <c r="B10" s="10" t="s">
        <v>45</v>
      </c>
      <c r="C10" s="352" t="s">
        <v>46</v>
      </c>
      <c r="D10" s="353"/>
      <c r="E10" s="353"/>
      <c r="F10" s="353"/>
      <c r="G10" s="353"/>
      <c r="H10" s="353"/>
      <c r="I10" s="354"/>
      <c r="M10" s="6">
        <f t="shared" si="0"/>
        <v>46316046.340000004</v>
      </c>
      <c r="N10" s="6">
        <f t="shared" si="0"/>
        <v>81596586.330000013</v>
      </c>
      <c r="O10" s="6">
        <f t="shared" si="0"/>
        <v>127912632.67000002</v>
      </c>
      <c r="S10" s="6">
        <f t="shared" si="1"/>
        <v>50774880.949999996</v>
      </c>
      <c r="T10" s="6">
        <f t="shared" si="1"/>
        <v>82842669.330000013</v>
      </c>
      <c r="U10" s="6">
        <f t="shared" si="1"/>
        <v>133617550.28</v>
      </c>
      <c r="Y10" s="9">
        <f t="shared" si="2"/>
        <v>42312400.940000005</v>
      </c>
      <c r="Z10" s="9">
        <f t="shared" si="2"/>
        <v>69035557.810000002</v>
      </c>
      <c r="AA10" s="9">
        <f t="shared" si="2"/>
        <v>111347958.75</v>
      </c>
      <c r="AD10" s="4">
        <v>298925258</v>
      </c>
      <c r="AE10" s="4">
        <v>16194155</v>
      </c>
    </row>
    <row r="11" spans="1:35" ht="16.95" customHeight="1" x14ac:dyDescent="0.3">
      <c r="A11" s="10" t="s">
        <v>47</v>
      </c>
      <c r="B11" s="10" t="s">
        <v>48</v>
      </c>
      <c r="C11" s="352" t="s">
        <v>49</v>
      </c>
      <c r="D11" s="353"/>
      <c r="E11" s="353"/>
      <c r="F11" s="353"/>
      <c r="G11" s="353"/>
      <c r="H11" s="353"/>
      <c r="I11" s="354"/>
      <c r="M11" s="6">
        <f t="shared" si="0"/>
        <v>46316046.340000004</v>
      </c>
      <c r="N11" s="6">
        <f t="shared" si="0"/>
        <v>81596586.330000013</v>
      </c>
      <c r="O11" s="6">
        <f t="shared" si="0"/>
        <v>127912632.67000002</v>
      </c>
      <c r="S11" s="6">
        <f t="shared" si="1"/>
        <v>50774880.949999996</v>
      </c>
      <c r="T11" s="6">
        <f t="shared" si="1"/>
        <v>82842669.330000013</v>
      </c>
      <c r="U11" s="6">
        <f t="shared" si="1"/>
        <v>133617550.28</v>
      </c>
      <c r="Y11" s="9">
        <f t="shared" si="2"/>
        <v>42312400.940000005</v>
      </c>
      <c r="Z11" s="9">
        <f t="shared" si="2"/>
        <v>69035557.810000002</v>
      </c>
      <c r="AA11" s="9">
        <f t="shared" si="2"/>
        <v>111347958.75</v>
      </c>
      <c r="AD11" s="4">
        <v>298925259</v>
      </c>
      <c r="AE11" s="4">
        <v>16194158</v>
      </c>
    </row>
    <row r="12" spans="1:35" ht="16.95" customHeight="1" x14ac:dyDescent="0.3">
      <c r="A12" s="10" t="s">
        <v>50</v>
      </c>
      <c r="B12" s="10" t="s">
        <v>51</v>
      </c>
      <c r="C12" s="352" t="s">
        <v>52</v>
      </c>
      <c r="D12" s="353"/>
      <c r="E12" s="353"/>
      <c r="F12" s="353"/>
      <c r="G12" s="353"/>
      <c r="H12" s="353"/>
      <c r="I12" s="354"/>
      <c r="M12" s="6">
        <f>SUM(M13,M209,M614,M788,M861)</f>
        <v>46316046.340000004</v>
      </c>
      <c r="N12" s="6">
        <f>SUM(N13,N209,N614,N788,N861)</f>
        <v>81596586.330000013</v>
      </c>
      <c r="O12" s="6">
        <f>SUM(O13,O209,O614,O788,O861)</f>
        <v>127912632.67000002</v>
      </c>
      <c r="S12" s="6">
        <f>SUM(S13,S209,S614,S788,S861)</f>
        <v>50774880.949999996</v>
      </c>
      <c r="T12" s="6">
        <f>SUM(T13,T209,T614,T788,T861)</f>
        <v>82842669.330000013</v>
      </c>
      <c r="U12" s="6">
        <f>SUM(U13,U209,U614,U788,U861)</f>
        <v>133617550.28</v>
      </c>
      <c r="Y12" s="9">
        <f>SUM(Y13,Y209,Y614,Y788,Y861)</f>
        <v>42312400.940000005</v>
      </c>
      <c r="Z12" s="9">
        <f>SUM(Z13,Z209,Z614,Z788,Z861)</f>
        <v>69035557.810000002</v>
      </c>
      <c r="AA12" s="9">
        <f>SUM(AA13,AA209,AA614,AA788,AA861)</f>
        <v>111347958.75</v>
      </c>
      <c r="AD12" s="4">
        <v>298925260</v>
      </c>
      <c r="AE12" s="4">
        <v>16194162</v>
      </c>
    </row>
    <row r="13" spans="1:35" ht="16.95" customHeight="1" x14ac:dyDescent="0.3">
      <c r="A13" s="10" t="s">
        <v>53</v>
      </c>
      <c r="B13" s="10" t="s">
        <v>54</v>
      </c>
      <c r="C13" s="352" t="s">
        <v>55</v>
      </c>
      <c r="D13" s="353"/>
      <c r="E13" s="353"/>
      <c r="F13" s="353"/>
      <c r="G13" s="353"/>
      <c r="H13" s="353"/>
      <c r="I13" s="354"/>
      <c r="M13" s="6">
        <f>SUM(M14,M102,M119)</f>
        <v>14227016</v>
      </c>
      <c r="N13" s="6">
        <f>SUM(N14,N102,N119)</f>
        <v>18340083.550000001</v>
      </c>
      <c r="O13" s="6">
        <f>SUM(O14,O102,O119)</f>
        <v>32567099.550000004</v>
      </c>
      <c r="S13" s="6">
        <f>SUM(S14,S102,S119)</f>
        <v>22402275.359999999</v>
      </c>
      <c r="T13" s="6">
        <f>SUM(T14,T102,T119)</f>
        <v>18340083.550000001</v>
      </c>
      <c r="U13" s="6">
        <f>SUM(U14,U102,U119)</f>
        <v>40742358.910000004</v>
      </c>
      <c r="Y13" s="9">
        <f>SUM(Y14,Y102,Y119)</f>
        <v>18668562.830000002</v>
      </c>
      <c r="Z13" s="9">
        <f>SUM(Z14,Z102,Z119)</f>
        <v>15283402.959999999</v>
      </c>
      <c r="AA13" s="9">
        <f>SUM(AA14,AA102,AA119)</f>
        <v>33951965.789999999</v>
      </c>
      <c r="AD13" s="4">
        <v>298925261</v>
      </c>
      <c r="AE13" s="4">
        <v>16194163</v>
      </c>
    </row>
    <row r="14" spans="1:35" ht="16.95" customHeight="1" x14ac:dyDescent="0.3">
      <c r="A14" s="10" t="s">
        <v>56</v>
      </c>
      <c r="B14" s="10" t="s">
        <v>57</v>
      </c>
      <c r="C14" s="352" t="s">
        <v>58</v>
      </c>
      <c r="D14" s="353"/>
      <c r="E14" s="353"/>
      <c r="F14" s="353"/>
      <c r="G14" s="353"/>
      <c r="H14" s="353"/>
      <c r="I14" s="354"/>
      <c r="M14" s="6">
        <f>SUM(M15,M18,M22,M24,M40,M56,M62,M68,M74,M90,M96)</f>
        <v>9575830.9800000004</v>
      </c>
      <c r="N14" s="6">
        <f>SUM(N15,N18,N22,N24,N40,N56,N62,N68,N74,N90,N96)</f>
        <v>12124369.620000001</v>
      </c>
      <c r="O14" s="6">
        <f>SUM(O15,O18,O22,O24,O40,O56,O62,O68,O74,O90,O96)</f>
        <v>21700200.600000001</v>
      </c>
      <c r="S14" s="6">
        <f>SUM(S15,S18,S22,S24,S40,S56,S62,S68,S74,S90,S96)</f>
        <v>9575830.9800000004</v>
      </c>
      <c r="T14" s="6">
        <f>SUM(T15,T18,T22,T24,T40,T56,T62,T68,T74,T90,T96)</f>
        <v>12124369.620000001</v>
      </c>
      <c r="U14" s="6">
        <f>SUM(U15,U18,U22,U24,U40,U56,U62,U68,U74,U90,U96)</f>
        <v>21700200.600000001</v>
      </c>
      <c r="Y14" s="9">
        <f>SUM(Y15,Y18,Y22,Y24,Y40,Y56,Y62,Y68,Y74,Y90,Y96)</f>
        <v>7979859.1600000001</v>
      </c>
      <c r="Z14" s="9">
        <f>SUM(Z15,Z18,Z22,Z24,Z40,Z56,Z62,Z68,Z74,Z90,Z96)</f>
        <v>10103641.35</v>
      </c>
      <c r="AA14" s="9">
        <f>SUM(AA15,AA18,AA22,AA24,AA40,AA56,AA62,AA68,AA74,AA90,AA96)</f>
        <v>18083500.509999998</v>
      </c>
      <c r="AD14" s="4">
        <v>298925262</v>
      </c>
      <c r="AE14" s="4">
        <v>16194161</v>
      </c>
    </row>
    <row r="15" spans="1:35" ht="54" x14ac:dyDescent="0.3">
      <c r="A15" s="10" t="s">
        <v>59</v>
      </c>
      <c r="B15" s="10" t="s">
        <v>60</v>
      </c>
      <c r="C15" s="11" t="s">
        <v>61</v>
      </c>
      <c r="D15" s="12" t="s">
        <v>62</v>
      </c>
      <c r="E15" s="12" t="s">
        <v>63</v>
      </c>
      <c r="F15" s="12" t="s">
        <v>64</v>
      </c>
      <c r="G15" s="13">
        <v>1</v>
      </c>
      <c r="H15" s="12"/>
      <c r="I15" s="13">
        <v>4263.2</v>
      </c>
      <c r="J15" s="14">
        <f>IFERROR(ROUND(SUM(M16,M17)/I15, 2),0)</f>
        <v>177.36</v>
      </c>
      <c r="K15" s="15">
        <v>388</v>
      </c>
      <c r="L15" s="14">
        <f>J15+ROUND(K15, 2)</f>
        <v>565.36</v>
      </c>
      <c r="M15" s="14">
        <f>ROUND(J15*I15, 2)</f>
        <v>756121.15</v>
      </c>
      <c r="N15" s="14">
        <f>ROUND(I15*ROUND(K15, 2), 2)</f>
        <v>1654121.6</v>
      </c>
      <c r="O15" s="14">
        <f>M15+N15</f>
        <v>2410242.75</v>
      </c>
      <c r="P15" s="14">
        <f>IFERROR(ROUND(SUM(S16,S17)/I15, 2),0)</f>
        <v>177.36</v>
      </c>
      <c r="Q15" s="16">
        <v>388</v>
      </c>
      <c r="R15" s="14">
        <f>P15+ROUND(Q15, 2)</f>
        <v>565.36</v>
      </c>
      <c r="S15" s="14">
        <f>ROUND(P15*I15, 2)</f>
        <v>756121.15</v>
      </c>
      <c r="T15" s="14">
        <f>ROUND(I15*ROUND(Q15, 2), 2)</f>
        <v>1654121.6</v>
      </c>
      <c r="U15" s="14">
        <f>S15+T15</f>
        <v>2410242.75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630100.96</v>
      </c>
      <c r="Z15" s="9">
        <f>ROUND(T15 / 1.2, 2)</f>
        <v>1378434.67</v>
      </c>
      <c r="AA15" s="9">
        <f>Y15+Z15</f>
        <v>2008535.63</v>
      </c>
      <c r="AD15" s="4">
        <v>298925264</v>
      </c>
      <c r="AE15" s="4">
        <v>16194152</v>
      </c>
      <c r="AG15" s="4" t="s">
        <v>65</v>
      </c>
      <c r="AH15" s="4" t="s">
        <v>66</v>
      </c>
      <c r="AI15" s="4" t="s">
        <v>67</v>
      </c>
    </row>
    <row r="16" spans="1:35" ht="36" x14ac:dyDescent="0.3">
      <c r="A16" s="10" t="s">
        <v>68</v>
      </c>
      <c r="B16" s="10"/>
      <c r="C16" s="17" t="s">
        <v>69</v>
      </c>
      <c r="D16" s="12"/>
      <c r="E16" s="12"/>
      <c r="F16" s="18" t="s">
        <v>70</v>
      </c>
      <c r="G16" s="19">
        <v>1.6</v>
      </c>
      <c r="H16" s="12"/>
      <c r="I16" s="20">
        <v>68211.199999999997</v>
      </c>
      <c r="J16" s="21">
        <v>9.67</v>
      </c>
      <c r="M16" s="22">
        <f>ROUND(ROUND(J16, 2)*I16, 2)</f>
        <v>659602.30000000005</v>
      </c>
      <c r="P16" s="23">
        <v>9.67</v>
      </c>
      <c r="S16" s="22">
        <f>ROUND(ROUND(P16, 2)*I16, 2)</f>
        <v>659602.30000000005</v>
      </c>
      <c r="V16" s="9">
        <f>ROUND(ROUND(P16, 2)/1.2, 2)</f>
        <v>8.06</v>
      </c>
      <c r="Y16" s="9">
        <f t="shared" ref="Y16:Y24" si="3">ROUND(S16 / 1.2, 2)</f>
        <v>549668.57999999996</v>
      </c>
      <c r="AD16" s="4" t="s">
        <v>71</v>
      </c>
      <c r="AE16" s="4" t="s">
        <v>72</v>
      </c>
      <c r="AF16" s="4" t="s">
        <v>73</v>
      </c>
    </row>
    <row r="17" spans="1:35" ht="36" x14ac:dyDescent="0.3">
      <c r="A17" s="10" t="s">
        <v>74</v>
      </c>
      <c r="B17" s="10"/>
      <c r="C17" s="24" t="s">
        <v>75</v>
      </c>
      <c r="D17" s="12"/>
      <c r="E17" s="12"/>
      <c r="F17" s="18" t="s">
        <v>70</v>
      </c>
      <c r="G17" s="19">
        <v>0.255</v>
      </c>
      <c r="H17" s="12"/>
      <c r="I17" s="20">
        <v>1087.116</v>
      </c>
      <c r="J17" s="21">
        <v>88.8</v>
      </c>
      <c r="M17" s="22">
        <f>ROUND(ROUND(J17, 2)*I17, 2)</f>
        <v>96535.9</v>
      </c>
      <c r="P17" s="23">
        <v>88.8</v>
      </c>
      <c r="S17" s="22">
        <f>ROUND(ROUND(P17, 2)*I17, 2)</f>
        <v>96535.9</v>
      </c>
      <c r="V17" s="9">
        <f>ROUND(ROUND(P17, 2)/1.2, 2)</f>
        <v>74</v>
      </c>
      <c r="Y17" s="9">
        <f t="shared" si="3"/>
        <v>80446.58</v>
      </c>
      <c r="AD17" s="4" t="s">
        <v>76</v>
      </c>
      <c r="AE17" s="4" t="s">
        <v>77</v>
      </c>
      <c r="AF17" s="4" t="s">
        <v>78</v>
      </c>
    </row>
    <row r="18" spans="1:35" ht="54" x14ac:dyDescent="0.3">
      <c r="A18" s="25" t="s">
        <v>79</v>
      </c>
      <c r="B18" s="25" t="s">
        <v>60</v>
      </c>
      <c r="C18" s="26" t="s">
        <v>80</v>
      </c>
      <c r="D18" s="27" t="s">
        <v>62</v>
      </c>
      <c r="E18" s="27" t="s">
        <v>81</v>
      </c>
      <c r="F18" s="27" t="s">
        <v>64</v>
      </c>
      <c r="G18" s="28">
        <v>1</v>
      </c>
      <c r="H18" s="27"/>
      <c r="I18" s="28">
        <v>3740.2</v>
      </c>
      <c r="J18" s="29">
        <f>IFERROR(ROUND(SUM(M19,M20,M21)/I18, 2),0)</f>
        <v>172.99</v>
      </c>
      <c r="K18" s="29">
        <v>400</v>
      </c>
      <c r="L18" s="29">
        <f>J18+ROUND(K18, 2)</f>
        <v>572.99</v>
      </c>
      <c r="M18" s="29">
        <f>ROUND(J18*I18, 2)</f>
        <v>647017.19999999995</v>
      </c>
      <c r="N18" s="29">
        <f>ROUND(I18*ROUND(K18, 2), 2)</f>
        <v>1496080</v>
      </c>
      <c r="O18" s="29">
        <f>M18+N18</f>
        <v>2143097.2000000002</v>
      </c>
      <c r="P18" s="29">
        <f>IFERROR(ROUND(SUM(S19,S20,S21)/I18, 2),0)</f>
        <v>172.99</v>
      </c>
      <c r="Q18" s="29">
        <v>400</v>
      </c>
      <c r="R18" s="29">
        <f>P18+ROUND(Q18, 2)</f>
        <v>572.99</v>
      </c>
      <c r="S18" s="29">
        <f>ROUND(P18*I18, 2)</f>
        <v>647017.19999999995</v>
      </c>
      <c r="T18" s="29">
        <f>ROUND(I18*ROUND(Q18, 2), 2)</f>
        <v>1496080</v>
      </c>
      <c r="U18" s="29">
        <f>S18+T18</f>
        <v>2143097.2000000002</v>
      </c>
      <c r="V18" s="9">
        <f>ROUND(P18 / 1.2, 2)</f>
        <v>144.16</v>
      </c>
      <c r="W18" s="9">
        <f>ROUND(Q18 / 1.2, 2)</f>
        <v>333.33</v>
      </c>
      <c r="X18" s="9">
        <f>ROUND(R18 / 1.2, 2)</f>
        <v>477.49</v>
      </c>
      <c r="Y18" s="9">
        <f t="shared" si="3"/>
        <v>539181</v>
      </c>
      <c r="Z18" s="9">
        <f>ROUND(T18 / 1.2, 2)</f>
        <v>1246733.33</v>
      </c>
      <c r="AA18" s="9">
        <f>Y18+Z18</f>
        <v>1785914.33</v>
      </c>
      <c r="AD18" s="4">
        <v>298925366</v>
      </c>
      <c r="AE18" s="4">
        <v>19810509</v>
      </c>
      <c r="AG18" s="4" t="s">
        <v>65</v>
      </c>
      <c r="AH18" s="4" t="s">
        <v>66</v>
      </c>
      <c r="AI18" s="4" t="s">
        <v>67</v>
      </c>
    </row>
    <row r="19" spans="1:35" ht="36" x14ac:dyDescent="0.3">
      <c r="A19" s="25" t="s">
        <v>82</v>
      </c>
      <c r="B19" s="25"/>
      <c r="C19" s="30" t="s">
        <v>75</v>
      </c>
      <c r="D19" s="27"/>
      <c r="E19" s="27"/>
      <c r="F19" s="31" t="s">
        <v>70</v>
      </c>
      <c r="G19" s="32">
        <v>0.255</v>
      </c>
      <c r="H19" s="27"/>
      <c r="I19" s="33">
        <v>953.75099999999998</v>
      </c>
      <c r="J19" s="34">
        <v>88.8</v>
      </c>
      <c r="K19" s="35"/>
      <c r="L19" s="35"/>
      <c r="M19" s="34">
        <f>ROUND(ROUND(J19, 2)*I19, 2)</f>
        <v>84693.09</v>
      </c>
      <c r="N19" s="35"/>
      <c r="O19" s="35"/>
      <c r="P19" s="34">
        <v>88.8</v>
      </c>
      <c r="Q19" s="35"/>
      <c r="R19" s="35"/>
      <c r="S19" s="34">
        <f>ROUND(ROUND(P19, 2)*I19, 2)</f>
        <v>84693.09</v>
      </c>
      <c r="T19" s="35"/>
      <c r="U19" s="36"/>
      <c r="V19" s="9">
        <f>ROUND(ROUND(P19, 2)/1.2, 2)</f>
        <v>74</v>
      </c>
      <c r="Y19" s="9">
        <f t="shared" si="3"/>
        <v>70577.58</v>
      </c>
      <c r="AD19" s="4" t="s">
        <v>83</v>
      </c>
      <c r="AE19" s="4" t="s">
        <v>84</v>
      </c>
      <c r="AF19" s="4" t="s">
        <v>78</v>
      </c>
    </row>
    <row r="20" spans="1:35" ht="18" x14ac:dyDescent="0.3">
      <c r="A20" s="25" t="s">
        <v>85</v>
      </c>
      <c r="B20" s="25"/>
      <c r="C20" s="30" t="s">
        <v>86</v>
      </c>
      <c r="D20" s="27"/>
      <c r="E20" s="27"/>
      <c r="F20" s="31" t="s">
        <v>87</v>
      </c>
      <c r="G20" s="32">
        <v>1</v>
      </c>
      <c r="H20" s="27"/>
      <c r="I20" s="33">
        <v>1880</v>
      </c>
      <c r="J20" s="34">
        <v>10.4</v>
      </c>
      <c r="K20" s="35"/>
      <c r="L20" s="35"/>
      <c r="M20" s="34">
        <f>ROUND(ROUND(J20, 2)*I20, 2)</f>
        <v>19552</v>
      </c>
      <c r="N20" s="35"/>
      <c r="O20" s="35"/>
      <c r="P20" s="34">
        <v>10.4</v>
      </c>
      <c r="Q20" s="35"/>
      <c r="R20" s="35"/>
      <c r="S20" s="34">
        <f>ROUND(ROUND(P20, 2)*I20, 2)</f>
        <v>19552</v>
      </c>
      <c r="T20" s="35"/>
      <c r="U20" s="36"/>
      <c r="V20" s="9">
        <f>ROUND(ROUND(P20, 2)/1.2, 2)</f>
        <v>8.67</v>
      </c>
      <c r="Y20" s="9">
        <f t="shared" si="3"/>
        <v>16293.33</v>
      </c>
      <c r="AD20" s="4" t="s">
        <v>88</v>
      </c>
      <c r="AE20" s="4" t="s">
        <v>89</v>
      </c>
      <c r="AF20" s="4" t="s">
        <v>90</v>
      </c>
    </row>
    <row r="21" spans="1:35" ht="36" x14ac:dyDescent="0.3">
      <c r="A21" s="25" t="s">
        <v>91</v>
      </c>
      <c r="B21" s="25"/>
      <c r="C21" s="17" t="s">
        <v>69</v>
      </c>
      <c r="D21" s="27"/>
      <c r="E21" s="27"/>
      <c r="F21" s="31" t="s">
        <v>70</v>
      </c>
      <c r="G21" s="32">
        <v>1.6</v>
      </c>
      <c r="H21" s="27"/>
      <c r="I21" s="33">
        <v>59843.199999999997</v>
      </c>
      <c r="J21" s="34">
        <v>9.07</v>
      </c>
      <c r="K21" s="35"/>
      <c r="L21" s="35"/>
      <c r="M21" s="34">
        <f>ROUND(ROUND(J21, 2)*I21, 2)</f>
        <v>542777.81999999995</v>
      </c>
      <c r="N21" s="35"/>
      <c r="O21" s="35"/>
      <c r="P21" s="34">
        <v>9.07</v>
      </c>
      <c r="Q21" s="35"/>
      <c r="R21" s="35"/>
      <c r="S21" s="34">
        <f>ROUND(ROUND(P21, 2)*I21, 2)</f>
        <v>542777.81999999995</v>
      </c>
      <c r="T21" s="35"/>
      <c r="U21" s="36"/>
      <c r="V21" s="9">
        <f>ROUND(ROUND(P21, 2)/1.2, 2)</f>
        <v>7.56</v>
      </c>
      <c r="Y21" s="9">
        <f t="shared" si="3"/>
        <v>452314.85</v>
      </c>
      <c r="AD21" s="4" t="s">
        <v>92</v>
      </c>
      <c r="AE21" s="4" t="s">
        <v>93</v>
      </c>
      <c r="AF21" s="4" t="s">
        <v>73</v>
      </c>
    </row>
    <row r="22" spans="1:35" ht="54" x14ac:dyDescent="0.3">
      <c r="A22" s="25" t="s">
        <v>94</v>
      </c>
      <c r="B22" s="25" t="s">
        <v>95</v>
      </c>
      <c r="C22" s="26" t="s">
        <v>96</v>
      </c>
      <c r="D22" s="27"/>
      <c r="E22" s="27" t="s">
        <v>97</v>
      </c>
      <c r="F22" s="27" t="s">
        <v>98</v>
      </c>
      <c r="G22" s="28">
        <v>1</v>
      </c>
      <c r="H22" s="27"/>
      <c r="I22" s="28">
        <v>2.88</v>
      </c>
      <c r="J22" s="29">
        <f>IFERROR(ROUND(SUM(M23)/I22, 2),0)</f>
        <v>12597</v>
      </c>
      <c r="K22" s="29">
        <v>54984</v>
      </c>
      <c r="L22" s="29">
        <f>J22+ROUND(K22, 2)</f>
        <v>67581</v>
      </c>
      <c r="M22" s="29">
        <f>ROUND(J22*I22, 2)</f>
        <v>36279.360000000001</v>
      </c>
      <c r="N22" s="29">
        <f>ROUND(I22*ROUND(K22, 2), 2)</f>
        <v>158353.92000000001</v>
      </c>
      <c r="O22" s="29">
        <f>M22+N22</f>
        <v>194633.28000000003</v>
      </c>
      <c r="P22" s="29">
        <f>IFERROR(ROUND(SUM(S23)/I22, 2),0)</f>
        <v>12597</v>
      </c>
      <c r="Q22" s="29">
        <v>54984</v>
      </c>
      <c r="R22" s="29">
        <f>P22+ROUND(Q22, 2)</f>
        <v>67581</v>
      </c>
      <c r="S22" s="29">
        <f>ROUND(P22*I22, 2)</f>
        <v>36279.360000000001</v>
      </c>
      <c r="T22" s="29">
        <f>ROUND(I22*ROUND(Q22, 2), 2)</f>
        <v>158353.92000000001</v>
      </c>
      <c r="U22" s="29">
        <f>S22+T22</f>
        <v>194633.28000000003</v>
      </c>
      <c r="V22" s="9">
        <f>ROUND(P22 / 1.2, 2)</f>
        <v>10497.5</v>
      </c>
      <c r="W22" s="9">
        <f>ROUND(Q22 / 1.2, 2)</f>
        <v>45820</v>
      </c>
      <c r="X22" s="9">
        <f>ROUND(R22 / 1.2, 2)</f>
        <v>56317.5</v>
      </c>
      <c r="Y22" s="9">
        <f t="shared" si="3"/>
        <v>30232.799999999999</v>
      </c>
      <c r="Z22" s="9">
        <f>ROUND(T22 / 1.2, 2)</f>
        <v>131961.60000000001</v>
      </c>
      <c r="AA22" s="9">
        <f>Y22+Z22</f>
        <v>162194.4</v>
      </c>
      <c r="AD22" s="4">
        <v>298925266</v>
      </c>
      <c r="AE22" s="4">
        <v>19810929</v>
      </c>
      <c r="AG22" s="4" t="s">
        <v>99</v>
      </c>
      <c r="AH22" s="4" t="s">
        <v>100</v>
      </c>
      <c r="AI22" s="4" t="s">
        <v>67</v>
      </c>
    </row>
    <row r="23" spans="1:35" ht="18" x14ac:dyDescent="0.3">
      <c r="A23" s="25" t="s">
        <v>101</v>
      </c>
      <c r="B23" s="25"/>
      <c r="C23" s="30" t="s">
        <v>102</v>
      </c>
      <c r="D23" s="27"/>
      <c r="E23" s="27"/>
      <c r="F23" s="31" t="s">
        <v>70</v>
      </c>
      <c r="G23" s="32">
        <v>1700</v>
      </c>
      <c r="H23" s="27"/>
      <c r="I23" s="33">
        <v>4896</v>
      </c>
      <c r="J23" s="34">
        <v>7.41</v>
      </c>
      <c r="K23" s="35"/>
      <c r="L23" s="35"/>
      <c r="M23" s="34">
        <f>ROUND(ROUND(J23, 2)*I23, 2)</f>
        <v>36279.360000000001</v>
      </c>
      <c r="N23" s="35"/>
      <c r="O23" s="35"/>
      <c r="P23" s="34">
        <v>7.41</v>
      </c>
      <c r="Q23" s="35"/>
      <c r="R23" s="35"/>
      <c r="S23" s="34">
        <f>ROUND(ROUND(P23, 2)*I23, 2)</f>
        <v>36279.360000000001</v>
      </c>
      <c r="T23" s="35"/>
      <c r="U23" s="36"/>
      <c r="V23" s="9">
        <f>ROUND(ROUND(P23, 2)/1.2, 2)</f>
        <v>6.18</v>
      </c>
      <c r="Y23" s="9">
        <f t="shared" si="3"/>
        <v>30232.799999999999</v>
      </c>
      <c r="AD23" s="4" t="s">
        <v>103</v>
      </c>
      <c r="AE23" s="4" t="s">
        <v>104</v>
      </c>
      <c r="AF23" s="4" t="s">
        <v>105</v>
      </c>
    </row>
    <row r="24" spans="1:35" ht="54" x14ac:dyDescent="0.3">
      <c r="A24" s="37" t="s">
        <v>106</v>
      </c>
      <c r="B24" s="37" t="s">
        <v>107</v>
      </c>
      <c r="C24" s="38" t="s">
        <v>108</v>
      </c>
      <c r="D24" s="39"/>
      <c r="E24" s="39" t="s">
        <v>109</v>
      </c>
      <c r="F24" s="39" t="s">
        <v>64</v>
      </c>
      <c r="G24" s="40">
        <v>1</v>
      </c>
      <c r="H24" s="39"/>
      <c r="I24" s="41">
        <v>0</v>
      </c>
      <c r="J24" s="42">
        <f>IFERROR(ROUND(SUM(M26,M28,M30,M32,M34,M36,M38)/I24, 2),0)</f>
        <v>0</v>
      </c>
      <c r="K24" s="42">
        <v>941</v>
      </c>
      <c r="L24" s="42">
        <f>J24+ROUND(K24, 2)</f>
        <v>941</v>
      </c>
      <c r="M24" s="42">
        <f>ROUND(J24*I24, 2)</f>
        <v>0</v>
      </c>
      <c r="N24" s="42">
        <f>ROUND(I24*ROUND(K24, 2), 2)</f>
        <v>0</v>
      </c>
      <c r="O24" s="42">
        <f>M24+N24</f>
        <v>0</v>
      </c>
      <c r="P24" s="42">
        <f>IFERROR(ROUND(SUM(S26,S28,S30,S32,S34,S36,S38)/I24, 2),0)</f>
        <v>0</v>
      </c>
      <c r="Q24" s="42">
        <v>855</v>
      </c>
      <c r="R24" s="42">
        <f>P24+ROUND(Q24, 2)</f>
        <v>855</v>
      </c>
      <c r="S24" s="42">
        <f>ROUND(P24*I24, 2)</f>
        <v>0</v>
      </c>
      <c r="T24" s="42">
        <f>ROUND(I24*ROUND(Q24, 2), 2)</f>
        <v>0</v>
      </c>
      <c r="U24" s="42">
        <f>S24+T24</f>
        <v>0</v>
      </c>
      <c r="V24" s="9">
        <f>ROUND(P24 / 1.2, 2)</f>
        <v>0</v>
      </c>
      <c r="W24" s="9">
        <f>ROUND(Q24 / 1.2, 2)</f>
        <v>712.5</v>
      </c>
      <c r="X24" s="9">
        <f>ROUND(R24 / 1.2, 2)</f>
        <v>712.5</v>
      </c>
      <c r="Y24" s="9">
        <f t="shared" si="3"/>
        <v>0</v>
      </c>
      <c r="Z24" s="9">
        <f>ROUND(T24 / 1.2, 2)</f>
        <v>0</v>
      </c>
      <c r="AA24" s="9">
        <f>Y24+Z24</f>
        <v>0</v>
      </c>
      <c r="AD24" s="4">
        <v>298925268</v>
      </c>
      <c r="AE24" s="4">
        <v>17497283</v>
      </c>
      <c r="AG24" s="4" t="s">
        <v>110</v>
      </c>
      <c r="AH24" s="4" t="s">
        <v>111</v>
      </c>
      <c r="AI24" s="4" t="s">
        <v>67</v>
      </c>
    </row>
    <row r="25" spans="1:35" ht="36" x14ac:dyDescent="0.3">
      <c r="A25" s="43" t="s">
        <v>112</v>
      </c>
      <c r="B25" s="43" t="s">
        <v>107</v>
      </c>
      <c r="C25" s="44" t="s">
        <v>108</v>
      </c>
      <c r="D25" s="45"/>
      <c r="E25" s="45" t="s">
        <v>113</v>
      </c>
      <c r="F25" s="45" t="s">
        <v>64</v>
      </c>
      <c r="G25" s="46">
        <v>1</v>
      </c>
      <c r="H25" s="45"/>
      <c r="I25" s="46">
        <v>57.8</v>
      </c>
      <c r="J25" s="47">
        <v>0</v>
      </c>
      <c r="K25" s="47">
        <v>855</v>
      </c>
      <c r="L25" s="47"/>
      <c r="M25" s="47">
        <v>0</v>
      </c>
      <c r="N25" s="47"/>
      <c r="O25" s="47"/>
      <c r="P25" s="47">
        <v>0</v>
      </c>
      <c r="Q25" s="47">
        <v>855</v>
      </c>
      <c r="R25" s="47"/>
      <c r="S25" s="47">
        <v>0</v>
      </c>
      <c r="T25" s="47"/>
      <c r="U25" s="47"/>
      <c r="V25" s="9"/>
      <c r="W25" s="9">
        <f>ROUND(Q25 / 1.2, 2)</f>
        <v>712.5</v>
      </c>
      <c r="X25" s="9">
        <f>ROUND(R25 / 1.2, 2)</f>
        <v>0</v>
      </c>
      <c r="Y25" s="9"/>
      <c r="Z25" s="9">
        <f>ROUND(T25 / 1.2, 2)</f>
        <v>0</v>
      </c>
      <c r="AA25" s="9"/>
      <c r="AD25" s="4">
        <v>225249743</v>
      </c>
      <c r="AE25" s="4">
        <v>17497283</v>
      </c>
      <c r="AG25" s="4" t="s">
        <v>110</v>
      </c>
      <c r="AH25" s="4" t="s">
        <v>111</v>
      </c>
      <c r="AI25" s="4"/>
    </row>
    <row r="26" spans="1:35" ht="18" x14ac:dyDescent="0.3">
      <c r="A26" s="37" t="s">
        <v>114</v>
      </c>
      <c r="B26" s="37"/>
      <c r="C26" s="48" t="s">
        <v>115</v>
      </c>
      <c r="D26" s="39"/>
      <c r="E26" s="39"/>
      <c r="F26" s="49" t="s">
        <v>116</v>
      </c>
      <c r="G26" s="50">
        <v>8</v>
      </c>
      <c r="H26" s="39"/>
      <c r="I26" s="51">
        <v>0</v>
      </c>
      <c r="J26" s="52">
        <v>2.5</v>
      </c>
      <c r="K26" s="53"/>
      <c r="L26" s="53"/>
      <c r="M26" s="52">
        <f t="shared" ref="M26:M39" si="4">ROUND(ROUND(J26, 2)*I26, 2)</f>
        <v>0</v>
      </c>
      <c r="N26" s="53"/>
      <c r="O26" s="53"/>
      <c r="P26" s="52">
        <v>2.5</v>
      </c>
      <c r="Q26" s="53"/>
      <c r="R26" s="53"/>
      <c r="S26" s="52">
        <f t="shared" ref="S26:S39" si="5">ROUND(ROUND(P26, 2)*I26, 2)</f>
        <v>0</v>
      </c>
      <c r="T26" s="53"/>
      <c r="U26" s="54"/>
      <c r="V26" s="9">
        <f t="shared" ref="V26:V39" si="6">ROUND(ROUND(P26, 2)/1.2, 2)</f>
        <v>2.08</v>
      </c>
      <c r="Y26" s="9">
        <f t="shared" ref="Y26:Y40" si="7">ROUND(S26 / 1.2, 2)</f>
        <v>0</v>
      </c>
      <c r="AD26" s="4" t="s">
        <v>117</v>
      </c>
      <c r="AE26" s="4" t="s">
        <v>118</v>
      </c>
      <c r="AF26" s="4" t="s">
        <v>119</v>
      </c>
    </row>
    <row r="27" spans="1:35" ht="18" x14ac:dyDescent="0.3">
      <c r="A27" s="43" t="s">
        <v>120</v>
      </c>
      <c r="B27" s="43"/>
      <c r="C27" s="55" t="s">
        <v>115</v>
      </c>
      <c r="D27" s="45"/>
      <c r="E27" s="45"/>
      <c r="F27" s="56" t="s">
        <v>116</v>
      </c>
      <c r="G27" s="57">
        <v>8</v>
      </c>
      <c r="H27" s="45"/>
      <c r="I27" s="58">
        <v>462.4</v>
      </c>
      <c r="J27" s="59">
        <v>2.5</v>
      </c>
      <c r="K27" s="60"/>
      <c r="L27" s="60"/>
      <c r="M27" s="59">
        <f t="shared" si="4"/>
        <v>1156</v>
      </c>
      <c r="N27" s="60"/>
      <c r="O27" s="60"/>
      <c r="P27" s="59">
        <v>2.5</v>
      </c>
      <c r="Q27" s="60"/>
      <c r="R27" s="60"/>
      <c r="S27" s="59">
        <f t="shared" si="5"/>
        <v>1156</v>
      </c>
      <c r="T27" s="60"/>
      <c r="U27" s="61"/>
      <c r="V27" s="9">
        <f t="shared" si="6"/>
        <v>2.08</v>
      </c>
      <c r="Y27" s="9">
        <f t="shared" si="7"/>
        <v>963.33</v>
      </c>
      <c r="AD27" s="4" t="s">
        <v>121</v>
      </c>
      <c r="AE27" s="4" t="s">
        <v>118</v>
      </c>
      <c r="AF27" s="4" t="s">
        <v>119</v>
      </c>
    </row>
    <row r="28" spans="1:35" ht="18" x14ac:dyDescent="0.3">
      <c r="A28" s="37" t="s">
        <v>122</v>
      </c>
      <c r="B28" s="37"/>
      <c r="C28" s="48" t="s">
        <v>123</v>
      </c>
      <c r="D28" s="39"/>
      <c r="E28" s="39"/>
      <c r="F28" s="49" t="s">
        <v>70</v>
      </c>
      <c r="G28" s="50">
        <v>1E-3</v>
      </c>
      <c r="H28" s="39"/>
      <c r="I28" s="51">
        <v>0</v>
      </c>
      <c r="J28" s="52">
        <v>208.33</v>
      </c>
      <c r="K28" s="53"/>
      <c r="L28" s="53"/>
      <c r="M28" s="52">
        <f t="shared" si="4"/>
        <v>0</v>
      </c>
      <c r="N28" s="53"/>
      <c r="O28" s="53"/>
      <c r="P28" s="52">
        <v>208.33</v>
      </c>
      <c r="Q28" s="53"/>
      <c r="R28" s="53"/>
      <c r="S28" s="52">
        <f t="shared" si="5"/>
        <v>0</v>
      </c>
      <c r="T28" s="53"/>
      <c r="U28" s="54"/>
      <c r="V28" s="9">
        <f t="shared" si="6"/>
        <v>173.61</v>
      </c>
      <c r="Y28" s="9">
        <f t="shared" si="7"/>
        <v>0</v>
      </c>
      <c r="AD28" s="4" t="s">
        <v>124</v>
      </c>
      <c r="AE28" s="4" t="s">
        <v>125</v>
      </c>
      <c r="AF28" s="4" t="s">
        <v>126</v>
      </c>
    </row>
    <row r="29" spans="1:35" ht="18" x14ac:dyDescent="0.3">
      <c r="A29" s="43" t="s">
        <v>127</v>
      </c>
      <c r="B29" s="43"/>
      <c r="C29" s="55" t="s">
        <v>123</v>
      </c>
      <c r="D29" s="45"/>
      <c r="E29" s="45"/>
      <c r="F29" s="56" t="s">
        <v>70</v>
      </c>
      <c r="G29" s="57">
        <v>1E-3</v>
      </c>
      <c r="H29" s="45"/>
      <c r="I29" s="58">
        <v>2.89</v>
      </c>
      <c r="J29" s="59">
        <v>208.33</v>
      </c>
      <c r="K29" s="60"/>
      <c r="L29" s="60"/>
      <c r="M29" s="59">
        <f t="shared" si="4"/>
        <v>602.07000000000005</v>
      </c>
      <c r="N29" s="60"/>
      <c r="O29" s="60"/>
      <c r="P29" s="59">
        <v>208.33</v>
      </c>
      <c r="Q29" s="60"/>
      <c r="R29" s="60"/>
      <c r="S29" s="59">
        <f t="shared" si="5"/>
        <v>602.07000000000005</v>
      </c>
      <c r="T29" s="60"/>
      <c r="U29" s="61"/>
      <c r="V29" s="9">
        <f t="shared" si="6"/>
        <v>173.61</v>
      </c>
      <c r="Y29" s="9">
        <f t="shared" si="7"/>
        <v>501.73</v>
      </c>
      <c r="AD29" s="4" t="s">
        <v>128</v>
      </c>
      <c r="AE29" s="4" t="s">
        <v>125</v>
      </c>
      <c r="AF29" s="4" t="s">
        <v>126</v>
      </c>
    </row>
    <row r="30" spans="1:35" ht="18" x14ac:dyDescent="0.3">
      <c r="A30" s="37" t="s">
        <v>129</v>
      </c>
      <c r="B30" s="37"/>
      <c r="C30" s="48" t="s">
        <v>130</v>
      </c>
      <c r="D30" s="39"/>
      <c r="E30" s="39"/>
      <c r="F30" s="49" t="s">
        <v>64</v>
      </c>
      <c r="G30" s="50">
        <v>1.1000000000000001</v>
      </c>
      <c r="H30" s="39"/>
      <c r="I30" s="51">
        <v>0</v>
      </c>
      <c r="J30" s="52">
        <v>155.01</v>
      </c>
      <c r="K30" s="53"/>
      <c r="L30" s="53"/>
      <c r="M30" s="52">
        <f t="shared" si="4"/>
        <v>0</v>
      </c>
      <c r="N30" s="53"/>
      <c r="O30" s="53"/>
      <c r="P30" s="52">
        <v>155.01</v>
      </c>
      <c r="Q30" s="53"/>
      <c r="R30" s="53"/>
      <c r="S30" s="52">
        <f t="shared" si="5"/>
        <v>0</v>
      </c>
      <c r="T30" s="53"/>
      <c r="U30" s="54"/>
      <c r="V30" s="9">
        <f t="shared" si="6"/>
        <v>129.18</v>
      </c>
      <c r="Y30" s="9">
        <f t="shared" si="7"/>
        <v>0</v>
      </c>
      <c r="AD30" s="4" t="s">
        <v>131</v>
      </c>
      <c r="AE30" s="4" t="s">
        <v>132</v>
      </c>
      <c r="AF30" s="4" t="s">
        <v>133</v>
      </c>
    </row>
    <row r="31" spans="1:35" ht="18" x14ac:dyDescent="0.3">
      <c r="A31" s="43" t="s">
        <v>134</v>
      </c>
      <c r="B31" s="43"/>
      <c r="C31" s="55" t="s">
        <v>130</v>
      </c>
      <c r="D31" s="45"/>
      <c r="E31" s="45"/>
      <c r="F31" s="56" t="s">
        <v>64</v>
      </c>
      <c r="G31" s="57">
        <v>1.1000000000000001</v>
      </c>
      <c r="H31" s="45"/>
      <c r="I31" s="58">
        <v>63.58</v>
      </c>
      <c r="J31" s="59">
        <v>155.01</v>
      </c>
      <c r="K31" s="60"/>
      <c r="L31" s="60"/>
      <c r="M31" s="59">
        <f t="shared" si="4"/>
        <v>9855.5400000000009</v>
      </c>
      <c r="N31" s="60"/>
      <c r="O31" s="60"/>
      <c r="P31" s="59">
        <v>155.01</v>
      </c>
      <c r="Q31" s="60"/>
      <c r="R31" s="60"/>
      <c r="S31" s="59">
        <f t="shared" si="5"/>
        <v>9855.5400000000009</v>
      </c>
      <c r="T31" s="60"/>
      <c r="U31" s="61"/>
      <c r="V31" s="9">
        <f t="shared" si="6"/>
        <v>129.18</v>
      </c>
      <c r="Y31" s="9">
        <f t="shared" si="7"/>
        <v>8212.9500000000007</v>
      </c>
      <c r="AD31" s="4" t="s">
        <v>135</v>
      </c>
      <c r="AE31" s="4" t="s">
        <v>132</v>
      </c>
      <c r="AF31" s="4" t="s">
        <v>133</v>
      </c>
    </row>
    <row r="32" spans="1:35" ht="18" x14ac:dyDescent="0.3">
      <c r="A32" s="37" t="s">
        <v>136</v>
      </c>
      <c r="B32" s="37"/>
      <c r="C32" s="48" t="s">
        <v>137</v>
      </c>
      <c r="D32" s="39"/>
      <c r="E32" s="39"/>
      <c r="F32" s="49" t="s">
        <v>70</v>
      </c>
      <c r="G32" s="50">
        <v>0.32</v>
      </c>
      <c r="H32" s="39"/>
      <c r="I32" s="51">
        <v>0</v>
      </c>
      <c r="J32" s="52">
        <v>7.5</v>
      </c>
      <c r="K32" s="53"/>
      <c r="L32" s="53"/>
      <c r="M32" s="52">
        <f t="shared" si="4"/>
        <v>0</v>
      </c>
      <c r="N32" s="53"/>
      <c r="O32" s="53"/>
      <c r="P32" s="52">
        <v>7.5</v>
      </c>
      <c r="Q32" s="53"/>
      <c r="R32" s="53"/>
      <c r="S32" s="52">
        <f t="shared" si="5"/>
        <v>0</v>
      </c>
      <c r="T32" s="53"/>
      <c r="U32" s="54"/>
      <c r="V32" s="9">
        <f t="shared" si="6"/>
        <v>6.25</v>
      </c>
      <c r="Y32" s="9">
        <f t="shared" si="7"/>
        <v>0</v>
      </c>
      <c r="AD32" s="4" t="s">
        <v>138</v>
      </c>
      <c r="AE32" s="4" t="s">
        <v>139</v>
      </c>
      <c r="AF32" s="4" t="s">
        <v>140</v>
      </c>
    </row>
    <row r="33" spans="1:35" ht="18" x14ac:dyDescent="0.3">
      <c r="A33" s="43" t="s">
        <v>141</v>
      </c>
      <c r="B33" s="43"/>
      <c r="C33" s="55" t="s">
        <v>137</v>
      </c>
      <c r="D33" s="45"/>
      <c r="E33" s="45"/>
      <c r="F33" s="56" t="s">
        <v>70</v>
      </c>
      <c r="G33" s="57">
        <v>0.32</v>
      </c>
      <c r="H33" s="45"/>
      <c r="I33" s="58">
        <v>924.8</v>
      </c>
      <c r="J33" s="59">
        <v>7.5</v>
      </c>
      <c r="K33" s="60"/>
      <c r="L33" s="60"/>
      <c r="M33" s="59">
        <f t="shared" si="4"/>
        <v>6936</v>
      </c>
      <c r="N33" s="60"/>
      <c r="O33" s="60"/>
      <c r="P33" s="59">
        <v>7.5</v>
      </c>
      <c r="Q33" s="60"/>
      <c r="R33" s="60"/>
      <c r="S33" s="59">
        <f t="shared" si="5"/>
        <v>6936</v>
      </c>
      <c r="T33" s="60"/>
      <c r="U33" s="61"/>
      <c r="V33" s="9">
        <f t="shared" si="6"/>
        <v>6.25</v>
      </c>
      <c r="Y33" s="9">
        <f t="shared" si="7"/>
        <v>5780</v>
      </c>
      <c r="AD33" s="4" t="s">
        <v>142</v>
      </c>
      <c r="AE33" s="4" t="s">
        <v>139</v>
      </c>
      <c r="AF33" s="4" t="s">
        <v>140</v>
      </c>
    </row>
    <row r="34" spans="1:35" ht="18" x14ac:dyDescent="0.3">
      <c r="A34" s="37" t="s">
        <v>143</v>
      </c>
      <c r="B34" s="37"/>
      <c r="C34" s="48" t="s">
        <v>144</v>
      </c>
      <c r="D34" s="39"/>
      <c r="E34" s="39"/>
      <c r="F34" s="49" t="s">
        <v>98</v>
      </c>
      <c r="G34" s="50">
        <v>1E-3</v>
      </c>
      <c r="H34" s="39"/>
      <c r="I34" s="51">
        <v>0</v>
      </c>
      <c r="J34" s="52">
        <v>1600</v>
      </c>
      <c r="K34" s="53"/>
      <c r="L34" s="53"/>
      <c r="M34" s="52">
        <f t="shared" si="4"/>
        <v>0</v>
      </c>
      <c r="N34" s="53"/>
      <c r="O34" s="53"/>
      <c r="P34" s="52">
        <v>1600</v>
      </c>
      <c r="Q34" s="53"/>
      <c r="R34" s="53"/>
      <c r="S34" s="52">
        <f t="shared" si="5"/>
        <v>0</v>
      </c>
      <c r="T34" s="53"/>
      <c r="U34" s="54"/>
      <c r="V34" s="9">
        <f t="shared" si="6"/>
        <v>1333.33</v>
      </c>
      <c r="Y34" s="9">
        <f t="shared" si="7"/>
        <v>0</v>
      </c>
      <c r="AD34" s="4" t="s">
        <v>145</v>
      </c>
      <c r="AE34" s="4" t="s">
        <v>146</v>
      </c>
      <c r="AF34" s="4" t="s">
        <v>147</v>
      </c>
    </row>
    <row r="35" spans="1:35" ht="18" x14ac:dyDescent="0.3">
      <c r="A35" s="43" t="s">
        <v>148</v>
      </c>
      <c r="B35" s="43"/>
      <c r="C35" s="55" t="s">
        <v>144</v>
      </c>
      <c r="D35" s="45"/>
      <c r="E35" s="45"/>
      <c r="F35" s="56" t="s">
        <v>98</v>
      </c>
      <c r="G35" s="57">
        <v>1E-3</v>
      </c>
      <c r="H35" s="45"/>
      <c r="I35" s="58">
        <v>2.89</v>
      </c>
      <c r="J35" s="59">
        <v>1600</v>
      </c>
      <c r="K35" s="60"/>
      <c r="L35" s="60"/>
      <c r="M35" s="59">
        <f t="shared" si="4"/>
        <v>4624</v>
      </c>
      <c r="N35" s="60"/>
      <c r="O35" s="60"/>
      <c r="P35" s="59">
        <v>1600</v>
      </c>
      <c r="Q35" s="60"/>
      <c r="R35" s="60"/>
      <c r="S35" s="59">
        <f t="shared" si="5"/>
        <v>4624</v>
      </c>
      <c r="T35" s="60"/>
      <c r="U35" s="61"/>
      <c r="V35" s="9">
        <f t="shared" si="6"/>
        <v>1333.33</v>
      </c>
      <c r="Y35" s="9">
        <f t="shared" si="7"/>
        <v>3853.33</v>
      </c>
      <c r="AD35" s="4" t="s">
        <v>149</v>
      </c>
      <c r="AE35" s="4" t="s">
        <v>146</v>
      </c>
      <c r="AF35" s="4" t="s">
        <v>147</v>
      </c>
    </row>
    <row r="36" spans="1:35" ht="18" x14ac:dyDescent="0.3">
      <c r="A36" s="37" t="s">
        <v>150</v>
      </c>
      <c r="B36" s="37"/>
      <c r="C36" s="48" t="s">
        <v>86</v>
      </c>
      <c r="D36" s="39"/>
      <c r="E36" s="39"/>
      <c r="F36" s="49" t="s">
        <v>87</v>
      </c>
      <c r="G36" s="50">
        <v>1</v>
      </c>
      <c r="H36" s="39"/>
      <c r="I36" s="51">
        <v>0</v>
      </c>
      <c r="J36" s="52">
        <v>10.4</v>
      </c>
      <c r="K36" s="53"/>
      <c r="L36" s="53"/>
      <c r="M36" s="52">
        <f t="shared" si="4"/>
        <v>0</v>
      </c>
      <c r="N36" s="53"/>
      <c r="O36" s="53"/>
      <c r="P36" s="52">
        <v>10.4</v>
      </c>
      <c r="Q36" s="53"/>
      <c r="R36" s="53"/>
      <c r="S36" s="52">
        <f t="shared" si="5"/>
        <v>0</v>
      </c>
      <c r="T36" s="53"/>
      <c r="U36" s="54"/>
      <c r="V36" s="9">
        <f t="shared" si="6"/>
        <v>8.67</v>
      </c>
      <c r="Y36" s="9">
        <f t="shared" si="7"/>
        <v>0</v>
      </c>
      <c r="AD36" s="4" t="s">
        <v>151</v>
      </c>
      <c r="AE36" s="4" t="s">
        <v>152</v>
      </c>
      <c r="AF36" s="4" t="s">
        <v>90</v>
      </c>
    </row>
    <row r="37" spans="1:35" ht="18" x14ac:dyDescent="0.3">
      <c r="A37" s="43" t="s">
        <v>153</v>
      </c>
      <c r="B37" s="43"/>
      <c r="C37" s="55" t="s">
        <v>86</v>
      </c>
      <c r="D37" s="45"/>
      <c r="E37" s="45"/>
      <c r="F37" s="56" t="s">
        <v>87</v>
      </c>
      <c r="G37" s="57">
        <v>1</v>
      </c>
      <c r="H37" s="45"/>
      <c r="I37" s="58">
        <v>26</v>
      </c>
      <c r="J37" s="59">
        <v>10.4</v>
      </c>
      <c r="K37" s="60"/>
      <c r="L37" s="60"/>
      <c r="M37" s="59">
        <f t="shared" si="4"/>
        <v>270.39999999999998</v>
      </c>
      <c r="N37" s="60"/>
      <c r="O37" s="60"/>
      <c r="P37" s="59">
        <v>10.4</v>
      </c>
      <c r="Q37" s="60"/>
      <c r="R37" s="60"/>
      <c r="S37" s="59">
        <f t="shared" si="5"/>
        <v>270.39999999999998</v>
      </c>
      <c r="T37" s="60"/>
      <c r="U37" s="61"/>
      <c r="V37" s="9">
        <f t="shared" si="6"/>
        <v>8.67</v>
      </c>
      <c r="Y37" s="9">
        <f t="shared" si="7"/>
        <v>225.33</v>
      </c>
      <c r="AD37" s="4" t="s">
        <v>154</v>
      </c>
      <c r="AE37" s="4" t="s">
        <v>152</v>
      </c>
      <c r="AF37" s="4" t="s">
        <v>90</v>
      </c>
    </row>
    <row r="38" spans="1:35" ht="36" x14ac:dyDescent="0.3">
      <c r="A38" s="37" t="s">
        <v>155</v>
      </c>
      <c r="B38" s="37"/>
      <c r="C38" s="48" t="s">
        <v>75</v>
      </c>
      <c r="D38" s="39"/>
      <c r="E38" s="39"/>
      <c r="F38" s="49" t="s">
        <v>70</v>
      </c>
      <c r="G38" s="50">
        <v>0.2</v>
      </c>
      <c r="H38" s="39"/>
      <c r="I38" s="62">
        <v>0</v>
      </c>
      <c r="J38" s="52">
        <v>88.8</v>
      </c>
      <c r="K38" s="53"/>
      <c r="L38" s="53"/>
      <c r="M38" s="52">
        <f t="shared" si="4"/>
        <v>0</v>
      </c>
      <c r="N38" s="53"/>
      <c r="O38" s="53"/>
      <c r="P38" s="52">
        <v>88.8</v>
      </c>
      <c r="Q38" s="53"/>
      <c r="R38" s="53"/>
      <c r="S38" s="52">
        <f t="shared" si="5"/>
        <v>0</v>
      </c>
      <c r="T38" s="53"/>
      <c r="U38" s="54"/>
      <c r="V38" s="9">
        <f t="shared" si="6"/>
        <v>74</v>
      </c>
      <c r="Y38" s="9">
        <f t="shared" si="7"/>
        <v>0</v>
      </c>
      <c r="AD38" s="4" t="s">
        <v>156</v>
      </c>
      <c r="AE38" s="4" t="s">
        <v>157</v>
      </c>
      <c r="AF38" s="4" t="s">
        <v>78</v>
      </c>
    </row>
    <row r="39" spans="1:35" ht="36" x14ac:dyDescent="0.3">
      <c r="A39" s="43" t="s">
        <v>158</v>
      </c>
      <c r="B39" s="43"/>
      <c r="C39" s="55" t="s">
        <v>75</v>
      </c>
      <c r="D39" s="45"/>
      <c r="E39" s="45"/>
      <c r="F39" s="56" t="s">
        <v>70</v>
      </c>
      <c r="G39" s="57">
        <v>0.2</v>
      </c>
      <c r="H39" s="45"/>
      <c r="I39" s="57">
        <v>11.56</v>
      </c>
      <c r="J39" s="59">
        <v>88.8</v>
      </c>
      <c r="K39" s="60"/>
      <c r="L39" s="60"/>
      <c r="M39" s="59">
        <f t="shared" si="4"/>
        <v>1026.53</v>
      </c>
      <c r="N39" s="60"/>
      <c r="O39" s="60"/>
      <c r="P39" s="59">
        <v>88.8</v>
      </c>
      <c r="Q39" s="60"/>
      <c r="R39" s="60"/>
      <c r="S39" s="59">
        <f t="shared" si="5"/>
        <v>1026.53</v>
      </c>
      <c r="T39" s="60"/>
      <c r="U39" s="61"/>
      <c r="V39" s="9">
        <f t="shared" si="6"/>
        <v>74</v>
      </c>
      <c r="Y39" s="9">
        <f t="shared" si="7"/>
        <v>855.44</v>
      </c>
      <c r="AD39" s="4" t="s">
        <v>159</v>
      </c>
      <c r="AE39" s="4" t="s">
        <v>157</v>
      </c>
      <c r="AF39" s="4" t="s">
        <v>78</v>
      </c>
    </row>
    <row r="40" spans="1:35" ht="36" x14ac:dyDescent="0.3">
      <c r="A40" s="37" t="s">
        <v>160</v>
      </c>
      <c r="B40" s="37" t="s">
        <v>107</v>
      </c>
      <c r="C40" s="38" t="s">
        <v>108</v>
      </c>
      <c r="D40" s="39"/>
      <c r="E40" s="39" t="s">
        <v>161</v>
      </c>
      <c r="F40" s="39" t="s">
        <v>64</v>
      </c>
      <c r="G40" s="40">
        <v>1</v>
      </c>
      <c r="H40" s="39"/>
      <c r="I40" s="41">
        <v>0</v>
      </c>
      <c r="J40" s="42">
        <f>IFERROR(ROUND(SUM(M42,M44,M46,M48,M50,M52,M54)/I40, 2),0)</f>
        <v>0</v>
      </c>
      <c r="K40" s="42">
        <v>941</v>
      </c>
      <c r="L40" s="42">
        <f>J40+ROUND(K40, 2)</f>
        <v>941</v>
      </c>
      <c r="M40" s="42">
        <f>ROUND(J40*I40, 2)</f>
        <v>0</v>
      </c>
      <c r="N40" s="42">
        <f>ROUND(I40*ROUND(K40, 2), 2)</f>
        <v>0</v>
      </c>
      <c r="O40" s="42">
        <f>M40+N40</f>
        <v>0</v>
      </c>
      <c r="P40" s="42">
        <f>IFERROR(ROUND(SUM(S42,S44,S46,S48,S50,S52,S54)/I40, 2),0)</f>
        <v>0</v>
      </c>
      <c r="Q40" s="42">
        <v>855</v>
      </c>
      <c r="R40" s="42">
        <f>P40+ROUND(Q40, 2)</f>
        <v>855</v>
      </c>
      <c r="S40" s="42">
        <f>ROUND(P40*I40, 2)</f>
        <v>0</v>
      </c>
      <c r="T40" s="42">
        <f>ROUND(I40*ROUND(Q40, 2), 2)</f>
        <v>0</v>
      </c>
      <c r="U40" s="42">
        <f>S40+T40</f>
        <v>0</v>
      </c>
      <c r="V40" s="9">
        <f>ROUND(P40 / 1.2, 2)</f>
        <v>0</v>
      </c>
      <c r="W40" s="9">
        <f>ROUND(Q40 / 1.2, 2)</f>
        <v>712.5</v>
      </c>
      <c r="X40" s="9">
        <f>ROUND(R40 / 1.2, 2)</f>
        <v>712.5</v>
      </c>
      <c r="Y40" s="9">
        <f t="shared" si="7"/>
        <v>0</v>
      </c>
      <c r="Z40" s="9">
        <f>ROUND(T40 / 1.2, 2)</f>
        <v>0</v>
      </c>
      <c r="AA40" s="9">
        <f>Y40+Z40</f>
        <v>0</v>
      </c>
      <c r="AD40" s="4">
        <v>298925367</v>
      </c>
      <c r="AE40" s="4">
        <v>17497284</v>
      </c>
      <c r="AG40" s="4" t="s">
        <v>110</v>
      </c>
      <c r="AH40" s="4" t="s">
        <v>111</v>
      </c>
      <c r="AI40" s="4" t="s">
        <v>67</v>
      </c>
    </row>
    <row r="41" spans="1:35" ht="36" x14ac:dyDescent="0.3">
      <c r="A41" s="43" t="s">
        <v>162</v>
      </c>
      <c r="B41" s="43" t="s">
        <v>107</v>
      </c>
      <c r="C41" s="44" t="s">
        <v>108</v>
      </c>
      <c r="D41" s="45"/>
      <c r="E41" s="45" t="s">
        <v>163</v>
      </c>
      <c r="F41" s="45" t="s">
        <v>64</v>
      </c>
      <c r="G41" s="46">
        <v>1</v>
      </c>
      <c r="H41" s="45"/>
      <c r="I41" s="46">
        <v>631.29999999999995</v>
      </c>
      <c r="J41" s="47">
        <v>0</v>
      </c>
      <c r="K41" s="47">
        <v>855</v>
      </c>
      <c r="L41" s="47"/>
      <c r="M41" s="47">
        <v>0</v>
      </c>
      <c r="N41" s="47"/>
      <c r="O41" s="47"/>
      <c r="P41" s="47">
        <v>0</v>
      </c>
      <c r="Q41" s="47">
        <v>855</v>
      </c>
      <c r="R41" s="47"/>
      <c r="S41" s="47">
        <v>0</v>
      </c>
      <c r="T41" s="47"/>
      <c r="U41" s="47"/>
      <c r="V41" s="9"/>
      <c r="W41" s="9">
        <f>ROUND(Q41 / 1.2, 2)</f>
        <v>712.5</v>
      </c>
      <c r="X41" s="9">
        <f>ROUND(R41 / 1.2, 2)</f>
        <v>0</v>
      </c>
      <c r="Y41" s="9"/>
      <c r="Z41" s="9">
        <f>ROUND(T41 / 1.2, 2)</f>
        <v>0</v>
      </c>
      <c r="AA41" s="9"/>
      <c r="AD41" s="4">
        <v>225249798</v>
      </c>
      <c r="AE41" s="4">
        <v>17497284</v>
      </c>
      <c r="AG41" s="4" t="s">
        <v>110</v>
      </c>
      <c r="AH41" s="4" t="s">
        <v>111</v>
      </c>
      <c r="AI41" s="4"/>
    </row>
    <row r="42" spans="1:35" ht="36" x14ac:dyDescent="0.3">
      <c r="A42" s="37" t="s">
        <v>164</v>
      </c>
      <c r="B42" s="37"/>
      <c r="C42" s="48" t="s">
        <v>75</v>
      </c>
      <c r="D42" s="39"/>
      <c r="E42" s="39"/>
      <c r="F42" s="49" t="s">
        <v>70</v>
      </c>
      <c r="G42" s="50">
        <v>0.2</v>
      </c>
      <c r="H42" s="39"/>
      <c r="I42" s="62">
        <v>0</v>
      </c>
      <c r="J42" s="52">
        <v>88.8</v>
      </c>
      <c r="K42" s="53"/>
      <c r="L42" s="53"/>
      <c r="M42" s="52">
        <f t="shared" ref="M42:M55" si="8">ROUND(ROUND(J42, 2)*I42, 2)</f>
        <v>0</v>
      </c>
      <c r="N42" s="53"/>
      <c r="O42" s="53"/>
      <c r="P42" s="52">
        <v>88.8</v>
      </c>
      <c r="Q42" s="53"/>
      <c r="R42" s="53"/>
      <c r="S42" s="52">
        <f t="shared" ref="S42:S55" si="9">ROUND(ROUND(P42, 2)*I42, 2)</f>
        <v>0</v>
      </c>
      <c r="T42" s="53"/>
      <c r="U42" s="54"/>
      <c r="V42" s="9">
        <f t="shared" ref="V42:V55" si="10">ROUND(ROUND(P42, 2)/1.2, 2)</f>
        <v>74</v>
      </c>
      <c r="Y42" s="9">
        <f t="shared" ref="Y42:Y74" si="11">ROUND(S42 / 1.2, 2)</f>
        <v>0</v>
      </c>
      <c r="AD42" s="4" t="s">
        <v>165</v>
      </c>
      <c r="AE42" s="4" t="s">
        <v>166</v>
      </c>
      <c r="AF42" s="4" t="s">
        <v>78</v>
      </c>
    </row>
    <row r="43" spans="1:35" ht="36" x14ac:dyDescent="0.3">
      <c r="A43" s="43" t="s">
        <v>167</v>
      </c>
      <c r="B43" s="43"/>
      <c r="C43" s="55" t="s">
        <v>75</v>
      </c>
      <c r="D43" s="45"/>
      <c r="E43" s="45"/>
      <c r="F43" s="56" t="s">
        <v>70</v>
      </c>
      <c r="G43" s="57">
        <v>0.2</v>
      </c>
      <c r="H43" s="45"/>
      <c r="I43" s="57">
        <v>126.26</v>
      </c>
      <c r="J43" s="59">
        <v>88.8</v>
      </c>
      <c r="K43" s="60"/>
      <c r="L43" s="60"/>
      <c r="M43" s="59">
        <f t="shared" si="8"/>
        <v>11211.89</v>
      </c>
      <c r="N43" s="60"/>
      <c r="O43" s="60"/>
      <c r="P43" s="59">
        <v>88.8</v>
      </c>
      <c r="Q43" s="60"/>
      <c r="R43" s="60"/>
      <c r="S43" s="59">
        <f t="shared" si="9"/>
        <v>11211.89</v>
      </c>
      <c r="T43" s="60"/>
      <c r="U43" s="61"/>
      <c r="V43" s="9">
        <f t="shared" si="10"/>
        <v>74</v>
      </c>
      <c r="Y43" s="9">
        <f t="shared" si="11"/>
        <v>9343.24</v>
      </c>
      <c r="AD43" s="4" t="s">
        <v>168</v>
      </c>
      <c r="AE43" s="4" t="s">
        <v>166</v>
      </c>
      <c r="AF43" s="4" t="s">
        <v>78</v>
      </c>
    </row>
    <row r="44" spans="1:35" ht="18" x14ac:dyDescent="0.3">
      <c r="A44" s="37" t="s">
        <v>169</v>
      </c>
      <c r="B44" s="37"/>
      <c r="C44" s="48" t="s">
        <v>86</v>
      </c>
      <c r="D44" s="39"/>
      <c r="E44" s="39"/>
      <c r="F44" s="49" t="s">
        <v>87</v>
      </c>
      <c r="G44" s="50">
        <v>1</v>
      </c>
      <c r="H44" s="39"/>
      <c r="I44" s="51">
        <v>0</v>
      </c>
      <c r="J44" s="52">
        <v>10.4</v>
      </c>
      <c r="K44" s="53"/>
      <c r="L44" s="53"/>
      <c r="M44" s="52">
        <f t="shared" si="8"/>
        <v>0</v>
      </c>
      <c r="N44" s="53"/>
      <c r="O44" s="53"/>
      <c r="P44" s="52">
        <v>10.4</v>
      </c>
      <c r="Q44" s="53"/>
      <c r="R44" s="53"/>
      <c r="S44" s="52">
        <f t="shared" si="9"/>
        <v>0</v>
      </c>
      <c r="T44" s="53"/>
      <c r="U44" s="54"/>
      <c r="V44" s="9">
        <f t="shared" si="10"/>
        <v>8.67</v>
      </c>
      <c r="Y44" s="9">
        <f t="shared" si="11"/>
        <v>0</v>
      </c>
      <c r="AD44" s="4" t="s">
        <v>170</v>
      </c>
      <c r="AE44" s="4" t="s">
        <v>171</v>
      </c>
      <c r="AF44" s="4" t="s">
        <v>90</v>
      </c>
    </row>
    <row r="45" spans="1:35" ht="18" x14ac:dyDescent="0.3">
      <c r="A45" s="43" t="s">
        <v>172</v>
      </c>
      <c r="B45" s="43"/>
      <c r="C45" s="55" t="s">
        <v>86</v>
      </c>
      <c r="D45" s="45"/>
      <c r="E45" s="45"/>
      <c r="F45" s="56" t="s">
        <v>87</v>
      </c>
      <c r="G45" s="57">
        <v>1</v>
      </c>
      <c r="H45" s="45"/>
      <c r="I45" s="58">
        <v>277</v>
      </c>
      <c r="J45" s="59">
        <v>10.4</v>
      </c>
      <c r="K45" s="60"/>
      <c r="L45" s="60"/>
      <c r="M45" s="59">
        <f t="shared" si="8"/>
        <v>2880.8</v>
      </c>
      <c r="N45" s="60"/>
      <c r="O45" s="60"/>
      <c r="P45" s="59">
        <v>10.4</v>
      </c>
      <c r="Q45" s="60"/>
      <c r="R45" s="60"/>
      <c r="S45" s="59">
        <f t="shared" si="9"/>
        <v>2880.8</v>
      </c>
      <c r="T45" s="60"/>
      <c r="U45" s="61"/>
      <c r="V45" s="9">
        <f t="shared" si="10"/>
        <v>8.67</v>
      </c>
      <c r="Y45" s="9">
        <f t="shared" si="11"/>
        <v>2400.67</v>
      </c>
      <c r="AD45" s="4" t="s">
        <v>173</v>
      </c>
      <c r="AE45" s="4" t="s">
        <v>171</v>
      </c>
      <c r="AF45" s="4" t="s">
        <v>90</v>
      </c>
    </row>
    <row r="46" spans="1:35" ht="18" x14ac:dyDescent="0.3">
      <c r="A46" s="37" t="s">
        <v>174</v>
      </c>
      <c r="B46" s="37"/>
      <c r="C46" s="48" t="s">
        <v>144</v>
      </c>
      <c r="D46" s="39"/>
      <c r="E46" s="39"/>
      <c r="F46" s="49" t="s">
        <v>98</v>
      </c>
      <c r="G46" s="50">
        <v>1E-3</v>
      </c>
      <c r="H46" s="39"/>
      <c r="I46" s="51">
        <v>0</v>
      </c>
      <c r="J46" s="52">
        <v>1600</v>
      </c>
      <c r="K46" s="53"/>
      <c r="L46" s="53"/>
      <c r="M46" s="52">
        <f t="shared" si="8"/>
        <v>0</v>
      </c>
      <c r="N46" s="53"/>
      <c r="O46" s="53"/>
      <c r="P46" s="52">
        <v>1600</v>
      </c>
      <c r="Q46" s="53"/>
      <c r="R46" s="53"/>
      <c r="S46" s="52">
        <f t="shared" si="9"/>
        <v>0</v>
      </c>
      <c r="T46" s="53"/>
      <c r="U46" s="54"/>
      <c r="V46" s="9">
        <f t="shared" si="10"/>
        <v>1333.33</v>
      </c>
      <c r="Y46" s="9">
        <f t="shared" si="11"/>
        <v>0</v>
      </c>
      <c r="AD46" s="4" t="s">
        <v>175</v>
      </c>
      <c r="AE46" s="4" t="s">
        <v>176</v>
      </c>
      <c r="AF46" s="4" t="s">
        <v>147</v>
      </c>
    </row>
    <row r="47" spans="1:35" ht="18" x14ac:dyDescent="0.3">
      <c r="A47" s="43" t="s">
        <v>177</v>
      </c>
      <c r="B47" s="43"/>
      <c r="C47" s="55" t="s">
        <v>144</v>
      </c>
      <c r="D47" s="45"/>
      <c r="E47" s="45"/>
      <c r="F47" s="56" t="s">
        <v>98</v>
      </c>
      <c r="G47" s="57">
        <v>1E-3</v>
      </c>
      <c r="H47" s="45"/>
      <c r="I47" s="58">
        <v>37.878</v>
      </c>
      <c r="J47" s="59">
        <v>1600</v>
      </c>
      <c r="K47" s="60"/>
      <c r="L47" s="60"/>
      <c r="M47" s="59">
        <f t="shared" si="8"/>
        <v>60604.800000000003</v>
      </c>
      <c r="N47" s="60"/>
      <c r="O47" s="60"/>
      <c r="P47" s="59">
        <v>1600</v>
      </c>
      <c r="Q47" s="60"/>
      <c r="R47" s="60"/>
      <c r="S47" s="59">
        <f t="shared" si="9"/>
        <v>60604.800000000003</v>
      </c>
      <c r="T47" s="60"/>
      <c r="U47" s="61"/>
      <c r="V47" s="9">
        <f t="shared" si="10"/>
        <v>1333.33</v>
      </c>
      <c r="Y47" s="9">
        <f t="shared" si="11"/>
        <v>50504</v>
      </c>
      <c r="AD47" s="4" t="s">
        <v>178</v>
      </c>
      <c r="AE47" s="4" t="s">
        <v>176</v>
      </c>
      <c r="AF47" s="4" t="s">
        <v>147</v>
      </c>
    </row>
    <row r="48" spans="1:35" ht="18" x14ac:dyDescent="0.3">
      <c r="A48" s="37" t="s">
        <v>179</v>
      </c>
      <c r="B48" s="37"/>
      <c r="C48" s="48" t="s">
        <v>137</v>
      </c>
      <c r="D48" s="39"/>
      <c r="E48" s="39"/>
      <c r="F48" s="49" t="s">
        <v>70</v>
      </c>
      <c r="G48" s="50">
        <v>0.32</v>
      </c>
      <c r="H48" s="39"/>
      <c r="I48" s="51">
        <v>0</v>
      </c>
      <c r="J48" s="52">
        <v>7.5</v>
      </c>
      <c r="K48" s="53"/>
      <c r="L48" s="53"/>
      <c r="M48" s="52">
        <f t="shared" si="8"/>
        <v>0</v>
      </c>
      <c r="N48" s="53"/>
      <c r="O48" s="53"/>
      <c r="P48" s="52">
        <v>7.5</v>
      </c>
      <c r="Q48" s="53"/>
      <c r="R48" s="53"/>
      <c r="S48" s="52">
        <f t="shared" si="9"/>
        <v>0</v>
      </c>
      <c r="T48" s="53"/>
      <c r="U48" s="54"/>
      <c r="V48" s="9">
        <f t="shared" si="10"/>
        <v>6.25</v>
      </c>
      <c r="Y48" s="9">
        <f t="shared" si="11"/>
        <v>0</v>
      </c>
      <c r="AD48" s="4" t="s">
        <v>180</v>
      </c>
      <c r="AE48" s="4" t="s">
        <v>181</v>
      </c>
      <c r="AF48" s="4" t="s">
        <v>140</v>
      </c>
    </row>
    <row r="49" spans="1:35" ht="18" x14ac:dyDescent="0.3">
      <c r="A49" s="43" t="s">
        <v>182</v>
      </c>
      <c r="B49" s="43"/>
      <c r="C49" s="55" t="s">
        <v>137</v>
      </c>
      <c r="D49" s="45"/>
      <c r="E49" s="45"/>
      <c r="F49" s="56" t="s">
        <v>70</v>
      </c>
      <c r="G49" s="57">
        <v>0.32</v>
      </c>
      <c r="H49" s="45"/>
      <c r="I49" s="58">
        <v>12120.96</v>
      </c>
      <c r="J49" s="59">
        <v>7.5</v>
      </c>
      <c r="K49" s="60"/>
      <c r="L49" s="60"/>
      <c r="M49" s="59">
        <f t="shared" si="8"/>
        <v>90907.199999999997</v>
      </c>
      <c r="N49" s="60"/>
      <c r="O49" s="60"/>
      <c r="P49" s="59">
        <v>7.5</v>
      </c>
      <c r="Q49" s="60"/>
      <c r="R49" s="60"/>
      <c r="S49" s="59">
        <f t="shared" si="9"/>
        <v>90907.199999999997</v>
      </c>
      <c r="T49" s="60"/>
      <c r="U49" s="61"/>
      <c r="V49" s="9">
        <f t="shared" si="10"/>
        <v>6.25</v>
      </c>
      <c r="Y49" s="9">
        <f t="shared" si="11"/>
        <v>75756</v>
      </c>
      <c r="AD49" s="4" t="s">
        <v>183</v>
      </c>
      <c r="AE49" s="4" t="s">
        <v>181</v>
      </c>
      <c r="AF49" s="4" t="s">
        <v>140</v>
      </c>
    </row>
    <row r="50" spans="1:35" ht="18" x14ac:dyDescent="0.3">
      <c r="A50" s="37" t="s">
        <v>184</v>
      </c>
      <c r="B50" s="37"/>
      <c r="C50" s="48" t="s">
        <v>130</v>
      </c>
      <c r="D50" s="39"/>
      <c r="E50" s="39"/>
      <c r="F50" s="49" t="s">
        <v>64</v>
      </c>
      <c r="G50" s="50">
        <v>1.1000000000000001</v>
      </c>
      <c r="H50" s="39"/>
      <c r="I50" s="51">
        <v>0</v>
      </c>
      <c r="J50" s="52">
        <v>155.01</v>
      </c>
      <c r="K50" s="53"/>
      <c r="L50" s="53"/>
      <c r="M50" s="52">
        <f t="shared" si="8"/>
        <v>0</v>
      </c>
      <c r="N50" s="53"/>
      <c r="O50" s="53"/>
      <c r="P50" s="52">
        <v>155.01</v>
      </c>
      <c r="Q50" s="53"/>
      <c r="R50" s="53"/>
      <c r="S50" s="52">
        <f t="shared" si="9"/>
        <v>0</v>
      </c>
      <c r="T50" s="53"/>
      <c r="U50" s="54"/>
      <c r="V50" s="9">
        <f t="shared" si="10"/>
        <v>129.18</v>
      </c>
      <c r="Y50" s="9">
        <f t="shared" si="11"/>
        <v>0</v>
      </c>
      <c r="AD50" s="4" t="s">
        <v>185</v>
      </c>
      <c r="AE50" s="4" t="s">
        <v>186</v>
      </c>
      <c r="AF50" s="4" t="s">
        <v>133</v>
      </c>
    </row>
    <row r="51" spans="1:35" ht="18" x14ac:dyDescent="0.3">
      <c r="A51" s="43" t="s">
        <v>187</v>
      </c>
      <c r="B51" s="43"/>
      <c r="C51" s="55" t="s">
        <v>130</v>
      </c>
      <c r="D51" s="45"/>
      <c r="E51" s="45"/>
      <c r="F51" s="56" t="s">
        <v>64</v>
      </c>
      <c r="G51" s="57">
        <v>1.1000000000000001</v>
      </c>
      <c r="H51" s="45"/>
      <c r="I51" s="58">
        <v>694.43</v>
      </c>
      <c r="J51" s="59">
        <v>155.01</v>
      </c>
      <c r="K51" s="60"/>
      <c r="L51" s="60"/>
      <c r="M51" s="59">
        <f t="shared" si="8"/>
        <v>107643.59</v>
      </c>
      <c r="N51" s="60"/>
      <c r="O51" s="60"/>
      <c r="P51" s="59">
        <v>155.01</v>
      </c>
      <c r="Q51" s="60"/>
      <c r="R51" s="60"/>
      <c r="S51" s="59">
        <f t="shared" si="9"/>
        <v>107643.59</v>
      </c>
      <c r="T51" s="60"/>
      <c r="U51" s="61"/>
      <c r="V51" s="9">
        <f t="shared" si="10"/>
        <v>129.18</v>
      </c>
      <c r="Y51" s="9">
        <f t="shared" si="11"/>
        <v>89702.99</v>
      </c>
      <c r="AD51" s="4" t="s">
        <v>188</v>
      </c>
      <c r="AE51" s="4" t="s">
        <v>186</v>
      </c>
      <c r="AF51" s="4" t="s">
        <v>133</v>
      </c>
    </row>
    <row r="52" spans="1:35" ht="18" x14ac:dyDescent="0.3">
      <c r="A52" s="37" t="s">
        <v>189</v>
      </c>
      <c r="B52" s="37"/>
      <c r="C52" s="48" t="s">
        <v>123</v>
      </c>
      <c r="D52" s="39"/>
      <c r="E52" s="39"/>
      <c r="F52" s="49" t="s">
        <v>70</v>
      </c>
      <c r="G52" s="50">
        <v>1E-3</v>
      </c>
      <c r="H52" s="39"/>
      <c r="I52" s="51">
        <v>0</v>
      </c>
      <c r="J52" s="52">
        <v>208.33</v>
      </c>
      <c r="K52" s="53"/>
      <c r="L52" s="53"/>
      <c r="M52" s="52">
        <f t="shared" si="8"/>
        <v>0</v>
      </c>
      <c r="N52" s="53"/>
      <c r="O52" s="53"/>
      <c r="P52" s="52">
        <v>208.33</v>
      </c>
      <c r="Q52" s="53"/>
      <c r="R52" s="53"/>
      <c r="S52" s="52">
        <f t="shared" si="9"/>
        <v>0</v>
      </c>
      <c r="T52" s="53"/>
      <c r="U52" s="54"/>
      <c r="V52" s="9">
        <f t="shared" si="10"/>
        <v>173.61</v>
      </c>
      <c r="Y52" s="9">
        <f t="shared" si="11"/>
        <v>0</v>
      </c>
      <c r="AD52" s="4" t="s">
        <v>190</v>
      </c>
      <c r="AE52" s="4" t="s">
        <v>191</v>
      </c>
      <c r="AF52" s="4" t="s">
        <v>126</v>
      </c>
    </row>
    <row r="53" spans="1:35" ht="18" x14ac:dyDescent="0.3">
      <c r="A53" s="43" t="s">
        <v>192</v>
      </c>
      <c r="B53" s="43"/>
      <c r="C53" s="55" t="s">
        <v>123</v>
      </c>
      <c r="D53" s="45"/>
      <c r="E53" s="45"/>
      <c r="F53" s="56" t="s">
        <v>70</v>
      </c>
      <c r="G53" s="57">
        <v>1E-3</v>
      </c>
      <c r="H53" s="45"/>
      <c r="I53" s="58">
        <v>37.878</v>
      </c>
      <c r="J53" s="59">
        <v>208.33</v>
      </c>
      <c r="K53" s="60"/>
      <c r="L53" s="60"/>
      <c r="M53" s="59">
        <f t="shared" si="8"/>
        <v>7891.12</v>
      </c>
      <c r="N53" s="60"/>
      <c r="O53" s="60"/>
      <c r="P53" s="59">
        <v>208.33</v>
      </c>
      <c r="Q53" s="60"/>
      <c r="R53" s="60"/>
      <c r="S53" s="59">
        <f t="shared" si="9"/>
        <v>7891.12</v>
      </c>
      <c r="T53" s="60"/>
      <c r="U53" s="61"/>
      <c r="V53" s="9">
        <f t="shared" si="10"/>
        <v>173.61</v>
      </c>
      <c r="Y53" s="9">
        <f t="shared" si="11"/>
        <v>6575.93</v>
      </c>
      <c r="AD53" s="4" t="s">
        <v>193</v>
      </c>
      <c r="AE53" s="4" t="s">
        <v>191</v>
      </c>
      <c r="AF53" s="4" t="s">
        <v>126</v>
      </c>
    </row>
    <row r="54" spans="1:35" ht="18" x14ac:dyDescent="0.3">
      <c r="A54" s="37" t="s">
        <v>194</v>
      </c>
      <c r="B54" s="37"/>
      <c r="C54" s="48" t="s">
        <v>115</v>
      </c>
      <c r="D54" s="39"/>
      <c r="E54" s="39"/>
      <c r="F54" s="49" t="s">
        <v>116</v>
      </c>
      <c r="G54" s="50">
        <v>8</v>
      </c>
      <c r="H54" s="39"/>
      <c r="I54" s="51">
        <v>0</v>
      </c>
      <c r="J54" s="52">
        <v>2.5</v>
      </c>
      <c r="K54" s="53"/>
      <c r="L54" s="53"/>
      <c r="M54" s="52">
        <f t="shared" si="8"/>
        <v>0</v>
      </c>
      <c r="N54" s="53"/>
      <c r="O54" s="53"/>
      <c r="P54" s="52">
        <v>2.5</v>
      </c>
      <c r="Q54" s="53"/>
      <c r="R54" s="53"/>
      <c r="S54" s="52">
        <f t="shared" si="9"/>
        <v>0</v>
      </c>
      <c r="T54" s="53"/>
      <c r="U54" s="54"/>
      <c r="V54" s="9">
        <f t="shared" si="10"/>
        <v>2.08</v>
      </c>
      <c r="Y54" s="9">
        <f t="shared" si="11"/>
        <v>0</v>
      </c>
      <c r="AD54" s="4" t="s">
        <v>195</v>
      </c>
      <c r="AE54" s="4" t="s">
        <v>196</v>
      </c>
      <c r="AF54" s="4" t="s">
        <v>119</v>
      </c>
    </row>
    <row r="55" spans="1:35" ht="18" x14ac:dyDescent="0.3">
      <c r="A55" s="43" t="s">
        <v>197</v>
      </c>
      <c r="B55" s="43"/>
      <c r="C55" s="55" t="s">
        <v>115</v>
      </c>
      <c r="D55" s="45"/>
      <c r="E55" s="45"/>
      <c r="F55" s="56" t="s">
        <v>116</v>
      </c>
      <c r="G55" s="57">
        <v>8</v>
      </c>
      <c r="H55" s="45"/>
      <c r="I55" s="58">
        <v>5050.3999999999996</v>
      </c>
      <c r="J55" s="59">
        <v>2.5</v>
      </c>
      <c r="K55" s="60"/>
      <c r="L55" s="60"/>
      <c r="M55" s="59">
        <f t="shared" si="8"/>
        <v>12626</v>
      </c>
      <c r="N55" s="60"/>
      <c r="O55" s="60"/>
      <c r="P55" s="59">
        <v>2.5</v>
      </c>
      <c r="Q55" s="60"/>
      <c r="R55" s="60"/>
      <c r="S55" s="59">
        <f t="shared" si="9"/>
        <v>12626</v>
      </c>
      <c r="T55" s="60"/>
      <c r="U55" s="61"/>
      <c r="V55" s="9">
        <f t="shared" si="10"/>
        <v>2.08</v>
      </c>
      <c r="Y55" s="9">
        <f t="shared" si="11"/>
        <v>10521.67</v>
      </c>
      <c r="AD55" s="4" t="s">
        <v>198</v>
      </c>
      <c r="AE55" s="4" t="s">
        <v>196</v>
      </c>
      <c r="AF55" s="4" t="s">
        <v>119</v>
      </c>
    </row>
    <row r="56" spans="1:35" ht="36" x14ac:dyDescent="0.3">
      <c r="A56" s="25" t="s">
        <v>199</v>
      </c>
      <c r="B56" s="25" t="s">
        <v>107</v>
      </c>
      <c r="C56" s="26" t="s">
        <v>200</v>
      </c>
      <c r="D56" s="27"/>
      <c r="E56" s="27" t="s">
        <v>201</v>
      </c>
      <c r="F56" s="27" t="s">
        <v>64</v>
      </c>
      <c r="G56" s="28">
        <v>1</v>
      </c>
      <c r="H56" s="27"/>
      <c r="I56" s="28">
        <v>239.9</v>
      </c>
      <c r="J56" s="29">
        <f>IFERROR(ROUND(SUM(M57,M58,M59,M60,M61)/I56, 2),0)</f>
        <v>878.71</v>
      </c>
      <c r="K56" s="29">
        <v>941</v>
      </c>
      <c r="L56" s="29">
        <f>J56+ROUND(K56, 2)</f>
        <v>1819.71</v>
      </c>
      <c r="M56" s="29">
        <f>ROUND(J56*I56, 2)</f>
        <v>210802.53</v>
      </c>
      <c r="N56" s="29">
        <f>ROUND(I56*ROUND(K56, 2), 2)</f>
        <v>225745.9</v>
      </c>
      <c r="O56" s="29">
        <f>M56+N56</f>
        <v>436548.43</v>
      </c>
      <c r="P56" s="29">
        <f>IFERROR(ROUND(SUM(S57,S58,S59,S60,S61)/I56, 2),0)</f>
        <v>878.71</v>
      </c>
      <c r="Q56" s="29">
        <v>941</v>
      </c>
      <c r="R56" s="29">
        <f>P56+ROUND(Q56, 2)</f>
        <v>1819.71</v>
      </c>
      <c r="S56" s="29">
        <f>ROUND(P56*I56, 2)</f>
        <v>210802.53</v>
      </c>
      <c r="T56" s="29">
        <f>ROUND(I56*ROUND(Q56, 2), 2)</f>
        <v>225745.9</v>
      </c>
      <c r="U56" s="29">
        <f>S56+T56</f>
        <v>436548.43</v>
      </c>
      <c r="V56" s="9">
        <f>ROUND(P56 / 1.2, 2)</f>
        <v>732.26</v>
      </c>
      <c r="W56" s="9">
        <f>ROUND(Q56 / 1.2, 2)</f>
        <v>784.17</v>
      </c>
      <c r="X56" s="9">
        <f>ROUND(R56 / 1.2, 2)</f>
        <v>1516.43</v>
      </c>
      <c r="Y56" s="9">
        <f t="shared" si="11"/>
        <v>175668.78</v>
      </c>
      <c r="Z56" s="9">
        <f>ROUND(T56 / 1.2, 2)</f>
        <v>188121.58</v>
      </c>
      <c r="AA56" s="9">
        <f>Y56+Z56</f>
        <v>363790.36</v>
      </c>
      <c r="AD56" s="4">
        <v>298925368</v>
      </c>
      <c r="AE56" s="4">
        <v>19810928</v>
      </c>
      <c r="AG56" s="4" t="s">
        <v>110</v>
      </c>
      <c r="AH56" s="4" t="s">
        <v>111</v>
      </c>
      <c r="AI56" s="4" t="s">
        <v>67</v>
      </c>
    </row>
    <row r="57" spans="1:35" ht="18" x14ac:dyDescent="0.3">
      <c r="A57" s="25" t="s">
        <v>202</v>
      </c>
      <c r="B57" s="25"/>
      <c r="C57" s="30" t="s">
        <v>115</v>
      </c>
      <c r="D57" s="27"/>
      <c r="E57" s="27"/>
      <c r="F57" s="31" t="s">
        <v>116</v>
      </c>
      <c r="G57" s="32">
        <v>8</v>
      </c>
      <c r="H57" s="27"/>
      <c r="I57" s="33">
        <v>1919.2</v>
      </c>
      <c r="J57" s="34">
        <v>2.5</v>
      </c>
      <c r="K57" s="35"/>
      <c r="L57" s="35"/>
      <c r="M57" s="34">
        <f>ROUND(ROUND(J57, 2)*I57, 2)</f>
        <v>4798</v>
      </c>
      <c r="N57" s="35"/>
      <c r="O57" s="35"/>
      <c r="P57" s="34">
        <v>2.5</v>
      </c>
      <c r="Q57" s="35"/>
      <c r="R57" s="35"/>
      <c r="S57" s="34">
        <f>ROUND(ROUND(P57, 2)*I57, 2)</f>
        <v>4798</v>
      </c>
      <c r="T57" s="35"/>
      <c r="U57" s="36"/>
      <c r="V57" s="9">
        <f>ROUND(ROUND(P57, 2)/1.2, 2)</f>
        <v>2.08</v>
      </c>
      <c r="Y57" s="9">
        <f t="shared" si="11"/>
        <v>3998.33</v>
      </c>
      <c r="AD57" s="4" t="s">
        <v>203</v>
      </c>
      <c r="AE57" s="4" t="s">
        <v>204</v>
      </c>
      <c r="AF57" s="4" t="s">
        <v>119</v>
      </c>
    </row>
    <row r="58" spans="1:35" ht="18" x14ac:dyDescent="0.3">
      <c r="A58" s="25" t="s">
        <v>205</v>
      </c>
      <c r="B58" s="25"/>
      <c r="C58" s="30" t="s">
        <v>206</v>
      </c>
      <c r="D58" s="27"/>
      <c r="E58" s="27"/>
      <c r="F58" s="31" t="s">
        <v>70</v>
      </c>
      <c r="G58" s="32">
        <v>1.8</v>
      </c>
      <c r="H58" s="27"/>
      <c r="I58" s="33">
        <v>25909.200000000001</v>
      </c>
      <c r="J58" s="34">
        <v>6.17</v>
      </c>
      <c r="K58" s="35"/>
      <c r="L58" s="35"/>
      <c r="M58" s="34">
        <f>ROUND(ROUND(J58, 2)*I58, 2)</f>
        <v>159859.76</v>
      </c>
      <c r="N58" s="35"/>
      <c r="O58" s="35"/>
      <c r="P58" s="34">
        <v>6.17</v>
      </c>
      <c r="Q58" s="35"/>
      <c r="R58" s="35"/>
      <c r="S58" s="34">
        <f>ROUND(ROUND(P58, 2)*I58, 2)</f>
        <v>159859.76</v>
      </c>
      <c r="T58" s="35"/>
      <c r="U58" s="36"/>
      <c r="V58" s="9">
        <f>ROUND(ROUND(P58, 2)/1.2, 2)</f>
        <v>5.14</v>
      </c>
      <c r="Y58" s="9">
        <f t="shared" si="11"/>
        <v>133216.47</v>
      </c>
      <c r="AD58" s="4" t="s">
        <v>207</v>
      </c>
      <c r="AE58" s="4" t="s">
        <v>208</v>
      </c>
      <c r="AF58" s="4" t="s">
        <v>209</v>
      </c>
    </row>
    <row r="59" spans="1:35" ht="18" x14ac:dyDescent="0.3">
      <c r="A59" s="25" t="s">
        <v>210</v>
      </c>
      <c r="B59" s="25"/>
      <c r="C59" s="30" t="s">
        <v>130</v>
      </c>
      <c r="D59" s="27"/>
      <c r="E59" s="27"/>
      <c r="F59" s="31" t="s">
        <v>64</v>
      </c>
      <c r="G59" s="32">
        <v>1.1000000000000001</v>
      </c>
      <c r="H59" s="27"/>
      <c r="I59" s="33">
        <v>263.89</v>
      </c>
      <c r="J59" s="34">
        <v>155.01</v>
      </c>
      <c r="K59" s="35"/>
      <c r="L59" s="35"/>
      <c r="M59" s="34">
        <f>ROUND(ROUND(J59, 2)*I59, 2)</f>
        <v>40905.589999999997</v>
      </c>
      <c r="N59" s="35"/>
      <c r="O59" s="35"/>
      <c r="P59" s="34">
        <v>155.01</v>
      </c>
      <c r="Q59" s="35"/>
      <c r="R59" s="35"/>
      <c r="S59" s="34">
        <f>ROUND(ROUND(P59, 2)*I59, 2)</f>
        <v>40905.589999999997</v>
      </c>
      <c r="T59" s="35"/>
      <c r="U59" s="36"/>
      <c r="V59" s="9">
        <f>ROUND(ROUND(P59, 2)/1.2, 2)</f>
        <v>129.18</v>
      </c>
      <c r="Y59" s="9">
        <f t="shared" si="11"/>
        <v>34087.99</v>
      </c>
      <c r="AD59" s="4" t="s">
        <v>211</v>
      </c>
      <c r="AE59" s="4" t="s">
        <v>212</v>
      </c>
      <c r="AF59" s="4" t="s">
        <v>133</v>
      </c>
    </row>
    <row r="60" spans="1:35" ht="18" x14ac:dyDescent="0.3">
      <c r="A60" s="25" t="s">
        <v>213</v>
      </c>
      <c r="B60" s="25"/>
      <c r="C60" s="30" t="s">
        <v>86</v>
      </c>
      <c r="D60" s="27"/>
      <c r="E60" s="27"/>
      <c r="F60" s="31" t="s">
        <v>87</v>
      </c>
      <c r="G60" s="32">
        <v>1</v>
      </c>
      <c r="H60" s="27"/>
      <c r="I60" s="33">
        <v>94</v>
      </c>
      <c r="J60" s="34">
        <v>10.4</v>
      </c>
      <c r="K60" s="35"/>
      <c r="L60" s="35"/>
      <c r="M60" s="34">
        <f>ROUND(ROUND(J60, 2)*I60, 2)</f>
        <v>977.6</v>
      </c>
      <c r="N60" s="35"/>
      <c r="O60" s="35"/>
      <c r="P60" s="34">
        <v>10.4</v>
      </c>
      <c r="Q60" s="35"/>
      <c r="R60" s="35"/>
      <c r="S60" s="34">
        <f>ROUND(ROUND(P60, 2)*I60, 2)</f>
        <v>977.6</v>
      </c>
      <c r="T60" s="35"/>
      <c r="U60" s="36"/>
      <c r="V60" s="9">
        <f>ROUND(ROUND(P60, 2)/1.2, 2)</f>
        <v>8.67</v>
      </c>
      <c r="Y60" s="9">
        <f t="shared" si="11"/>
        <v>814.67</v>
      </c>
      <c r="AD60" s="4" t="s">
        <v>214</v>
      </c>
      <c r="AE60" s="4" t="s">
        <v>215</v>
      </c>
      <c r="AF60" s="4" t="s">
        <v>90</v>
      </c>
    </row>
    <row r="61" spans="1:35" ht="36" x14ac:dyDescent="0.3">
      <c r="A61" s="25" t="s">
        <v>216</v>
      </c>
      <c r="B61" s="25"/>
      <c r="C61" s="30" t="s">
        <v>75</v>
      </c>
      <c r="D61" s="27"/>
      <c r="E61" s="27"/>
      <c r="F61" s="31" t="s">
        <v>70</v>
      </c>
      <c r="G61" s="32">
        <v>0.2</v>
      </c>
      <c r="H61" s="27"/>
      <c r="I61" s="32">
        <v>47.98</v>
      </c>
      <c r="J61" s="34">
        <v>88.8</v>
      </c>
      <c r="K61" s="35"/>
      <c r="L61" s="35"/>
      <c r="M61" s="34">
        <f>ROUND(ROUND(J61, 2)*I61, 2)</f>
        <v>4260.62</v>
      </c>
      <c r="N61" s="35"/>
      <c r="O61" s="35"/>
      <c r="P61" s="34">
        <v>88.8</v>
      </c>
      <c r="Q61" s="35"/>
      <c r="R61" s="35"/>
      <c r="S61" s="34">
        <f>ROUND(ROUND(P61, 2)*I61, 2)</f>
        <v>4260.62</v>
      </c>
      <c r="T61" s="35"/>
      <c r="U61" s="36"/>
      <c r="V61" s="9">
        <f>ROUND(ROUND(P61, 2)/1.2, 2)</f>
        <v>74</v>
      </c>
      <c r="Y61" s="9">
        <f t="shared" si="11"/>
        <v>3550.52</v>
      </c>
      <c r="AD61" s="4" t="s">
        <v>217</v>
      </c>
      <c r="AE61" s="4" t="s">
        <v>218</v>
      </c>
      <c r="AF61" s="4" t="s">
        <v>78</v>
      </c>
    </row>
    <row r="62" spans="1:35" ht="36" x14ac:dyDescent="0.3">
      <c r="A62" s="25" t="s">
        <v>219</v>
      </c>
      <c r="B62" s="25" t="s">
        <v>107</v>
      </c>
      <c r="C62" s="26" t="s">
        <v>200</v>
      </c>
      <c r="D62" s="27"/>
      <c r="E62" s="27" t="s">
        <v>220</v>
      </c>
      <c r="F62" s="27" t="s">
        <v>64</v>
      </c>
      <c r="G62" s="28">
        <v>1</v>
      </c>
      <c r="H62" s="27"/>
      <c r="I62" s="28">
        <v>631.29999999999995</v>
      </c>
      <c r="J62" s="29">
        <f>IFERROR(ROUND(SUM(M63,M64,M65,M66,M67)/I62, 2),0)</f>
        <v>879.19</v>
      </c>
      <c r="K62" s="29">
        <v>941</v>
      </c>
      <c r="L62" s="29">
        <f>J62+ROUND(K62, 2)</f>
        <v>1820.19</v>
      </c>
      <c r="M62" s="29">
        <f>ROUND(J62*I62, 2)</f>
        <v>555032.65</v>
      </c>
      <c r="N62" s="29">
        <f>ROUND(I62*ROUND(K62, 2), 2)</f>
        <v>594053.30000000005</v>
      </c>
      <c r="O62" s="29">
        <f>M62+N62</f>
        <v>1149085.9500000002</v>
      </c>
      <c r="P62" s="29">
        <f>IFERROR(ROUND(SUM(S63,S64,S65,S66,S67)/I62, 2),0)</f>
        <v>879.19</v>
      </c>
      <c r="Q62" s="29">
        <v>941</v>
      </c>
      <c r="R62" s="29">
        <f>P62+ROUND(Q62, 2)</f>
        <v>1820.19</v>
      </c>
      <c r="S62" s="29">
        <f>ROUND(P62*I62, 2)</f>
        <v>555032.65</v>
      </c>
      <c r="T62" s="29">
        <f>ROUND(I62*ROUND(Q62, 2), 2)</f>
        <v>594053.30000000005</v>
      </c>
      <c r="U62" s="29">
        <f>S62+T62</f>
        <v>1149085.9500000002</v>
      </c>
      <c r="V62" s="9">
        <f>ROUND(P62 / 1.2, 2)</f>
        <v>732.66</v>
      </c>
      <c r="W62" s="9">
        <f>ROUND(Q62 / 1.2, 2)</f>
        <v>784.17</v>
      </c>
      <c r="X62" s="9">
        <f>ROUND(R62 / 1.2, 2)</f>
        <v>1516.83</v>
      </c>
      <c r="Y62" s="9">
        <f t="shared" si="11"/>
        <v>462527.21</v>
      </c>
      <c r="Z62" s="9">
        <f>ROUND(T62 / 1.2, 2)</f>
        <v>495044.42</v>
      </c>
      <c r="AA62" s="9">
        <f>Y62+Z62</f>
        <v>957571.63</v>
      </c>
      <c r="AD62" s="4">
        <v>298925369</v>
      </c>
      <c r="AE62" s="4">
        <v>20229446</v>
      </c>
      <c r="AG62" s="4" t="s">
        <v>110</v>
      </c>
      <c r="AH62" s="4" t="s">
        <v>111</v>
      </c>
      <c r="AI62" s="4" t="s">
        <v>67</v>
      </c>
    </row>
    <row r="63" spans="1:35" ht="36" x14ac:dyDescent="0.3">
      <c r="A63" s="25" t="s">
        <v>221</v>
      </c>
      <c r="B63" s="25"/>
      <c r="C63" s="30" t="s">
        <v>75</v>
      </c>
      <c r="D63" s="27"/>
      <c r="E63" s="27"/>
      <c r="F63" s="31" t="s">
        <v>70</v>
      </c>
      <c r="G63" s="32">
        <v>0.2</v>
      </c>
      <c r="H63" s="27"/>
      <c r="I63" s="32">
        <v>126.26</v>
      </c>
      <c r="J63" s="34">
        <v>88.8</v>
      </c>
      <c r="K63" s="35"/>
      <c r="L63" s="35"/>
      <c r="M63" s="34">
        <f>ROUND(ROUND(J63, 2)*I63, 2)</f>
        <v>11211.89</v>
      </c>
      <c r="N63" s="35"/>
      <c r="O63" s="35"/>
      <c r="P63" s="34">
        <v>88.8</v>
      </c>
      <c r="Q63" s="35"/>
      <c r="R63" s="35"/>
      <c r="S63" s="34">
        <f>ROUND(ROUND(P63, 2)*I63, 2)</f>
        <v>11211.89</v>
      </c>
      <c r="T63" s="35"/>
      <c r="U63" s="36"/>
      <c r="V63" s="9">
        <f>ROUND(ROUND(P63, 2)/1.2, 2)</f>
        <v>74</v>
      </c>
      <c r="Y63" s="9">
        <f t="shared" si="11"/>
        <v>9343.24</v>
      </c>
      <c r="AD63" s="4" t="s">
        <v>222</v>
      </c>
      <c r="AE63" s="4" t="s">
        <v>223</v>
      </c>
      <c r="AF63" s="4" t="s">
        <v>78</v>
      </c>
    </row>
    <row r="64" spans="1:35" ht="18" x14ac:dyDescent="0.3">
      <c r="A64" s="25" t="s">
        <v>224</v>
      </c>
      <c r="B64" s="25"/>
      <c r="C64" s="30" t="s">
        <v>86</v>
      </c>
      <c r="D64" s="27"/>
      <c r="E64" s="27"/>
      <c r="F64" s="31" t="s">
        <v>87</v>
      </c>
      <c r="G64" s="32">
        <v>1</v>
      </c>
      <c r="H64" s="27"/>
      <c r="I64" s="33">
        <v>277</v>
      </c>
      <c r="J64" s="34">
        <v>10.4</v>
      </c>
      <c r="K64" s="35"/>
      <c r="L64" s="35"/>
      <c r="M64" s="34">
        <f>ROUND(ROUND(J64, 2)*I64, 2)</f>
        <v>2880.8</v>
      </c>
      <c r="N64" s="35"/>
      <c r="O64" s="35"/>
      <c r="P64" s="34">
        <v>10.4</v>
      </c>
      <c r="Q64" s="35"/>
      <c r="R64" s="35"/>
      <c r="S64" s="34">
        <f>ROUND(ROUND(P64, 2)*I64, 2)</f>
        <v>2880.8</v>
      </c>
      <c r="T64" s="35"/>
      <c r="U64" s="36"/>
      <c r="V64" s="9">
        <f>ROUND(ROUND(P64, 2)/1.2, 2)</f>
        <v>8.67</v>
      </c>
      <c r="Y64" s="9">
        <f t="shared" si="11"/>
        <v>2400.67</v>
      </c>
      <c r="AD64" s="4" t="s">
        <v>225</v>
      </c>
      <c r="AE64" s="4" t="s">
        <v>226</v>
      </c>
      <c r="AF64" s="4" t="s">
        <v>90</v>
      </c>
    </row>
    <row r="65" spans="1:35" ht="18" x14ac:dyDescent="0.3">
      <c r="A65" s="25" t="s">
        <v>227</v>
      </c>
      <c r="B65" s="25"/>
      <c r="C65" s="30" t="s">
        <v>130</v>
      </c>
      <c r="D65" s="27"/>
      <c r="E65" s="27"/>
      <c r="F65" s="31" t="s">
        <v>64</v>
      </c>
      <c r="G65" s="32">
        <v>1.1000000000000001</v>
      </c>
      <c r="H65" s="27"/>
      <c r="I65" s="33">
        <v>694.43</v>
      </c>
      <c r="J65" s="34">
        <v>155.01</v>
      </c>
      <c r="K65" s="35"/>
      <c r="L65" s="35"/>
      <c r="M65" s="34">
        <f>ROUND(ROUND(J65, 2)*I65, 2)</f>
        <v>107643.59</v>
      </c>
      <c r="N65" s="35"/>
      <c r="O65" s="35"/>
      <c r="P65" s="34">
        <v>155.01</v>
      </c>
      <c r="Q65" s="35"/>
      <c r="R65" s="35"/>
      <c r="S65" s="34">
        <f>ROUND(ROUND(P65, 2)*I65, 2)</f>
        <v>107643.59</v>
      </c>
      <c r="T65" s="35"/>
      <c r="U65" s="36"/>
      <c r="V65" s="9">
        <f>ROUND(ROUND(P65, 2)/1.2, 2)</f>
        <v>129.18</v>
      </c>
      <c r="Y65" s="9">
        <f t="shared" si="11"/>
        <v>89702.99</v>
      </c>
      <c r="AD65" s="4" t="s">
        <v>228</v>
      </c>
      <c r="AE65" s="4" t="s">
        <v>229</v>
      </c>
      <c r="AF65" s="4" t="s">
        <v>133</v>
      </c>
    </row>
    <row r="66" spans="1:35" ht="18" x14ac:dyDescent="0.3">
      <c r="A66" s="25" t="s">
        <v>230</v>
      </c>
      <c r="B66" s="25"/>
      <c r="C66" s="30" t="s">
        <v>206</v>
      </c>
      <c r="D66" s="27"/>
      <c r="E66" s="27"/>
      <c r="F66" s="31" t="s">
        <v>70</v>
      </c>
      <c r="G66" s="32">
        <v>1.8</v>
      </c>
      <c r="H66" s="27"/>
      <c r="I66" s="33">
        <v>68180.399999999994</v>
      </c>
      <c r="J66" s="34">
        <v>6.17</v>
      </c>
      <c r="K66" s="35"/>
      <c r="L66" s="35"/>
      <c r="M66" s="34">
        <f>ROUND(ROUND(J66, 2)*I66, 2)</f>
        <v>420673.07</v>
      </c>
      <c r="N66" s="35"/>
      <c r="O66" s="35"/>
      <c r="P66" s="34">
        <v>6.17</v>
      </c>
      <c r="Q66" s="35"/>
      <c r="R66" s="35"/>
      <c r="S66" s="34">
        <f>ROUND(ROUND(P66, 2)*I66, 2)</f>
        <v>420673.07</v>
      </c>
      <c r="T66" s="35"/>
      <c r="U66" s="36"/>
      <c r="V66" s="9">
        <f>ROUND(ROUND(P66, 2)/1.2, 2)</f>
        <v>5.14</v>
      </c>
      <c r="Y66" s="9">
        <f t="shared" si="11"/>
        <v>350560.89</v>
      </c>
      <c r="AD66" s="4" t="s">
        <v>231</v>
      </c>
      <c r="AE66" s="4" t="s">
        <v>232</v>
      </c>
      <c r="AF66" s="4" t="s">
        <v>209</v>
      </c>
    </row>
    <row r="67" spans="1:35" ht="18" x14ac:dyDescent="0.3">
      <c r="A67" s="25" t="s">
        <v>233</v>
      </c>
      <c r="B67" s="25"/>
      <c r="C67" s="30" t="s">
        <v>115</v>
      </c>
      <c r="D67" s="27"/>
      <c r="E67" s="27"/>
      <c r="F67" s="31" t="s">
        <v>116</v>
      </c>
      <c r="G67" s="32">
        <v>8</v>
      </c>
      <c r="H67" s="27"/>
      <c r="I67" s="33">
        <v>5050.3999999999996</v>
      </c>
      <c r="J67" s="34">
        <v>2.5</v>
      </c>
      <c r="K67" s="35"/>
      <c r="L67" s="35"/>
      <c r="M67" s="34">
        <f>ROUND(ROUND(J67, 2)*I67, 2)</f>
        <v>12626</v>
      </c>
      <c r="N67" s="35"/>
      <c r="O67" s="35"/>
      <c r="P67" s="34">
        <v>2.5</v>
      </c>
      <c r="Q67" s="35"/>
      <c r="R67" s="35"/>
      <c r="S67" s="34">
        <f>ROUND(ROUND(P67, 2)*I67, 2)</f>
        <v>12626</v>
      </c>
      <c r="T67" s="35"/>
      <c r="U67" s="36"/>
      <c r="V67" s="9">
        <f>ROUND(ROUND(P67, 2)/1.2, 2)</f>
        <v>2.08</v>
      </c>
      <c r="Y67" s="9">
        <f t="shared" si="11"/>
        <v>10521.67</v>
      </c>
      <c r="AD67" s="4" t="s">
        <v>234</v>
      </c>
      <c r="AE67" s="4" t="s">
        <v>235</v>
      </c>
      <c r="AF67" s="4" t="s">
        <v>119</v>
      </c>
    </row>
    <row r="68" spans="1:35" ht="36" x14ac:dyDescent="0.3">
      <c r="A68" s="25" t="s">
        <v>236</v>
      </c>
      <c r="B68" s="25" t="s">
        <v>107</v>
      </c>
      <c r="C68" s="26" t="s">
        <v>200</v>
      </c>
      <c r="D68" s="27"/>
      <c r="E68" s="27" t="s">
        <v>237</v>
      </c>
      <c r="F68" s="27" t="s">
        <v>64</v>
      </c>
      <c r="G68" s="28">
        <v>1</v>
      </c>
      <c r="H68" s="27"/>
      <c r="I68" s="28">
        <v>34.5</v>
      </c>
      <c r="J68" s="29">
        <f>IFERROR(ROUND(SUM(M69,M70,M71,M72,M73)/I68, 2),0)</f>
        <v>768.25</v>
      </c>
      <c r="K68" s="29">
        <v>941</v>
      </c>
      <c r="L68" s="29">
        <f>J68+ROUND(K68, 2)</f>
        <v>1709.25</v>
      </c>
      <c r="M68" s="29">
        <f>ROUND(J68*I68, 2)</f>
        <v>26504.63</v>
      </c>
      <c r="N68" s="29">
        <f>ROUND(I68*ROUND(K68, 2), 2)</f>
        <v>32464.5</v>
      </c>
      <c r="O68" s="29">
        <f>M68+N68</f>
        <v>58969.130000000005</v>
      </c>
      <c r="P68" s="29">
        <f>IFERROR(ROUND(SUM(S69,S70,S71,S72,S73)/I68, 2),0)</f>
        <v>768.25</v>
      </c>
      <c r="Q68" s="29">
        <v>941</v>
      </c>
      <c r="R68" s="29">
        <f>P68+ROUND(Q68, 2)</f>
        <v>1709.25</v>
      </c>
      <c r="S68" s="29">
        <f>ROUND(P68*I68, 2)</f>
        <v>26504.63</v>
      </c>
      <c r="T68" s="29">
        <f>ROUND(I68*ROUND(Q68, 2), 2)</f>
        <v>32464.5</v>
      </c>
      <c r="U68" s="29">
        <f>S68+T68</f>
        <v>58969.130000000005</v>
      </c>
      <c r="V68" s="9">
        <f>ROUND(P68 / 1.2, 2)</f>
        <v>640.21</v>
      </c>
      <c r="W68" s="9">
        <f>ROUND(Q68 / 1.2, 2)</f>
        <v>784.17</v>
      </c>
      <c r="X68" s="9">
        <f>ROUND(R68 / 1.2, 2)</f>
        <v>1424.38</v>
      </c>
      <c r="Y68" s="9">
        <f t="shared" si="11"/>
        <v>22087.19</v>
      </c>
      <c r="Z68" s="9">
        <f>ROUND(T68 / 1.2, 2)</f>
        <v>27053.75</v>
      </c>
      <c r="AA68" s="9">
        <f>Y68+Z68</f>
        <v>49140.94</v>
      </c>
      <c r="AD68" s="4">
        <v>298925370</v>
      </c>
      <c r="AE68" s="4">
        <v>20229516</v>
      </c>
      <c r="AG68" s="4" t="s">
        <v>110</v>
      </c>
      <c r="AH68" s="4" t="s">
        <v>111</v>
      </c>
      <c r="AI68" s="4" t="s">
        <v>67</v>
      </c>
    </row>
    <row r="69" spans="1:35" ht="18" x14ac:dyDescent="0.3">
      <c r="A69" s="25" t="s">
        <v>238</v>
      </c>
      <c r="B69" s="25"/>
      <c r="C69" s="30" t="s">
        <v>115</v>
      </c>
      <c r="D69" s="27"/>
      <c r="E69" s="27"/>
      <c r="F69" s="31" t="s">
        <v>116</v>
      </c>
      <c r="G69" s="32">
        <v>8</v>
      </c>
      <c r="H69" s="27"/>
      <c r="I69" s="33">
        <v>276</v>
      </c>
      <c r="J69" s="34">
        <v>2.5</v>
      </c>
      <c r="K69" s="35"/>
      <c r="L69" s="35"/>
      <c r="M69" s="34">
        <f>ROUND(ROUND(J69, 2)*I69, 2)</f>
        <v>690</v>
      </c>
      <c r="N69" s="35"/>
      <c r="O69" s="35"/>
      <c r="P69" s="34">
        <v>2.5</v>
      </c>
      <c r="Q69" s="35"/>
      <c r="R69" s="35"/>
      <c r="S69" s="34">
        <f>ROUND(ROUND(P69, 2)*I69, 2)</f>
        <v>690</v>
      </c>
      <c r="T69" s="35"/>
      <c r="U69" s="36"/>
      <c r="V69" s="9">
        <f>ROUND(ROUND(P69, 2)/1.2, 2)</f>
        <v>2.08</v>
      </c>
      <c r="Y69" s="9">
        <f t="shared" si="11"/>
        <v>575</v>
      </c>
      <c r="AD69" s="4" t="s">
        <v>239</v>
      </c>
      <c r="AE69" s="4" t="s">
        <v>240</v>
      </c>
      <c r="AF69" s="4" t="s">
        <v>119</v>
      </c>
    </row>
    <row r="70" spans="1:35" ht="18" x14ac:dyDescent="0.3">
      <c r="A70" s="25" t="s">
        <v>241</v>
      </c>
      <c r="B70" s="25"/>
      <c r="C70" s="30" t="s">
        <v>206</v>
      </c>
      <c r="D70" s="27"/>
      <c r="E70" s="27"/>
      <c r="F70" s="31" t="s">
        <v>70</v>
      </c>
      <c r="G70" s="32">
        <v>1.8</v>
      </c>
      <c r="H70" s="27"/>
      <c r="I70" s="33">
        <v>3105</v>
      </c>
      <c r="J70" s="34">
        <v>6.17</v>
      </c>
      <c r="K70" s="35"/>
      <c r="L70" s="35"/>
      <c r="M70" s="34">
        <f>ROUND(ROUND(J70, 2)*I70, 2)</f>
        <v>19157.849999999999</v>
      </c>
      <c r="N70" s="35"/>
      <c r="O70" s="35"/>
      <c r="P70" s="34">
        <v>6.17</v>
      </c>
      <c r="Q70" s="35"/>
      <c r="R70" s="35"/>
      <c r="S70" s="34">
        <f>ROUND(ROUND(P70, 2)*I70, 2)</f>
        <v>19157.849999999999</v>
      </c>
      <c r="T70" s="35"/>
      <c r="U70" s="36"/>
      <c r="V70" s="9">
        <f>ROUND(ROUND(P70, 2)/1.2, 2)</f>
        <v>5.14</v>
      </c>
      <c r="Y70" s="9">
        <f t="shared" si="11"/>
        <v>15964.88</v>
      </c>
      <c r="AD70" s="4" t="s">
        <v>242</v>
      </c>
      <c r="AE70" s="4" t="s">
        <v>243</v>
      </c>
      <c r="AF70" s="4" t="s">
        <v>209</v>
      </c>
    </row>
    <row r="71" spans="1:35" ht="18" x14ac:dyDescent="0.3">
      <c r="A71" s="25" t="s">
        <v>244</v>
      </c>
      <c r="B71" s="25"/>
      <c r="C71" s="30" t="s">
        <v>130</v>
      </c>
      <c r="D71" s="27"/>
      <c r="E71" s="27"/>
      <c r="F71" s="31" t="s">
        <v>64</v>
      </c>
      <c r="G71" s="32">
        <v>1.1000000000000001</v>
      </c>
      <c r="H71" s="27"/>
      <c r="I71" s="33">
        <v>37.950000000000003</v>
      </c>
      <c r="J71" s="34">
        <v>155.01</v>
      </c>
      <c r="K71" s="35"/>
      <c r="L71" s="35"/>
      <c r="M71" s="34">
        <f>ROUND(ROUND(J71, 2)*I71, 2)</f>
        <v>5882.63</v>
      </c>
      <c r="N71" s="35"/>
      <c r="O71" s="35"/>
      <c r="P71" s="34">
        <v>155.01</v>
      </c>
      <c r="Q71" s="35"/>
      <c r="R71" s="35"/>
      <c r="S71" s="34">
        <f>ROUND(ROUND(P71, 2)*I71, 2)</f>
        <v>5882.63</v>
      </c>
      <c r="T71" s="35"/>
      <c r="U71" s="36"/>
      <c r="V71" s="9">
        <f>ROUND(ROUND(P71, 2)/1.2, 2)</f>
        <v>129.18</v>
      </c>
      <c r="Y71" s="9">
        <f t="shared" si="11"/>
        <v>4902.1899999999996</v>
      </c>
      <c r="AD71" s="4" t="s">
        <v>245</v>
      </c>
      <c r="AE71" s="4" t="s">
        <v>246</v>
      </c>
      <c r="AF71" s="4" t="s">
        <v>133</v>
      </c>
    </row>
    <row r="72" spans="1:35" ht="18" x14ac:dyDescent="0.3">
      <c r="A72" s="25" t="s">
        <v>247</v>
      </c>
      <c r="B72" s="25"/>
      <c r="C72" s="30" t="s">
        <v>86</v>
      </c>
      <c r="D72" s="27"/>
      <c r="E72" s="27"/>
      <c r="F72" s="31" t="s">
        <v>87</v>
      </c>
      <c r="G72" s="32">
        <v>1</v>
      </c>
      <c r="H72" s="27"/>
      <c r="I72" s="33">
        <v>15.519</v>
      </c>
      <c r="J72" s="34">
        <v>10.4</v>
      </c>
      <c r="K72" s="35"/>
      <c r="L72" s="35"/>
      <c r="M72" s="34">
        <f>ROUND(ROUND(J72, 2)*I72, 2)</f>
        <v>161.4</v>
      </c>
      <c r="N72" s="35"/>
      <c r="O72" s="35"/>
      <c r="P72" s="34">
        <v>10.4</v>
      </c>
      <c r="Q72" s="35"/>
      <c r="R72" s="35"/>
      <c r="S72" s="34">
        <f>ROUND(ROUND(P72, 2)*I72, 2)</f>
        <v>161.4</v>
      </c>
      <c r="T72" s="35"/>
      <c r="U72" s="36"/>
      <c r="V72" s="9">
        <f>ROUND(ROUND(P72, 2)/1.2, 2)</f>
        <v>8.67</v>
      </c>
      <c r="Y72" s="9">
        <f t="shared" si="11"/>
        <v>134.5</v>
      </c>
      <c r="AD72" s="4" t="s">
        <v>248</v>
      </c>
      <c r="AE72" s="4" t="s">
        <v>249</v>
      </c>
      <c r="AF72" s="4" t="s">
        <v>90</v>
      </c>
    </row>
    <row r="73" spans="1:35" ht="36" x14ac:dyDescent="0.3">
      <c r="A73" s="25" t="s">
        <v>250</v>
      </c>
      <c r="B73" s="25"/>
      <c r="C73" s="30" t="s">
        <v>75</v>
      </c>
      <c r="D73" s="27"/>
      <c r="E73" s="27"/>
      <c r="F73" s="31" t="s">
        <v>70</v>
      </c>
      <c r="G73" s="32">
        <v>0.2</v>
      </c>
      <c r="H73" s="27"/>
      <c r="I73" s="32">
        <v>6.9</v>
      </c>
      <c r="J73" s="34">
        <v>88.8</v>
      </c>
      <c r="K73" s="35"/>
      <c r="L73" s="35"/>
      <c r="M73" s="34">
        <f>ROUND(ROUND(J73, 2)*I73, 2)</f>
        <v>612.72</v>
      </c>
      <c r="N73" s="35"/>
      <c r="O73" s="35"/>
      <c r="P73" s="34">
        <v>88.8</v>
      </c>
      <c r="Q73" s="35"/>
      <c r="R73" s="35"/>
      <c r="S73" s="34">
        <f>ROUND(ROUND(P73, 2)*I73, 2)</f>
        <v>612.72</v>
      </c>
      <c r="T73" s="35"/>
      <c r="U73" s="36"/>
      <c r="V73" s="9">
        <f>ROUND(ROUND(P73, 2)/1.2, 2)</f>
        <v>74</v>
      </c>
      <c r="Y73" s="9">
        <f t="shared" si="11"/>
        <v>510.6</v>
      </c>
      <c r="AD73" s="4" t="s">
        <v>251</v>
      </c>
      <c r="AE73" s="4" t="s">
        <v>252</v>
      </c>
      <c r="AF73" s="4" t="s">
        <v>78</v>
      </c>
    </row>
    <row r="74" spans="1:35" ht="36" x14ac:dyDescent="0.3">
      <c r="A74" s="37" t="s">
        <v>253</v>
      </c>
      <c r="B74" s="37" t="s">
        <v>254</v>
      </c>
      <c r="C74" s="38" t="s">
        <v>255</v>
      </c>
      <c r="D74" s="39"/>
      <c r="E74" s="39" t="s">
        <v>256</v>
      </c>
      <c r="F74" s="39" t="s">
        <v>64</v>
      </c>
      <c r="G74" s="40">
        <v>1</v>
      </c>
      <c r="H74" s="39"/>
      <c r="I74" s="41">
        <v>0</v>
      </c>
      <c r="J74" s="42">
        <f>IFERROR(ROUND(SUM(M76,M78,M80,M82,M84,M86,M88)/I74, 2),0)</f>
        <v>0</v>
      </c>
      <c r="K74" s="42">
        <v>1014</v>
      </c>
      <c r="L74" s="42">
        <f>J74+ROUND(K74, 2)</f>
        <v>1014</v>
      </c>
      <c r="M74" s="42">
        <f>ROUND(J74*I74, 2)</f>
        <v>0</v>
      </c>
      <c r="N74" s="42">
        <f>ROUND(I74*ROUND(K74, 2), 2)</f>
        <v>0</v>
      </c>
      <c r="O74" s="42">
        <f>M74+N74</f>
        <v>0</v>
      </c>
      <c r="P74" s="42">
        <f>IFERROR(ROUND(SUM(S76,S78,S80,S82,S84,S86,S88)/I74, 2),0)</f>
        <v>0</v>
      </c>
      <c r="Q74" s="42">
        <v>922</v>
      </c>
      <c r="R74" s="42">
        <f>P74+ROUND(Q74, 2)</f>
        <v>922</v>
      </c>
      <c r="S74" s="42">
        <f>ROUND(P74*I74, 2)</f>
        <v>0</v>
      </c>
      <c r="T74" s="42">
        <f>ROUND(I74*ROUND(Q74, 2), 2)</f>
        <v>0</v>
      </c>
      <c r="U74" s="42">
        <f>S74+T74</f>
        <v>0</v>
      </c>
      <c r="V74" s="9">
        <f>ROUND(P74 / 1.2, 2)</f>
        <v>0</v>
      </c>
      <c r="W74" s="9">
        <f>ROUND(Q74 / 1.2, 2)</f>
        <v>768.33</v>
      </c>
      <c r="X74" s="9">
        <f>ROUND(R74 / 1.2, 2)</f>
        <v>768.33</v>
      </c>
      <c r="Y74" s="9">
        <f t="shared" si="11"/>
        <v>0</v>
      </c>
      <c r="Z74" s="9">
        <f>ROUND(T74 / 1.2, 2)</f>
        <v>0</v>
      </c>
      <c r="AA74" s="9">
        <f>Y74+Z74</f>
        <v>0</v>
      </c>
      <c r="AD74" s="4">
        <v>298925269</v>
      </c>
      <c r="AE74" s="4">
        <v>17497285</v>
      </c>
      <c r="AG74" s="4" t="s">
        <v>257</v>
      </c>
      <c r="AH74" s="4" t="s">
        <v>258</v>
      </c>
      <c r="AI74" s="4" t="s">
        <v>67</v>
      </c>
    </row>
    <row r="75" spans="1:35" ht="36" x14ac:dyDescent="0.3">
      <c r="A75" s="43" t="s">
        <v>259</v>
      </c>
      <c r="B75" s="43" t="s">
        <v>254</v>
      </c>
      <c r="C75" s="44" t="s">
        <v>255</v>
      </c>
      <c r="D75" s="45"/>
      <c r="E75" s="45" t="s">
        <v>260</v>
      </c>
      <c r="F75" s="45" t="s">
        <v>64</v>
      </c>
      <c r="G75" s="46">
        <v>1</v>
      </c>
      <c r="H75" s="45"/>
      <c r="I75" s="46">
        <v>4266.7</v>
      </c>
      <c r="J75" s="47">
        <v>0</v>
      </c>
      <c r="K75" s="47">
        <v>922</v>
      </c>
      <c r="L75" s="47"/>
      <c r="M75" s="47">
        <v>0</v>
      </c>
      <c r="N75" s="47"/>
      <c r="O75" s="47"/>
      <c r="P75" s="47">
        <v>0</v>
      </c>
      <c r="Q75" s="47">
        <v>922</v>
      </c>
      <c r="R75" s="47"/>
      <c r="S75" s="47">
        <v>0</v>
      </c>
      <c r="T75" s="47"/>
      <c r="U75" s="47"/>
      <c r="V75" s="9"/>
      <c r="W75" s="9">
        <f>ROUND(Q75 / 1.2, 2)</f>
        <v>768.33</v>
      </c>
      <c r="X75" s="9">
        <f>ROUND(R75 / 1.2, 2)</f>
        <v>0</v>
      </c>
      <c r="Y75" s="9"/>
      <c r="Z75" s="9">
        <f>ROUND(T75 / 1.2, 2)</f>
        <v>0</v>
      </c>
      <c r="AA75" s="9"/>
      <c r="AD75" s="4">
        <v>225249744</v>
      </c>
      <c r="AE75" s="4">
        <v>17497285</v>
      </c>
      <c r="AG75" s="4" t="s">
        <v>257</v>
      </c>
      <c r="AH75" s="4" t="s">
        <v>258</v>
      </c>
      <c r="AI75" s="4"/>
    </row>
    <row r="76" spans="1:35" ht="18" x14ac:dyDescent="0.3">
      <c r="A76" s="37" t="s">
        <v>261</v>
      </c>
      <c r="B76" s="37"/>
      <c r="C76" s="48" t="s">
        <v>115</v>
      </c>
      <c r="D76" s="39"/>
      <c r="E76" s="39"/>
      <c r="F76" s="49" t="s">
        <v>116</v>
      </c>
      <c r="G76" s="50">
        <v>8</v>
      </c>
      <c r="H76" s="39"/>
      <c r="I76" s="51">
        <v>0</v>
      </c>
      <c r="J76" s="52">
        <v>2.5</v>
      </c>
      <c r="K76" s="53"/>
      <c r="L76" s="53"/>
      <c r="M76" s="52">
        <f t="shared" ref="M76:M89" si="12">ROUND(ROUND(J76, 2)*I76, 2)</f>
        <v>0</v>
      </c>
      <c r="N76" s="53"/>
      <c r="O76" s="53"/>
      <c r="P76" s="52">
        <v>2.5</v>
      </c>
      <c r="Q76" s="53"/>
      <c r="R76" s="53"/>
      <c r="S76" s="52">
        <f t="shared" ref="S76:S89" si="13">ROUND(ROUND(P76, 2)*I76, 2)</f>
        <v>0</v>
      </c>
      <c r="T76" s="53"/>
      <c r="U76" s="54"/>
      <c r="V76" s="9">
        <f t="shared" ref="V76:V89" si="14">ROUND(ROUND(P76, 2)/1.2, 2)</f>
        <v>2.08</v>
      </c>
      <c r="Y76" s="9">
        <f t="shared" ref="Y76:Y101" si="15">ROUND(S76 / 1.2, 2)</f>
        <v>0</v>
      </c>
      <c r="AD76" s="4" t="s">
        <v>262</v>
      </c>
      <c r="AE76" s="4" t="s">
        <v>263</v>
      </c>
      <c r="AF76" s="4" t="s">
        <v>119</v>
      </c>
    </row>
    <row r="77" spans="1:35" ht="18" x14ac:dyDescent="0.3">
      <c r="A77" s="43" t="s">
        <v>264</v>
      </c>
      <c r="B77" s="43"/>
      <c r="C77" s="55" t="s">
        <v>115</v>
      </c>
      <c r="D77" s="45"/>
      <c r="E77" s="45"/>
      <c r="F77" s="56" t="s">
        <v>116</v>
      </c>
      <c r="G77" s="57">
        <v>8</v>
      </c>
      <c r="H77" s="45"/>
      <c r="I77" s="58">
        <v>34133.599999999999</v>
      </c>
      <c r="J77" s="59">
        <v>2.5</v>
      </c>
      <c r="K77" s="60"/>
      <c r="L77" s="60"/>
      <c r="M77" s="59">
        <f t="shared" si="12"/>
        <v>85334</v>
      </c>
      <c r="N77" s="60"/>
      <c r="O77" s="60"/>
      <c r="P77" s="59">
        <v>2.5</v>
      </c>
      <c r="Q77" s="60"/>
      <c r="R77" s="60"/>
      <c r="S77" s="59">
        <f t="shared" si="13"/>
        <v>85334</v>
      </c>
      <c r="T77" s="60"/>
      <c r="U77" s="61"/>
      <c r="V77" s="9">
        <f t="shared" si="14"/>
        <v>2.08</v>
      </c>
      <c r="Y77" s="9">
        <f t="shared" si="15"/>
        <v>71111.67</v>
      </c>
      <c r="AD77" s="4" t="s">
        <v>265</v>
      </c>
      <c r="AE77" s="4" t="s">
        <v>263</v>
      </c>
      <c r="AF77" s="4" t="s">
        <v>119</v>
      </c>
    </row>
    <row r="78" spans="1:35" ht="18" x14ac:dyDescent="0.3">
      <c r="A78" s="37" t="s">
        <v>266</v>
      </c>
      <c r="B78" s="37"/>
      <c r="C78" s="48" t="s">
        <v>123</v>
      </c>
      <c r="D78" s="39"/>
      <c r="E78" s="39"/>
      <c r="F78" s="49" t="s">
        <v>70</v>
      </c>
      <c r="G78" s="50">
        <v>1E-3</v>
      </c>
      <c r="H78" s="39"/>
      <c r="I78" s="51">
        <v>0</v>
      </c>
      <c r="J78" s="52">
        <v>208.33</v>
      </c>
      <c r="K78" s="53"/>
      <c r="L78" s="53"/>
      <c r="M78" s="52">
        <f t="shared" si="12"/>
        <v>0</v>
      </c>
      <c r="N78" s="53"/>
      <c r="O78" s="53"/>
      <c r="P78" s="52">
        <v>208.33</v>
      </c>
      <c r="Q78" s="53"/>
      <c r="R78" s="53"/>
      <c r="S78" s="52">
        <f t="shared" si="13"/>
        <v>0</v>
      </c>
      <c r="T78" s="53"/>
      <c r="U78" s="54"/>
      <c r="V78" s="9">
        <f t="shared" si="14"/>
        <v>173.61</v>
      </c>
      <c r="Y78" s="9">
        <f t="shared" si="15"/>
        <v>0</v>
      </c>
      <c r="AD78" s="4" t="s">
        <v>267</v>
      </c>
      <c r="AE78" s="4" t="s">
        <v>268</v>
      </c>
      <c r="AF78" s="4" t="s">
        <v>126</v>
      </c>
    </row>
    <row r="79" spans="1:35" ht="18" x14ac:dyDescent="0.3">
      <c r="A79" s="43" t="s">
        <v>269</v>
      </c>
      <c r="B79" s="43"/>
      <c r="C79" s="55" t="s">
        <v>123</v>
      </c>
      <c r="D79" s="45"/>
      <c r="E79" s="45"/>
      <c r="F79" s="56" t="s">
        <v>70</v>
      </c>
      <c r="G79" s="57">
        <v>1E-3</v>
      </c>
      <c r="H79" s="45"/>
      <c r="I79" s="58">
        <v>277.35599999999999</v>
      </c>
      <c r="J79" s="59">
        <v>208.33</v>
      </c>
      <c r="K79" s="60"/>
      <c r="L79" s="60"/>
      <c r="M79" s="59">
        <f t="shared" si="12"/>
        <v>57781.58</v>
      </c>
      <c r="N79" s="60"/>
      <c r="O79" s="60"/>
      <c r="P79" s="59">
        <v>208.33</v>
      </c>
      <c r="Q79" s="60"/>
      <c r="R79" s="60"/>
      <c r="S79" s="59">
        <f t="shared" si="13"/>
        <v>57781.58</v>
      </c>
      <c r="T79" s="60"/>
      <c r="U79" s="61"/>
      <c r="V79" s="9">
        <f t="shared" si="14"/>
        <v>173.61</v>
      </c>
      <c r="Y79" s="9">
        <f t="shared" si="15"/>
        <v>48151.32</v>
      </c>
      <c r="AD79" s="4" t="s">
        <v>270</v>
      </c>
      <c r="AE79" s="4" t="s">
        <v>268</v>
      </c>
      <c r="AF79" s="4" t="s">
        <v>126</v>
      </c>
    </row>
    <row r="80" spans="1:35" ht="18" x14ac:dyDescent="0.3">
      <c r="A80" s="37" t="s">
        <v>271</v>
      </c>
      <c r="B80" s="37"/>
      <c r="C80" s="48" t="s">
        <v>130</v>
      </c>
      <c r="D80" s="39"/>
      <c r="E80" s="39"/>
      <c r="F80" s="49" t="s">
        <v>64</v>
      </c>
      <c r="G80" s="50">
        <v>1.1000000000000001</v>
      </c>
      <c r="H80" s="39"/>
      <c r="I80" s="51">
        <v>0</v>
      </c>
      <c r="J80" s="52">
        <v>155.01</v>
      </c>
      <c r="K80" s="53"/>
      <c r="L80" s="53"/>
      <c r="M80" s="52">
        <f t="shared" si="12"/>
        <v>0</v>
      </c>
      <c r="N80" s="53"/>
      <c r="O80" s="53"/>
      <c r="P80" s="52">
        <v>155.01</v>
      </c>
      <c r="Q80" s="53"/>
      <c r="R80" s="53"/>
      <c r="S80" s="52">
        <f t="shared" si="13"/>
        <v>0</v>
      </c>
      <c r="T80" s="53"/>
      <c r="U80" s="54"/>
      <c r="V80" s="9">
        <f t="shared" si="14"/>
        <v>129.18</v>
      </c>
      <c r="Y80" s="9">
        <f t="shared" si="15"/>
        <v>0</v>
      </c>
      <c r="AD80" s="4" t="s">
        <v>272</v>
      </c>
      <c r="AE80" s="4" t="s">
        <v>273</v>
      </c>
      <c r="AF80" s="4" t="s">
        <v>133</v>
      </c>
    </row>
    <row r="81" spans="1:35" ht="18" x14ac:dyDescent="0.3">
      <c r="A81" s="43" t="s">
        <v>274</v>
      </c>
      <c r="B81" s="43"/>
      <c r="C81" s="55" t="s">
        <v>130</v>
      </c>
      <c r="D81" s="45"/>
      <c r="E81" s="45"/>
      <c r="F81" s="56" t="s">
        <v>64</v>
      </c>
      <c r="G81" s="57">
        <v>1.1000000000000001</v>
      </c>
      <c r="H81" s="45"/>
      <c r="I81" s="58">
        <v>4693.37</v>
      </c>
      <c r="J81" s="59">
        <v>155.01</v>
      </c>
      <c r="K81" s="60"/>
      <c r="L81" s="60"/>
      <c r="M81" s="59">
        <f t="shared" si="12"/>
        <v>727519.28</v>
      </c>
      <c r="N81" s="60"/>
      <c r="O81" s="60"/>
      <c r="P81" s="59">
        <v>155.01</v>
      </c>
      <c r="Q81" s="60"/>
      <c r="R81" s="60"/>
      <c r="S81" s="59">
        <f t="shared" si="13"/>
        <v>727519.28</v>
      </c>
      <c r="T81" s="60"/>
      <c r="U81" s="61"/>
      <c r="V81" s="9">
        <f t="shared" si="14"/>
        <v>129.18</v>
      </c>
      <c r="Y81" s="9">
        <f t="shared" si="15"/>
        <v>606266.06999999995</v>
      </c>
      <c r="AD81" s="4" t="s">
        <v>275</v>
      </c>
      <c r="AE81" s="4" t="s">
        <v>273</v>
      </c>
      <c r="AF81" s="4" t="s">
        <v>133</v>
      </c>
    </row>
    <row r="82" spans="1:35" ht="18" x14ac:dyDescent="0.3">
      <c r="A82" s="37" t="s">
        <v>276</v>
      </c>
      <c r="B82" s="37"/>
      <c r="C82" s="48" t="s">
        <v>137</v>
      </c>
      <c r="D82" s="39"/>
      <c r="E82" s="39"/>
      <c r="F82" s="49" t="s">
        <v>70</v>
      </c>
      <c r="G82" s="50">
        <v>0.32</v>
      </c>
      <c r="H82" s="39"/>
      <c r="I82" s="51">
        <v>0</v>
      </c>
      <c r="J82" s="52">
        <v>7.5</v>
      </c>
      <c r="K82" s="53"/>
      <c r="L82" s="53"/>
      <c r="M82" s="52">
        <f t="shared" si="12"/>
        <v>0</v>
      </c>
      <c r="N82" s="53"/>
      <c r="O82" s="53"/>
      <c r="P82" s="52">
        <v>7.5</v>
      </c>
      <c r="Q82" s="53"/>
      <c r="R82" s="53"/>
      <c r="S82" s="52">
        <f t="shared" si="13"/>
        <v>0</v>
      </c>
      <c r="T82" s="53"/>
      <c r="U82" s="54"/>
      <c r="V82" s="9">
        <f t="shared" si="14"/>
        <v>6.25</v>
      </c>
      <c r="Y82" s="9">
        <f t="shared" si="15"/>
        <v>0</v>
      </c>
      <c r="AD82" s="4" t="s">
        <v>277</v>
      </c>
      <c r="AE82" s="4" t="s">
        <v>278</v>
      </c>
      <c r="AF82" s="4" t="s">
        <v>140</v>
      </c>
    </row>
    <row r="83" spans="1:35" ht="18" x14ac:dyDescent="0.3">
      <c r="A83" s="43" t="s">
        <v>279</v>
      </c>
      <c r="B83" s="43"/>
      <c r="C83" s="55" t="s">
        <v>137</v>
      </c>
      <c r="D83" s="45"/>
      <c r="E83" s="45"/>
      <c r="F83" s="56" t="s">
        <v>70</v>
      </c>
      <c r="G83" s="57">
        <v>0.32</v>
      </c>
      <c r="H83" s="45"/>
      <c r="I83" s="58">
        <v>88747.36</v>
      </c>
      <c r="J83" s="59">
        <v>7.5</v>
      </c>
      <c r="K83" s="60"/>
      <c r="L83" s="60"/>
      <c r="M83" s="59">
        <f t="shared" si="12"/>
        <v>665605.19999999995</v>
      </c>
      <c r="N83" s="60"/>
      <c r="O83" s="60"/>
      <c r="P83" s="59">
        <v>7.5</v>
      </c>
      <c r="Q83" s="60"/>
      <c r="R83" s="60"/>
      <c r="S83" s="59">
        <f t="shared" si="13"/>
        <v>665605.19999999995</v>
      </c>
      <c r="T83" s="60"/>
      <c r="U83" s="61"/>
      <c r="V83" s="9">
        <f t="shared" si="14"/>
        <v>6.25</v>
      </c>
      <c r="Y83" s="9">
        <f t="shared" si="15"/>
        <v>554671</v>
      </c>
      <c r="AD83" s="4" t="s">
        <v>280</v>
      </c>
      <c r="AE83" s="4" t="s">
        <v>278</v>
      </c>
      <c r="AF83" s="4" t="s">
        <v>140</v>
      </c>
    </row>
    <row r="84" spans="1:35" ht="18" x14ac:dyDescent="0.3">
      <c r="A84" s="37" t="s">
        <v>281</v>
      </c>
      <c r="B84" s="37"/>
      <c r="C84" s="48" t="s">
        <v>144</v>
      </c>
      <c r="D84" s="39"/>
      <c r="E84" s="39"/>
      <c r="F84" s="49" t="s">
        <v>98</v>
      </c>
      <c r="G84" s="50">
        <v>1E-3</v>
      </c>
      <c r="H84" s="39"/>
      <c r="I84" s="51">
        <v>0</v>
      </c>
      <c r="J84" s="52">
        <v>1600</v>
      </c>
      <c r="K84" s="53"/>
      <c r="L84" s="53"/>
      <c r="M84" s="52">
        <f t="shared" si="12"/>
        <v>0</v>
      </c>
      <c r="N84" s="53"/>
      <c r="O84" s="53"/>
      <c r="P84" s="52">
        <v>1600</v>
      </c>
      <c r="Q84" s="53"/>
      <c r="R84" s="53"/>
      <c r="S84" s="52">
        <f t="shared" si="13"/>
        <v>0</v>
      </c>
      <c r="T84" s="53"/>
      <c r="U84" s="54"/>
      <c r="V84" s="9">
        <f t="shared" si="14"/>
        <v>1333.33</v>
      </c>
      <c r="Y84" s="9">
        <f t="shared" si="15"/>
        <v>0</v>
      </c>
      <c r="AD84" s="4" t="s">
        <v>282</v>
      </c>
      <c r="AE84" s="4" t="s">
        <v>283</v>
      </c>
      <c r="AF84" s="4" t="s">
        <v>147</v>
      </c>
    </row>
    <row r="85" spans="1:35" ht="18" x14ac:dyDescent="0.3">
      <c r="A85" s="43" t="s">
        <v>284</v>
      </c>
      <c r="B85" s="43"/>
      <c r="C85" s="55" t="s">
        <v>144</v>
      </c>
      <c r="D85" s="45"/>
      <c r="E85" s="45"/>
      <c r="F85" s="56" t="s">
        <v>98</v>
      </c>
      <c r="G85" s="57">
        <v>1E-3</v>
      </c>
      <c r="H85" s="45"/>
      <c r="I85" s="58">
        <v>277.33600000000001</v>
      </c>
      <c r="J85" s="59">
        <v>1600</v>
      </c>
      <c r="K85" s="60"/>
      <c r="L85" s="60"/>
      <c r="M85" s="59">
        <f t="shared" si="12"/>
        <v>443737.59999999998</v>
      </c>
      <c r="N85" s="60"/>
      <c r="O85" s="60"/>
      <c r="P85" s="59">
        <v>1600</v>
      </c>
      <c r="Q85" s="60"/>
      <c r="R85" s="60"/>
      <c r="S85" s="59">
        <f t="shared" si="13"/>
        <v>443737.59999999998</v>
      </c>
      <c r="T85" s="60"/>
      <c r="U85" s="61"/>
      <c r="V85" s="9">
        <f t="shared" si="14"/>
        <v>1333.33</v>
      </c>
      <c r="Y85" s="9">
        <f t="shared" si="15"/>
        <v>369781.33</v>
      </c>
      <c r="AD85" s="4" t="s">
        <v>285</v>
      </c>
      <c r="AE85" s="4" t="s">
        <v>283</v>
      </c>
      <c r="AF85" s="4" t="s">
        <v>147</v>
      </c>
    </row>
    <row r="86" spans="1:35" ht="18" x14ac:dyDescent="0.3">
      <c r="A86" s="37" t="s">
        <v>286</v>
      </c>
      <c r="B86" s="37"/>
      <c r="C86" s="48" t="s">
        <v>86</v>
      </c>
      <c r="D86" s="39"/>
      <c r="E86" s="39"/>
      <c r="F86" s="49" t="s">
        <v>87</v>
      </c>
      <c r="G86" s="50">
        <v>1</v>
      </c>
      <c r="H86" s="39"/>
      <c r="I86" s="51">
        <v>0</v>
      </c>
      <c r="J86" s="52">
        <v>10.4</v>
      </c>
      <c r="K86" s="53"/>
      <c r="L86" s="53"/>
      <c r="M86" s="52">
        <f t="shared" si="12"/>
        <v>0</v>
      </c>
      <c r="N86" s="53"/>
      <c r="O86" s="53"/>
      <c r="P86" s="52">
        <v>10.4</v>
      </c>
      <c r="Q86" s="53"/>
      <c r="R86" s="53"/>
      <c r="S86" s="52">
        <f t="shared" si="13"/>
        <v>0</v>
      </c>
      <c r="T86" s="53"/>
      <c r="U86" s="54"/>
      <c r="V86" s="9">
        <f t="shared" si="14"/>
        <v>8.67</v>
      </c>
      <c r="Y86" s="9">
        <f t="shared" si="15"/>
        <v>0</v>
      </c>
      <c r="AD86" s="4" t="s">
        <v>287</v>
      </c>
      <c r="AE86" s="4" t="s">
        <v>288</v>
      </c>
      <c r="AF86" s="4" t="s">
        <v>90</v>
      </c>
    </row>
    <row r="87" spans="1:35" ht="18" x14ac:dyDescent="0.3">
      <c r="A87" s="43" t="s">
        <v>289</v>
      </c>
      <c r="B87" s="43"/>
      <c r="C87" s="55" t="s">
        <v>86</v>
      </c>
      <c r="D87" s="45"/>
      <c r="E87" s="45"/>
      <c r="F87" s="56" t="s">
        <v>87</v>
      </c>
      <c r="G87" s="57">
        <v>1</v>
      </c>
      <c r="H87" s="45"/>
      <c r="I87" s="58">
        <v>1872</v>
      </c>
      <c r="J87" s="59">
        <v>10.4</v>
      </c>
      <c r="K87" s="60"/>
      <c r="L87" s="60"/>
      <c r="M87" s="59">
        <f t="shared" si="12"/>
        <v>19468.8</v>
      </c>
      <c r="N87" s="60"/>
      <c r="O87" s="60"/>
      <c r="P87" s="59">
        <v>10.4</v>
      </c>
      <c r="Q87" s="60"/>
      <c r="R87" s="60"/>
      <c r="S87" s="59">
        <f t="shared" si="13"/>
        <v>19468.8</v>
      </c>
      <c r="T87" s="60"/>
      <c r="U87" s="61"/>
      <c r="V87" s="9">
        <f t="shared" si="14"/>
        <v>8.67</v>
      </c>
      <c r="Y87" s="9">
        <f t="shared" si="15"/>
        <v>16224</v>
      </c>
      <c r="AD87" s="4" t="s">
        <v>290</v>
      </c>
      <c r="AE87" s="4" t="s">
        <v>288</v>
      </c>
      <c r="AF87" s="4" t="s">
        <v>90</v>
      </c>
    </row>
    <row r="88" spans="1:35" ht="36" x14ac:dyDescent="0.3">
      <c r="A88" s="37" t="s">
        <v>291</v>
      </c>
      <c r="B88" s="37"/>
      <c r="C88" s="48" t="s">
        <v>75</v>
      </c>
      <c r="D88" s="39"/>
      <c r="E88" s="39"/>
      <c r="F88" s="49" t="s">
        <v>70</v>
      </c>
      <c r="G88" s="50">
        <v>0.2</v>
      </c>
      <c r="H88" s="39"/>
      <c r="I88" s="62">
        <v>0</v>
      </c>
      <c r="J88" s="52">
        <v>88.8</v>
      </c>
      <c r="K88" s="53"/>
      <c r="L88" s="53"/>
      <c r="M88" s="52">
        <f t="shared" si="12"/>
        <v>0</v>
      </c>
      <c r="N88" s="53"/>
      <c r="O88" s="53"/>
      <c r="P88" s="52">
        <v>88.8</v>
      </c>
      <c r="Q88" s="53"/>
      <c r="R88" s="53"/>
      <c r="S88" s="52">
        <f t="shared" si="13"/>
        <v>0</v>
      </c>
      <c r="T88" s="53"/>
      <c r="U88" s="54"/>
      <c r="V88" s="9">
        <f t="shared" si="14"/>
        <v>74</v>
      </c>
      <c r="Y88" s="9">
        <f t="shared" si="15"/>
        <v>0</v>
      </c>
      <c r="AD88" s="4" t="s">
        <v>292</v>
      </c>
      <c r="AE88" s="4" t="s">
        <v>293</v>
      </c>
      <c r="AF88" s="4" t="s">
        <v>78</v>
      </c>
    </row>
    <row r="89" spans="1:35" ht="36" x14ac:dyDescent="0.3">
      <c r="A89" s="43" t="s">
        <v>294</v>
      </c>
      <c r="B89" s="43"/>
      <c r="C89" s="55" t="s">
        <v>75</v>
      </c>
      <c r="D89" s="45"/>
      <c r="E89" s="45"/>
      <c r="F89" s="56" t="s">
        <v>70</v>
      </c>
      <c r="G89" s="57">
        <v>0.2</v>
      </c>
      <c r="H89" s="45"/>
      <c r="I89" s="57">
        <v>853.34</v>
      </c>
      <c r="J89" s="59">
        <v>88.8</v>
      </c>
      <c r="K89" s="60"/>
      <c r="L89" s="60"/>
      <c r="M89" s="59">
        <f t="shared" si="12"/>
        <v>75776.59</v>
      </c>
      <c r="N89" s="60"/>
      <c r="O89" s="60"/>
      <c r="P89" s="59">
        <v>88.8</v>
      </c>
      <c r="Q89" s="60"/>
      <c r="R89" s="60"/>
      <c r="S89" s="59">
        <f t="shared" si="13"/>
        <v>75776.59</v>
      </c>
      <c r="T89" s="60"/>
      <c r="U89" s="61"/>
      <c r="V89" s="9">
        <f t="shared" si="14"/>
        <v>74</v>
      </c>
      <c r="Y89" s="9">
        <f t="shared" si="15"/>
        <v>63147.16</v>
      </c>
      <c r="AD89" s="4" t="s">
        <v>295</v>
      </c>
      <c r="AE89" s="4" t="s">
        <v>293</v>
      </c>
      <c r="AF89" s="4" t="s">
        <v>78</v>
      </c>
    </row>
    <row r="90" spans="1:35" ht="36" x14ac:dyDescent="0.3">
      <c r="A90" s="25" t="s">
        <v>296</v>
      </c>
      <c r="B90" s="25" t="s">
        <v>254</v>
      </c>
      <c r="C90" s="26" t="s">
        <v>297</v>
      </c>
      <c r="D90" s="27"/>
      <c r="E90" s="27" t="s">
        <v>298</v>
      </c>
      <c r="F90" s="27" t="s">
        <v>64</v>
      </c>
      <c r="G90" s="28">
        <v>1</v>
      </c>
      <c r="H90" s="27"/>
      <c r="I90" s="28">
        <v>3586.9</v>
      </c>
      <c r="J90" s="29">
        <f>IFERROR(ROUND(SUM(M91,M92,M93,M94,M95)/I90, 2),0)</f>
        <v>935.6</v>
      </c>
      <c r="K90" s="29">
        <v>1014</v>
      </c>
      <c r="L90" s="29">
        <f>J90+ROUND(K90, 2)</f>
        <v>1949.6</v>
      </c>
      <c r="M90" s="29">
        <f>ROUND(J90*I90, 2)</f>
        <v>3355903.64</v>
      </c>
      <c r="N90" s="29">
        <f>ROUND(I90*ROUND(K90, 2), 2)</f>
        <v>3637116.6</v>
      </c>
      <c r="O90" s="29">
        <f>M90+N90</f>
        <v>6993020.2400000002</v>
      </c>
      <c r="P90" s="29">
        <f>IFERROR(ROUND(SUM(S91,S92,S93,S94,S95)/I90, 2),0)</f>
        <v>935.6</v>
      </c>
      <c r="Q90" s="29">
        <v>1014</v>
      </c>
      <c r="R90" s="29">
        <f>P90+ROUND(Q90, 2)</f>
        <v>1949.6</v>
      </c>
      <c r="S90" s="29">
        <f>ROUND(P90*I90, 2)</f>
        <v>3355903.64</v>
      </c>
      <c r="T90" s="29">
        <f>ROUND(I90*ROUND(Q90, 2), 2)</f>
        <v>3637116.6</v>
      </c>
      <c r="U90" s="29">
        <f>S90+T90</f>
        <v>6993020.2400000002</v>
      </c>
      <c r="V90" s="9">
        <f>ROUND(P90 / 1.2, 2)</f>
        <v>779.67</v>
      </c>
      <c r="W90" s="9">
        <f>ROUND(Q90 / 1.2, 2)</f>
        <v>845</v>
      </c>
      <c r="X90" s="9">
        <f>ROUND(R90 / 1.2, 2)</f>
        <v>1624.67</v>
      </c>
      <c r="Y90" s="9">
        <f t="shared" si="15"/>
        <v>2796586.37</v>
      </c>
      <c r="Z90" s="9">
        <f>ROUND(T90 / 1.2, 2)</f>
        <v>3030930.5</v>
      </c>
      <c r="AA90" s="9">
        <f>Y90+Z90</f>
        <v>5827516.8700000001</v>
      </c>
      <c r="AD90" s="4">
        <v>298925371</v>
      </c>
      <c r="AE90" s="4">
        <v>19811234</v>
      </c>
      <c r="AG90" s="4" t="s">
        <v>257</v>
      </c>
      <c r="AH90" s="4" t="s">
        <v>258</v>
      </c>
      <c r="AI90" s="4" t="s">
        <v>67</v>
      </c>
    </row>
    <row r="91" spans="1:35" ht="36" x14ac:dyDescent="0.3">
      <c r="A91" s="25" t="s">
        <v>299</v>
      </c>
      <c r="B91" s="25"/>
      <c r="C91" s="30" t="s">
        <v>75</v>
      </c>
      <c r="D91" s="27"/>
      <c r="E91" s="27"/>
      <c r="F91" s="31" t="s">
        <v>70</v>
      </c>
      <c r="G91" s="32">
        <v>0.2</v>
      </c>
      <c r="H91" s="27"/>
      <c r="I91" s="32">
        <v>717.38</v>
      </c>
      <c r="J91" s="34">
        <v>88.8</v>
      </c>
      <c r="K91" s="35"/>
      <c r="L91" s="35"/>
      <c r="M91" s="34">
        <f>ROUND(ROUND(J91, 2)*I91, 2)</f>
        <v>63703.34</v>
      </c>
      <c r="N91" s="35"/>
      <c r="O91" s="35"/>
      <c r="P91" s="34">
        <v>88.8</v>
      </c>
      <c r="Q91" s="35"/>
      <c r="R91" s="35"/>
      <c r="S91" s="34">
        <f>ROUND(ROUND(P91, 2)*I91, 2)</f>
        <v>63703.34</v>
      </c>
      <c r="T91" s="35"/>
      <c r="U91" s="36"/>
      <c r="V91" s="9">
        <f>ROUND(ROUND(P91, 2)/1.2, 2)</f>
        <v>74</v>
      </c>
      <c r="Y91" s="9">
        <f t="shared" si="15"/>
        <v>53086.12</v>
      </c>
      <c r="AD91" s="4" t="s">
        <v>300</v>
      </c>
      <c r="AE91" s="4" t="s">
        <v>301</v>
      </c>
      <c r="AF91" s="4" t="s">
        <v>78</v>
      </c>
    </row>
    <row r="92" spans="1:35" ht="18" x14ac:dyDescent="0.3">
      <c r="A92" s="25" t="s">
        <v>302</v>
      </c>
      <c r="B92" s="25"/>
      <c r="C92" s="30" t="s">
        <v>86</v>
      </c>
      <c r="D92" s="27"/>
      <c r="E92" s="27"/>
      <c r="F92" s="31" t="s">
        <v>87</v>
      </c>
      <c r="G92" s="32">
        <v>1</v>
      </c>
      <c r="H92" s="27"/>
      <c r="I92" s="33">
        <v>1876</v>
      </c>
      <c r="J92" s="34">
        <v>10.4</v>
      </c>
      <c r="K92" s="35"/>
      <c r="L92" s="35"/>
      <c r="M92" s="34">
        <f>ROUND(ROUND(J92, 2)*I92, 2)</f>
        <v>19510.400000000001</v>
      </c>
      <c r="N92" s="35"/>
      <c r="O92" s="35"/>
      <c r="P92" s="34">
        <v>10.4</v>
      </c>
      <c r="Q92" s="35"/>
      <c r="R92" s="35"/>
      <c r="S92" s="34">
        <f>ROUND(ROUND(P92, 2)*I92, 2)</f>
        <v>19510.400000000001</v>
      </c>
      <c r="T92" s="35"/>
      <c r="U92" s="36"/>
      <c r="V92" s="9">
        <f>ROUND(ROUND(P92, 2)/1.2, 2)</f>
        <v>8.67</v>
      </c>
      <c r="Y92" s="9">
        <f t="shared" si="15"/>
        <v>16258.67</v>
      </c>
      <c r="AD92" s="4" t="s">
        <v>303</v>
      </c>
      <c r="AE92" s="4" t="s">
        <v>304</v>
      </c>
      <c r="AF92" s="4" t="s">
        <v>90</v>
      </c>
    </row>
    <row r="93" spans="1:35" ht="18" x14ac:dyDescent="0.3">
      <c r="A93" s="25" t="s">
        <v>305</v>
      </c>
      <c r="B93" s="25"/>
      <c r="C93" s="30" t="s">
        <v>130</v>
      </c>
      <c r="D93" s="27"/>
      <c r="E93" s="27"/>
      <c r="F93" s="31" t="s">
        <v>64</v>
      </c>
      <c r="G93" s="32">
        <v>1.1000000000000001</v>
      </c>
      <c r="H93" s="27"/>
      <c r="I93" s="33">
        <v>3945.59</v>
      </c>
      <c r="J93" s="34">
        <v>155.01</v>
      </c>
      <c r="K93" s="35"/>
      <c r="L93" s="35"/>
      <c r="M93" s="34">
        <f>ROUND(ROUND(J93, 2)*I93, 2)</f>
        <v>611605.91</v>
      </c>
      <c r="N93" s="35"/>
      <c r="O93" s="35"/>
      <c r="P93" s="34">
        <v>155.01</v>
      </c>
      <c r="Q93" s="35"/>
      <c r="R93" s="35"/>
      <c r="S93" s="34">
        <f>ROUND(ROUND(P93, 2)*I93, 2)</f>
        <v>611605.91</v>
      </c>
      <c r="T93" s="35"/>
      <c r="U93" s="36"/>
      <c r="V93" s="9">
        <f>ROUND(ROUND(P93, 2)/1.2, 2)</f>
        <v>129.18</v>
      </c>
      <c r="Y93" s="9">
        <f t="shared" si="15"/>
        <v>509671.59</v>
      </c>
      <c r="AD93" s="4" t="s">
        <v>306</v>
      </c>
      <c r="AE93" s="4" t="s">
        <v>307</v>
      </c>
      <c r="AF93" s="4" t="s">
        <v>133</v>
      </c>
    </row>
    <row r="94" spans="1:35" ht="18" x14ac:dyDescent="0.3">
      <c r="A94" s="25" t="s">
        <v>308</v>
      </c>
      <c r="B94" s="25"/>
      <c r="C94" s="30" t="s">
        <v>206</v>
      </c>
      <c r="D94" s="27"/>
      <c r="E94" s="27"/>
      <c r="F94" s="31" t="s">
        <v>70</v>
      </c>
      <c r="G94" s="32">
        <v>1.8</v>
      </c>
      <c r="H94" s="27"/>
      <c r="I94" s="33">
        <v>419667.3</v>
      </c>
      <c r="J94" s="34">
        <v>6.17</v>
      </c>
      <c r="K94" s="35"/>
      <c r="L94" s="35"/>
      <c r="M94" s="34">
        <f>ROUND(ROUND(J94, 2)*I94, 2)</f>
        <v>2589347.2400000002</v>
      </c>
      <c r="N94" s="35"/>
      <c r="O94" s="35"/>
      <c r="P94" s="34">
        <v>6.17</v>
      </c>
      <c r="Q94" s="35"/>
      <c r="R94" s="35"/>
      <c r="S94" s="34">
        <f>ROUND(ROUND(P94, 2)*I94, 2)</f>
        <v>2589347.2400000002</v>
      </c>
      <c r="T94" s="35"/>
      <c r="U94" s="36"/>
      <c r="V94" s="9">
        <f>ROUND(ROUND(P94, 2)/1.2, 2)</f>
        <v>5.14</v>
      </c>
      <c r="Y94" s="9">
        <f t="shared" si="15"/>
        <v>2157789.37</v>
      </c>
      <c r="AD94" s="4" t="s">
        <v>309</v>
      </c>
      <c r="AE94" s="4" t="s">
        <v>310</v>
      </c>
      <c r="AF94" s="4" t="s">
        <v>209</v>
      </c>
    </row>
    <row r="95" spans="1:35" ht="18" x14ac:dyDescent="0.3">
      <c r="A95" s="25" t="s">
        <v>311</v>
      </c>
      <c r="B95" s="25"/>
      <c r="C95" s="30" t="s">
        <v>115</v>
      </c>
      <c r="D95" s="27"/>
      <c r="E95" s="27"/>
      <c r="F95" s="31" t="s">
        <v>116</v>
      </c>
      <c r="G95" s="32">
        <v>8</v>
      </c>
      <c r="H95" s="27"/>
      <c r="I95" s="33">
        <v>28695.200000000001</v>
      </c>
      <c r="J95" s="34">
        <v>2.5</v>
      </c>
      <c r="K95" s="35"/>
      <c r="L95" s="35"/>
      <c r="M95" s="34">
        <f>ROUND(ROUND(J95, 2)*I95, 2)</f>
        <v>71738</v>
      </c>
      <c r="N95" s="35"/>
      <c r="O95" s="35"/>
      <c r="P95" s="34">
        <v>2.5</v>
      </c>
      <c r="Q95" s="35"/>
      <c r="R95" s="35"/>
      <c r="S95" s="34">
        <f>ROUND(ROUND(P95, 2)*I95, 2)</f>
        <v>71738</v>
      </c>
      <c r="T95" s="35"/>
      <c r="U95" s="36"/>
      <c r="V95" s="9">
        <f>ROUND(ROUND(P95, 2)/1.2, 2)</f>
        <v>2.08</v>
      </c>
      <c r="Y95" s="9">
        <f t="shared" si="15"/>
        <v>59781.67</v>
      </c>
      <c r="AD95" s="4" t="s">
        <v>312</v>
      </c>
      <c r="AE95" s="4" t="s">
        <v>313</v>
      </c>
      <c r="AF95" s="4" t="s">
        <v>119</v>
      </c>
    </row>
    <row r="96" spans="1:35" ht="36" x14ac:dyDescent="0.3">
      <c r="A96" s="25" t="s">
        <v>314</v>
      </c>
      <c r="B96" s="25" t="s">
        <v>254</v>
      </c>
      <c r="C96" s="26" t="s">
        <v>297</v>
      </c>
      <c r="D96" s="27"/>
      <c r="E96" s="27" t="s">
        <v>315</v>
      </c>
      <c r="F96" s="27" t="s">
        <v>64</v>
      </c>
      <c r="G96" s="28">
        <v>1</v>
      </c>
      <c r="H96" s="27"/>
      <c r="I96" s="28">
        <v>4266.7</v>
      </c>
      <c r="J96" s="29">
        <f>IFERROR(ROUND(SUM(M97,M98,M99,M100,M101)/I96, 2),0)</f>
        <v>934.72</v>
      </c>
      <c r="K96" s="29">
        <v>1014</v>
      </c>
      <c r="L96" s="29">
        <f>J96+ROUND(K96, 2)</f>
        <v>1948.72</v>
      </c>
      <c r="M96" s="29">
        <f>ROUND(J96*I96, 2)</f>
        <v>3988169.82</v>
      </c>
      <c r="N96" s="29">
        <f>ROUND(I96*ROUND(K96, 2), 2)</f>
        <v>4326433.8</v>
      </c>
      <c r="O96" s="29">
        <f>M96+N96</f>
        <v>8314603.6199999992</v>
      </c>
      <c r="P96" s="29">
        <f>IFERROR(ROUND(SUM(S97,S98,S99,S100,S101)/I96, 2),0)</f>
        <v>934.72</v>
      </c>
      <c r="Q96" s="29">
        <v>1014</v>
      </c>
      <c r="R96" s="29">
        <f>P96+ROUND(Q96, 2)</f>
        <v>1948.72</v>
      </c>
      <c r="S96" s="29">
        <f>ROUND(P96*I96, 2)</f>
        <v>3988169.82</v>
      </c>
      <c r="T96" s="29">
        <f>ROUND(I96*ROUND(Q96, 2), 2)</f>
        <v>4326433.8</v>
      </c>
      <c r="U96" s="29">
        <f>S96+T96</f>
        <v>8314603.6199999992</v>
      </c>
      <c r="V96" s="9">
        <f>ROUND(P96 / 1.2, 2)</f>
        <v>778.93</v>
      </c>
      <c r="W96" s="9">
        <f>ROUND(Q96 / 1.2, 2)</f>
        <v>845</v>
      </c>
      <c r="X96" s="9">
        <f>ROUND(R96 / 1.2, 2)</f>
        <v>1623.93</v>
      </c>
      <c r="Y96" s="9">
        <f t="shared" si="15"/>
        <v>3323474.85</v>
      </c>
      <c r="Z96" s="9">
        <f>ROUND(T96 / 1.2, 2)</f>
        <v>3605361.5</v>
      </c>
      <c r="AA96" s="9">
        <f>Y96+Z96</f>
        <v>6928836.3499999996</v>
      </c>
      <c r="AD96" s="4">
        <v>298925372</v>
      </c>
      <c r="AE96" s="4">
        <v>20229448</v>
      </c>
      <c r="AG96" s="4" t="s">
        <v>257</v>
      </c>
      <c r="AH96" s="4" t="s">
        <v>258</v>
      </c>
      <c r="AI96" s="4" t="s">
        <v>67</v>
      </c>
    </row>
    <row r="97" spans="1:35" ht="18" x14ac:dyDescent="0.3">
      <c r="A97" s="25" t="s">
        <v>316</v>
      </c>
      <c r="B97" s="25"/>
      <c r="C97" s="30" t="s">
        <v>115</v>
      </c>
      <c r="D97" s="27"/>
      <c r="E97" s="27"/>
      <c r="F97" s="31" t="s">
        <v>116</v>
      </c>
      <c r="G97" s="32">
        <v>8</v>
      </c>
      <c r="H97" s="27"/>
      <c r="I97" s="33">
        <v>34133.599999999999</v>
      </c>
      <c r="J97" s="34">
        <v>2.5</v>
      </c>
      <c r="K97" s="35"/>
      <c r="L97" s="35"/>
      <c r="M97" s="34">
        <f>ROUND(ROUND(J97, 2)*I97, 2)</f>
        <v>85334</v>
      </c>
      <c r="N97" s="35"/>
      <c r="O97" s="35"/>
      <c r="P97" s="34">
        <v>2.5</v>
      </c>
      <c r="Q97" s="35"/>
      <c r="R97" s="35"/>
      <c r="S97" s="34">
        <f>ROUND(ROUND(P97, 2)*I97, 2)</f>
        <v>85334</v>
      </c>
      <c r="T97" s="35"/>
      <c r="U97" s="36"/>
      <c r="V97" s="9">
        <f>ROUND(ROUND(P97, 2)/1.2, 2)</f>
        <v>2.08</v>
      </c>
      <c r="Y97" s="9">
        <f t="shared" si="15"/>
        <v>71111.67</v>
      </c>
      <c r="AD97" s="4" t="s">
        <v>317</v>
      </c>
      <c r="AE97" s="4" t="s">
        <v>318</v>
      </c>
      <c r="AF97" s="4" t="s">
        <v>119</v>
      </c>
    </row>
    <row r="98" spans="1:35" ht="18" x14ac:dyDescent="0.3">
      <c r="A98" s="25" t="s">
        <v>319</v>
      </c>
      <c r="B98" s="25"/>
      <c r="C98" s="30" t="s">
        <v>206</v>
      </c>
      <c r="D98" s="27"/>
      <c r="E98" s="27"/>
      <c r="F98" s="31" t="s">
        <v>70</v>
      </c>
      <c r="G98" s="32">
        <v>1.8</v>
      </c>
      <c r="H98" s="27"/>
      <c r="I98" s="33">
        <v>499203.9</v>
      </c>
      <c r="J98" s="34">
        <v>6.17</v>
      </c>
      <c r="K98" s="35"/>
      <c r="L98" s="35"/>
      <c r="M98" s="34">
        <f>ROUND(ROUND(J98, 2)*I98, 2)</f>
        <v>3080088.06</v>
      </c>
      <c r="N98" s="35"/>
      <c r="O98" s="35"/>
      <c r="P98" s="34">
        <v>6.17</v>
      </c>
      <c r="Q98" s="35"/>
      <c r="R98" s="35"/>
      <c r="S98" s="34">
        <f>ROUND(ROUND(P98, 2)*I98, 2)</f>
        <v>3080088.06</v>
      </c>
      <c r="T98" s="35"/>
      <c r="U98" s="36"/>
      <c r="V98" s="9">
        <f>ROUND(ROUND(P98, 2)/1.2, 2)</f>
        <v>5.14</v>
      </c>
      <c r="Y98" s="9">
        <f t="shared" si="15"/>
        <v>2566740.0499999998</v>
      </c>
      <c r="AD98" s="4" t="s">
        <v>320</v>
      </c>
      <c r="AE98" s="4" t="s">
        <v>321</v>
      </c>
      <c r="AF98" s="4" t="s">
        <v>209</v>
      </c>
    </row>
    <row r="99" spans="1:35" ht="18" x14ac:dyDescent="0.3">
      <c r="A99" s="25" t="s">
        <v>322</v>
      </c>
      <c r="B99" s="25"/>
      <c r="C99" s="30" t="s">
        <v>130</v>
      </c>
      <c r="D99" s="27"/>
      <c r="E99" s="27"/>
      <c r="F99" s="31" t="s">
        <v>64</v>
      </c>
      <c r="G99" s="32">
        <v>1.1000000000000001</v>
      </c>
      <c r="H99" s="27"/>
      <c r="I99" s="33">
        <v>4693.37</v>
      </c>
      <c r="J99" s="34">
        <v>155.01</v>
      </c>
      <c r="K99" s="35"/>
      <c r="L99" s="35"/>
      <c r="M99" s="34">
        <f>ROUND(ROUND(J99, 2)*I99, 2)</f>
        <v>727519.28</v>
      </c>
      <c r="N99" s="35"/>
      <c r="O99" s="35"/>
      <c r="P99" s="34">
        <v>155.01</v>
      </c>
      <c r="Q99" s="35"/>
      <c r="R99" s="35"/>
      <c r="S99" s="34">
        <f>ROUND(ROUND(P99, 2)*I99, 2)</f>
        <v>727519.28</v>
      </c>
      <c r="T99" s="35"/>
      <c r="U99" s="36"/>
      <c r="V99" s="9">
        <f>ROUND(ROUND(P99, 2)/1.2, 2)</f>
        <v>129.18</v>
      </c>
      <c r="Y99" s="9">
        <f t="shared" si="15"/>
        <v>606266.06999999995</v>
      </c>
      <c r="AD99" s="4" t="s">
        <v>323</v>
      </c>
      <c r="AE99" s="4" t="s">
        <v>324</v>
      </c>
      <c r="AF99" s="4" t="s">
        <v>133</v>
      </c>
    </row>
    <row r="100" spans="1:35" ht="18" x14ac:dyDescent="0.3">
      <c r="A100" s="25" t="s">
        <v>325</v>
      </c>
      <c r="B100" s="25"/>
      <c r="C100" s="30" t="s">
        <v>86</v>
      </c>
      <c r="D100" s="27"/>
      <c r="E100" s="27"/>
      <c r="F100" s="31" t="s">
        <v>87</v>
      </c>
      <c r="G100" s="32">
        <v>1</v>
      </c>
      <c r="H100" s="27"/>
      <c r="I100" s="33">
        <v>1872</v>
      </c>
      <c r="J100" s="34">
        <v>10.4</v>
      </c>
      <c r="K100" s="35"/>
      <c r="L100" s="35"/>
      <c r="M100" s="34">
        <f>ROUND(ROUND(J100, 2)*I100, 2)</f>
        <v>19468.8</v>
      </c>
      <c r="N100" s="35"/>
      <c r="O100" s="35"/>
      <c r="P100" s="34">
        <v>10.4</v>
      </c>
      <c r="Q100" s="35"/>
      <c r="R100" s="35"/>
      <c r="S100" s="34">
        <f>ROUND(ROUND(P100, 2)*I100, 2)</f>
        <v>19468.8</v>
      </c>
      <c r="T100" s="35"/>
      <c r="U100" s="36"/>
      <c r="V100" s="9">
        <f>ROUND(ROUND(P100, 2)/1.2, 2)</f>
        <v>8.67</v>
      </c>
      <c r="Y100" s="9">
        <f t="shared" si="15"/>
        <v>16224</v>
      </c>
      <c r="AD100" s="4" t="s">
        <v>326</v>
      </c>
      <c r="AE100" s="4" t="s">
        <v>327</v>
      </c>
      <c r="AF100" s="4" t="s">
        <v>90</v>
      </c>
    </row>
    <row r="101" spans="1:35" ht="36" x14ac:dyDescent="0.3">
      <c r="A101" s="25" t="s">
        <v>328</v>
      </c>
      <c r="B101" s="25"/>
      <c r="C101" s="30" t="s">
        <v>75</v>
      </c>
      <c r="D101" s="27"/>
      <c r="E101" s="27"/>
      <c r="F101" s="31" t="s">
        <v>70</v>
      </c>
      <c r="G101" s="32">
        <v>0.2</v>
      </c>
      <c r="H101" s="27"/>
      <c r="I101" s="32">
        <v>853.34</v>
      </c>
      <c r="J101" s="34">
        <v>88.8</v>
      </c>
      <c r="K101" s="35"/>
      <c r="L101" s="35"/>
      <c r="M101" s="34">
        <f>ROUND(ROUND(J101, 2)*I101, 2)</f>
        <v>75776.59</v>
      </c>
      <c r="N101" s="35"/>
      <c r="O101" s="35"/>
      <c r="P101" s="34">
        <v>88.8</v>
      </c>
      <c r="Q101" s="35"/>
      <c r="R101" s="35"/>
      <c r="S101" s="34">
        <f>ROUND(ROUND(P101, 2)*I101, 2)</f>
        <v>75776.59</v>
      </c>
      <c r="T101" s="35"/>
      <c r="U101" s="36"/>
      <c r="V101" s="9">
        <f>ROUND(ROUND(P101, 2)/1.2, 2)</f>
        <v>74</v>
      </c>
      <c r="Y101" s="9">
        <f t="shared" si="15"/>
        <v>63147.16</v>
      </c>
      <c r="AD101" s="4" t="s">
        <v>329</v>
      </c>
      <c r="AE101" s="4" t="s">
        <v>330</v>
      </c>
      <c r="AF101" s="4" t="s">
        <v>78</v>
      </c>
    </row>
    <row r="102" spans="1:35" ht="16.95" customHeight="1" x14ac:dyDescent="0.3">
      <c r="A102" s="10" t="s">
        <v>331</v>
      </c>
      <c r="B102" s="10" t="s">
        <v>332</v>
      </c>
      <c r="C102" s="352" t="s">
        <v>333</v>
      </c>
      <c r="D102" s="353"/>
      <c r="E102" s="353"/>
      <c r="F102" s="353"/>
      <c r="G102" s="353"/>
      <c r="H102" s="353"/>
      <c r="I102" s="354"/>
      <c r="M102" s="6">
        <f>SUM(M103,M106,M109,M111,M113,M117)</f>
        <v>367766.24</v>
      </c>
      <c r="N102" s="6">
        <f>SUM(N103,N106,N109,N111,N113,N117)</f>
        <v>226361.93</v>
      </c>
      <c r="O102" s="6">
        <f>SUM(O103,O106,O109,O111,O113,O117)</f>
        <v>594128.17000000004</v>
      </c>
      <c r="S102" s="6">
        <f>SUM(S103,S106,S109,S111,S113,S117)</f>
        <v>367766.24</v>
      </c>
      <c r="T102" s="6">
        <f>SUM(T103,T106,T109,T111,T113,T117)</f>
        <v>226361.93</v>
      </c>
      <c r="U102" s="6">
        <f>SUM(U103,U106,U109,U111,U113,U117)</f>
        <v>594128.17000000004</v>
      </c>
      <c r="Y102" s="9">
        <f>SUM(Y103,Y106,Y109,Y111,Y113,Y117)</f>
        <v>306471.87</v>
      </c>
      <c r="Z102" s="9">
        <f>SUM(Z103,Z106,Z109,Z111,Z113,Z117)</f>
        <v>188634.95</v>
      </c>
      <c r="AA102" s="9">
        <f>SUM(AA103,AA106,AA109,AA111,AA113,AA117)</f>
        <v>495106.82</v>
      </c>
      <c r="AD102" s="4">
        <v>298925270</v>
      </c>
      <c r="AE102" s="4">
        <v>16194160</v>
      </c>
    </row>
    <row r="103" spans="1:35" ht="54" x14ac:dyDescent="0.3">
      <c r="A103" s="10" t="s">
        <v>334</v>
      </c>
      <c r="B103" s="10" t="s">
        <v>335</v>
      </c>
      <c r="C103" s="11" t="s">
        <v>336</v>
      </c>
      <c r="D103" s="12"/>
      <c r="E103" s="12" t="s">
        <v>63</v>
      </c>
      <c r="F103" s="12" t="s">
        <v>64</v>
      </c>
      <c r="G103" s="13">
        <v>1</v>
      </c>
      <c r="H103" s="12"/>
      <c r="I103" s="13">
        <v>236.7</v>
      </c>
      <c r="J103" s="14">
        <f>IFERROR(ROUND(SUM(M104,M105)/I103, 2),0)</f>
        <v>386.83</v>
      </c>
      <c r="K103" s="15">
        <v>324</v>
      </c>
      <c r="L103" s="14">
        <f>J103+ROUND(K103, 2)</f>
        <v>710.82999999999993</v>
      </c>
      <c r="M103" s="14">
        <f>ROUND(J103*I103, 2)</f>
        <v>91562.66</v>
      </c>
      <c r="N103" s="14">
        <f>ROUND(I103*ROUND(K103, 2), 2)</f>
        <v>76690.8</v>
      </c>
      <c r="O103" s="14">
        <f>M103+N103</f>
        <v>168253.46000000002</v>
      </c>
      <c r="P103" s="14">
        <f>IFERROR(ROUND(SUM(S104,S105)/I103, 2),0)</f>
        <v>386.83</v>
      </c>
      <c r="Q103" s="16">
        <v>324</v>
      </c>
      <c r="R103" s="14">
        <f>P103+ROUND(Q103, 2)</f>
        <v>710.82999999999993</v>
      </c>
      <c r="S103" s="14">
        <f>ROUND(P103*I103, 2)</f>
        <v>91562.66</v>
      </c>
      <c r="T103" s="14">
        <f>ROUND(I103*ROUND(Q103, 2), 2)</f>
        <v>76690.8</v>
      </c>
      <c r="U103" s="14">
        <f>S103+T103</f>
        <v>168253.46000000002</v>
      </c>
      <c r="V103" s="9">
        <f>ROUND(P103 / 1.2, 2)</f>
        <v>322.36</v>
      </c>
      <c r="W103" s="9">
        <f>ROUND(Q103 / 1.2, 2)</f>
        <v>270</v>
      </c>
      <c r="X103" s="9">
        <f>ROUND(R103 / 1.2, 2)</f>
        <v>592.36</v>
      </c>
      <c r="Y103" s="9">
        <f>ROUND(S103 / 1.2, 2)</f>
        <v>76302.22</v>
      </c>
      <c r="Z103" s="9">
        <f>ROUND(T103 / 1.2, 2)</f>
        <v>63909</v>
      </c>
      <c r="AA103" s="9">
        <f>Y103+Z103</f>
        <v>140211.22</v>
      </c>
      <c r="AD103" s="4">
        <v>298925272</v>
      </c>
      <c r="AE103" s="4">
        <v>16194157</v>
      </c>
      <c r="AG103" s="4" t="s">
        <v>337</v>
      </c>
      <c r="AH103" s="4" t="s">
        <v>338</v>
      </c>
      <c r="AI103" s="4" t="s">
        <v>67</v>
      </c>
    </row>
    <row r="104" spans="1:35" ht="18" x14ac:dyDescent="0.3">
      <c r="A104" s="10" t="s">
        <v>339</v>
      </c>
      <c r="B104" s="10"/>
      <c r="C104" s="24" t="s">
        <v>340</v>
      </c>
      <c r="D104" s="12"/>
      <c r="E104" s="12"/>
      <c r="F104" s="18" t="s">
        <v>70</v>
      </c>
      <c r="G104" s="19">
        <v>0.25</v>
      </c>
      <c r="H104" s="12"/>
      <c r="I104" s="19">
        <v>59.174999999999997</v>
      </c>
      <c r="J104" s="21">
        <v>210.3</v>
      </c>
      <c r="M104" s="22">
        <f>ROUND(ROUND(J104, 2)*I104, 2)</f>
        <v>12444.5</v>
      </c>
      <c r="P104" s="23">
        <v>210.3</v>
      </c>
      <c r="S104" s="22">
        <f>ROUND(ROUND(P104, 2)*I104, 2)</f>
        <v>12444.5</v>
      </c>
      <c r="V104" s="9">
        <f>ROUND(ROUND(P104, 2)/1.2, 2)</f>
        <v>175.25</v>
      </c>
      <c r="Y104" s="9">
        <f t="shared" ref="Y104:Y113" si="16">ROUND(S104 / 1.2, 2)</f>
        <v>10370.42</v>
      </c>
      <c r="AD104" s="4" t="s">
        <v>341</v>
      </c>
      <c r="AE104" s="4" t="s">
        <v>342</v>
      </c>
      <c r="AF104" s="4" t="s">
        <v>343</v>
      </c>
    </row>
    <row r="105" spans="1:35" ht="36" x14ac:dyDescent="0.3">
      <c r="A105" s="10" t="s">
        <v>344</v>
      </c>
      <c r="B105" s="10"/>
      <c r="C105" s="24" t="s">
        <v>345</v>
      </c>
      <c r="D105" s="12"/>
      <c r="E105" s="12"/>
      <c r="F105" s="18" t="s">
        <v>70</v>
      </c>
      <c r="G105" s="19">
        <v>2.5</v>
      </c>
      <c r="H105" s="12"/>
      <c r="I105" s="19">
        <v>591.75</v>
      </c>
      <c r="J105" s="21">
        <v>133.69999999999999</v>
      </c>
      <c r="M105" s="22">
        <f>ROUND(ROUND(J105, 2)*I105, 2)</f>
        <v>79116.98</v>
      </c>
      <c r="P105" s="23">
        <v>133.69999999999999</v>
      </c>
      <c r="S105" s="22">
        <f>ROUND(ROUND(P105, 2)*I105, 2)</f>
        <v>79116.98</v>
      </c>
      <c r="V105" s="9">
        <f>ROUND(ROUND(P105, 2)/1.2, 2)</f>
        <v>111.42</v>
      </c>
      <c r="Y105" s="9">
        <f t="shared" si="16"/>
        <v>65930.820000000007</v>
      </c>
      <c r="AD105" s="4" t="s">
        <v>346</v>
      </c>
      <c r="AE105" s="4" t="s">
        <v>347</v>
      </c>
      <c r="AF105" s="4" t="s">
        <v>348</v>
      </c>
    </row>
    <row r="106" spans="1:35" ht="54" x14ac:dyDescent="0.3">
      <c r="A106" s="25" t="s">
        <v>349</v>
      </c>
      <c r="B106" s="25" t="s">
        <v>335</v>
      </c>
      <c r="C106" s="26" t="s">
        <v>336</v>
      </c>
      <c r="D106" s="27"/>
      <c r="E106" s="27" t="s">
        <v>81</v>
      </c>
      <c r="F106" s="27" t="s">
        <v>64</v>
      </c>
      <c r="G106" s="28">
        <v>1</v>
      </c>
      <c r="H106" s="27"/>
      <c r="I106" s="28">
        <v>150.6</v>
      </c>
      <c r="J106" s="29">
        <f>IFERROR(ROUND(SUM(M107,M108)/I106, 2),0)</f>
        <v>406.08</v>
      </c>
      <c r="K106" s="29">
        <v>324</v>
      </c>
      <c r="L106" s="29">
        <f>J106+ROUND(K106, 2)</f>
        <v>730.07999999999993</v>
      </c>
      <c r="M106" s="29">
        <f>ROUND(J106*I106, 2)</f>
        <v>61155.65</v>
      </c>
      <c r="N106" s="29">
        <f>ROUND(I106*ROUND(K106, 2), 2)</f>
        <v>48794.400000000001</v>
      </c>
      <c r="O106" s="29">
        <f>M106+N106</f>
        <v>109950.05</v>
      </c>
      <c r="P106" s="29">
        <f>IFERROR(ROUND(SUM(S107,S108)/I106, 2),0)</f>
        <v>406.08</v>
      </c>
      <c r="Q106" s="29">
        <v>324</v>
      </c>
      <c r="R106" s="29">
        <f>P106+ROUND(Q106, 2)</f>
        <v>730.07999999999993</v>
      </c>
      <c r="S106" s="29">
        <f>ROUND(P106*I106, 2)</f>
        <v>61155.65</v>
      </c>
      <c r="T106" s="29">
        <f>ROUND(I106*ROUND(Q106, 2), 2)</f>
        <v>48794.400000000001</v>
      </c>
      <c r="U106" s="29">
        <f>S106+T106</f>
        <v>109950.05</v>
      </c>
      <c r="V106" s="9">
        <f>ROUND(P106 / 1.2, 2)</f>
        <v>338.4</v>
      </c>
      <c r="W106" s="9">
        <f>ROUND(Q106 / 1.2, 2)</f>
        <v>270</v>
      </c>
      <c r="X106" s="9">
        <f>ROUND(R106 / 1.2, 2)</f>
        <v>608.4</v>
      </c>
      <c r="Y106" s="9">
        <f t="shared" si="16"/>
        <v>50963.040000000001</v>
      </c>
      <c r="Z106" s="9">
        <f>ROUND(T106 / 1.2, 2)</f>
        <v>40662</v>
      </c>
      <c r="AA106" s="9">
        <f>Y106+Z106</f>
        <v>91625.040000000008</v>
      </c>
      <c r="AD106" s="4">
        <v>298925373</v>
      </c>
      <c r="AE106" s="4">
        <v>19811382</v>
      </c>
      <c r="AG106" s="4" t="s">
        <v>337</v>
      </c>
      <c r="AH106" s="4" t="s">
        <v>338</v>
      </c>
      <c r="AI106" s="4" t="s">
        <v>67</v>
      </c>
    </row>
    <row r="107" spans="1:35" ht="36" x14ac:dyDescent="0.3">
      <c r="A107" s="25" t="s">
        <v>350</v>
      </c>
      <c r="B107" s="25"/>
      <c r="C107" s="30" t="s">
        <v>345</v>
      </c>
      <c r="D107" s="27"/>
      <c r="E107" s="27"/>
      <c r="F107" s="31" t="s">
        <v>70</v>
      </c>
      <c r="G107" s="32">
        <v>2.5</v>
      </c>
      <c r="H107" s="27"/>
      <c r="I107" s="32">
        <v>376.5</v>
      </c>
      <c r="J107" s="34">
        <v>141.4</v>
      </c>
      <c r="K107" s="35"/>
      <c r="L107" s="35"/>
      <c r="M107" s="34">
        <f>ROUND(ROUND(J107, 2)*I107, 2)</f>
        <v>53237.1</v>
      </c>
      <c r="N107" s="35"/>
      <c r="O107" s="35"/>
      <c r="P107" s="34">
        <v>141.4</v>
      </c>
      <c r="Q107" s="35"/>
      <c r="R107" s="35"/>
      <c r="S107" s="34">
        <f>ROUND(ROUND(P107, 2)*I107, 2)</f>
        <v>53237.1</v>
      </c>
      <c r="T107" s="35"/>
      <c r="U107" s="36"/>
      <c r="V107" s="9">
        <f>ROUND(ROUND(P107, 2)/1.2, 2)</f>
        <v>117.83</v>
      </c>
      <c r="Y107" s="9">
        <f t="shared" si="16"/>
        <v>44364.25</v>
      </c>
      <c r="AD107" s="4" t="s">
        <v>351</v>
      </c>
      <c r="AE107" s="4" t="s">
        <v>352</v>
      </c>
      <c r="AF107" s="4" t="s">
        <v>348</v>
      </c>
    </row>
    <row r="108" spans="1:35" ht="18" x14ac:dyDescent="0.3">
      <c r="A108" s="25" t="s">
        <v>353</v>
      </c>
      <c r="B108" s="25"/>
      <c r="C108" s="30" t="s">
        <v>340</v>
      </c>
      <c r="D108" s="27"/>
      <c r="E108" s="27"/>
      <c r="F108" s="31" t="s">
        <v>70</v>
      </c>
      <c r="G108" s="32">
        <v>0.25</v>
      </c>
      <c r="H108" s="27"/>
      <c r="I108" s="32">
        <v>37.65</v>
      </c>
      <c r="J108" s="34">
        <v>210.3</v>
      </c>
      <c r="K108" s="35"/>
      <c r="L108" s="35"/>
      <c r="M108" s="34">
        <f>ROUND(ROUND(J108, 2)*I108, 2)</f>
        <v>7917.8</v>
      </c>
      <c r="N108" s="35"/>
      <c r="O108" s="35"/>
      <c r="P108" s="34">
        <v>210.3</v>
      </c>
      <c r="Q108" s="35"/>
      <c r="R108" s="35"/>
      <c r="S108" s="34">
        <f>ROUND(ROUND(P108, 2)*I108, 2)</f>
        <v>7917.8</v>
      </c>
      <c r="T108" s="35"/>
      <c r="U108" s="36"/>
      <c r="V108" s="9">
        <f>ROUND(ROUND(P108, 2)/1.2, 2)</f>
        <v>175.25</v>
      </c>
      <c r="Y108" s="9">
        <f t="shared" si="16"/>
        <v>6598.17</v>
      </c>
      <c r="AD108" s="4" t="s">
        <v>354</v>
      </c>
      <c r="AE108" s="4" t="s">
        <v>355</v>
      </c>
      <c r="AF108" s="4" t="s">
        <v>343</v>
      </c>
    </row>
    <row r="109" spans="1:35" ht="36" x14ac:dyDescent="0.3">
      <c r="A109" s="10" t="s">
        <v>356</v>
      </c>
      <c r="B109" s="10" t="s">
        <v>357</v>
      </c>
      <c r="C109" s="11" t="s">
        <v>358</v>
      </c>
      <c r="D109" s="12"/>
      <c r="E109" s="12" t="s">
        <v>63</v>
      </c>
      <c r="F109" s="12" t="s">
        <v>64</v>
      </c>
      <c r="G109" s="13">
        <v>1</v>
      </c>
      <c r="H109" s="12"/>
      <c r="I109" s="13">
        <v>631.29999999999995</v>
      </c>
      <c r="J109" s="14">
        <f>IFERROR(ROUND(SUM(M110)/I109, 2),0)</f>
        <v>173.66</v>
      </c>
      <c r="K109" s="15">
        <v>56</v>
      </c>
      <c r="L109" s="14">
        <f>J109+ROUND(K109, 2)</f>
        <v>229.66</v>
      </c>
      <c r="M109" s="14">
        <f>ROUND(J109*I109, 2)</f>
        <v>109631.56</v>
      </c>
      <c r="N109" s="14">
        <f>ROUND(I109*ROUND(K109, 2), 2)</f>
        <v>35352.800000000003</v>
      </c>
      <c r="O109" s="14">
        <f>M109+N109</f>
        <v>144984.35999999999</v>
      </c>
      <c r="P109" s="14">
        <f>IFERROR(ROUND(SUM(S110)/I109, 2),0)</f>
        <v>173.66</v>
      </c>
      <c r="Q109" s="16">
        <v>56</v>
      </c>
      <c r="R109" s="14">
        <f>P109+ROUND(Q109, 2)</f>
        <v>229.66</v>
      </c>
      <c r="S109" s="14">
        <f>ROUND(P109*I109, 2)</f>
        <v>109631.56</v>
      </c>
      <c r="T109" s="14">
        <f>ROUND(I109*ROUND(Q109, 2), 2)</f>
        <v>35352.800000000003</v>
      </c>
      <c r="U109" s="14">
        <f>S109+T109</f>
        <v>144984.35999999999</v>
      </c>
      <c r="V109" s="9">
        <f>ROUND(P109 / 1.2, 2)</f>
        <v>144.72</v>
      </c>
      <c r="W109" s="9">
        <f>ROUND(Q109 / 1.2, 2)</f>
        <v>46.67</v>
      </c>
      <c r="X109" s="9">
        <f>ROUND(R109 / 1.2, 2)</f>
        <v>191.38</v>
      </c>
      <c r="Y109" s="9">
        <f t="shared" si="16"/>
        <v>91359.63</v>
      </c>
      <c r="Z109" s="9">
        <f>ROUND(T109 / 1.2, 2)</f>
        <v>29460.67</v>
      </c>
      <c r="AA109" s="9">
        <f>Y109+Z109</f>
        <v>120820.3</v>
      </c>
      <c r="AD109" s="4">
        <v>298925274</v>
      </c>
      <c r="AE109" s="4">
        <v>16676511</v>
      </c>
      <c r="AG109" s="4" t="s">
        <v>359</v>
      </c>
      <c r="AH109" s="4" t="s">
        <v>360</v>
      </c>
      <c r="AI109" s="4" t="s">
        <v>67</v>
      </c>
    </row>
    <row r="110" spans="1:35" ht="18" x14ac:dyDescent="0.3">
      <c r="A110" s="10" t="s">
        <v>361</v>
      </c>
      <c r="B110" s="10"/>
      <c r="C110" s="24" t="s">
        <v>362</v>
      </c>
      <c r="D110" s="12"/>
      <c r="E110" s="12" t="s">
        <v>363</v>
      </c>
      <c r="F110" s="18" t="s">
        <v>64</v>
      </c>
      <c r="G110" s="19">
        <v>1.03</v>
      </c>
      <c r="H110" s="12"/>
      <c r="I110" s="19">
        <v>650.23900000000003</v>
      </c>
      <c r="J110" s="21">
        <v>168.6</v>
      </c>
      <c r="M110" s="22">
        <f>ROUND(ROUND(J110, 2)*I110, 2)</f>
        <v>109630.3</v>
      </c>
      <c r="P110" s="23">
        <v>168.6</v>
      </c>
      <c r="S110" s="22">
        <f>ROUND(ROUND(P110, 2)*I110, 2)</f>
        <v>109630.3</v>
      </c>
      <c r="V110" s="9">
        <f>ROUND(ROUND(P110, 2)/1.2, 2)</f>
        <v>140.5</v>
      </c>
      <c r="Y110" s="9">
        <f t="shared" si="16"/>
        <v>91358.58</v>
      </c>
      <c r="AD110" s="4" t="s">
        <v>364</v>
      </c>
      <c r="AE110" s="4" t="s">
        <v>365</v>
      </c>
      <c r="AF110" s="4" t="s">
        <v>366</v>
      </c>
    </row>
    <row r="111" spans="1:35" ht="36" x14ac:dyDescent="0.3">
      <c r="A111" s="25" t="s">
        <v>367</v>
      </c>
      <c r="B111" s="25" t="s">
        <v>357</v>
      </c>
      <c r="C111" s="26" t="s">
        <v>358</v>
      </c>
      <c r="D111" s="27"/>
      <c r="E111" s="27" t="s">
        <v>81</v>
      </c>
      <c r="F111" s="27" t="s">
        <v>64</v>
      </c>
      <c r="G111" s="28">
        <v>1</v>
      </c>
      <c r="H111" s="27"/>
      <c r="I111" s="28">
        <v>248.8</v>
      </c>
      <c r="J111" s="29">
        <f>IFERROR(ROUND(SUM(M112)/I111, 2),0)</f>
        <v>173.66</v>
      </c>
      <c r="K111" s="29">
        <v>56</v>
      </c>
      <c r="L111" s="29">
        <f>J111+ROUND(K111, 2)</f>
        <v>229.66</v>
      </c>
      <c r="M111" s="29">
        <f>ROUND(J111*I111, 2)</f>
        <v>43206.61</v>
      </c>
      <c r="N111" s="29">
        <f>ROUND(I111*ROUND(K111, 2), 2)</f>
        <v>13932.8</v>
      </c>
      <c r="O111" s="29">
        <f>M111+N111</f>
        <v>57139.41</v>
      </c>
      <c r="P111" s="29">
        <f>IFERROR(ROUND(SUM(S112)/I111, 2),0)</f>
        <v>173.66</v>
      </c>
      <c r="Q111" s="29">
        <v>56</v>
      </c>
      <c r="R111" s="29">
        <f>P111+ROUND(Q111, 2)</f>
        <v>229.66</v>
      </c>
      <c r="S111" s="29">
        <f>ROUND(P111*I111, 2)</f>
        <v>43206.61</v>
      </c>
      <c r="T111" s="29">
        <f>ROUND(I111*ROUND(Q111, 2), 2)</f>
        <v>13932.8</v>
      </c>
      <c r="U111" s="29">
        <f>S111+T111</f>
        <v>57139.41</v>
      </c>
      <c r="V111" s="9">
        <f>ROUND(P111 / 1.2, 2)</f>
        <v>144.72</v>
      </c>
      <c r="W111" s="9">
        <f>ROUND(Q111 / 1.2, 2)</f>
        <v>46.67</v>
      </c>
      <c r="X111" s="9">
        <f>ROUND(R111 / 1.2, 2)</f>
        <v>191.38</v>
      </c>
      <c r="Y111" s="9">
        <f t="shared" si="16"/>
        <v>36005.51</v>
      </c>
      <c r="Z111" s="9">
        <f>ROUND(T111 / 1.2, 2)</f>
        <v>11610.67</v>
      </c>
      <c r="AA111" s="9">
        <f>Y111+Z111</f>
        <v>47616.18</v>
      </c>
      <c r="AD111" s="4">
        <v>298925374</v>
      </c>
      <c r="AE111" s="4">
        <v>19811550</v>
      </c>
      <c r="AG111" s="4" t="s">
        <v>359</v>
      </c>
      <c r="AH111" s="4" t="s">
        <v>360</v>
      </c>
      <c r="AI111" s="4" t="s">
        <v>67</v>
      </c>
    </row>
    <row r="112" spans="1:35" ht="18" x14ac:dyDescent="0.3">
      <c r="A112" s="25" t="s">
        <v>368</v>
      </c>
      <c r="B112" s="25"/>
      <c r="C112" s="30" t="s">
        <v>362</v>
      </c>
      <c r="D112" s="27"/>
      <c r="E112" s="27" t="s">
        <v>369</v>
      </c>
      <c r="F112" s="31" t="s">
        <v>64</v>
      </c>
      <c r="G112" s="32">
        <v>1.03</v>
      </c>
      <c r="H112" s="27"/>
      <c r="I112" s="32">
        <v>256.26400000000001</v>
      </c>
      <c r="J112" s="34">
        <v>168.6</v>
      </c>
      <c r="K112" s="35"/>
      <c r="L112" s="35"/>
      <c r="M112" s="34">
        <f>ROUND(ROUND(J112, 2)*I112, 2)</f>
        <v>43206.11</v>
      </c>
      <c r="N112" s="35"/>
      <c r="O112" s="35"/>
      <c r="P112" s="34">
        <v>168.6</v>
      </c>
      <c r="Q112" s="35"/>
      <c r="R112" s="35"/>
      <c r="S112" s="34">
        <f>ROUND(ROUND(P112, 2)*I112, 2)</f>
        <v>43206.11</v>
      </c>
      <c r="T112" s="35"/>
      <c r="U112" s="36"/>
      <c r="V112" s="9">
        <f>ROUND(ROUND(P112, 2)/1.2, 2)</f>
        <v>140.5</v>
      </c>
      <c r="Y112" s="9">
        <f t="shared" si="16"/>
        <v>36005.089999999997</v>
      </c>
      <c r="AD112" s="4" t="s">
        <v>370</v>
      </c>
      <c r="AE112" s="4" t="s">
        <v>371</v>
      </c>
      <c r="AF112" s="4" t="s">
        <v>366</v>
      </c>
    </row>
    <row r="113" spans="1:35" ht="18" x14ac:dyDescent="0.3">
      <c r="A113" s="37" t="s">
        <v>372</v>
      </c>
      <c r="B113" s="37" t="s">
        <v>373</v>
      </c>
      <c r="C113" s="38" t="s">
        <v>374</v>
      </c>
      <c r="D113" s="39"/>
      <c r="E113" s="39" t="s">
        <v>63</v>
      </c>
      <c r="F113" s="39" t="s">
        <v>98</v>
      </c>
      <c r="G113" s="40">
        <v>1</v>
      </c>
      <c r="H113" s="39"/>
      <c r="I113" s="41">
        <v>0</v>
      </c>
      <c r="J113" s="42">
        <f>IFERROR(ROUND(SUM(M115)/I113, 2),0)</f>
        <v>0</v>
      </c>
      <c r="K113" s="42">
        <v>2157</v>
      </c>
      <c r="L113" s="42">
        <f>J113+ROUND(K113, 2)</f>
        <v>2157</v>
      </c>
      <c r="M113" s="42">
        <f>ROUND(J113*I113, 2)</f>
        <v>0</v>
      </c>
      <c r="N113" s="42">
        <f>ROUND(I113*ROUND(K113, 2), 2)</f>
        <v>0</v>
      </c>
      <c r="O113" s="42">
        <f>M113+N113</f>
        <v>0</v>
      </c>
      <c r="P113" s="42">
        <f>IFERROR(ROUND(SUM(S115)/I113, 2),0)</f>
        <v>0</v>
      </c>
      <c r="Q113" s="42">
        <v>2157</v>
      </c>
      <c r="R113" s="42">
        <f>P113+ROUND(Q113, 2)</f>
        <v>2157</v>
      </c>
      <c r="S113" s="42">
        <f>ROUND(P113*I113, 2)</f>
        <v>0</v>
      </c>
      <c r="T113" s="42">
        <f>ROUND(I113*ROUND(Q113, 2), 2)</f>
        <v>0</v>
      </c>
      <c r="U113" s="42">
        <f>S113+T113</f>
        <v>0</v>
      </c>
      <c r="V113" s="9">
        <f>ROUND(P113 / 1.2, 2)</f>
        <v>0</v>
      </c>
      <c r="W113" s="9">
        <f>ROUND(Q113 / 1.2, 2)</f>
        <v>1797.5</v>
      </c>
      <c r="X113" s="9">
        <f>ROUND(R113 / 1.2, 2)</f>
        <v>1797.5</v>
      </c>
      <c r="Y113" s="9">
        <f t="shared" si="16"/>
        <v>0</v>
      </c>
      <c r="Z113" s="9">
        <f>ROUND(T113 / 1.2, 2)</f>
        <v>0</v>
      </c>
      <c r="AA113" s="9">
        <f>Y113+Z113</f>
        <v>0</v>
      </c>
      <c r="AD113" s="4">
        <v>298925276</v>
      </c>
      <c r="AE113" s="4">
        <v>16675472</v>
      </c>
      <c r="AG113" s="4" t="s">
        <v>375</v>
      </c>
      <c r="AH113" s="4" t="s">
        <v>376</v>
      </c>
      <c r="AI113" s="4" t="s">
        <v>67</v>
      </c>
    </row>
    <row r="114" spans="1:35" ht="18" x14ac:dyDescent="0.3">
      <c r="A114" s="43" t="s">
        <v>377</v>
      </c>
      <c r="B114" s="43" t="s">
        <v>373</v>
      </c>
      <c r="C114" s="44" t="s">
        <v>374</v>
      </c>
      <c r="D114" s="45"/>
      <c r="E114" s="45"/>
      <c r="F114" s="45" t="s">
        <v>98</v>
      </c>
      <c r="G114" s="46">
        <v>1</v>
      </c>
      <c r="H114" s="45"/>
      <c r="I114" s="46">
        <v>22.42</v>
      </c>
      <c r="J114" s="47">
        <v>0</v>
      </c>
      <c r="K114" s="47">
        <v>2157</v>
      </c>
      <c r="L114" s="47"/>
      <c r="M114" s="47">
        <v>0</v>
      </c>
      <c r="N114" s="47"/>
      <c r="O114" s="47"/>
      <c r="P114" s="47">
        <v>0</v>
      </c>
      <c r="Q114" s="47">
        <v>2157</v>
      </c>
      <c r="R114" s="47"/>
      <c r="S114" s="47">
        <v>0</v>
      </c>
      <c r="T114" s="47"/>
      <c r="U114" s="47"/>
      <c r="V114" s="9"/>
      <c r="W114" s="9">
        <f>ROUND(Q114 / 1.2, 2)</f>
        <v>1797.5</v>
      </c>
      <c r="X114" s="9">
        <f>ROUND(R114 / 1.2, 2)</f>
        <v>0</v>
      </c>
      <c r="Y114" s="9"/>
      <c r="Z114" s="9">
        <f>ROUND(T114 / 1.2, 2)</f>
        <v>0</v>
      </c>
      <c r="AA114" s="9"/>
      <c r="AD114" s="4">
        <v>213439833</v>
      </c>
      <c r="AE114" s="4">
        <v>16675472</v>
      </c>
      <c r="AG114" s="4" t="s">
        <v>375</v>
      </c>
      <c r="AH114" s="4" t="s">
        <v>376</v>
      </c>
      <c r="AI114" s="4"/>
    </row>
    <row r="115" spans="1:35" ht="18" x14ac:dyDescent="0.3">
      <c r="A115" s="37" t="s">
        <v>378</v>
      </c>
      <c r="B115" s="37"/>
      <c r="C115" s="48" t="s">
        <v>379</v>
      </c>
      <c r="D115" s="39"/>
      <c r="E115" s="39"/>
      <c r="F115" s="49" t="s">
        <v>98</v>
      </c>
      <c r="G115" s="50">
        <v>1.02</v>
      </c>
      <c r="H115" s="39"/>
      <c r="I115" s="62">
        <v>0</v>
      </c>
      <c r="J115" s="52">
        <v>2550</v>
      </c>
      <c r="K115" s="53"/>
      <c r="L115" s="53"/>
      <c r="M115" s="52">
        <f>ROUND(ROUND(J115, 2)*I115, 2)</f>
        <v>0</v>
      </c>
      <c r="N115" s="53"/>
      <c r="O115" s="53"/>
      <c r="P115" s="52">
        <v>2550</v>
      </c>
      <c r="Q115" s="53"/>
      <c r="R115" s="53"/>
      <c r="S115" s="52">
        <f>ROUND(ROUND(P115, 2)*I115, 2)</f>
        <v>0</v>
      </c>
      <c r="T115" s="53"/>
      <c r="U115" s="54"/>
      <c r="V115" s="9">
        <f>ROUND(ROUND(P115, 2)/1.2, 2)</f>
        <v>2125</v>
      </c>
      <c r="Y115" s="9">
        <f>ROUND(S115 / 1.2, 2)</f>
        <v>0</v>
      </c>
      <c r="AD115" s="4" t="s">
        <v>380</v>
      </c>
      <c r="AE115" s="4" t="s">
        <v>381</v>
      </c>
      <c r="AF115" s="4" t="s">
        <v>382</v>
      </c>
    </row>
    <row r="116" spans="1:35" ht="18" x14ac:dyDescent="0.3">
      <c r="A116" s="43" t="s">
        <v>383</v>
      </c>
      <c r="B116" s="43"/>
      <c r="C116" s="55" t="s">
        <v>379</v>
      </c>
      <c r="D116" s="45"/>
      <c r="E116" s="45"/>
      <c r="F116" s="56" t="s">
        <v>98</v>
      </c>
      <c r="G116" s="57">
        <v>1.02</v>
      </c>
      <c r="H116" s="45"/>
      <c r="I116" s="57">
        <v>22.867999999999999</v>
      </c>
      <c r="J116" s="59">
        <v>2550</v>
      </c>
      <c r="K116" s="60"/>
      <c r="L116" s="60"/>
      <c r="M116" s="59">
        <f>ROUND(ROUND(J116, 2)*I116, 2)</f>
        <v>58313.4</v>
      </c>
      <c r="N116" s="60"/>
      <c r="O116" s="60"/>
      <c r="P116" s="59">
        <v>2550</v>
      </c>
      <c r="Q116" s="60"/>
      <c r="R116" s="60"/>
      <c r="S116" s="59">
        <f>ROUND(ROUND(P116, 2)*I116, 2)</f>
        <v>58313.4</v>
      </c>
      <c r="T116" s="60"/>
      <c r="U116" s="61"/>
      <c r="V116" s="9">
        <f>ROUND(ROUND(P116, 2)/1.2, 2)</f>
        <v>2125</v>
      </c>
      <c r="Y116" s="9">
        <f>ROUND(S116 / 1.2, 2)</f>
        <v>48594.5</v>
      </c>
      <c r="AD116" s="4" t="s">
        <v>384</v>
      </c>
      <c r="AE116" s="4" t="s">
        <v>381</v>
      </c>
      <c r="AF116" s="4" t="s">
        <v>382</v>
      </c>
    </row>
    <row r="117" spans="1:35" ht="36" x14ac:dyDescent="0.3">
      <c r="A117" s="25" t="s">
        <v>385</v>
      </c>
      <c r="B117" s="25" t="s">
        <v>373</v>
      </c>
      <c r="C117" s="26" t="s">
        <v>374</v>
      </c>
      <c r="D117" s="27"/>
      <c r="E117" s="27" t="s">
        <v>386</v>
      </c>
      <c r="F117" s="27" t="s">
        <v>98</v>
      </c>
      <c r="G117" s="28">
        <v>1</v>
      </c>
      <c r="H117" s="27"/>
      <c r="I117" s="28">
        <v>23.917999999999999</v>
      </c>
      <c r="J117" s="29">
        <f>IFERROR(ROUND(SUM(M118)/I117, 2),0)</f>
        <v>2600.96</v>
      </c>
      <c r="K117" s="29">
        <v>2157</v>
      </c>
      <c r="L117" s="29">
        <f>J117+ROUND(K117, 2)</f>
        <v>4757.96</v>
      </c>
      <c r="M117" s="29">
        <f>ROUND(J117*I117, 2)</f>
        <v>62209.760000000002</v>
      </c>
      <c r="N117" s="29">
        <f>ROUND(I117*ROUND(K117, 2), 2)</f>
        <v>51591.13</v>
      </c>
      <c r="O117" s="29">
        <f>M117+N117</f>
        <v>113800.89</v>
      </c>
      <c r="P117" s="29">
        <f>IFERROR(ROUND(SUM(S118)/I117, 2),0)</f>
        <v>2600.96</v>
      </c>
      <c r="Q117" s="29">
        <v>2157</v>
      </c>
      <c r="R117" s="29">
        <f>P117+ROUND(Q117, 2)</f>
        <v>4757.96</v>
      </c>
      <c r="S117" s="29">
        <f>ROUND(P117*I117, 2)</f>
        <v>62209.760000000002</v>
      </c>
      <c r="T117" s="29">
        <f>ROUND(I117*ROUND(Q117, 2), 2)</f>
        <v>51591.13</v>
      </c>
      <c r="U117" s="29">
        <f>S117+T117</f>
        <v>113800.89</v>
      </c>
      <c r="V117" s="9">
        <f>ROUND(P117 / 1.2, 2)</f>
        <v>2167.4699999999998</v>
      </c>
      <c r="W117" s="9">
        <f>ROUND(Q117 / 1.2, 2)</f>
        <v>1797.5</v>
      </c>
      <c r="X117" s="9">
        <f>ROUND(R117 / 1.2, 2)</f>
        <v>3964.97</v>
      </c>
      <c r="Y117" s="9">
        <f>ROUND(S117 / 1.2, 2)</f>
        <v>51841.47</v>
      </c>
      <c r="Z117" s="9">
        <f>ROUND(T117 / 1.2, 2)</f>
        <v>42992.61</v>
      </c>
      <c r="AA117" s="9">
        <f>Y117+Z117</f>
        <v>94834.08</v>
      </c>
      <c r="AD117" s="4">
        <v>298925375</v>
      </c>
      <c r="AE117" s="4">
        <v>19811691</v>
      </c>
      <c r="AG117" s="4" t="s">
        <v>375</v>
      </c>
      <c r="AH117" s="4" t="s">
        <v>376</v>
      </c>
      <c r="AI117" s="4" t="s">
        <v>67</v>
      </c>
    </row>
    <row r="118" spans="1:35" ht="18" x14ac:dyDescent="0.3">
      <c r="A118" s="25" t="s">
        <v>387</v>
      </c>
      <c r="B118" s="25"/>
      <c r="C118" s="30" t="s">
        <v>379</v>
      </c>
      <c r="D118" s="27"/>
      <c r="E118" s="27"/>
      <c r="F118" s="31" t="s">
        <v>98</v>
      </c>
      <c r="G118" s="32">
        <v>1.02</v>
      </c>
      <c r="H118" s="27"/>
      <c r="I118" s="32">
        <v>24.396000000000001</v>
      </c>
      <c r="J118" s="34">
        <v>2550</v>
      </c>
      <c r="K118" s="35"/>
      <c r="L118" s="35"/>
      <c r="M118" s="34">
        <f>ROUND(ROUND(J118, 2)*I118, 2)</f>
        <v>62209.8</v>
      </c>
      <c r="N118" s="35"/>
      <c r="O118" s="35"/>
      <c r="P118" s="34">
        <v>2550</v>
      </c>
      <c r="Q118" s="35"/>
      <c r="R118" s="35"/>
      <c r="S118" s="34">
        <f>ROUND(ROUND(P118, 2)*I118, 2)</f>
        <v>62209.8</v>
      </c>
      <c r="T118" s="35"/>
      <c r="U118" s="36"/>
      <c r="V118" s="9">
        <f>ROUND(ROUND(P118, 2)/1.2, 2)</f>
        <v>2125</v>
      </c>
      <c r="Y118" s="9">
        <f>ROUND(S118 / 1.2, 2)</f>
        <v>51841.5</v>
      </c>
      <c r="AD118" s="4" t="s">
        <v>388</v>
      </c>
      <c r="AE118" s="4" t="s">
        <v>389</v>
      </c>
      <c r="AF118" s="4" t="s">
        <v>382</v>
      </c>
    </row>
    <row r="119" spans="1:35" ht="16.95" customHeight="1" x14ac:dyDescent="0.3">
      <c r="A119" s="10" t="s">
        <v>390</v>
      </c>
      <c r="B119" s="10" t="s">
        <v>391</v>
      </c>
      <c r="C119" s="352" t="s">
        <v>392</v>
      </c>
      <c r="D119" s="353"/>
      <c r="E119" s="353"/>
      <c r="F119" s="353"/>
      <c r="G119" s="353"/>
      <c r="H119" s="353"/>
      <c r="I119" s="354"/>
      <c r="M119" s="6">
        <f>SUM(M120,M132,M137,M143,M147,M155,M161,M167,M170,M172,M174,M179,M184,M189,M194,M199,M204)</f>
        <v>4283418.7799999993</v>
      </c>
      <c r="N119" s="6">
        <f>SUM(N120,N132,N137,N143,N147,N155,N161,N167,N170,N172,N174,N179,N184,N189,N194,N199,N204)</f>
        <v>5989352</v>
      </c>
      <c r="O119" s="6">
        <f>SUM(O120,O132,O137,O143,O147,O155,O161,O167,O170,O172,O174,O179,O184,O189,O194,O199,O204)</f>
        <v>10272770.780000001</v>
      </c>
      <c r="S119" s="6">
        <f>SUM(S120,S132,S137,S143,S147,S155,S161,S167,S170,S172,S174,S179,S184,S189,S194,S199,S204)</f>
        <v>12458678.139999997</v>
      </c>
      <c r="T119" s="6">
        <f>SUM(T120,T132,T137,T143,T147,T155,T161,T167,T170,T172,T174,T179,T184,T189,T194,T199,T204)</f>
        <v>5989352</v>
      </c>
      <c r="U119" s="6">
        <f>SUM(U120,U132,U137,U143,U147,U155,U161,U167,U170,U172,U174,U179,U184,U189,U194,U199,U204)</f>
        <v>18448030.140000001</v>
      </c>
      <c r="Y119" s="9">
        <f>SUM(Y120,Y132,Y137,Y143,Y147,Y155,Y161,Y167,Y170,Y172,Y174,Y179,Y184,Y189,Y194,Y199,Y204)</f>
        <v>10382231.800000001</v>
      </c>
      <c r="Z119" s="9">
        <f>SUM(Z120,Z132,Z137,Z143,Z147,Z155,Z161,Z167,Z170,Z172,Z174,Z179,Z184,Z189,Z194,Z199,Z204)</f>
        <v>4991126.66</v>
      </c>
      <c r="AA119" s="9">
        <f>SUM(AA120,AA132,AA137,AA143,AA147,AA155,AA161,AA167,AA170,AA172,AA174,AA179,AA184,AA189,AA194,AA199,AA204)</f>
        <v>15373358.460000001</v>
      </c>
      <c r="AD119" s="4">
        <v>298925277</v>
      </c>
      <c r="AE119" s="4">
        <v>16194150</v>
      </c>
    </row>
    <row r="120" spans="1:35" ht="54" x14ac:dyDescent="0.3">
      <c r="A120" s="37" t="s">
        <v>393</v>
      </c>
      <c r="B120" s="37" t="s">
        <v>394</v>
      </c>
      <c r="C120" s="38" t="s">
        <v>395</v>
      </c>
      <c r="D120" s="39"/>
      <c r="E120" s="39" t="s">
        <v>396</v>
      </c>
      <c r="F120" s="39" t="s">
        <v>64</v>
      </c>
      <c r="G120" s="40">
        <v>1</v>
      </c>
      <c r="H120" s="39"/>
      <c r="I120" s="41">
        <v>0</v>
      </c>
      <c r="J120" s="42">
        <f>IFERROR(ROUND(SUM(M122,M124,M126,M128,M130)/I120, 2),0)</f>
        <v>0</v>
      </c>
      <c r="K120" s="42">
        <v>1439</v>
      </c>
      <c r="L120" s="42">
        <f>J120+ROUND(K120, 2)</f>
        <v>1439</v>
      </c>
      <c r="M120" s="42">
        <f>ROUND(J120*I120, 2)</f>
        <v>0</v>
      </c>
      <c r="N120" s="42">
        <f>ROUND(I120*ROUND(K120, 2), 2)</f>
        <v>0</v>
      </c>
      <c r="O120" s="42">
        <f>M120+N120</f>
        <v>0</v>
      </c>
      <c r="P120" s="42">
        <f>IFERROR(ROUND(SUM(S122,S124,S126,S128,S130)/I120, 2),0)</f>
        <v>0</v>
      </c>
      <c r="Q120" s="42">
        <v>1251</v>
      </c>
      <c r="R120" s="42">
        <f>P120+ROUND(Q120, 2)</f>
        <v>1251</v>
      </c>
      <c r="S120" s="42">
        <f>ROUND(P120*I120, 2)</f>
        <v>0</v>
      </c>
      <c r="T120" s="42">
        <f>ROUND(I120*ROUND(Q120, 2), 2)</f>
        <v>0</v>
      </c>
      <c r="U120" s="42">
        <f>S120+T120</f>
        <v>0</v>
      </c>
      <c r="V120" s="9">
        <f>ROUND(P120 / 1.2, 2)</f>
        <v>0</v>
      </c>
      <c r="W120" s="9">
        <f>ROUND(Q120 / 1.2, 2)</f>
        <v>1042.5</v>
      </c>
      <c r="X120" s="9">
        <f>ROUND(R120 / 1.2, 2)</f>
        <v>1042.5</v>
      </c>
      <c r="Y120" s="9">
        <f>ROUND(S120 / 1.2, 2)</f>
        <v>0</v>
      </c>
      <c r="Z120" s="9">
        <f>ROUND(T120 / 1.2, 2)</f>
        <v>0</v>
      </c>
      <c r="AA120" s="9">
        <f>Y120+Z120</f>
        <v>0</v>
      </c>
      <c r="AD120" s="4">
        <v>298925279</v>
      </c>
      <c r="AE120" s="4">
        <v>16194165</v>
      </c>
      <c r="AG120" s="4" t="s">
        <v>397</v>
      </c>
      <c r="AH120" s="4" t="s">
        <v>398</v>
      </c>
      <c r="AI120" s="4" t="s">
        <v>67</v>
      </c>
    </row>
    <row r="121" spans="1:35" ht="54" x14ac:dyDescent="0.3">
      <c r="A121" s="43" t="s">
        <v>399</v>
      </c>
      <c r="B121" s="43" t="s">
        <v>394</v>
      </c>
      <c r="C121" s="44" t="s">
        <v>395</v>
      </c>
      <c r="D121" s="45"/>
      <c r="E121" s="45"/>
      <c r="F121" s="45" t="s">
        <v>64</v>
      </c>
      <c r="G121" s="46">
        <v>1</v>
      </c>
      <c r="H121" s="45"/>
      <c r="I121" s="46">
        <v>431.5</v>
      </c>
      <c r="J121" s="47">
        <v>0</v>
      </c>
      <c r="K121" s="47">
        <v>1251</v>
      </c>
      <c r="L121" s="47"/>
      <c r="M121" s="47">
        <v>0</v>
      </c>
      <c r="N121" s="47"/>
      <c r="O121" s="47"/>
      <c r="P121" s="47">
        <v>0</v>
      </c>
      <c r="Q121" s="47">
        <v>1251</v>
      </c>
      <c r="R121" s="47"/>
      <c r="S121" s="47">
        <v>0</v>
      </c>
      <c r="T121" s="47"/>
      <c r="U121" s="47"/>
      <c r="V121" s="9"/>
      <c r="W121" s="9">
        <f>ROUND(Q121 / 1.2, 2)</f>
        <v>1042.5</v>
      </c>
      <c r="X121" s="9">
        <f>ROUND(R121 / 1.2, 2)</f>
        <v>0</v>
      </c>
      <c r="Y121" s="9"/>
      <c r="Z121" s="9">
        <f>ROUND(T121 / 1.2, 2)</f>
        <v>0</v>
      </c>
      <c r="AA121" s="9"/>
      <c r="AD121" s="4">
        <v>225291733</v>
      </c>
      <c r="AE121" s="4">
        <v>16194165</v>
      </c>
      <c r="AG121" s="4" t="s">
        <v>397</v>
      </c>
      <c r="AH121" s="4" t="s">
        <v>398</v>
      </c>
      <c r="AI121" s="4"/>
    </row>
    <row r="122" spans="1:35" ht="54" x14ac:dyDescent="0.3">
      <c r="A122" s="37" t="s">
        <v>400</v>
      </c>
      <c r="B122" s="37"/>
      <c r="C122" s="48" t="s">
        <v>401</v>
      </c>
      <c r="D122" s="39"/>
      <c r="E122" s="39" t="s">
        <v>402</v>
      </c>
      <c r="F122" s="49" t="s">
        <v>70</v>
      </c>
      <c r="G122" s="50">
        <v>1.2</v>
      </c>
      <c r="H122" s="39"/>
      <c r="I122" s="51">
        <v>0</v>
      </c>
      <c r="J122" s="52">
        <v>12.33</v>
      </c>
      <c r="K122" s="53"/>
      <c r="L122" s="53"/>
      <c r="M122" s="52">
        <f t="shared" ref="M122:M131" si="17">ROUND(ROUND(J122, 2)*I122, 2)</f>
        <v>0</v>
      </c>
      <c r="N122" s="53"/>
      <c r="O122" s="53"/>
      <c r="P122" s="52">
        <v>12.33</v>
      </c>
      <c r="Q122" s="53"/>
      <c r="R122" s="53"/>
      <c r="S122" s="52">
        <f t="shared" ref="S122:S131" si="18">ROUND(ROUND(P122, 2)*I122, 2)</f>
        <v>0</v>
      </c>
      <c r="T122" s="53"/>
      <c r="U122" s="54"/>
      <c r="V122" s="9">
        <f t="shared" ref="V122:V131" si="19">ROUND(ROUND(P122, 2)/1.2, 2)</f>
        <v>10.28</v>
      </c>
      <c r="Y122" s="9">
        <f t="shared" ref="Y122:Y137" si="20">ROUND(S122 / 1.2, 2)</f>
        <v>0</v>
      </c>
      <c r="AD122" s="4" t="s">
        <v>403</v>
      </c>
      <c r="AE122" s="4" t="s">
        <v>404</v>
      </c>
      <c r="AF122" s="4" t="s">
        <v>405</v>
      </c>
    </row>
    <row r="123" spans="1:35" ht="54" x14ac:dyDescent="0.3">
      <c r="A123" s="43" t="s">
        <v>406</v>
      </c>
      <c r="B123" s="43"/>
      <c r="C123" s="55" t="s">
        <v>401</v>
      </c>
      <c r="D123" s="45"/>
      <c r="E123" s="45" t="s">
        <v>402</v>
      </c>
      <c r="F123" s="56" t="s">
        <v>70</v>
      </c>
      <c r="G123" s="57">
        <v>1.2</v>
      </c>
      <c r="H123" s="45"/>
      <c r="I123" s="58">
        <v>2589.6</v>
      </c>
      <c r="J123" s="59">
        <v>12.33</v>
      </c>
      <c r="K123" s="60"/>
      <c r="L123" s="60"/>
      <c r="M123" s="59">
        <f t="shared" si="17"/>
        <v>31929.77</v>
      </c>
      <c r="N123" s="60"/>
      <c r="O123" s="60"/>
      <c r="P123" s="59">
        <v>12.33</v>
      </c>
      <c r="Q123" s="60"/>
      <c r="R123" s="60"/>
      <c r="S123" s="59">
        <f t="shared" si="18"/>
        <v>31929.77</v>
      </c>
      <c r="T123" s="60"/>
      <c r="U123" s="61"/>
      <c r="V123" s="9">
        <f t="shared" si="19"/>
        <v>10.28</v>
      </c>
      <c r="Y123" s="9">
        <f t="shared" si="20"/>
        <v>26608.14</v>
      </c>
      <c r="AD123" s="4" t="s">
        <v>407</v>
      </c>
      <c r="AE123" s="4" t="s">
        <v>404</v>
      </c>
      <c r="AF123" s="4" t="s">
        <v>405</v>
      </c>
    </row>
    <row r="124" spans="1:35" ht="72" x14ac:dyDescent="0.3">
      <c r="A124" s="37" t="s">
        <v>408</v>
      </c>
      <c r="B124" s="37"/>
      <c r="C124" s="48" t="s">
        <v>409</v>
      </c>
      <c r="D124" s="39"/>
      <c r="E124" s="39" t="s">
        <v>410</v>
      </c>
      <c r="F124" s="49" t="s">
        <v>64</v>
      </c>
      <c r="G124" s="50">
        <v>1.07</v>
      </c>
      <c r="H124" s="39"/>
      <c r="I124" s="51">
        <v>0</v>
      </c>
      <c r="J124" s="52">
        <v>1193</v>
      </c>
      <c r="K124" s="53"/>
      <c r="L124" s="53"/>
      <c r="M124" s="52">
        <f t="shared" si="17"/>
        <v>0</v>
      </c>
      <c r="N124" s="53"/>
      <c r="O124" s="53"/>
      <c r="P124" s="52">
        <v>1193</v>
      </c>
      <c r="Q124" s="53"/>
      <c r="R124" s="53"/>
      <c r="S124" s="52">
        <f t="shared" si="18"/>
        <v>0</v>
      </c>
      <c r="T124" s="53"/>
      <c r="U124" s="54"/>
      <c r="V124" s="9">
        <f t="shared" si="19"/>
        <v>994.17</v>
      </c>
      <c r="Y124" s="9">
        <f t="shared" si="20"/>
        <v>0</v>
      </c>
      <c r="AD124" s="4" t="s">
        <v>411</v>
      </c>
      <c r="AE124" s="4" t="s">
        <v>412</v>
      </c>
      <c r="AF124" s="4" t="s">
        <v>413</v>
      </c>
    </row>
    <row r="125" spans="1:35" ht="72" x14ac:dyDescent="0.3">
      <c r="A125" s="43" t="s">
        <v>414</v>
      </c>
      <c r="B125" s="43"/>
      <c r="C125" s="55" t="s">
        <v>409</v>
      </c>
      <c r="D125" s="45"/>
      <c r="E125" s="45" t="s">
        <v>410</v>
      </c>
      <c r="F125" s="56" t="s">
        <v>64</v>
      </c>
      <c r="G125" s="57">
        <v>1.07</v>
      </c>
      <c r="H125" s="45"/>
      <c r="I125" s="58">
        <v>11.984</v>
      </c>
      <c r="J125" s="59">
        <v>1193</v>
      </c>
      <c r="K125" s="60"/>
      <c r="L125" s="60"/>
      <c r="M125" s="59">
        <f t="shared" si="17"/>
        <v>14296.91</v>
      </c>
      <c r="N125" s="60"/>
      <c r="O125" s="60"/>
      <c r="P125" s="59">
        <v>1193</v>
      </c>
      <c r="Q125" s="60"/>
      <c r="R125" s="60"/>
      <c r="S125" s="59">
        <f t="shared" si="18"/>
        <v>14296.91</v>
      </c>
      <c r="T125" s="60"/>
      <c r="U125" s="61"/>
      <c r="V125" s="9">
        <f t="shared" si="19"/>
        <v>994.17</v>
      </c>
      <c r="Y125" s="9">
        <f t="shared" si="20"/>
        <v>11914.09</v>
      </c>
      <c r="AD125" s="4" t="s">
        <v>415</v>
      </c>
      <c r="AE125" s="4" t="s">
        <v>412</v>
      </c>
      <c r="AF125" s="4" t="s">
        <v>413</v>
      </c>
    </row>
    <row r="126" spans="1:35" ht="72" x14ac:dyDescent="0.3">
      <c r="A126" s="37" t="s">
        <v>416</v>
      </c>
      <c r="B126" s="37"/>
      <c r="C126" s="48" t="s">
        <v>417</v>
      </c>
      <c r="D126" s="39"/>
      <c r="E126" s="39" t="s">
        <v>418</v>
      </c>
      <c r="F126" s="49" t="s">
        <v>64</v>
      </c>
      <c r="G126" s="50">
        <v>1.07</v>
      </c>
      <c r="H126" s="39"/>
      <c r="I126" s="51">
        <v>0</v>
      </c>
      <c r="J126" s="52">
        <v>1374.45</v>
      </c>
      <c r="K126" s="53"/>
      <c r="L126" s="53"/>
      <c r="M126" s="52">
        <f t="shared" si="17"/>
        <v>0</v>
      </c>
      <c r="N126" s="53"/>
      <c r="O126" s="53"/>
      <c r="P126" s="52">
        <v>1290.02</v>
      </c>
      <c r="Q126" s="53"/>
      <c r="R126" s="53"/>
      <c r="S126" s="52">
        <f t="shared" si="18"/>
        <v>0</v>
      </c>
      <c r="T126" s="53"/>
      <c r="U126" s="54"/>
      <c r="V126" s="9">
        <f t="shared" si="19"/>
        <v>1075.02</v>
      </c>
      <c r="Y126" s="9">
        <f t="shared" si="20"/>
        <v>0</v>
      </c>
      <c r="AD126" s="4" t="s">
        <v>419</v>
      </c>
      <c r="AE126" s="4" t="s">
        <v>420</v>
      </c>
      <c r="AF126" s="4" t="s">
        <v>421</v>
      </c>
    </row>
    <row r="127" spans="1:35" ht="90" x14ac:dyDescent="0.3">
      <c r="A127" s="43" t="s">
        <v>422</v>
      </c>
      <c r="B127" s="43"/>
      <c r="C127" s="55" t="s">
        <v>417</v>
      </c>
      <c r="D127" s="45"/>
      <c r="E127" s="45" t="s">
        <v>423</v>
      </c>
      <c r="F127" s="56" t="s">
        <v>64</v>
      </c>
      <c r="G127" s="57">
        <v>1.07</v>
      </c>
      <c r="H127" s="45"/>
      <c r="I127" s="58">
        <v>449.721</v>
      </c>
      <c r="J127" s="59">
        <v>1374.45</v>
      </c>
      <c r="K127" s="60"/>
      <c r="L127" s="60"/>
      <c r="M127" s="59">
        <f t="shared" si="17"/>
        <v>618119.03</v>
      </c>
      <c r="N127" s="60"/>
      <c r="O127" s="60"/>
      <c r="P127" s="59">
        <v>1290.02</v>
      </c>
      <c r="Q127" s="60"/>
      <c r="R127" s="60"/>
      <c r="S127" s="59">
        <f t="shared" si="18"/>
        <v>580149.07999999996</v>
      </c>
      <c r="T127" s="60"/>
      <c r="U127" s="61"/>
      <c r="V127" s="9">
        <f t="shared" si="19"/>
        <v>1075.02</v>
      </c>
      <c r="Y127" s="9">
        <f t="shared" si="20"/>
        <v>483457.57</v>
      </c>
      <c r="AD127" s="4" t="s">
        <v>424</v>
      </c>
      <c r="AE127" s="4" t="s">
        <v>420</v>
      </c>
      <c r="AF127" s="4" t="s">
        <v>421</v>
      </c>
    </row>
    <row r="128" spans="1:35" ht="36" x14ac:dyDescent="0.3">
      <c r="A128" s="37" t="s">
        <v>425</v>
      </c>
      <c r="B128" s="37"/>
      <c r="C128" s="48" t="s">
        <v>426</v>
      </c>
      <c r="D128" s="39"/>
      <c r="E128" s="39"/>
      <c r="F128" s="49" t="s">
        <v>70</v>
      </c>
      <c r="G128" s="50">
        <v>0.25</v>
      </c>
      <c r="H128" s="39"/>
      <c r="I128" s="51">
        <v>0</v>
      </c>
      <c r="J128" s="52">
        <v>40.270000000000003</v>
      </c>
      <c r="K128" s="53"/>
      <c r="L128" s="53"/>
      <c r="M128" s="52">
        <f t="shared" si="17"/>
        <v>0</v>
      </c>
      <c r="N128" s="53"/>
      <c r="O128" s="53"/>
      <c r="P128" s="52">
        <v>40.270000000000003</v>
      </c>
      <c r="Q128" s="53"/>
      <c r="R128" s="53"/>
      <c r="S128" s="52">
        <f t="shared" si="18"/>
        <v>0</v>
      </c>
      <c r="T128" s="53"/>
      <c r="U128" s="54"/>
      <c r="V128" s="9">
        <f t="shared" si="19"/>
        <v>33.56</v>
      </c>
      <c r="Y128" s="9">
        <f t="shared" si="20"/>
        <v>0</v>
      </c>
      <c r="AD128" s="4" t="s">
        <v>427</v>
      </c>
      <c r="AE128" s="4" t="s">
        <v>428</v>
      </c>
      <c r="AF128" s="4" t="s">
        <v>429</v>
      </c>
    </row>
    <row r="129" spans="1:35" ht="36" x14ac:dyDescent="0.3">
      <c r="A129" s="43" t="s">
        <v>430</v>
      </c>
      <c r="B129" s="43"/>
      <c r="C129" s="55" t="s">
        <v>426</v>
      </c>
      <c r="D129" s="45"/>
      <c r="E129" s="45"/>
      <c r="F129" s="56" t="s">
        <v>70</v>
      </c>
      <c r="G129" s="57">
        <v>0.25</v>
      </c>
      <c r="H129" s="45"/>
      <c r="I129" s="58">
        <v>107.875</v>
      </c>
      <c r="J129" s="59">
        <v>40.270000000000003</v>
      </c>
      <c r="K129" s="60"/>
      <c r="L129" s="60"/>
      <c r="M129" s="59">
        <f t="shared" si="17"/>
        <v>4344.13</v>
      </c>
      <c r="N129" s="60"/>
      <c r="O129" s="60"/>
      <c r="P129" s="59">
        <v>40.270000000000003</v>
      </c>
      <c r="Q129" s="60"/>
      <c r="R129" s="60"/>
      <c r="S129" s="59">
        <f t="shared" si="18"/>
        <v>4344.13</v>
      </c>
      <c r="T129" s="60"/>
      <c r="U129" s="61"/>
      <c r="V129" s="9">
        <f t="shared" si="19"/>
        <v>33.56</v>
      </c>
      <c r="Y129" s="9">
        <f t="shared" si="20"/>
        <v>3620.11</v>
      </c>
      <c r="AD129" s="4" t="s">
        <v>431</v>
      </c>
      <c r="AE129" s="4" t="s">
        <v>428</v>
      </c>
      <c r="AF129" s="4" t="s">
        <v>429</v>
      </c>
    </row>
    <row r="130" spans="1:35" ht="36" x14ac:dyDescent="0.3">
      <c r="A130" s="37" t="s">
        <v>432</v>
      </c>
      <c r="B130" s="37"/>
      <c r="C130" s="48" t="s">
        <v>433</v>
      </c>
      <c r="D130" s="39"/>
      <c r="E130" s="39"/>
      <c r="F130" s="49" t="s">
        <v>70</v>
      </c>
      <c r="G130" s="50">
        <v>0.15</v>
      </c>
      <c r="H130" s="39"/>
      <c r="I130" s="62">
        <v>0</v>
      </c>
      <c r="J130" s="52">
        <v>88.8</v>
      </c>
      <c r="K130" s="53"/>
      <c r="L130" s="53"/>
      <c r="M130" s="52">
        <f t="shared" si="17"/>
        <v>0</v>
      </c>
      <c r="N130" s="53"/>
      <c r="O130" s="53"/>
      <c r="P130" s="52">
        <v>88.8</v>
      </c>
      <c r="Q130" s="53"/>
      <c r="R130" s="53"/>
      <c r="S130" s="52">
        <f t="shared" si="18"/>
        <v>0</v>
      </c>
      <c r="T130" s="53"/>
      <c r="U130" s="54"/>
      <c r="V130" s="9">
        <f t="shared" si="19"/>
        <v>74</v>
      </c>
      <c r="Y130" s="9">
        <f t="shared" si="20"/>
        <v>0</v>
      </c>
      <c r="AD130" s="4" t="s">
        <v>434</v>
      </c>
      <c r="AE130" s="4" t="s">
        <v>435</v>
      </c>
      <c r="AF130" s="4" t="s">
        <v>436</v>
      </c>
    </row>
    <row r="131" spans="1:35" ht="36" x14ac:dyDescent="0.3">
      <c r="A131" s="43" t="s">
        <v>437</v>
      </c>
      <c r="B131" s="43"/>
      <c r="C131" s="55" t="s">
        <v>433</v>
      </c>
      <c r="D131" s="45"/>
      <c r="E131" s="45"/>
      <c r="F131" s="56" t="s">
        <v>70</v>
      </c>
      <c r="G131" s="57">
        <v>0.15</v>
      </c>
      <c r="H131" s="45"/>
      <c r="I131" s="57">
        <v>64.724999999999994</v>
      </c>
      <c r="J131" s="59">
        <v>88.8</v>
      </c>
      <c r="K131" s="60"/>
      <c r="L131" s="60"/>
      <c r="M131" s="59">
        <f t="shared" si="17"/>
        <v>5747.58</v>
      </c>
      <c r="N131" s="60"/>
      <c r="O131" s="60"/>
      <c r="P131" s="59">
        <v>88.8</v>
      </c>
      <c r="Q131" s="60"/>
      <c r="R131" s="60"/>
      <c r="S131" s="59">
        <f t="shared" si="18"/>
        <v>5747.58</v>
      </c>
      <c r="T131" s="60"/>
      <c r="U131" s="61"/>
      <c r="V131" s="9">
        <f t="shared" si="19"/>
        <v>74</v>
      </c>
      <c r="Y131" s="9">
        <f t="shared" si="20"/>
        <v>4789.6499999999996</v>
      </c>
      <c r="AD131" s="4" t="s">
        <v>438</v>
      </c>
      <c r="AE131" s="4" t="s">
        <v>435</v>
      </c>
      <c r="AF131" s="4" t="s">
        <v>436</v>
      </c>
    </row>
    <row r="132" spans="1:35" ht="18" x14ac:dyDescent="0.3">
      <c r="A132" s="10" t="s">
        <v>439</v>
      </c>
      <c r="B132" s="10" t="s">
        <v>440</v>
      </c>
      <c r="C132" s="11" t="s">
        <v>441</v>
      </c>
      <c r="D132" s="12" t="s">
        <v>442</v>
      </c>
      <c r="E132" s="12" t="s">
        <v>63</v>
      </c>
      <c r="F132" s="12" t="s">
        <v>64</v>
      </c>
      <c r="G132" s="13">
        <v>1</v>
      </c>
      <c r="H132" s="12"/>
      <c r="I132" s="13">
        <v>538.29999999999995</v>
      </c>
      <c r="J132" s="14">
        <f>IFERROR(ROUND(SUM(M133,M134,M135,M136)/I132, 2),0)</f>
        <v>1573.04</v>
      </c>
      <c r="K132" s="15">
        <v>412</v>
      </c>
      <c r="L132" s="14">
        <f>J132+ROUND(K132, 2)</f>
        <v>1985.04</v>
      </c>
      <c r="M132" s="14">
        <f>ROUND(J132*I132, 2)</f>
        <v>846767.43</v>
      </c>
      <c r="N132" s="14">
        <f>ROUND(I132*ROUND(K132, 2), 2)</f>
        <v>221779.6</v>
      </c>
      <c r="O132" s="14">
        <f>M132+N132</f>
        <v>1068547.03</v>
      </c>
      <c r="P132" s="14">
        <f>IFERROR(ROUND(SUM(S133,S134,S135,S136)/I132, 2),0)</f>
        <v>1573.04</v>
      </c>
      <c r="Q132" s="16">
        <v>412</v>
      </c>
      <c r="R132" s="14">
        <f>P132+ROUND(Q132, 2)</f>
        <v>1985.04</v>
      </c>
      <c r="S132" s="14">
        <f>ROUND(P132*I132, 2)</f>
        <v>846767.43</v>
      </c>
      <c r="T132" s="14">
        <f>ROUND(I132*ROUND(Q132, 2), 2)</f>
        <v>221779.6</v>
      </c>
      <c r="U132" s="14">
        <f>S132+T132</f>
        <v>1068547.03</v>
      </c>
      <c r="V132" s="9">
        <f>ROUND(P132 / 1.2, 2)</f>
        <v>1310.87</v>
      </c>
      <c r="W132" s="9">
        <f>ROUND(Q132 / 1.2, 2)</f>
        <v>343.33</v>
      </c>
      <c r="X132" s="9">
        <f>ROUND(R132 / 1.2, 2)</f>
        <v>1654.2</v>
      </c>
      <c r="Y132" s="9">
        <f t="shared" si="20"/>
        <v>705639.53</v>
      </c>
      <c r="Z132" s="9">
        <f>ROUND(T132 / 1.2, 2)</f>
        <v>184816.33</v>
      </c>
      <c r="AA132" s="9">
        <f>Y132+Z132</f>
        <v>890455.86</v>
      </c>
      <c r="AD132" s="4">
        <v>298925281</v>
      </c>
      <c r="AE132" s="4">
        <v>16195443</v>
      </c>
      <c r="AG132" s="4" t="s">
        <v>443</v>
      </c>
      <c r="AH132" s="4" t="s">
        <v>444</v>
      </c>
      <c r="AI132" s="4" t="s">
        <v>67</v>
      </c>
    </row>
    <row r="133" spans="1:35" ht="54" x14ac:dyDescent="0.3">
      <c r="A133" s="10" t="s">
        <v>445</v>
      </c>
      <c r="B133" s="10"/>
      <c r="C133" s="24" t="s">
        <v>446</v>
      </c>
      <c r="D133" s="12"/>
      <c r="E133" s="12" t="s">
        <v>447</v>
      </c>
      <c r="F133" s="18" t="s">
        <v>70</v>
      </c>
      <c r="G133" s="19">
        <v>0.3</v>
      </c>
      <c r="H133" s="12"/>
      <c r="I133" s="19">
        <v>161.49</v>
      </c>
      <c r="J133" s="21">
        <v>220</v>
      </c>
      <c r="M133" s="22">
        <f>ROUND(ROUND(J133, 2)*I133, 2)</f>
        <v>35527.800000000003</v>
      </c>
      <c r="P133" s="23">
        <v>220</v>
      </c>
      <c r="S133" s="22">
        <f>ROUND(ROUND(P133, 2)*I133, 2)</f>
        <v>35527.800000000003</v>
      </c>
      <c r="V133" s="9">
        <f>ROUND(ROUND(P133, 2)/1.2, 2)</f>
        <v>183.33</v>
      </c>
      <c r="Y133" s="9">
        <f t="shared" si="20"/>
        <v>29606.5</v>
      </c>
      <c r="AD133" s="4" t="s">
        <v>448</v>
      </c>
      <c r="AE133" s="4" t="s">
        <v>449</v>
      </c>
      <c r="AF133" s="4" t="s">
        <v>450</v>
      </c>
    </row>
    <row r="134" spans="1:35" ht="36" x14ac:dyDescent="0.3">
      <c r="A134" s="10" t="s">
        <v>451</v>
      </c>
      <c r="B134" s="10"/>
      <c r="C134" s="24" t="s">
        <v>452</v>
      </c>
      <c r="D134" s="12"/>
      <c r="E134" s="12" t="s">
        <v>453</v>
      </c>
      <c r="F134" s="18" t="s">
        <v>70</v>
      </c>
      <c r="G134" s="19">
        <v>0.15</v>
      </c>
      <c r="H134" s="12"/>
      <c r="I134" s="19">
        <v>80.745000000000005</v>
      </c>
      <c r="J134" s="21">
        <v>68.400000000000006</v>
      </c>
      <c r="M134" s="22">
        <f>ROUND(ROUND(J134, 2)*I134, 2)</f>
        <v>5522.96</v>
      </c>
      <c r="P134" s="23">
        <v>68.400000000000006</v>
      </c>
      <c r="S134" s="22">
        <f>ROUND(ROUND(P134, 2)*I134, 2)</f>
        <v>5522.96</v>
      </c>
      <c r="V134" s="9">
        <f>ROUND(ROUND(P134, 2)/1.2, 2)</f>
        <v>57</v>
      </c>
      <c r="Y134" s="9">
        <f t="shared" si="20"/>
        <v>4602.47</v>
      </c>
      <c r="AD134" s="4" t="s">
        <v>454</v>
      </c>
      <c r="AE134" s="4" t="s">
        <v>455</v>
      </c>
      <c r="AF134" s="4" t="s">
        <v>456</v>
      </c>
    </row>
    <row r="135" spans="1:35" ht="72" x14ac:dyDescent="0.3">
      <c r="A135" s="10" t="s">
        <v>457</v>
      </c>
      <c r="B135" s="10"/>
      <c r="C135" s="17" t="s">
        <v>458</v>
      </c>
      <c r="D135" s="12"/>
      <c r="E135" s="12"/>
      <c r="F135" s="18" t="s">
        <v>87</v>
      </c>
      <c r="G135" s="19">
        <v>1</v>
      </c>
      <c r="H135" s="12"/>
      <c r="I135" s="20">
        <v>252</v>
      </c>
      <c r="J135" s="21">
        <v>51</v>
      </c>
      <c r="M135" s="22">
        <f>ROUND(ROUND(J135, 2)*I135, 2)</f>
        <v>12852</v>
      </c>
      <c r="P135" s="23">
        <v>51</v>
      </c>
      <c r="S135" s="22">
        <f>ROUND(ROUND(P135, 2)*I135, 2)</f>
        <v>12852</v>
      </c>
      <c r="V135" s="9">
        <f>ROUND(ROUND(P135, 2)/1.2, 2)</f>
        <v>42.5</v>
      </c>
      <c r="Y135" s="9">
        <f t="shared" si="20"/>
        <v>10710</v>
      </c>
      <c r="AD135" s="4" t="s">
        <v>459</v>
      </c>
      <c r="AE135" s="4" t="s">
        <v>460</v>
      </c>
      <c r="AF135" s="4" t="s">
        <v>461</v>
      </c>
    </row>
    <row r="136" spans="1:35" ht="54" x14ac:dyDescent="0.3">
      <c r="A136" s="10" t="s">
        <v>462</v>
      </c>
      <c r="B136" s="10"/>
      <c r="C136" s="17" t="s">
        <v>463</v>
      </c>
      <c r="D136" s="12"/>
      <c r="E136" s="12"/>
      <c r="F136" s="18" t="s">
        <v>64</v>
      </c>
      <c r="G136" s="19">
        <v>1.1000000000000001</v>
      </c>
      <c r="H136" s="12"/>
      <c r="I136" s="20">
        <v>592.13</v>
      </c>
      <c r="J136" s="21">
        <v>1339</v>
      </c>
      <c r="M136" s="22">
        <f>ROUND(ROUND(J136, 2)*I136, 2)</f>
        <v>792862.07</v>
      </c>
      <c r="P136" s="23">
        <v>1339</v>
      </c>
      <c r="S136" s="22">
        <f>ROUND(ROUND(P136, 2)*I136, 2)</f>
        <v>792862.07</v>
      </c>
      <c r="V136" s="9">
        <f>ROUND(ROUND(P136, 2)/1.2, 2)</f>
        <v>1115.83</v>
      </c>
      <c r="Y136" s="9">
        <f t="shared" si="20"/>
        <v>660718.39</v>
      </c>
      <c r="AD136" s="4" t="s">
        <v>464</v>
      </c>
      <c r="AE136" s="4" t="s">
        <v>465</v>
      </c>
      <c r="AF136" s="4" t="s">
        <v>466</v>
      </c>
    </row>
    <row r="137" spans="1:35" ht="18" x14ac:dyDescent="0.3">
      <c r="A137" s="37" t="s">
        <v>467</v>
      </c>
      <c r="B137" s="37" t="s">
        <v>468</v>
      </c>
      <c r="C137" s="38" t="s">
        <v>469</v>
      </c>
      <c r="D137" s="39"/>
      <c r="E137" s="39" t="s">
        <v>470</v>
      </c>
      <c r="F137" s="39" t="s">
        <v>87</v>
      </c>
      <c r="G137" s="40">
        <v>1</v>
      </c>
      <c r="H137" s="39"/>
      <c r="I137" s="41">
        <v>0</v>
      </c>
      <c r="J137" s="42">
        <f>IFERROR(ROUND(SUM(M139,M141)/I137, 2),0)</f>
        <v>0</v>
      </c>
      <c r="K137" s="42">
        <v>200</v>
      </c>
      <c r="L137" s="42">
        <f>J137+ROUND(K137, 2)</f>
        <v>200</v>
      </c>
      <c r="M137" s="42">
        <f>ROUND(J137*I137, 2)</f>
        <v>0</v>
      </c>
      <c r="N137" s="42">
        <f>ROUND(I137*ROUND(K137, 2), 2)</f>
        <v>0</v>
      </c>
      <c r="O137" s="42">
        <f>M137+N137</f>
        <v>0</v>
      </c>
      <c r="P137" s="42">
        <f>IFERROR(ROUND(SUM(S139,S141)/I137, 2),0)</f>
        <v>0</v>
      </c>
      <c r="Q137" s="42">
        <v>200</v>
      </c>
      <c r="R137" s="42">
        <f>P137+ROUND(Q137, 2)</f>
        <v>200</v>
      </c>
      <c r="S137" s="42">
        <f>ROUND(P137*I137, 2)</f>
        <v>0</v>
      </c>
      <c r="T137" s="42">
        <f>ROUND(I137*ROUND(Q137, 2), 2)</f>
        <v>0</v>
      </c>
      <c r="U137" s="42">
        <f>S137+T137</f>
        <v>0</v>
      </c>
      <c r="V137" s="9">
        <f>ROUND(P137 / 1.2, 2)</f>
        <v>0</v>
      </c>
      <c r="W137" s="9">
        <f>ROUND(Q137 / 1.2, 2)</f>
        <v>166.67</v>
      </c>
      <c r="X137" s="9">
        <f>ROUND(R137 / 1.2, 2)</f>
        <v>166.67</v>
      </c>
      <c r="Y137" s="9">
        <f t="shared" si="20"/>
        <v>0</v>
      </c>
      <c r="Z137" s="9">
        <f>ROUND(T137 / 1.2, 2)</f>
        <v>0</v>
      </c>
      <c r="AA137" s="9">
        <f>Y137+Z137</f>
        <v>0</v>
      </c>
      <c r="AD137" s="4">
        <v>298925283</v>
      </c>
      <c r="AE137" s="4">
        <v>16296644</v>
      </c>
      <c r="AG137" s="4" t="s">
        <v>471</v>
      </c>
      <c r="AH137" s="4" t="s">
        <v>472</v>
      </c>
      <c r="AI137" s="4" t="s">
        <v>67</v>
      </c>
    </row>
    <row r="138" spans="1:35" ht="18" x14ac:dyDescent="0.3">
      <c r="A138" s="43" t="s">
        <v>473</v>
      </c>
      <c r="B138" s="43" t="s">
        <v>468</v>
      </c>
      <c r="C138" s="44" t="s">
        <v>469</v>
      </c>
      <c r="D138" s="45"/>
      <c r="E138" s="45"/>
      <c r="F138" s="45" t="s">
        <v>87</v>
      </c>
      <c r="G138" s="46">
        <v>1</v>
      </c>
      <c r="H138" s="45"/>
      <c r="I138" s="46">
        <v>108</v>
      </c>
      <c r="J138" s="47">
        <v>0</v>
      </c>
      <c r="K138" s="47">
        <v>200</v>
      </c>
      <c r="L138" s="47"/>
      <c r="M138" s="47">
        <v>0</v>
      </c>
      <c r="N138" s="47"/>
      <c r="O138" s="47"/>
      <c r="P138" s="47">
        <v>0</v>
      </c>
      <c r="Q138" s="47">
        <v>200</v>
      </c>
      <c r="R138" s="47"/>
      <c r="S138" s="47">
        <v>0</v>
      </c>
      <c r="T138" s="47"/>
      <c r="U138" s="47"/>
      <c r="V138" s="9"/>
      <c r="W138" s="9">
        <f>ROUND(Q138 / 1.2, 2)</f>
        <v>166.67</v>
      </c>
      <c r="X138" s="9">
        <f>ROUND(R138 / 1.2, 2)</f>
        <v>0</v>
      </c>
      <c r="Y138" s="9"/>
      <c r="Z138" s="9">
        <f>ROUND(T138 / 1.2, 2)</f>
        <v>0</v>
      </c>
      <c r="AA138" s="9"/>
      <c r="AD138" s="4">
        <v>207829091</v>
      </c>
      <c r="AE138" s="4">
        <v>16296644</v>
      </c>
      <c r="AG138" s="4" t="s">
        <v>471</v>
      </c>
      <c r="AH138" s="4" t="s">
        <v>472</v>
      </c>
      <c r="AI138" s="4"/>
    </row>
    <row r="139" spans="1:35" ht="36" x14ac:dyDescent="0.3">
      <c r="A139" s="37" t="s">
        <v>474</v>
      </c>
      <c r="B139" s="37"/>
      <c r="C139" s="48" t="s">
        <v>475</v>
      </c>
      <c r="D139" s="39"/>
      <c r="E139" s="39"/>
      <c r="F139" s="49" t="s">
        <v>87</v>
      </c>
      <c r="G139" s="50">
        <v>1.05</v>
      </c>
      <c r="H139" s="39"/>
      <c r="I139" s="51">
        <v>0</v>
      </c>
      <c r="J139" s="52">
        <v>90.97</v>
      </c>
      <c r="K139" s="53"/>
      <c r="L139" s="53"/>
      <c r="M139" s="52">
        <f>ROUND(ROUND(J139, 2)*I139, 2)</f>
        <v>0</v>
      </c>
      <c r="N139" s="53"/>
      <c r="O139" s="53"/>
      <c r="P139" s="52">
        <v>90.97</v>
      </c>
      <c r="Q139" s="53"/>
      <c r="R139" s="53"/>
      <c r="S139" s="52">
        <f>ROUND(ROUND(P139, 2)*I139, 2)</f>
        <v>0</v>
      </c>
      <c r="T139" s="53"/>
      <c r="U139" s="54"/>
      <c r="V139" s="9">
        <f>ROUND(ROUND(P139, 2)/1.2, 2)</f>
        <v>75.81</v>
      </c>
      <c r="Y139" s="9">
        <f t="shared" ref="Y139:Y147" si="21">ROUND(S139 / 1.2, 2)</f>
        <v>0</v>
      </c>
      <c r="AD139" s="4" t="s">
        <v>476</v>
      </c>
      <c r="AE139" s="4" t="s">
        <v>477</v>
      </c>
      <c r="AF139" s="4" t="s">
        <v>478</v>
      </c>
    </row>
    <row r="140" spans="1:35" ht="36" x14ac:dyDescent="0.3">
      <c r="A140" s="43" t="s">
        <v>479</v>
      </c>
      <c r="B140" s="43"/>
      <c r="C140" s="55" t="s">
        <v>475</v>
      </c>
      <c r="D140" s="45"/>
      <c r="E140" s="45"/>
      <c r="F140" s="56" t="s">
        <v>87</v>
      </c>
      <c r="G140" s="57">
        <v>1.05</v>
      </c>
      <c r="H140" s="45"/>
      <c r="I140" s="58">
        <v>113.4</v>
      </c>
      <c r="J140" s="59">
        <v>90.97</v>
      </c>
      <c r="K140" s="60"/>
      <c r="L140" s="60"/>
      <c r="M140" s="59">
        <f>ROUND(ROUND(J140, 2)*I140, 2)</f>
        <v>10316</v>
      </c>
      <c r="N140" s="60"/>
      <c r="O140" s="60"/>
      <c r="P140" s="59">
        <v>90.97</v>
      </c>
      <c r="Q140" s="60"/>
      <c r="R140" s="60"/>
      <c r="S140" s="59">
        <f>ROUND(ROUND(P140, 2)*I140, 2)</f>
        <v>10316</v>
      </c>
      <c r="T140" s="60"/>
      <c r="U140" s="61"/>
      <c r="V140" s="9">
        <f>ROUND(ROUND(P140, 2)/1.2, 2)</f>
        <v>75.81</v>
      </c>
      <c r="Y140" s="9">
        <f t="shared" si="21"/>
        <v>8596.67</v>
      </c>
      <c r="AD140" s="4" t="s">
        <v>480</v>
      </c>
      <c r="AE140" s="4" t="s">
        <v>477</v>
      </c>
      <c r="AF140" s="4" t="s">
        <v>478</v>
      </c>
    </row>
    <row r="141" spans="1:35" ht="54" x14ac:dyDescent="0.3">
      <c r="A141" s="37" t="s">
        <v>481</v>
      </c>
      <c r="B141" s="37"/>
      <c r="C141" s="48" t="s">
        <v>482</v>
      </c>
      <c r="D141" s="39"/>
      <c r="E141" s="39" t="s">
        <v>483</v>
      </c>
      <c r="F141" s="49" t="s">
        <v>116</v>
      </c>
      <c r="G141" s="64">
        <v>0.09</v>
      </c>
      <c r="H141" s="39"/>
      <c r="I141" s="62">
        <v>0</v>
      </c>
      <c r="J141" s="52">
        <v>100</v>
      </c>
      <c r="K141" s="53"/>
      <c r="L141" s="53"/>
      <c r="M141" s="52">
        <f>ROUND(ROUND(J141, 2)*I141, 2)</f>
        <v>0</v>
      </c>
      <c r="N141" s="53"/>
      <c r="O141" s="53"/>
      <c r="P141" s="52">
        <v>100</v>
      </c>
      <c r="Q141" s="53"/>
      <c r="R141" s="53"/>
      <c r="S141" s="52">
        <f>ROUND(ROUND(P141, 2)*I141, 2)</f>
        <v>0</v>
      </c>
      <c r="T141" s="53"/>
      <c r="U141" s="54"/>
      <c r="V141" s="9">
        <f>ROUND(ROUND(P141, 2)/1.2, 2)</f>
        <v>83.33</v>
      </c>
      <c r="Y141" s="9">
        <f t="shared" si="21"/>
        <v>0</v>
      </c>
      <c r="AD141" s="4" t="s">
        <v>484</v>
      </c>
      <c r="AE141" s="4" t="s">
        <v>485</v>
      </c>
      <c r="AF141" s="4" t="s">
        <v>486</v>
      </c>
    </row>
    <row r="142" spans="1:35" ht="54" x14ac:dyDescent="0.3">
      <c r="A142" s="43" t="s">
        <v>487</v>
      </c>
      <c r="B142" s="43"/>
      <c r="C142" s="55" t="s">
        <v>482</v>
      </c>
      <c r="D142" s="45"/>
      <c r="E142" s="45" t="s">
        <v>483</v>
      </c>
      <c r="F142" s="56" t="s">
        <v>116</v>
      </c>
      <c r="G142" s="65">
        <v>0.09</v>
      </c>
      <c r="H142" s="45"/>
      <c r="I142" s="57">
        <v>9.7200000000000006</v>
      </c>
      <c r="J142" s="59">
        <v>100</v>
      </c>
      <c r="K142" s="60"/>
      <c r="L142" s="60"/>
      <c r="M142" s="59">
        <f>ROUND(ROUND(J142, 2)*I142, 2)</f>
        <v>972</v>
      </c>
      <c r="N142" s="60"/>
      <c r="O142" s="60"/>
      <c r="P142" s="59">
        <v>100</v>
      </c>
      <c r="Q142" s="60"/>
      <c r="R142" s="60"/>
      <c r="S142" s="59">
        <f>ROUND(ROUND(P142, 2)*I142, 2)</f>
        <v>972</v>
      </c>
      <c r="T142" s="60"/>
      <c r="U142" s="61"/>
      <c r="V142" s="9">
        <f>ROUND(ROUND(P142, 2)/1.2, 2)</f>
        <v>83.33</v>
      </c>
      <c r="Y142" s="9">
        <f t="shared" si="21"/>
        <v>810</v>
      </c>
      <c r="AD142" s="4" t="s">
        <v>488</v>
      </c>
      <c r="AE142" s="4" t="s">
        <v>485</v>
      </c>
      <c r="AF142" s="4" t="s">
        <v>486</v>
      </c>
    </row>
    <row r="143" spans="1:35" ht="18" x14ac:dyDescent="0.3">
      <c r="A143" s="25" t="s">
        <v>489</v>
      </c>
      <c r="B143" s="25" t="s">
        <v>468</v>
      </c>
      <c r="C143" s="26" t="s">
        <v>469</v>
      </c>
      <c r="D143" s="27"/>
      <c r="E143" s="27" t="s">
        <v>490</v>
      </c>
      <c r="F143" s="27" t="s">
        <v>87</v>
      </c>
      <c r="G143" s="28">
        <v>1</v>
      </c>
      <c r="H143" s="27"/>
      <c r="I143" s="28">
        <v>63.14</v>
      </c>
      <c r="J143" s="29">
        <f>IFERROR(ROUND(SUM(M144,M145,M146)/I143, 2),0)</f>
        <v>198.82</v>
      </c>
      <c r="K143" s="29">
        <v>200</v>
      </c>
      <c r="L143" s="29">
        <f>J143+ROUND(K143, 2)</f>
        <v>398.82</v>
      </c>
      <c r="M143" s="29">
        <f>ROUND(J143*I143, 2)</f>
        <v>12553.49</v>
      </c>
      <c r="N143" s="29">
        <f>ROUND(I143*ROUND(K143, 2), 2)</f>
        <v>12628</v>
      </c>
      <c r="O143" s="29">
        <f>M143+N143</f>
        <v>25181.489999999998</v>
      </c>
      <c r="P143" s="29">
        <f>IFERROR(ROUND(SUM(S144,S145,S146)/I143, 2),0)</f>
        <v>198.82</v>
      </c>
      <c r="Q143" s="29">
        <v>200</v>
      </c>
      <c r="R143" s="29">
        <f>P143+ROUND(Q143, 2)</f>
        <v>398.82</v>
      </c>
      <c r="S143" s="29">
        <f>ROUND(P143*I143, 2)</f>
        <v>12553.49</v>
      </c>
      <c r="T143" s="29">
        <f>ROUND(I143*ROUND(Q143, 2), 2)</f>
        <v>12628</v>
      </c>
      <c r="U143" s="29">
        <f>S143+T143</f>
        <v>25181.489999999998</v>
      </c>
      <c r="V143" s="9">
        <f>ROUND(P143 / 1.2, 2)</f>
        <v>165.68</v>
      </c>
      <c r="W143" s="9">
        <f>ROUND(Q143 / 1.2, 2)</f>
        <v>166.67</v>
      </c>
      <c r="X143" s="9">
        <f>ROUND(R143 / 1.2, 2)</f>
        <v>332.35</v>
      </c>
      <c r="Y143" s="9">
        <f t="shared" si="21"/>
        <v>10461.24</v>
      </c>
      <c r="Z143" s="9">
        <f>ROUND(T143 / 1.2, 2)</f>
        <v>10523.33</v>
      </c>
      <c r="AA143" s="9">
        <f>Y143+Z143</f>
        <v>20984.57</v>
      </c>
      <c r="AD143" s="4">
        <v>298925376</v>
      </c>
      <c r="AE143" s="4">
        <v>19812816</v>
      </c>
      <c r="AG143" s="4" t="s">
        <v>471</v>
      </c>
      <c r="AH143" s="4" t="s">
        <v>472</v>
      </c>
      <c r="AI143" s="4" t="s">
        <v>67</v>
      </c>
    </row>
    <row r="144" spans="1:35" ht="54" x14ac:dyDescent="0.3">
      <c r="A144" s="25" t="s">
        <v>491</v>
      </c>
      <c r="B144" s="25"/>
      <c r="C144" s="30" t="s">
        <v>482</v>
      </c>
      <c r="D144" s="27"/>
      <c r="E144" s="27" t="s">
        <v>483</v>
      </c>
      <c r="F144" s="31" t="s">
        <v>116</v>
      </c>
      <c r="G144" s="66">
        <v>0.09</v>
      </c>
      <c r="H144" s="27"/>
      <c r="I144" s="32">
        <v>5.6829999999999998</v>
      </c>
      <c r="J144" s="34">
        <v>100</v>
      </c>
      <c r="K144" s="35"/>
      <c r="L144" s="35"/>
      <c r="M144" s="34">
        <f>ROUND(ROUND(J144, 2)*I144, 2)</f>
        <v>568.29999999999995</v>
      </c>
      <c r="N144" s="35"/>
      <c r="O144" s="35"/>
      <c r="P144" s="34">
        <v>100</v>
      </c>
      <c r="Q144" s="35"/>
      <c r="R144" s="35"/>
      <c r="S144" s="34">
        <f>ROUND(ROUND(P144, 2)*I144, 2)</f>
        <v>568.29999999999995</v>
      </c>
      <c r="T144" s="35"/>
      <c r="U144" s="36"/>
      <c r="V144" s="9">
        <f>ROUND(ROUND(P144, 2)/1.2, 2)</f>
        <v>83.33</v>
      </c>
      <c r="Y144" s="9">
        <f t="shared" si="21"/>
        <v>473.58</v>
      </c>
      <c r="AD144" s="4" t="s">
        <v>492</v>
      </c>
      <c r="AE144" s="4" t="s">
        <v>493</v>
      </c>
      <c r="AF144" s="4" t="s">
        <v>486</v>
      </c>
    </row>
    <row r="145" spans="1:35" ht="54" x14ac:dyDescent="0.3">
      <c r="A145" s="25" t="s">
        <v>494</v>
      </c>
      <c r="B145" s="25"/>
      <c r="C145" s="17" t="s">
        <v>475</v>
      </c>
      <c r="D145" s="27"/>
      <c r="E145" s="27" t="s">
        <v>495</v>
      </c>
      <c r="F145" s="31" t="s">
        <v>87</v>
      </c>
      <c r="G145" s="32">
        <v>1.05</v>
      </c>
      <c r="H145" s="27"/>
      <c r="I145" s="33">
        <v>49.591999999999999</v>
      </c>
      <c r="J145" s="34">
        <v>90.21</v>
      </c>
      <c r="K145" s="35"/>
      <c r="L145" s="35"/>
      <c r="M145" s="34">
        <f>ROUND(ROUND(J145, 2)*I145, 2)</f>
        <v>4473.6899999999996</v>
      </c>
      <c r="N145" s="35"/>
      <c r="O145" s="35"/>
      <c r="P145" s="34">
        <v>90.21</v>
      </c>
      <c r="Q145" s="35"/>
      <c r="R145" s="35"/>
      <c r="S145" s="34">
        <f>ROUND(ROUND(P145, 2)*I145, 2)</f>
        <v>4473.6899999999996</v>
      </c>
      <c r="T145" s="35"/>
      <c r="U145" s="36"/>
      <c r="V145" s="9">
        <f>ROUND(ROUND(P145, 2)/1.2, 2)</f>
        <v>75.180000000000007</v>
      </c>
      <c r="Y145" s="9">
        <f t="shared" si="21"/>
        <v>3728.08</v>
      </c>
      <c r="AD145" s="4" t="s">
        <v>496</v>
      </c>
      <c r="AE145" s="4" t="s">
        <v>497</v>
      </c>
      <c r="AF145" s="4" t="s">
        <v>478</v>
      </c>
    </row>
    <row r="146" spans="1:35" ht="72" x14ac:dyDescent="0.3">
      <c r="A146" s="25" t="s">
        <v>498</v>
      </c>
      <c r="B146" s="25"/>
      <c r="C146" s="17" t="s">
        <v>499</v>
      </c>
      <c r="D146" s="27"/>
      <c r="E146" s="27" t="s">
        <v>500</v>
      </c>
      <c r="F146" s="31" t="s">
        <v>87</v>
      </c>
      <c r="G146" s="32">
        <v>1.1000000000000001</v>
      </c>
      <c r="H146" s="27"/>
      <c r="I146" s="33">
        <v>17.501000000000001</v>
      </c>
      <c r="J146" s="34">
        <v>429.22</v>
      </c>
      <c r="K146" s="35"/>
      <c r="L146" s="35"/>
      <c r="M146" s="34">
        <f>ROUND(ROUND(J146, 2)*I146, 2)</f>
        <v>7511.78</v>
      </c>
      <c r="N146" s="35"/>
      <c r="O146" s="35"/>
      <c r="P146" s="34">
        <v>429.22</v>
      </c>
      <c r="Q146" s="35"/>
      <c r="R146" s="35"/>
      <c r="S146" s="34">
        <f>ROUND(ROUND(P146, 2)*I146, 2)</f>
        <v>7511.78</v>
      </c>
      <c r="T146" s="35"/>
      <c r="U146" s="36"/>
      <c r="V146" s="9">
        <f>ROUND(ROUND(P146, 2)/1.2, 2)</f>
        <v>357.68</v>
      </c>
      <c r="Y146" s="9">
        <f t="shared" si="21"/>
        <v>6259.82</v>
      </c>
      <c r="AD146" s="4" t="s">
        <v>501</v>
      </c>
      <c r="AE146" s="4" t="s">
        <v>502</v>
      </c>
      <c r="AF146" s="4" t="s">
        <v>503</v>
      </c>
    </row>
    <row r="147" spans="1:35" ht="54" x14ac:dyDescent="0.3">
      <c r="A147" s="37" t="s">
        <v>504</v>
      </c>
      <c r="B147" s="37" t="s">
        <v>505</v>
      </c>
      <c r="C147" s="38" t="s">
        <v>506</v>
      </c>
      <c r="D147" s="39"/>
      <c r="E147" s="39" t="s">
        <v>507</v>
      </c>
      <c r="F147" s="39" t="s">
        <v>87</v>
      </c>
      <c r="G147" s="40">
        <v>1</v>
      </c>
      <c r="H147" s="39"/>
      <c r="I147" s="41">
        <v>0</v>
      </c>
      <c r="J147" s="42">
        <f>IFERROR(ROUND(SUM(M149,M151,M153)/I147, 2),0)</f>
        <v>0</v>
      </c>
      <c r="K147" s="42">
        <v>411</v>
      </c>
      <c r="L147" s="42">
        <f>J147+ROUND(K147, 2)</f>
        <v>411</v>
      </c>
      <c r="M147" s="42">
        <f>ROUND(J147*I147, 2)</f>
        <v>0</v>
      </c>
      <c r="N147" s="42">
        <f>ROUND(I147*ROUND(K147, 2), 2)</f>
        <v>0</v>
      </c>
      <c r="O147" s="42">
        <f>M147+N147</f>
        <v>0</v>
      </c>
      <c r="P147" s="42">
        <f>IFERROR(ROUND(SUM(S149,S151,S153)/I147, 2),0)</f>
        <v>0</v>
      </c>
      <c r="Q147" s="42">
        <v>374</v>
      </c>
      <c r="R147" s="42">
        <f>P147+ROUND(Q147, 2)</f>
        <v>374</v>
      </c>
      <c r="S147" s="42">
        <f>ROUND(P147*I147, 2)</f>
        <v>0</v>
      </c>
      <c r="T147" s="42">
        <f>ROUND(I147*ROUND(Q147, 2), 2)</f>
        <v>0</v>
      </c>
      <c r="U147" s="42">
        <f>S147+T147</f>
        <v>0</v>
      </c>
      <c r="V147" s="9">
        <f>ROUND(P147 / 1.2, 2)</f>
        <v>0</v>
      </c>
      <c r="W147" s="9">
        <f>ROUND(Q147 / 1.2, 2)</f>
        <v>311.67</v>
      </c>
      <c r="X147" s="9">
        <f>ROUND(R147 / 1.2, 2)</f>
        <v>311.67</v>
      </c>
      <c r="Y147" s="9">
        <f t="shared" si="21"/>
        <v>0</v>
      </c>
      <c r="Z147" s="9">
        <f>ROUND(T147 / 1.2, 2)</f>
        <v>0</v>
      </c>
      <c r="AA147" s="9">
        <f>Y147+Z147</f>
        <v>0</v>
      </c>
      <c r="AD147" s="4">
        <v>298925285</v>
      </c>
      <c r="AE147" s="4">
        <v>16293721</v>
      </c>
      <c r="AG147" s="4" t="s">
        <v>508</v>
      </c>
      <c r="AH147" s="4" t="s">
        <v>509</v>
      </c>
      <c r="AI147" s="4" t="s">
        <v>67</v>
      </c>
    </row>
    <row r="148" spans="1:35" ht="54" x14ac:dyDescent="0.3">
      <c r="A148" s="43" t="s">
        <v>510</v>
      </c>
      <c r="B148" s="43" t="s">
        <v>505</v>
      </c>
      <c r="C148" s="44" t="s">
        <v>506</v>
      </c>
      <c r="D148" s="45"/>
      <c r="E148" s="45"/>
      <c r="F148" s="45" t="s">
        <v>87</v>
      </c>
      <c r="G148" s="46">
        <v>1</v>
      </c>
      <c r="H148" s="45"/>
      <c r="I148" s="46">
        <v>307.10000000000002</v>
      </c>
      <c r="J148" s="47">
        <v>0</v>
      </c>
      <c r="K148" s="47">
        <v>374</v>
      </c>
      <c r="L148" s="47"/>
      <c r="M148" s="47">
        <v>0</v>
      </c>
      <c r="N148" s="47"/>
      <c r="O148" s="47"/>
      <c r="P148" s="47">
        <v>0</v>
      </c>
      <c r="Q148" s="47">
        <v>374</v>
      </c>
      <c r="R148" s="47"/>
      <c r="S148" s="47">
        <v>0</v>
      </c>
      <c r="T148" s="47"/>
      <c r="U148" s="47"/>
      <c r="V148" s="9"/>
      <c r="W148" s="9">
        <f>ROUND(Q148 / 1.2, 2)</f>
        <v>311.67</v>
      </c>
      <c r="X148" s="9">
        <f>ROUND(R148 / 1.2, 2)</f>
        <v>0</v>
      </c>
      <c r="Y148" s="9"/>
      <c r="Z148" s="9">
        <f>ROUND(T148 / 1.2, 2)</f>
        <v>0</v>
      </c>
      <c r="AA148" s="9"/>
      <c r="AD148" s="4">
        <v>213223641</v>
      </c>
      <c r="AE148" s="4">
        <v>16293721</v>
      </c>
      <c r="AG148" s="4" t="s">
        <v>508</v>
      </c>
      <c r="AH148" s="4" t="s">
        <v>509</v>
      </c>
      <c r="AI148" s="4"/>
    </row>
    <row r="149" spans="1:35" ht="72" x14ac:dyDescent="0.3">
      <c r="A149" s="37" t="s">
        <v>511</v>
      </c>
      <c r="B149" s="37"/>
      <c r="C149" s="48" t="s">
        <v>512</v>
      </c>
      <c r="D149" s="39"/>
      <c r="E149" s="39" t="s">
        <v>513</v>
      </c>
      <c r="F149" s="49" t="s">
        <v>64</v>
      </c>
      <c r="G149" s="50">
        <v>0.11</v>
      </c>
      <c r="H149" s="39"/>
      <c r="I149" s="62">
        <v>0</v>
      </c>
      <c r="J149" s="52">
        <v>850</v>
      </c>
      <c r="K149" s="53"/>
      <c r="L149" s="53"/>
      <c r="M149" s="52">
        <f t="shared" ref="M149:M154" si="22">ROUND(ROUND(J149, 2)*I149, 2)</f>
        <v>0</v>
      </c>
      <c r="N149" s="53"/>
      <c r="O149" s="53"/>
      <c r="P149" s="52">
        <v>850</v>
      </c>
      <c r="Q149" s="53"/>
      <c r="R149" s="53"/>
      <c r="S149" s="52">
        <f t="shared" ref="S149:S154" si="23">ROUND(ROUND(P149, 2)*I149, 2)</f>
        <v>0</v>
      </c>
      <c r="T149" s="53"/>
      <c r="U149" s="54"/>
      <c r="V149" s="9">
        <f t="shared" ref="V149:V154" si="24">ROUND(ROUND(P149, 2)/1.2, 2)</f>
        <v>708.33</v>
      </c>
      <c r="Y149" s="9">
        <f t="shared" ref="Y149:Y155" si="25">ROUND(S149 / 1.2, 2)</f>
        <v>0</v>
      </c>
      <c r="AD149" s="4" t="s">
        <v>514</v>
      </c>
      <c r="AE149" s="4" t="s">
        <v>515</v>
      </c>
      <c r="AF149" s="4" t="s">
        <v>516</v>
      </c>
    </row>
    <row r="150" spans="1:35" ht="72" x14ac:dyDescent="0.3">
      <c r="A150" s="43" t="s">
        <v>517</v>
      </c>
      <c r="B150" s="43"/>
      <c r="C150" s="55" t="s">
        <v>512</v>
      </c>
      <c r="D150" s="45"/>
      <c r="E150" s="45" t="s">
        <v>518</v>
      </c>
      <c r="F150" s="56" t="s">
        <v>64</v>
      </c>
      <c r="G150" s="57">
        <v>0.11</v>
      </c>
      <c r="H150" s="45"/>
      <c r="I150" s="57">
        <v>33.780999999999999</v>
      </c>
      <c r="J150" s="59">
        <v>850</v>
      </c>
      <c r="K150" s="60"/>
      <c r="L150" s="60"/>
      <c r="M150" s="59">
        <f t="shared" si="22"/>
        <v>28713.85</v>
      </c>
      <c r="N150" s="60"/>
      <c r="O150" s="60"/>
      <c r="P150" s="59">
        <v>850</v>
      </c>
      <c r="Q150" s="60"/>
      <c r="R150" s="60"/>
      <c r="S150" s="59">
        <f t="shared" si="23"/>
        <v>28713.85</v>
      </c>
      <c r="T150" s="60"/>
      <c r="U150" s="61"/>
      <c r="V150" s="9">
        <f t="shared" si="24"/>
        <v>708.33</v>
      </c>
      <c r="Y150" s="9">
        <f t="shared" si="25"/>
        <v>23928.21</v>
      </c>
      <c r="AD150" s="4" t="s">
        <v>519</v>
      </c>
      <c r="AE150" s="4" t="s">
        <v>515</v>
      </c>
      <c r="AF150" s="4" t="s">
        <v>516</v>
      </c>
    </row>
    <row r="151" spans="1:35" ht="36" x14ac:dyDescent="0.3">
      <c r="A151" s="37" t="s">
        <v>520</v>
      </c>
      <c r="B151" s="37"/>
      <c r="C151" s="48" t="s">
        <v>426</v>
      </c>
      <c r="D151" s="39"/>
      <c r="E151" s="39"/>
      <c r="F151" s="49" t="s">
        <v>70</v>
      </c>
      <c r="G151" s="50">
        <v>0.04</v>
      </c>
      <c r="H151" s="39"/>
      <c r="I151" s="62">
        <v>0</v>
      </c>
      <c r="J151" s="52">
        <v>40.270000000000003</v>
      </c>
      <c r="K151" s="53"/>
      <c r="L151" s="53"/>
      <c r="M151" s="52">
        <f t="shared" si="22"/>
        <v>0</v>
      </c>
      <c r="N151" s="53"/>
      <c r="O151" s="53"/>
      <c r="P151" s="52">
        <v>40.270000000000003</v>
      </c>
      <c r="Q151" s="53"/>
      <c r="R151" s="53"/>
      <c r="S151" s="52">
        <f t="shared" si="23"/>
        <v>0</v>
      </c>
      <c r="T151" s="53"/>
      <c r="U151" s="54"/>
      <c r="V151" s="9">
        <f t="shared" si="24"/>
        <v>33.56</v>
      </c>
      <c r="Y151" s="9">
        <f t="shared" si="25"/>
        <v>0</v>
      </c>
      <c r="AD151" s="4" t="s">
        <v>521</v>
      </c>
      <c r="AE151" s="4" t="s">
        <v>522</v>
      </c>
      <c r="AF151" s="4" t="s">
        <v>429</v>
      </c>
    </row>
    <row r="152" spans="1:35" ht="36" x14ac:dyDescent="0.3">
      <c r="A152" s="43" t="s">
        <v>523</v>
      </c>
      <c r="B152" s="43"/>
      <c r="C152" s="55" t="s">
        <v>426</v>
      </c>
      <c r="D152" s="45"/>
      <c r="E152" s="45"/>
      <c r="F152" s="56" t="s">
        <v>70</v>
      </c>
      <c r="G152" s="57">
        <v>0.04</v>
      </c>
      <c r="H152" s="45"/>
      <c r="I152" s="57">
        <v>12.284000000000001</v>
      </c>
      <c r="J152" s="59">
        <v>40.270000000000003</v>
      </c>
      <c r="K152" s="60"/>
      <c r="L152" s="60"/>
      <c r="M152" s="59">
        <f t="shared" si="22"/>
        <v>494.68</v>
      </c>
      <c r="N152" s="60"/>
      <c r="O152" s="60"/>
      <c r="P152" s="59">
        <v>40.270000000000003</v>
      </c>
      <c r="Q152" s="60"/>
      <c r="R152" s="60"/>
      <c r="S152" s="59">
        <f t="shared" si="23"/>
        <v>494.68</v>
      </c>
      <c r="T152" s="60"/>
      <c r="U152" s="61"/>
      <c r="V152" s="9">
        <f t="shared" si="24"/>
        <v>33.56</v>
      </c>
      <c r="Y152" s="9">
        <f t="shared" si="25"/>
        <v>412.23</v>
      </c>
      <c r="AD152" s="4" t="s">
        <v>524</v>
      </c>
      <c r="AE152" s="4" t="s">
        <v>522</v>
      </c>
      <c r="AF152" s="4" t="s">
        <v>429</v>
      </c>
    </row>
    <row r="153" spans="1:35" ht="36" x14ac:dyDescent="0.3">
      <c r="A153" s="37" t="s">
        <v>525</v>
      </c>
      <c r="B153" s="37"/>
      <c r="C153" s="48" t="s">
        <v>433</v>
      </c>
      <c r="D153" s="39"/>
      <c r="E153" s="39"/>
      <c r="F153" s="49" t="s">
        <v>70</v>
      </c>
      <c r="G153" s="50">
        <v>1.4999999999999999E-2</v>
      </c>
      <c r="H153" s="39"/>
      <c r="I153" s="62">
        <v>0</v>
      </c>
      <c r="J153" s="52">
        <v>88.8</v>
      </c>
      <c r="K153" s="53"/>
      <c r="L153" s="53"/>
      <c r="M153" s="52">
        <f t="shared" si="22"/>
        <v>0</v>
      </c>
      <c r="N153" s="53"/>
      <c r="O153" s="53"/>
      <c r="P153" s="52">
        <v>88.8</v>
      </c>
      <c r="Q153" s="53"/>
      <c r="R153" s="53"/>
      <c r="S153" s="52">
        <f t="shared" si="23"/>
        <v>0</v>
      </c>
      <c r="T153" s="53"/>
      <c r="U153" s="54"/>
      <c r="V153" s="9">
        <f t="shared" si="24"/>
        <v>74</v>
      </c>
      <c r="Y153" s="9">
        <f t="shared" si="25"/>
        <v>0</v>
      </c>
      <c r="AD153" s="4" t="s">
        <v>526</v>
      </c>
      <c r="AE153" s="4" t="s">
        <v>527</v>
      </c>
      <c r="AF153" s="4" t="s">
        <v>436</v>
      </c>
    </row>
    <row r="154" spans="1:35" ht="36" x14ac:dyDescent="0.3">
      <c r="A154" s="43" t="s">
        <v>528</v>
      </c>
      <c r="B154" s="43"/>
      <c r="C154" s="55" t="s">
        <v>433</v>
      </c>
      <c r="D154" s="45"/>
      <c r="E154" s="45"/>
      <c r="F154" s="56" t="s">
        <v>70</v>
      </c>
      <c r="G154" s="57">
        <v>1.4999999999999999E-2</v>
      </c>
      <c r="H154" s="45"/>
      <c r="I154" s="57">
        <v>4.6070000000000002</v>
      </c>
      <c r="J154" s="59">
        <v>88.8</v>
      </c>
      <c r="K154" s="60"/>
      <c r="L154" s="60"/>
      <c r="M154" s="59">
        <f t="shared" si="22"/>
        <v>409.1</v>
      </c>
      <c r="N154" s="60"/>
      <c r="O154" s="60"/>
      <c r="P154" s="59">
        <v>88.8</v>
      </c>
      <c r="Q154" s="60"/>
      <c r="R154" s="60"/>
      <c r="S154" s="59">
        <f t="shared" si="23"/>
        <v>409.1</v>
      </c>
      <c r="T154" s="60"/>
      <c r="U154" s="61"/>
      <c r="V154" s="9">
        <f t="shared" si="24"/>
        <v>74</v>
      </c>
      <c r="Y154" s="9">
        <f t="shared" si="25"/>
        <v>340.92</v>
      </c>
      <c r="AD154" s="4" t="s">
        <v>529</v>
      </c>
      <c r="AE154" s="4" t="s">
        <v>527</v>
      </c>
      <c r="AF154" s="4" t="s">
        <v>436</v>
      </c>
    </row>
    <row r="155" spans="1:35" ht="36" x14ac:dyDescent="0.3">
      <c r="A155" s="37" t="s">
        <v>530</v>
      </c>
      <c r="B155" s="37" t="s">
        <v>531</v>
      </c>
      <c r="C155" s="38" t="s">
        <v>532</v>
      </c>
      <c r="D155" s="39"/>
      <c r="E155" s="39" t="s">
        <v>533</v>
      </c>
      <c r="F155" s="39" t="s">
        <v>87</v>
      </c>
      <c r="G155" s="40">
        <v>1</v>
      </c>
      <c r="H155" s="39"/>
      <c r="I155" s="41">
        <v>0</v>
      </c>
      <c r="J155" s="42">
        <f>IFERROR(ROUND(SUM(M157,M159)/I155, 2),0)</f>
        <v>0</v>
      </c>
      <c r="K155" s="42">
        <v>164</v>
      </c>
      <c r="L155" s="42">
        <f>J155+ROUND(K155, 2)</f>
        <v>164</v>
      </c>
      <c r="M155" s="42">
        <f>ROUND(J155*I155, 2)</f>
        <v>0</v>
      </c>
      <c r="N155" s="42">
        <f>ROUND(I155*ROUND(K155, 2), 2)</f>
        <v>0</v>
      </c>
      <c r="O155" s="42">
        <f>M155+N155</f>
        <v>0</v>
      </c>
      <c r="P155" s="42">
        <f>IFERROR(ROUND(SUM(S157,S159)/I155, 2),0)</f>
        <v>0</v>
      </c>
      <c r="Q155" s="42">
        <v>156</v>
      </c>
      <c r="R155" s="42">
        <f>P155+ROUND(Q155, 2)</f>
        <v>156</v>
      </c>
      <c r="S155" s="42">
        <f>ROUND(P155*I155, 2)</f>
        <v>0</v>
      </c>
      <c r="T155" s="42">
        <f>ROUND(I155*ROUND(Q155, 2), 2)</f>
        <v>0</v>
      </c>
      <c r="U155" s="42">
        <f>S155+T155</f>
        <v>0</v>
      </c>
      <c r="V155" s="9">
        <f>ROUND(P155 / 1.2, 2)</f>
        <v>0</v>
      </c>
      <c r="W155" s="9">
        <f>ROUND(Q155 / 1.2, 2)</f>
        <v>130</v>
      </c>
      <c r="X155" s="9">
        <f>ROUND(R155 / 1.2, 2)</f>
        <v>130</v>
      </c>
      <c r="Y155" s="9">
        <f t="shared" si="25"/>
        <v>0</v>
      </c>
      <c r="Z155" s="9">
        <f>ROUND(T155 / 1.2, 2)</f>
        <v>0</v>
      </c>
      <c r="AA155" s="9">
        <f>Y155+Z155</f>
        <v>0</v>
      </c>
      <c r="AD155" s="4">
        <v>298925287</v>
      </c>
      <c r="AE155" s="4">
        <v>16293719</v>
      </c>
      <c r="AG155" s="4" t="s">
        <v>534</v>
      </c>
      <c r="AH155" s="4" t="s">
        <v>535</v>
      </c>
      <c r="AI155" s="4" t="s">
        <v>67</v>
      </c>
    </row>
    <row r="156" spans="1:35" ht="36" x14ac:dyDescent="0.3">
      <c r="A156" s="43" t="s">
        <v>536</v>
      </c>
      <c r="B156" s="43" t="s">
        <v>531</v>
      </c>
      <c r="C156" s="44" t="s">
        <v>532</v>
      </c>
      <c r="D156" s="45"/>
      <c r="E156" s="45"/>
      <c r="F156" s="45" t="s">
        <v>87</v>
      </c>
      <c r="G156" s="46">
        <v>1</v>
      </c>
      <c r="H156" s="45"/>
      <c r="I156" s="46">
        <v>1693.4</v>
      </c>
      <c r="J156" s="47">
        <v>0</v>
      </c>
      <c r="K156" s="47">
        <v>156</v>
      </c>
      <c r="L156" s="47"/>
      <c r="M156" s="47">
        <v>0</v>
      </c>
      <c r="N156" s="47"/>
      <c r="O156" s="47"/>
      <c r="P156" s="47">
        <v>0</v>
      </c>
      <c r="Q156" s="47">
        <v>156</v>
      </c>
      <c r="R156" s="47"/>
      <c r="S156" s="47">
        <v>0</v>
      </c>
      <c r="T156" s="47"/>
      <c r="U156" s="47"/>
      <c r="V156" s="9"/>
      <c r="W156" s="9">
        <f>ROUND(Q156 / 1.2, 2)</f>
        <v>130</v>
      </c>
      <c r="X156" s="9">
        <f>ROUND(R156 / 1.2, 2)</f>
        <v>0</v>
      </c>
      <c r="Y156" s="9"/>
      <c r="Z156" s="9">
        <f>ROUND(T156 / 1.2, 2)</f>
        <v>0</v>
      </c>
      <c r="AA156" s="9"/>
      <c r="AD156" s="4">
        <v>213445470</v>
      </c>
      <c r="AE156" s="4">
        <v>16293719</v>
      </c>
      <c r="AG156" s="4" t="s">
        <v>534</v>
      </c>
      <c r="AH156" s="4" t="s">
        <v>535</v>
      </c>
      <c r="AI156" s="4"/>
    </row>
    <row r="157" spans="1:35" ht="54" x14ac:dyDescent="0.3">
      <c r="A157" s="37" t="s">
        <v>537</v>
      </c>
      <c r="B157" s="37"/>
      <c r="C157" s="48" t="s">
        <v>538</v>
      </c>
      <c r="D157" s="39"/>
      <c r="E157" s="39" t="s">
        <v>539</v>
      </c>
      <c r="F157" s="49" t="s">
        <v>87</v>
      </c>
      <c r="G157" s="50">
        <v>1</v>
      </c>
      <c r="H157" s="39"/>
      <c r="I157" s="51">
        <v>0</v>
      </c>
      <c r="J157" s="52">
        <v>172.74</v>
      </c>
      <c r="K157" s="53"/>
      <c r="L157" s="53"/>
      <c r="M157" s="52">
        <f>ROUND(ROUND(J157, 2)*I157, 2)</f>
        <v>0</v>
      </c>
      <c r="N157" s="53"/>
      <c r="O157" s="53"/>
      <c r="P157" s="52">
        <v>172.74</v>
      </c>
      <c r="Q157" s="53"/>
      <c r="R157" s="53"/>
      <c r="S157" s="52">
        <f>ROUND(ROUND(P157, 2)*I157, 2)</f>
        <v>0</v>
      </c>
      <c r="T157" s="53"/>
      <c r="U157" s="54"/>
      <c r="V157" s="9">
        <f>ROUND(ROUND(P157, 2)/1.2, 2)</f>
        <v>143.94999999999999</v>
      </c>
      <c r="Y157" s="9">
        <f>ROUND(S157 / 1.2, 2)</f>
        <v>0</v>
      </c>
      <c r="AD157" s="4" t="s">
        <v>540</v>
      </c>
      <c r="AE157" s="4" t="s">
        <v>541</v>
      </c>
      <c r="AF157" s="4" t="s">
        <v>542</v>
      </c>
    </row>
    <row r="158" spans="1:35" ht="54" x14ac:dyDescent="0.3">
      <c r="A158" s="43" t="s">
        <v>543</v>
      </c>
      <c r="B158" s="43"/>
      <c r="C158" s="55" t="s">
        <v>538</v>
      </c>
      <c r="D158" s="45"/>
      <c r="E158" s="45" t="s">
        <v>539</v>
      </c>
      <c r="F158" s="56" t="s">
        <v>87</v>
      </c>
      <c r="G158" s="57">
        <v>1</v>
      </c>
      <c r="H158" s="45"/>
      <c r="I158" s="58">
        <v>1693.4</v>
      </c>
      <c r="J158" s="59">
        <v>172.74</v>
      </c>
      <c r="K158" s="60"/>
      <c r="L158" s="60"/>
      <c r="M158" s="59">
        <f>ROUND(ROUND(J158, 2)*I158, 2)</f>
        <v>292517.92</v>
      </c>
      <c r="N158" s="60"/>
      <c r="O158" s="60"/>
      <c r="P158" s="59">
        <v>172.74</v>
      </c>
      <c r="Q158" s="60"/>
      <c r="R158" s="60"/>
      <c r="S158" s="59">
        <f>ROUND(ROUND(P158, 2)*I158, 2)</f>
        <v>292517.92</v>
      </c>
      <c r="T158" s="60"/>
      <c r="U158" s="61"/>
      <c r="V158" s="9">
        <f>ROUND(ROUND(P158, 2)/1.2, 2)</f>
        <v>143.94999999999999</v>
      </c>
      <c r="Y158" s="9">
        <f>ROUND(S158 / 1.2, 2)</f>
        <v>243764.93</v>
      </c>
      <c r="AD158" s="4" t="s">
        <v>544</v>
      </c>
      <c r="AE158" s="4" t="s">
        <v>541</v>
      </c>
      <c r="AF158" s="4" t="s">
        <v>542</v>
      </c>
    </row>
    <row r="159" spans="1:35" ht="54" x14ac:dyDescent="0.3">
      <c r="A159" s="37" t="s">
        <v>545</v>
      </c>
      <c r="B159" s="37"/>
      <c r="C159" s="48" t="s">
        <v>482</v>
      </c>
      <c r="D159" s="39"/>
      <c r="E159" s="39" t="s">
        <v>483</v>
      </c>
      <c r="F159" s="49" t="s">
        <v>116</v>
      </c>
      <c r="G159" s="50">
        <v>0.09</v>
      </c>
      <c r="H159" s="39"/>
      <c r="I159" s="51">
        <v>0</v>
      </c>
      <c r="J159" s="52">
        <v>100</v>
      </c>
      <c r="K159" s="53"/>
      <c r="L159" s="53"/>
      <c r="M159" s="52">
        <f>ROUND(ROUND(J159, 2)*I159, 2)</f>
        <v>0</v>
      </c>
      <c r="N159" s="53"/>
      <c r="O159" s="53"/>
      <c r="P159" s="52">
        <v>100</v>
      </c>
      <c r="Q159" s="53"/>
      <c r="R159" s="53"/>
      <c r="S159" s="52">
        <f>ROUND(ROUND(P159, 2)*I159, 2)</f>
        <v>0</v>
      </c>
      <c r="T159" s="53"/>
      <c r="U159" s="54"/>
      <c r="V159" s="9">
        <f>ROUND(ROUND(P159, 2)/1.2, 2)</f>
        <v>83.33</v>
      </c>
      <c r="Y159" s="9">
        <f>ROUND(S159 / 1.2, 2)</f>
        <v>0</v>
      </c>
      <c r="AD159" s="4" t="s">
        <v>546</v>
      </c>
      <c r="AE159" s="4" t="s">
        <v>547</v>
      </c>
      <c r="AF159" s="4" t="s">
        <v>486</v>
      </c>
    </row>
    <row r="160" spans="1:35" ht="54" x14ac:dyDescent="0.3">
      <c r="A160" s="43" t="s">
        <v>548</v>
      </c>
      <c r="B160" s="43"/>
      <c r="C160" s="55" t="s">
        <v>482</v>
      </c>
      <c r="D160" s="45"/>
      <c r="E160" s="45" t="s">
        <v>483</v>
      </c>
      <c r="F160" s="56" t="s">
        <v>116</v>
      </c>
      <c r="G160" s="57">
        <v>0.09</v>
      </c>
      <c r="H160" s="45"/>
      <c r="I160" s="58">
        <v>152.40600000000001</v>
      </c>
      <c r="J160" s="59">
        <v>100</v>
      </c>
      <c r="K160" s="60"/>
      <c r="L160" s="60"/>
      <c r="M160" s="59">
        <f>ROUND(ROUND(J160, 2)*I160, 2)</f>
        <v>15240.6</v>
      </c>
      <c r="N160" s="60"/>
      <c r="O160" s="60"/>
      <c r="P160" s="59">
        <v>100</v>
      </c>
      <c r="Q160" s="60"/>
      <c r="R160" s="60"/>
      <c r="S160" s="59">
        <f>ROUND(ROUND(P160, 2)*I160, 2)</f>
        <v>15240.6</v>
      </c>
      <c r="T160" s="60"/>
      <c r="U160" s="61"/>
      <c r="V160" s="9">
        <f>ROUND(ROUND(P160, 2)/1.2, 2)</f>
        <v>83.33</v>
      </c>
      <c r="Y160" s="9">
        <f>ROUND(S160 / 1.2, 2)</f>
        <v>12700.5</v>
      </c>
      <c r="AD160" s="4" t="s">
        <v>549</v>
      </c>
      <c r="AE160" s="4" t="s">
        <v>547</v>
      </c>
      <c r="AF160" s="4" t="s">
        <v>486</v>
      </c>
    </row>
    <row r="161" spans="1:35" ht="36" x14ac:dyDescent="0.3">
      <c r="A161" s="37" t="s">
        <v>550</v>
      </c>
      <c r="B161" s="37" t="s">
        <v>551</v>
      </c>
      <c r="C161" s="38" t="s">
        <v>552</v>
      </c>
      <c r="D161" s="39"/>
      <c r="E161" s="39" t="s">
        <v>63</v>
      </c>
      <c r="F161" s="39" t="s">
        <v>64</v>
      </c>
      <c r="G161" s="40">
        <v>1</v>
      </c>
      <c r="H161" s="39"/>
      <c r="I161" s="41">
        <v>0</v>
      </c>
      <c r="J161" s="42">
        <f>IFERROR(ROUND(SUM(M163,M165)/I161, 2),0)</f>
        <v>0</v>
      </c>
      <c r="K161" s="42">
        <v>661</v>
      </c>
      <c r="L161" s="42">
        <f>J161+ROUND(K161, 2)</f>
        <v>661</v>
      </c>
      <c r="M161" s="42">
        <f>ROUND(J161*I161, 2)</f>
        <v>0</v>
      </c>
      <c r="N161" s="42">
        <f>ROUND(I161*ROUND(K161, 2), 2)</f>
        <v>0</v>
      </c>
      <c r="O161" s="42">
        <f>M161+N161</f>
        <v>0</v>
      </c>
      <c r="P161" s="42">
        <f>IFERROR(ROUND(SUM(S163,S165)/I161, 2),0)</f>
        <v>0</v>
      </c>
      <c r="Q161" s="42">
        <v>661</v>
      </c>
      <c r="R161" s="42">
        <f>P161+ROUND(Q161, 2)</f>
        <v>661</v>
      </c>
      <c r="S161" s="42">
        <f>ROUND(P161*I161, 2)</f>
        <v>0</v>
      </c>
      <c r="T161" s="42">
        <f>ROUND(I161*ROUND(Q161, 2), 2)</f>
        <v>0</v>
      </c>
      <c r="U161" s="42">
        <f>S161+T161</f>
        <v>0</v>
      </c>
      <c r="V161" s="9">
        <f>ROUND(P161 / 1.2, 2)</f>
        <v>0</v>
      </c>
      <c r="W161" s="9">
        <f>ROUND(Q161 / 1.2, 2)</f>
        <v>550.83000000000004</v>
      </c>
      <c r="X161" s="9">
        <f>ROUND(R161 / 1.2, 2)</f>
        <v>550.83000000000004</v>
      </c>
      <c r="Y161" s="9">
        <f>ROUND(S161 / 1.2, 2)</f>
        <v>0</v>
      </c>
      <c r="Z161" s="9">
        <f>ROUND(T161 / 1.2, 2)</f>
        <v>0</v>
      </c>
      <c r="AA161" s="9">
        <f>Y161+Z161</f>
        <v>0</v>
      </c>
      <c r="AD161" s="4">
        <v>298925289</v>
      </c>
      <c r="AE161" s="4">
        <v>16296636</v>
      </c>
      <c r="AG161" s="4" t="s">
        <v>553</v>
      </c>
      <c r="AH161" s="4" t="s">
        <v>554</v>
      </c>
      <c r="AI161" s="4" t="s">
        <v>67</v>
      </c>
    </row>
    <row r="162" spans="1:35" ht="36" x14ac:dyDescent="0.3">
      <c r="A162" s="43" t="s">
        <v>555</v>
      </c>
      <c r="B162" s="43" t="s">
        <v>551</v>
      </c>
      <c r="C162" s="44" t="s">
        <v>552</v>
      </c>
      <c r="D162" s="45"/>
      <c r="E162" s="45"/>
      <c r="F162" s="45" t="s">
        <v>64</v>
      </c>
      <c r="G162" s="46">
        <v>1</v>
      </c>
      <c r="H162" s="45"/>
      <c r="I162" s="46">
        <v>3759.2</v>
      </c>
      <c r="J162" s="47">
        <v>0</v>
      </c>
      <c r="K162" s="47">
        <v>661</v>
      </c>
      <c r="L162" s="47"/>
      <c r="M162" s="47">
        <v>0</v>
      </c>
      <c r="N162" s="47"/>
      <c r="O162" s="47"/>
      <c r="P162" s="47">
        <v>0</v>
      </c>
      <c r="Q162" s="47">
        <v>661</v>
      </c>
      <c r="R162" s="47"/>
      <c r="S162" s="47">
        <v>0</v>
      </c>
      <c r="T162" s="47"/>
      <c r="U162" s="47"/>
      <c r="V162" s="9"/>
      <c r="W162" s="9">
        <f>ROUND(Q162 / 1.2, 2)</f>
        <v>550.83000000000004</v>
      </c>
      <c r="X162" s="9">
        <f>ROUND(R162 / 1.2, 2)</f>
        <v>0</v>
      </c>
      <c r="Y162" s="9"/>
      <c r="Z162" s="9">
        <f>ROUND(T162 / 1.2, 2)</f>
        <v>0</v>
      </c>
      <c r="AA162" s="9"/>
      <c r="AD162" s="4">
        <v>225302444</v>
      </c>
      <c r="AE162" s="4">
        <v>16296636</v>
      </c>
      <c r="AG162" s="4" t="s">
        <v>553</v>
      </c>
      <c r="AH162" s="4" t="s">
        <v>554</v>
      </c>
      <c r="AI162" s="4"/>
    </row>
    <row r="163" spans="1:35" ht="90" x14ac:dyDescent="0.3">
      <c r="A163" s="37" t="s">
        <v>556</v>
      </c>
      <c r="B163" s="37"/>
      <c r="C163" s="48" t="s">
        <v>557</v>
      </c>
      <c r="D163" s="39"/>
      <c r="E163" s="39" t="s">
        <v>558</v>
      </c>
      <c r="F163" s="49" t="s">
        <v>116</v>
      </c>
      <c r="G163" s="50">
        <v>1</v>
      </c>
      <c r="H163" s="39"/>
      <c r="I163" s="51">
        <v>0</v>
      </c>
      <c r="J163" s="52">
        <v>0</v>
      </c>
      <c r="K163" s="53"/>
      <c r="L163" s="53"/>
      <c r="M163" s="52">
        <f>ROUND(ROUND(J163, 2)*I163, 2)</f>
        <v>0</v>
      </c>
      <c r="N163" s="53"/>
      <c r="O163" s="53"/>
      <c r="P163" s="52">
        <v>4456</v>
      </c>
      <c r="Q163" s="53"/>
      <c r="R163" s="53"/>
      <c r="S163" s="52">
        <f>ROUND(ROUND(P163, 2)*I163, 2)</f>
        <v>0</v>
      </c>
      <c r="T163" s="53"/>
      <c r="U163" s="54"/>
      <c r="V163" s="9">
        <f>ROUND(ROUND(P163, 2)/1.2, 2)</f>
        <v>3713.33</v>
      </c>
      <c r="Y163" s="9">
        <f t="shared" ref="Y163:Y208" si="26">ROUND(S163 / 1.2, 2)</f>
        <v>0</v>
      </c>
      <c r="AD163" s="4" t="s">
        <v>559</v>
      </c>
      <c r="AE163" s="4" t="s">
        <v>560</v>
      </c>
      <c r="AF163" s="4" t="s">
        <v>561</v>
      </c>
    </row>
    <row r="164" spans="1:35" ht="90" x14ac:dyDescent="0.3">
      <c r="A164" s="43" t="s">
        <v>562</v>
      </c>
      <c r="B164" s="43"/>
      <c r="C164" s="55" t="s">
        <v>557</v>
      </c>
      <c r="D164" s="45"/>
      <c r="E164" s="45" t="s">
        <v>558</v>
      </c>
      <c r="F164" s="56" t="s">
        <v>116</v>
      </c>
      <c r="G164" s="57">
        <v>1</v>
      </c>
      <c r="H164" s="45"/>
      <c r="I164" s="58">
        <v>438</v>
      </c>
      <c r="J164" s="59">
        <v>0</v>
      </c>
      <c r="K164" s="60"/>
      <c r="L164" s="60"/>
      <c r="M164" s="59">
        <f>ROUND(ROUND(J164, 2)*I164, 2)</f>
        <v>0</v>
      </c>
      <c r="N164" s="60"/>
      <c r="O164" s="60"/>
      <c r="P164" s="59">
        <v>4456</v>
      </c>
      <c r="Q164" s="60"/>
      <c r="R164" s="60"/>
      <c r="S164" s="59">
        <f>ROUND(ROUND(P164, 2)*I164, 2)</f>
        <v>1951728</v>
      </c>
      <c r="T164" s="60"/>
      <c r="U164" s="61"/>
      <c r="V164" s="9">
        <f>ROUND(ROUND(P164, 2)/1.2, 2)</f>
        <v>3713.33</v>
      </c>
      <c r="Y164" s="9">
        <f t="shared" si="26"/>
        <v>1626440</v>
      </c>
      <c r="AD164" s="4" t="s">
        <v>563</v>
      </c>
      <c r="AE164" s="4" t="s">
        <v>560</v>
      </c>
      <c r="AF164" s="4" t="s">
        <v>561</v>
      </c>
    </row>
    <row r="165" spans="1:35" ht="90" x14ac:dyDescent="0.3">
      <c r="A165" s="37" t="s">
        <v>564</v>
      </c>
      <c r="B165" s="37"/>
      <c r="C165" s="48" t="s">
        <v>565</v>
      </c>
      <c r="D165" s="39"/>
      <c r="E165" s="39" t="s">
        <v>566</v>
      </c>
      <c r="F165" s="49" t="s">
        <v>64</v>
      </c>
      <c r="G165" s="50">
        <v>1.03</v>
      </c>
      <c r="H165" s="39"/>
      <c r="I165" s="51">
        <v>0</v>
      </c>
      <c r="J165" s="52">
        <v>0</v>
      </c>
      <c r="K165" s="53"/>
      <c r="L165" s="53"/>
      <c r="M165" s="52">
        <f>ROUND(ROUND(J165, 2)*I165, 2)</f>
        <v>0</v>
      </c>
      <c r="N165" s="53"/>
      <c r="O165" s="53"/>
      <c r="P165" s="52">
        <v>1500</v>
      </c>
      <c r="Q165" s="53"/>
      <c r="R165" s="53"/>
      <c r="S165" s="52">
        <f>ROUND(ROUND(P165, 2)*I165, 2)</f>
        <v>0</v>
      </c>
      <c r="T165" s="53"/>
      <c r="U165" s="54"/>
      <c r="V165" s="9">
        <f>ROUND(ROUND(P165, 2)/1.2, 2)</f>
        <v>1250</v>
      </c>
      <c r="Y165" s="9">
        <f t="shared" si="26"/>
        <v>0</v>
      </c>
      <c r="AD165" s="4" t="s">
        <v>567</v>
      </c>
      <c r="AE165" s="4" t="s">
        <v>568</v>
      </c>
      <c r="AF165" s="4" t="s">
        <v>569</v>
      </c>
    </row>
    <row r="166" spans="1:35" ht="90" x14ac:dyDescent="0.3">
      <c r="A166" s="43" t="s">
        <v>570</v>
      </c>
      <c r="B166" s="43"/>
      <c r="C166" s="55" t="s">
        <v>565</v>
      </c>
      <c r="D166" s="45"/>
      <c r="E166" s="45" t="s">
        <v>566</v>
      </c>
      <c r="F166" s="56" t="s">
        <v>64</v>
      </c>
      <c r="G166" s="57">
        <v>1.03</v>
      </c>
      <c r="H166" s="45"/>
      <c r="I166" s="58">
        <v>3871.9760000000001</v>
      </c>
      <c r="J166" s="59">
        <v>0</v>
      </c>
      <c r="K166" s="60"/>
      <c r="L166" s="60"/>
      <c r="M166" s="59">
        <f>ROUND(ROUND(J166, 2)*I166, 2)</f>
        <v>0</v>
      </c>
      <c r="N166" s="60"/>
      <c r="O166" s="60"/>
      <c r="P166" s="59">
        <v>1500</v>
      </c>
      <c r="Q166" s="60"/>
      <c r="R166" s="60"/>
      <c r="S166" s="59">
        <f>ROUND(ROUND(P166, 2)*I166, 2)</f>
        <v>5807964</v>
      </c>
      <c r="T166" s="60"/>
      <c r="U166" s="61"/>
      <c r="V166" s="9">
        <f>ROUND(ROUND(P166, 2)/1.2, 2)</f>
        <v>1250</v>
      </c>
      <c r="Y166" s="9">
        <f t="shared" si="26"/>
        <v>4839970</v>
      </c>
      <c r="AD166" s="4" t="s">
        <v>571</v>
      </c>
      <c r="AE166" s="4" t="s">
        <v>568</v>
      </c>
      <c r="AF166" s="4" t="s">
        <v>569</v>
      </c>
    </row>
    <row r="167" spans="1:35" ht="36" x14ac:dyDescent="0.3">
      <c r="A167" s="25" t="s">
        <v>572</v>
      </c>
      <c r="B167" s="25" t="s">
        <v>551</v>
      </c>
      <c r="C167" s="26" t="s">
        <v>552</v>
      </c>
      <c r="D167" s="27"/>
      <c r="E167" s="27" t="s">
        <v>81</v>
      </c>
      <c r="F167" s="27" t="s">
        <v>64</v>
      </c>
      <c r="G167" s="28">
        <v>1</v>
      </c>
      <c r="H167" s="27"/>
      <c r="I167" s="28">
        <v>3457.16</v>
      </c>
      <c r="J167" s="29">
        <f>IFERROR(ROUND(SUM(M168,M169)/I167, 2),0)</f>
        <v>0</v>
      </c>
      <c r="K167" s="29">
        <v>661</v>
      </c>
      <c r="L167" s="29">
        <f>J167+ROUND(K167, 2)</f>
        <v>661</v>
      </c>
      <c r="M167" s="29">
        <f>ROUND(J167*I167, 2)</f>
        <v>0</v>
      </c>
      <c r="N167" s="29">
        <f>ROUND(I167*ROUND(K167, 2), 2)</f>
        <v>2285182.7599999998</v>
      </c>
      <c r="O167" s="29">
        <f>M167+N167</f>
        <v>2285182.7599999998</v>
      </c>
      <c r="P167" s="29">
        <f>IFERROR(ROUND(SUM(S168,S169)/I167, 2),0)</f>
        <v>2545</v>
      </c>
      <c r="Q167" s="29">
        <v>661</v>
      </c>
      <c r="R167" s="29">
        <f>P167+ROUND(Q167, 2)</f>
        <v>3206</v>
      </c>
      <c r="S167" s="29">
        <f>ROUND(P167*I167, 2)</f>
        <v>8798472.1999999993</v>
      </c>
      <c r="T167" s="29">
        <f>ROUND(I167*ROUND(Q167, 2), 2)</f>
        <v>2285182.7599999998</v>
      </c>
      <c r="U167" s="29">
        <f>S167+T167</f>
        <v>11083654.959999999</v>
      </c>
      <c r="V167" s="9">
        <f>ROUND(P167 / 1.2, 2)</f>
        <v>2120.83</v>
      </c>
      <c r="W167" s="9">
        <f>ROUND(Q167 / 1.2, 2)</f>
        <v>550.83000000000004</v>
      </c>
      <c r="X167" s="9">
        <f>ROUND(R167 / 1.2, 2)</f>
        <v>2671.67</v>
      </c>
      <c r="Y167" s="9">
        <f t="shared" si="26"/>
        <v>7332060.1699999999</v>
      </c>
      <c r="Z167" s="9">
        <f>ROUND(T167 / 1.2, 2)</f>
        <v>1904318.97</v>
      </c>
      <c r="AA167" s="9">
        <f>Y167+Z167</f>
        <v>9236379.1400000006</v>
      </c>
      <c r="AD167" s="4">
        <v>298925377</v>
      </c>
      <c r="AE167" s="4">
        <v>19813231</v>
      </c>
      <c r="AG167" s="4" t="s">
        <v>553</v>
      </c>
      <c r="AH167" s="4" t="s">
        <v>554</v>
      </c>
      <c r="AI167" s="4" t="s">
        <v>67</v>
      </c>
    </row>
    <row r="168" spans="1:35" ht="90" x14ac:dyDescent="0.3">
      <c r="A168" s="25" t="s">
        <v>573</v>
      </c>
      <c r="B168" s="25"/>
      <c r="C168" s="30" t="s">
        <v>565</v>
      </c>
      <c r="D168" s="27"/>
      <c r="E168" s="27" t="s">
        <v>574</v>
      </c>
      <c r="F168" s="31" t="s">
        <v>64</v>
      </c>
      <c r="G168" s="32">
        <v>1.03</v>
      </c>
      <c r="H168" s="27"/>
      <c r="I168" s="33">
        <v>3560.875</v>
      </c>
      <c r="J168" s="34">
        <v>0</v>
      </c>
      <c r="K168" s="35"/>
      <c r="L168" s="35"/>
      <c r="M168" s="34">
        <f>ROUND(ROUND(J168, 2)*I168, 2)</f>
        <v>0</v>
      </c>
      <c r="N168" s="35"/>
      <c r="O168" s="35"/>
      <c r="P168" s="34">
        <v>1950</v>
      </c>
      <c r="Q168" s="35"/>
      <c r="R168" s="35"/>
      <c r="S168" s="34">
        <f>ROUND(ROUND(P168, 2)*I168, 2)</f>
        <v>6943706.25</v>
      </c>
      <c r="T168" s="35"/>
      <c r="U168" s="36"/>
      <c r="V168" s="9">
        <f>ROUND(ROUND(P168, 2)/1.2, 2)</f>
        <v>1625</v>
      </c>
      <c r="Y168" s="9">
        <f t="shared" si="26"/>
        <v>5786421.8799999999</v>
      </c>
      <c r="AD168" s="4" t="s">
        <v>575</v>
      </c>
      <c r="AE168" s="4" t="s">
        <v>576</v>
      </c>
      <c r="AF168" s="4" t="s">
        <v>569</v>
      </c>
    </row>
    <row r="169" spans="1:35" ht="90" x14ac:dyDescent="0.3">
      <c r="A169" s="25" t="s">
        <v>577</v>
      </c>
      <c r="B169" s="25"/>
      <c r="C169" s="30" t="s">
        <v>557</v>
      </c>
      <c r="D169" s="27"/>
      <c r="E169" s="27" t="s">
        <v>558</v>
      </c>
      <c r="F169" s="31" t="s">
        <v>116</v>
      </c>
      <c r="G169" s="32">
        <v>1</v>
      </c>
      <c r="H169" s="27"/>
      <c r="I169" s="33">
        <v>408</v>
      </c>
      <c r="J169" s="34">
        <v>0</v>
      </c>
      <c r="K169" s="35"/>
      <c r="L169" s="35"/>
      <c r="M169" s="34">
        <f>ROUND(ROUND(J169, 2)*I169, 2)</f>
        <v>0</v>
      </c>
      <c r="N169" s="35"/>
      <c r="O169" s="35"/>
      <c r="P169" s="34">
        <v>4546</v>
      </c>
      <c r="Q169" s="35"/>
      <c r="R169" s="35"/>
      <c r="S169" s="34">
        <f>ROUND(ROUND(P169, 2)*I169, 2)</f>
        <v>1854768</v>
      </c>
      <c r="T169" s="35"/>
      <c r="U169" s="36"/>
      <c r="V169" s="9">
        <f>ROUND(ROUND(P169, 2)/1.2, 2)</f>
        <v>3788.33</v>
      </c>
      <c r="Y169" s="9">
        <f t="shared" si="26"/>
        <v>1545640</v>
      </c>
      <c r="AD169" s="4" t="s">
        <v>578</v>
      </c>
      <c r="AE169" s="4" t="s">
        <v>579</v>
      </c>
      <c r="AF169" s="4" t="s">
        <v>561</v>
      </c>
    </row>
    <row r="170" spans="1:35" ht="36" x14ac:dyDescent="0.3">
      <c r="A170" s="25" t="s">
        <v>580</v>
      </c>
      <c r="B170" s="25" t="s">
        <v>581</v>
      </c>
      <c r="C170" s="26" t="s">
        <v>582</v>
      </c>
      <c r="D170" s="27"/>
      <c r="E170" s="27" t="s">
        <v>583</v>
      </c>
      <c r="F170" s="27" t="s">
        <v>87</v>
      </c>
      <c r="G170" s="28">
        <v>1</v>
      </c>
      <c r="H170" s="27"/>
      <c r="I170" s="28">
        <v>1560.93</v>
      </c>
      <c r="J170" s="29">
        <f>IFERROR(ROUND(SUM(M171)/I170, 2),0)</f>
        <v>379.23</v>
      </c>
      <c r="K170" s="29">
        <v>210</v>
      </c>
      <c r="L170" s="29">
        <f>J170+ROUND(K170, 2)</f>
        <v>589.23</v>
      </c>
      <c r="M170" s="29">
        <f>ROUND(J170*I170, 2)</f>
        <v>591951.48</v>
      </c>
      <c r="N170" s="29">
        <f>ROUND(I170*ROUND(K170, 2), 2)</f>
        <v>327795.3</v>
      </c>
      <c r="O170" s="29">
        <f>M170+N170</f>
        <v>919746.78</v>
      </c>
      <c r="P170" s="29">
        <f>IFERROR(ROUND(SUM(S171)/I170, 2),0)</f>
        <v>379.23</v>
      </c>
      <c r="Q170" s="29">
        <v>210</v>
      </c>
      <c r="R170" s="29">
        <f>P170+ROUND(Q170, 2)</f>
        <v>589.23</v>
      </c>
      <c r="S170" s="29">
        <f>ROUND(P170*I170, 2)</f>
        <v>591951.48</v>
      </c>
      <c r="T170" s="29">
        <f>ROUND(I170*ROUND(Q170, 2), 2)</f>
        <v>327795.3</v>
      </c>
      <c r="U170" s="29">
        <f>S170+T170</f>
        <v>919746.78</v>
      </c>
      <c r="V170" s="9">
        <f>ROUND(P170 / 1.2, 2)</f>
        <v>316.02999999999997</v>
      </c>
      <c r="W170" s="9">
        <f>ROUND(Q170 / 1.2, 2)</f>
        <v>175</v>
      </c>
      <c r="X170" s="9">
        <f>ROUND(R170 / 1.2, 2)</f>
        <v>491.03</v>
      </c>
      <c r="Y170" s="9">
        <f t="shared" si="26"/>
        <v>493292.9</v>
      </c>
      <c r="Z170" s="9">
        <f>ROUND(T170 / 1.2, 2)</f>
        <v>273162.75</v>
      </c>
      <c r="AA170" s="9">
        <f>Y170+Z170</f>
        <v>766455.65</v>
      </c>
      <c r="AD170" s="4">
        <v>298925291</v>
      </c>
      <c r="AE170" s="4">
        <v>19813576</v>
      </c>
      <c r="AG170" s="4" t="s">
        <v>584</v>
      </c>
      <c r="AH170" s="4" t="s">
        <v>585</v>
      </c>
      <c r="AI170" s="4" t="s">
        <v>67</v>
      </c>
    </row>
    <row r="171" spans="1:35" ht="72" x14ac:dyDescent="0.3">
      <c r="A171" s="25" t="s">
        <v>586</v>
      </c>
      <c r="B171" s="25"/>
      <c r="C171" s="30" t="s">
        <v>587</v>
      </c>
      <c r="D171" s="27"/>
      <c r="E171" s="27"/>
      <c r="F171" s="31" t="s">
        <v>87</v>
      </c>
      <c r="G171" s="32">
        <v>1.1000000000000001</v>
      </c>
      <c r="H171" s="27"/>
      <c r="I171" s="33">
        <v>1717.0229999999999</v>
      </c>
      <c r="J171" s="34">
        <v>344.75</v>
      </c>
      <c r="K171" s="35"/>
      <c r="L171" s="35"/>
      <c r="M171" s="34">
        <f>ROUND(ROUND(J171, 2)*I171, 2)</f>
        <v>591943.68000000005</v>
      </c>
      <c r="N171" s="35"/>
      <c r="O171" s="35"/>
      <c r="P171" s="34">
        <v>344.75</v>
      </c>
      <c r="Q171" s="35"/>
      <c r="R171" s="35"/>
      <c r="S171" s="34">
        <f>ROUND(ROUND(P171, 2)*I171, 2)</f>
        <v>591943.68000000005</v>
      </c>
      <c r="T171" s="35"/>
      <c r="U171" s="36"/>
      <c r="V171" s="9">
        <f>ROUND(ROUND(P171, 2)/1.2, 2)</f>
        <v>287.29000000000002</v>
      </c>
      <c r="Y171" s="9">
        <f t="shared" si="26"/>
        <v>493286.40000000002</v>
      </c>
      <c r="AD171" s="4" t="s">
        <v>588</v>
      </c>
      <c r="AE171" s="4" t="s">
        <v>589</v>
      </c>
      <c r="AF171" s="4" t="s">
        <v>590</v>
      </c>
    </row>
    <row r="172" spans="1:35" ht="36" x14ac:dyDescent="0.3">
      <c r="A172" s="25" t="s">
        <v>591</v>
      </c>
      <c r="B172" s="25" t="s">
        <v>581</v>
      </c>
      <c r="C172" s="26" t="s">
        <v>582</v>
      </c>
      <c r="D172" s="27"/>
      <c r="E172" s="27" t="s">
        <v>533</v>
      </c>
      <c r="F172" s="27" t="s">
        <v>87</v>
      </c>
      <c r="G172" s="28">
        <v>1</v>
      </c>
      <c r="H172" s="27"/>
      <c r="I172" s="28">
        <v>1769.72</v>
      </c>
      <c r="J172" s="29">
        <f>IFERROR(ROUND(SUM(M173)/I172, 2),0)</f>
        <v>379.23</v>
      </c>
      <c r="K172" s="29">
        <v>210</v>
      </c>
      <c r="L172" s="29">
        <f>J172+ROUND(K172, 2)</f>
        <v>589.23</v>
      </c>
      <c r="M172" s="29">
        <f>ROUND(J172*I172, 2)</f>
        <v>671130.92</v>
      </c>
      <c r="N172" s="29">
        <f>ROUND(I172*ROUND(K172, 2), 2)</f>
        <v>371641.2</v>
      </c>
      <c r="O172" s="29">
        <f>M172+N172</f>
        <v>1042772.1200000001</v>
      </c>
      <c r="P172" s="29">
        <f>IFERROR(ROUND(SUM(S173)/I172, 2),0)</f>
        <v>379.23</v>
      </c>
      <c r="Q172" s="29">
        <v>210</v>
      </c>
      <c r="R172" s="29">
        <f>P172+ROUND(Q172, 2)</f>
        <v>589.23</v>
      </c>
      <c r="S172" s="29">
        <f>ROUND(P172*I172, 2)</f>
        <v>671130.92</v>
      </c>
      <c r="T172" s="29">
        <f>ROUND(I172*ROUND(Q172, 2), 2)</f>
        <v>371641.2</v>
      </c>
      <c r="U172" s="29">
        <f>S172+T172</f>
        <v>1042772.1200000001</v>
      </c>
      <c r="V172" s="9">
        <f>ROUND(P172 / 1.2, 2)</f>
        <v>316.02999999999997</v>
      </c>
      <c r="W172" s="9">
        <f>ROUND(Q172 / 1.2, 2)</f>
        <v>175</v>
      </c>
      <c r="X172" s="9">
        <f>ROUND(R172 / 1.2, 2)</f>
        <v>491.03</v>
      </c>
      <c r="Y172" s="9">
        <f t="shared" si="26"/>
        <v>559275.77</v>
      </c>
      <c r="Z172" s="9">
        <f>ROUND(T172 / 1.2, 2)</f>
        <v>309701</v>
      </c>
      <c r="AA172" s="9">
        <f>Y172+Z172</f>
        <v>868976.77</v>
      </c>
      <c r="AD172" s="4">
        <v>298925378</v>
      </c>
      <c r="AE172" s="4">
        <v>19971569</v>
      </c>
      <c r="AG172" s="4" t="s">
        <v>584</v>
      </c>
      <c r="AH172" s="4" t="s">
        <v>585</v>
      </c>
      <c r="AI172" s="4" t="s">
        <v>67</v>
      </c>
    </row>
    <row r="173" spans="1:35" ht="72" x14ac:dyDescent="0.3">
      <c r="A173" s="25" t="s">
        <v>592</v>
      </c>
      <c r="B173" s="25"/>
      <c r="C173" s="30" t="s">
        <v>587</v>
      </c>
      <c r="D173" s="27"/>
      <c r="E173" s="27"/>
      <c r="F173" s="31" t="s">
        <v>87</v>
      </c>
      <c r="G173" s="32">
        <v>1.1000000000000001</v>
      </c>
      <c r="H173" s="27"/>
      <c r="I173" s="33">
        <v>1946.692</v>
      </c>
      <c r="J173" s="34">
        <v>344.75</v>
      </c>
      <c r="K173" s="35"/>
      <c r="L173" s="35"/>
      <c r="M173" s="34">
        <f>ROUND(ROUND(J173, 2)*I173, 2)</f>
        <v>671122.07</v>
      </c>
      <c r="N173" s="35"/>
      <c r="O173" s="35"/>
      <c r="P173" s="34">
        <v>344.75</v>
      </c>
      <c r="Q173" s="35"/>
      <c r="R173" s="35"/>
      <c r="S173" s="34">
        <f>ROUND(ROUND(P173, 2)*I173, 2)</f>
        <v>671122.07</v>
      </c>
      <c r="T173" s="35"/>
      <c r="U173" s="36"/>
      <c r="V173" s="9">
        <f>ROUND(ROUND(P173, 2)/1.2, 2)</f>
        <v>287.29000000000002</v>
      </c>
      <c r="Y173" s="9">
        <f t="shared" si="26"/>
        <v>559268.39</v>
      </c>
      <c r="AD173" s="4" t="s">
        <v>593</v>
      </c>
      <c r="AE173" s="4" t="s">
        <v>594</v>
      </c>
      <c r="AF173" s="4" t="s">
        <v>590</v>
      </c>
    </row>
    <row r="174" spans="1:35" ht="36" x14ac:dyDescent="0.3">
      <c r="A174" s="25" t="s">
        <v>595</v>
      </c>
      <c r="B174" s="25" t="s">
        <v>596</v>
      </c>
      <c r="C174" s="26" t="s">
        <v>597</v>
      </c>
      <c r="D174" s="27"/>
      <c r="E174" s="27" t="s">
        <v>81</v>
      </c>
      <c r="F174" s="27" t="s">
        <v>87</v>
      </c>
      <c r="G174" s="28">
        <v>1</v>
      </c>
      <c r="H174" s="27"/>
      <c r="I174" s="28">
        <v>137.82</v>
      </c>
      <c r="J174" s="29">
        <f>IFERROR(ROUND(SUM(M175,M176,M177,M178)/I174, 2),0)</f>
        <v>375.15</v>
      </c>
      <c r="K174" s="29">
        <v>473</v>
      </c>
      <c r="L174" s="29">
        <f>J174+ROUND(K174, 2)</f>
        <v>848.15</v>
      </c>
      <c r="M174" s="29">
        <f>ROUND(J174*I174, 2)</f>
        <v>51703.17</v>
      </c>
      <c r="N174" s="29">
        <f>ROUND(I174*ROUND(K174, 2), 2)</f>
        <v>65188.86</v>
      </c>
      <c r="O174" s="29">
        <f>M174+N174</f>
        <v>116892.03</v>
      </c>
      <c r="P174" s="29">
        <f>IFERROR(ROUND(SUM(S175,S176,S177,S178)/I174, 2),0)</f>
        <v>375.15</v>
      </c>
      <c r="Q174" s="29">
        <v>473</v>
      </c>
      <c r="R174" s="29">
        <f>P174+ROUND(Q174, 2)</f>
        <v>848.15</v>
      </c>
      <c r="S174" s="29">
        <f>ROUND(P174*I174, 2)</f>
        <v>51703.17</v>
      </c>
      <c r="T174" s="29">
        <f>ROUND(I174*ROUND(Q174, 2), 2)</f>
        <v>65188.86</v>
      </c>
      <c r="U174" s="29">
        <f>S174+T174</f>
        <v>116892.03</v>
      </c>
      <c r="V174" s="9">
        <f>ROUND(P174 / 1.2, 2)</f>
        <v>312.63</v>
      </c>
      <c r="W174" s="9">
        <f>ROUND(Q174 / 1.2, 2)</f>
        <v>394.17</v>
      </c>
      <c r="X174" s="9">
        <f>ROUND(R174 / 1.2, 2)</f>
        <v>706.79</v>
      </c>
      <c r="Y174" s="9">
        <f t="shared" si="26"/>
        <v>43085.98</v>
      </c>
      <c r="Z174" s="9">
        <f>ROUND(T174 / 1.2, 2)</f>
        <v>54324.05</v>
      </c>
      <c r="AA174" s="9">
        <f>Y174+Z174</f>
        <v>97410.03</v>
      </c>
      <c r="AD174" s="4">
        <v>298925293</v>
      </c>
      <c r="AE174" s="4">
        <v>19813577</v>
      </c>
      <c r="AG174" s="4" t="s">
        <v>598</v>
      </c>
      <c r="AH174" s="4" t="s">
        <v>599</v>
      </c>
      <c r="AI174" s="4" t="s">
        <v>67</v>
      </c>
    </row>
    <row r="175" spans="1:35" ht="54" x14ac:dyDescent="0.3">
      <c r="A175" s="25" t="s">
        <v>600</v>
      </c>
      <c r="B175" s="25"/>
      <c r="C175" s="17" t="s">
        <v>601</v>
      </c>
      <c r="D175" s="27"/>
      <c r="E175" s="27" t="s">
        <v>402</v>
      </c>
      <c r="F175" s="31" t="s">
        <v>70</v>
      </c>
      <c r="G175" s="32">
        <v>0.7</v>
      </c>
      <c r="H175" s="27"/>
      <c r="I175" s="33">
        <v>96.474000000000004</v>
      </c>
      <c r="J175" s="34">
        <v>16.11</v>
      </c>
      <c r="K175" s="35"/>
      <c r="L175" s="35"/>
      <c r="M175" s="34">
        <f>ROUND(ROUND(J175, 2)*I175, 2)</f>
        <v>1554.2</v>
      </c>
      <c r="N175" s="35"/>
      <c r="O175" s="35"/>
      <c r="P175" s="34">
        <v>16.11</v>
      </c>
      <c r="Q175" s="35"/>
      <c r="R175" s="35"/>
      <c r="S175" s="34">
        <f>ROUND(ROUND(P175, 2)*I175, 2)</f>
        <v>1554.2</v>
      </c>
      <c r="T175" s="35"/>
      <c r="U175" s="36"/>
      <c r="V175" s="9">
        <f>ROUND(ROUND(P175, 2)/1.2, 2)</f>
        <v>13.43</v>
      </c>
      <c r="Y175" s="9">
        <f t="shared" si="26"/>
        <v>1295.17</v>
      </c>
      <c r="AD175" s="4" t="s">
        <v>602</v>
      </c>
      <c r="AE175" s="4" t="s">
        <v>603</v>
      </c>
      <c r="AF175" s="4" t="s">
        <v>604</v>
      </c>
    </row>
    <row r="176" spans="1:35" ht="72" x14ac:dyDescent="0.3">
      <c r="A176" s="25" t="s">
        <v>605</v>
      </c>
      <c r="B176" s="25"/>
      <c r="C176" s="30" t="s">
        <v>606</v>
      </c>
      <c r="D176" s="27"/>
      <c r="E176" s="27" t="s">
        <v>607</v>
      </c>
      <c r="F176" s="31" t="s">
        <v>116</v>
      </c>
      <c r="G176" s="32">
        <v>1.84</v>
      </c>
      <c r="H176" s="27"/>
      <c r="I176" s="33">
        <v>253.589</v>
      </c>
      <c r="J176" s="34">
        <v>196</v>
      </c>
      <c r="K176" s="35"/>
      <c r="L176" s="35"/>
      <c r="M176" s="34">
        <f>ROUND(ROUND(J176, 2)*I176, 2)</f>
        <v>49703.44</v>
      </c>
      <c r="N176" s="35"/>
      <c r="O176" s="35"/>
      <c r="P176" s="34">
        <v>196</v>
      </c>
      <c r="Q176" s="35"/>
      <c r="R176" s="35"/>
      <c r="S176" s="34">
        <f>ROUND(ROUND(P176, 2)*I176, 2)</f>
        <v>49703.44</v>
      </c>
      <c r="T176" s="35"/>
      <c r="U176" s="36"/>
      <c r="V176" s="9">
        <f>ROUND(ROUND(P176, 2)/1.2, 2)</f>
        <v>163.33000000000001</v>
      </c>
      <c r="Y176" s="9">
        <f t="shared" si="26"/>
        <v>41419.53</v>
      </c>
      <c r="AD176" s="4" t="s">
        <v>608</v>
      </c>
      <c r="AE176" s="4" t="s">
        <v>609</v>
      </c>
      <c r="AF176" s="4" t="s">
        <v>610</v>
      </c>
    </row>
    <row r="177" spans="1:35" ht="54" x14ac:dyDescent="0.3">
      <c r="A177" s="25" t="s">
        <v>611</v>
      </c>
      <c r="B177" s="25"/>
      <c r="C177" s="30" t="s">
        <v>612</v>
      </c>
      <c r="D177" s="27"/>
      <c r="E177" s="27" t="s">
        <v>613</v>
      </c>
      <c r="F177" s="31" t="s">
        <v>70</v>
      </c>
      <c r="G177" s="32">
        <v>0.04</v>
      </c>
      <c r="H177" s="27"/>
      <c r="I177" s="32">
        <v>5.5129999999999999</v>
      </c>
      <c r="J177" s="34">
        <v>47.44</v>
      </c>
      <c r="K177" s="35"/>
      <c r="L177" s="35"/>
      <c r="M177" s="34">
        <f>ROUND(ROUND(J177, 2)*I177, 2)</f>
        <v>261.54000000000002</v>
      </c>
      <c r="N177" s="35"/>
      <c r="O177" s="35"/>
      <c r="P177" s="34">
        <v>47.44</v>
      </c>
      <c r="Q177" s="35"/>
      <c r="R177" s="35"/>
      <c r="S177" s="34">
        <f>ROUND(ROUND(P177, 2)*I177, 2)</f>
        <v>261.54000000000002</v>
      </c>
      <c r="T177" s="35"/>
      <c r="U177" s="36"/>
      <c r="V177" s="9">
        <f>ROUND(ROUND(P177, 2)/1.2, 2)</f>
        <v>39.53</v>
      </c>
      <c r="Y177" s="9">
        <f t="shared" si="26"/>
        <v>217.95</v>
      </c>
      <c r="AD177" s="4" t="s">
        <v>614</v>
      </c>
      <c r="AE177" s="4" t="s">
        <v>615</v>
      </c>
      <c r="AF177" s="4" t="s">
        <v>616</v>
      </c>
    </row>
    <row r="178" spans="1:35" ht="36" x14ac:dyDescent="0.3">
      <c r="A178" s="25" t="s">
        <v>617</v>
      </c>
      <c r="B178" s="25"/>
      <c r="C178" s="30" t="s">
        <v>433</v>
      </c>
      <c r="D178" s="27"/>
      <c r="E178" s="27"/>
      <c r="F178" s="31" t="s">
        <v>70</v>
      </c>
      <c r="G178" s="32">
        <v>1.4999999999999999E-2</v>
      </c>
      <c r="H178" s="27"/>
      <c r="I178" s="32">
        <v>2.0670000000000002</v>
      </c>
      <c r="J178" s="34">
        <v>88.8</v>
      </c>
      <c r="K178" s="35"/>
      <c r="L178" s="35"/>
      <c r="M178" s="34">
        <f>ROUND(ROUND(J178, 2)*I178, 2)</f>
        <v>183.55</v>
      </c>
      <c r="N178" s="35"/>
      <c r="O178" s="35"/>
      <c r="P178" s="34">
        <v>88.8</v>
      </c>
      <c r="Q178" s="35"/>
      <c r="R178" s="35"/>
      <c r="S178" s="34">
        <f>ROUND(ROUND(P178, 2)*I178, 2)</f>
        <v>183.55</v>
      </c>
      <c r="T178" s="35"/>
      <c r="U178" s="36"/>
      <c r="V178" s="9">
        <f>ROUND(ROUND(P178, 2)/1.2, 2)</f>
        <v>74</v>
      </c>
      <c r="Y178" s="9">
        <f t="shared" si="26"/>
        <v>152.96</v>
      </c>
      <c r="AD178" s="4" t="s">
        <v>618</v>
      </c>
      <c r="AE178" s="4" t="s">
        <v>619</v>
      </c>
      <c r="AF178" s="4" t="s">
        <v>436</v>
      </c>
    </row>
    <row r="179" spans="1:35" ht="36" x14ac:dyDescent="0.3">
      <c r="A179" s="25" t="s">
        <v>620</v>
      </c>
      <c r="B179" s="25" t="s">
        <v>596</v>
      </c>
      <c r="C179" s="26" t="s">
        <v>597</v>
      </c>
      <c r="D179" s="27"/>
      <c r="E179" s="27" t="s">
        <v>81</v>
      </c>
      <c r="F179" s="27" t="s">
        <v>87</v>
      </c>
      <c r="G179" s="28">
        <v>1</v>
      </c>
      <c r="H179" s="27"/>
      <c r="I179" s="28">
        <v>23.84</v>
      </c>
      <c r="J179" s="29">
        <f>IFERROR(ROUND(SUM(M180,M181,M182,M183)/I179, 2),0)</f>
        <v>63.72</v>
      </c>
      <c r="K179" s="29">
        <v>473</v>
      </c>
      <c r="L179" s="29">
        <f>J179+ROUND(K179, 2)</f>
        <v>536.72</v>
      </c>
      <c r="M179" s="29">
        <f>ROUND(J179*I179, 2)</f>
        <v>1519.08</v>
      </c>
      <c r="N179" s="29">
        <f>ROUND(I179*ROUND(K179, 2), 2)</f>
        <v>11276.32</v>
      </c>
      <c r="O179" s="29">
        <f>M179+N179</f>
        <v>12795.4</v>
      </c>
      <c r="P179" s="29">
        <f>IFERROR(ROUND(SUM(S180,S181,S182,S183)/I179, 2),0)</f>
        <v>63.72</v>
      </c>
      <c r="Q179" s="29">
        <v>473</v>
      </c>
      <c r="R179" s="29">
        <f>P179+ROUND(Q179, 2)</f>
        <v>536.72</v>
      </c>
      <c r="S179" s="29">
        <f>ROUND(P179*I179, 2)</f>
        <v>1519.08</v>
      </c>
      <c r="T179" s="29">
        <f>ROUND(I179*ROUND(Q179, 2), 2)</f>
        <v>11276.32</v>
      </c>
      <c r="U179" s="29">
        <f>S179+T179</f>
        <v>12795.4</v>
      </c>
      <c r="V179" s="9">
        <f>ROUND(P179 / 1.2, 2)</f>
        <v>53.1</v>
      </c>
      <c r="W179" s="9">
        <f>ROUND(Q179 / 1.2, 2)</f>
        <v>394.17</v>
      </c>
      <c r="X179" s="9">
        <f>ROUND(R179 / 1.2, 2)</f>
        <v>447.27</v>
      </c>
      <c r="Y179" s="9">
        <f t="shared" si="26"/>
        <v>1265.9000000000001</v>
      </c>
      <c r="Z179" s="9">
        <f>ROUND(T179 / 1.2, 2)</f>
        <v>9396.93</v>
      </c>
      <c r="AA179" s="9">
        <f>Y179+Z179</f>
        <v>10662.83</v>
      </c>
      <c r="AD179" s="4">
        <v>298925379</v>
      </c>
      <c r="AE179" s="4">
        <v>19820657</v>
      </c>
      <c r="AG179" s="4" t="s">
        <v>598</v>
      </c>
      <c r="AH179" s="4" t="s">
        <v>599</v>
      </c>
      <c r="AI179" s="4" t="s">
        <v>67</v>
      </c>
    </row>
    <row r="180" spans="1:35" ht="36" x14ac:dyDescent="0.3">
      <c r="A180" s="25" t="s">
        <v>621</v>
      </c>
      <c r="B180" s="25"/>
      <c r="C180" s="30" t="s">
        <v>433</v>
      </c>
      <c r="D180" s="27"/>
      <c r="E180" s="27"/>
      <c r="F180" s="31" t="s">
        <v>70</v>
      </c>
      <c r="G180" s="32">
        <v>1.4999999999999999E-2</v>
      </c>
      <c r="H180" s="27"/>
      <c r="I180" s="32">
        <v>0.35799999999999998</v>
      </c>
      <c r="J180" s="34">
        <v>88.8</v>
      </c>
      <c r="K180" s="35"/>
      <c r="L180" s="35"/>
      <c r="M180" s="34">
        <f>ROUND(ROUND(J180, 2)*I180, 2)</f>
        <v>31.79</v>
      </c>
      <c r="N180" s="35"/>
      <c r="O180" s="35"/>
      <c r="P180" s="34">
        <v>88.8</v>
      </c>
      <c r="Q180" s="35"/>
      <c r="R180" s="35"/>
      <c r="S180" s="34">
        <f>ROUND(ROUND(P180, 2)*I180, 2)</f>
        <v>31.79</v>
      </c>
      <c r="T180" s="35"/>
      <c r="U180" s="36"/>
      <c r="V180" s="9">
        <f>ROUND(ROUND(P180, 2)/1.2, 2)</f>
        <v>74</v>
      </c>
      <c r="Y180" s="9">
        <f t="shared" si="26"/>
        <v>26.49</v>
      </c>
      <c r="AD180" s="4" t="s">
        <v>622</v>
      </c>
      <c r="AE180" s="4" t="s">
        <v>623</v>
      </c>
      <c r="AF180" s="4" t="s">
        <v>436</v>
      </c>
    </row>
    <row r="181" spans="1:35" ht="18" x14ac:dyDescent="0.3">
      <c r="A181" s="25" t="s">
        <v>624</v>
      </c>
      <c r="B181" s="25"/>
      <c r="C181" s="30" t="s">
        <v>612</v>
      </c>
      <c r="D181" s="27"/>
      <c r="E181" s="27"/>
      <c r="F181" s="31" t="s">
        <v>70</v>
      </c>
      <c r="G181" s="32">
        <v>0.04</v>
      </c>
      <c r="H181" s="27"/>
      <c r="I181" s="32">
        <v>0.95399999999999996</v>
      </c>
      <c r="J181" s="34">
        <v>47.44</v>
      </c>
      <c r="K181" s="35"/>
      <c r="L181" s="35"/>
      <c r="M181" s="34">
        <f>ROUND(ROUND(J181, 2)*I181, 2)</f>
        <v>45.26</v>
      </c>
      <c r="N181" s="35"/>
      <c r="O181" s="35"/>
      <c r="P181" s="34">
        <v>47.44</v>
      </c>
      <c r="Q181" s="35"/>
      <c r="R181" s="35"/>
      <c r="S181" s="34">
        <f>ROUND(ROUND(P181, 2)*I181, 2)</f>
        <v>45.26</v>
      </c>
      <c r="T181" s="35"/>
      <c r="U181" s="36"/>
      <c r="V181" s="9">
        <f>ROUND(ROUND(P181, 2)/1.2, 2)</f>
        <v>39.53</v>
      </c>
      <c r="Y181" s="9">
        <f t="shared" si="26"/>
        <v>37.72</v>
      </c>
      <c r="AD181" s="4" t="s">
        <v>625</v>
      </c>
      <c r="AE181" s="4" t="s">
        <v>626</v>
      </c>
      <c r="AF181" s="4" t="s">
        <v>616</v>
      </c>
    </row>
    <row r="182" spans="1:35" ht="90" x14ac:dyDescent="0.3">
      <c r="A182" s="25" t="s">
        <v>627</v>
      </c>
      <c r="B182" s="25"/>
      <c r="C182" s="17" t="s">
        <v>628</v>
      </c>
      <c r="D182" s="27"/>
      <c r="E182" s="27" t="s">
        <v>629</v>
      </c>
      <c r="F182" s="31" t="s">
        <v>64</v>
      </c>
      <c r="G182" s="32">
        <v>0.11</v>
      </c>
      <c r="H182" s="27"/>
      <c r="I182" s="32">
        <v>2.6219999999999999</v>
      </c>
      <c r="J182" s="34">
        <v>447.41</v>
      </c>
      <c r="K182" s="35"/>
      <c r="L182" s="35"/>
      <c r="M182" s="34">
        <f>ROUND(ROUND(J182, 2)*I182, 2)</f>
        <v>1173.1099999999999</v>
      </c>
      <c r="N182" s="35"/>
      <c r="O182" s="35"/>
      <c r="P182" s="34">
        <v>447.41</v>
      </c>
      <c r="Q182" s="35"/>
      <c r="R182" s="35"/>
      <c r="S182" s="34">
        <f>ROUND(ROUND(P182, 2)*I182, 2)</f>
        <v>1173.1099999999999</v>
      </c>
      <c r="T182" s="35"/>
      <c r="U182" s="36"/>
      <c r="V182" s="9">
        <f>ROUND(ROUND(P182, 2)/1.2, 2)</f>
        <v>372.84</v>
      </c>
      <c r="Y182" s="9">
        <f t="shared" si="26"/>
        <v>977.59</v>
      </c>
      <c r="AD182" s="4" t="s">
        <v>630</v>
      </c>
      <c r="AE182" s="4" t="s">
        <v>631</v>
      </c>
      <c r="AF182" s="4" t="s">
        <v>632</v>
      </c>
    </row>
    <row r="183" spans="1:35" ht="54" x14ac:dyDescent="0.3">
      <c r="A183" s="25" t="s">
        <v>633</v>
      </c>
      <c r="B183" s="25"/>
      <c r="C183" s="17" t="s">
        <v>601</v>
      </c>
      <c r="D183" s="27"/>
      <c r="E183" s="27" t="s">
        <v>402</v>
      </c>
      <c r="F183" s="31" t="s">
        <v>70</v>
      </c>
      <c r="G183" s="32">
        <v>0.7</v>
      </c>
      <c r="H183" s="27"/>
      <c r="I183" s="33">
        <v>16.687999999999999</v>
      </c>
      <c r="J183" s="34">
        <v>16.11</v>
      </c>
      <c r="K183" s="35"/>
      <c r="L183" s="35"/>
      <c r="M183" s="34">
        <f>ROUND(ROUND(J183, 2)*I183, 2)</f>
        <v>268.83999999999997</v>
      </c>
      <c r="N183" s="35"/>
      <c r="O183" s="35"/>
      <c r="P183" s="34">
        <v>16.11</v>
      </c>
      <c r="Q183" s="35"/>
      <c r="R183" s="35"/>
      <c r="S183" s="34">
        <f>ROUND(ROUND(P183, 2)*I183, 2)</f>
        <v>268.83999999999997</v>
      </c>
      <c r="T183" s="35"/>
      <c r="U183" s="36"/>
      <c r="V183" s="9">
        <f>ROUND(ROUND(P183, 2)/1.2, 2)</f>
        <v>13.43</v>
      </c>
      <c r="Y183" s="9">
        <f t="shared" si="26"/>
        <v>224.03</v>
      </c>
      <c r="AD183" s="4" t="s">
        <v>634</v>
      </c>
      <c r="AE183" s="4" t="s">
        <v>635</v>
      </c>
      <c r="AF183" s="4" t="s">
        <v>604</v>
      </c>
    </row>
    <row r="184" spans="1:35" ht="36" x14ac:dyDescent="0.3">
      <c r="A184" s="25" t="s">
        <v>636</v>
      </c>
      <c r="B184" s="25" t="s">
        <v>596</v>
      </c>
      <c r="C184" s="26" t="s">
        <v>597</v>
      </c>
      <c r="D184" s="27"/>
      <c r="E184" s="27" t="s">
        <v>507</v>
      </c>
      <c r="F184" s="27" t="s">
        <v>87</v>
      </c>
      <c r="G184" s="28">
        <v>1</v>
      </c>
      <c r="H184" s="27"/>
      <c r="I184" s="28">
        <v>216.92</v>
      </c>
      <c r="J184" s="29">
        <f>IFERROR(ROUND(SUM(M185,M186,M187,M188)/I184, 2),0)</f>
        <v>375.15</v>
      </c>
      <c r="K184" s="29">
        <v>473</v>
      </c>
      <c r="L184" s="29">
        <f>J184+ROUND(K184, 2)</f>
        <v>848.15</v>
      </c>
      <c r="M184" s="29">
        <f>ROUND(J184*I184, 2)</f>
        <v>81377.539999999994</v>
      </c>
      <c r="N184" s="29">
        <f>ROUND(I184*ROUND(K184, 2), 2)</f>
        <v>102603.16</v>
      </c>
      <c r="O184" s="29">
        <f>M184+N184</f>
        <v>183980.7</v>
      </c>
      <c r="P184" s="29">
        <f>IFERROR(ROUND(SUM(S185,S186,S187,S188)/I184, 2),0)</f>
        <v>375.15</v>
      </c>
      <c r="Q184" s="29">
        <v>473</v>
      </c>
      <c r="R184" s="29">
        <f>P184+ROUND(Q184, 2)</f>
        <v>848.15</v>
      </c>
      <c r="S184" s="29">
        <f>ROUND(P184*I184, 2)</f>
        <v>81377.539999999994</v>
      </c>
      <c r="T184" s="29">
        <f>ROUND(I184*ROUND(Q184, 2), 2)</f>
        <v>102603.16</v>
      </c>
      <c r="U184" s="29">
        <f>S184+T184</f>
        <v>183980.7</v>
      </c>
      <c r="V184" s="9">
        <f>ROUND(P184 / 1.2, 2)</f>
        <v>312.63</v>
      </c>
      <c r="W184" s="9">
        <f>ROUND(Q184 / 1.2, 2)</f>
        <v>394.17</v>
      </c>
      <c r="X184" s="9">
        <f>ROUND(R184 / 1.2, 2)</f>
        <v>706.79</v>
      </c>
      <c r="Y184" s="9">
        <f t="shared" si="26"/>
        <v>67814.62</v>
      </c>
      <c r="Z184" s="9">
        <f>ROUND(T184 / 1.2, 2)</f>
        <v>85502.63</v>
      </c>
      <c r="AA184" s="9">
        <f>Y184+Z184</f>
        <v>153317.25</v>
      </c>
      <c r="AD184" s="4">
        <v>298925380</v>
      </c>
      <c r="AE184" s="4">
        <v>19972701</v>
      </c>
      <c r="AG184" s="4" t="s">
        <v>598</v>
      </c>
      <c r="AH184" s="4" t="s">
        <v>599</v>
      </c>
      <c r="AI184" s="4" t="s">
        <v>67</v>
      </c>
    </row>
    <row r="185" spans="1:35" ht="72" x14ac:dyDescent="0.3">
      <c r="A185" s="25" t="s">
        <v>637</v>
      </c>
      <c r="B185" s="25"/>
      <c r="C185" s="17" t="s">
        <v>601</v>
      </c>
      <c r="D185" s="27"/>
      <c r="E185" s="27" t="s">
        <v>638</v>
      </c>
      <c r="F185" s="31" t="s">
        <v>70</v>
      </c>
      <c r="G185" s="32">
        <v>0.7</v>
      </c>
      <c r="H185" s="27"/>
      <c r="I185" s="33">
        <v>151.84399999999999</v>
      </c>
      <c r="J185" s="34">
        <v>16.11</v>
      </c>
      <c r="K185" s="35"/>
      <c r="L185" s="35"/>
      <c r="M185" s="34">
        <f>ROUND(ROUND(J185, 2)*I185, 2)</f>
        <v>2446.21</v>
      </c>
      <c r="N185" s="35"/>
      <c r="O185" s="35"/>
      <c r="P185" s="34">
        <v>16.11</v>
      </c>
      <c r="Q185" s="35"/>
      <c r="R185" s="35"/>
      <c r="S185" s="34">
        <f>ROUND(ROUND(P185, 2)*I185, 2)</f>
        <v>2446.21</v>
      </c>
      <c r="T185" s="35"/>
      <c r="U185" s="36"/>
      <c r="V185" s="9">
        <f>ROUND(ROUND(P185, 2)/1.2, 2)</f>
        <v>13.43</v>
      </c>
      <c r="Y185" s="9">
        <f t="shared" si="26"/>
        <v>2038.51</v>
      </c>
      <c r="AD185" s="4" t="s">
        <v>639</v>
      </c>
      <c r="AE185" s="4" t="s">
        <v>640</v>
      </c>
      <c r="AF185" s="4" t="s">
        <v>604</v>
      </c>
    </row>
    <row r="186" spans="1:35" ht="54" x14ac:dyDescent="0.3">
      <c r="A186" s="25" t="s">
        <v>641</v>
      </c>
      <c r="B186" s="25"/>
      <c r="C186" s="30" t="s">
        <v>606</v>
      </c>
      <c r="D186" s="27"/>
      <c r="E186" s="27" t="s">
        <v>642</v>
      </c>
      <c r="F186" s="31" t="s">
        <v>116</v>
      </c>
      <c r="G186" s="32">
        <v>1.84</v>
      </c>
      <c r="H186" s="27"/>
      <c r="I186" s="33">
        <v>399.13299999999998</v>
      </c>
      <c r="J186" s="34">
        <v>196</v>
      </c>
      <c r="K186" s="35"/>
      <c r="L186" s="35"/>
      <c r="M186" s="34">
        <f>ROUND(ROUND(J186, 2)*I186, 2)</f>
        <v>78230.070000000007</v>
      </c>
      <c r="N186" s="35"/>
      <c r="O186" s="35"/>
      <c r="P186" s="34">
        <v>196</v>
      </c>
      <c r="Q186" s="35"/>
      <c r="R186" s="35"/>
      <c r="S186" s="34">
        <f>ROUND(ROUND(P186, 2)*I186, 2)</f>
        <v>78230.070000000007</v>
      </c>
      <c r="T186" s="35"/>
      <c r="U186" s="36"/>
      <c r="V186" s="9">
        <f>ROUND(ROUND(P186, 2)/1.2, 2)</f>
        <v>163.33000000000001</v>
      </c>
      <c r="Y186" s="9">
        <f t="shared" si="26"/>
        <v>65191.73</v>
      </c>
      <c r="AD186" s="4" t="s">
        <v>643</v>
      </c>
      <c r="AE186" s="4" t="s">
        <v>644</v>
      </c>
      <c r="AF186" s="4" t="s">
        <v>610</v>
      </c>
    </row>
    <row r="187" spans="1:35" ht="54" x14ac:dyDescent="0.3">
      <c r="A187" s="25" t="s">
        <v>645</v>
      </c>
      <c r="B187" s="25"/>
      <c r="C187" s="30" t="s">
        <v>612</v>
      </c>
      <c r="D187" s="27"/>
      <c r="E187" s="27" t="s">
        <v>646</v>
      </c>
      <c r="F187" s="31" t="s">
        <v>70</v>
      </c>
      <c r="G187" s="32">
        <v>0.04</v>
      </c>
      <c r="H187" s="27"/>
      <c r="I187" s="32">
        <v>8.6769999999999996</v>
      </c>
      <c r="J187" s="34">
        <v>47.44</v>
      </c>
      <c r="K187" s="35"/>
      <c r="L187" s="35"/>
      <c r="M187" s="34">
        <f>ROUND(ROUND(J187, 2)*I187, 2)</f>
        <v>411.64</v>
      </c>
      <c r="N187" s="35"/>
      <c r="O187" s="35"/>
      <c r="P187" s="34">
        <v>47.44</v>
      </c>
      <c r="Q187" s="35"/>
      <c r="R187" s="35"/>
      <c r="S187" s="34">
        <f>ROUND(ROUND(P187, 2)*I187, 2)</f>
        <v>411.64</v>
      </c>
      <c r="T187" s="35"/>
      <c r="U187" s="36"/>
      <c r="V187" s="9">
        <f>ROUND(ROUND(P187, 2)/1.2, 2)</f>
        <v>39.53</v>
      </c>
      <c r="Y187" s="9">
        <f t="shared" si="26"/>
        <v>343.03</v>
      </c>
      <c r="AD187" s="4" t="s">
        <v>647</v>
      </c>
      <c r="AE187" s="4" t="s">
        <v>648</v>
      </c>
      <c r="AF187" s="4" t="s">
        <v>616</v>
      </c>
    </row>
    <row r="188" spans="1:35" ht="36" x14ac:dyDescent="0.3">
      <c r="A188" s="25" t="s">
        <v>649</v>
      </c>
      <c r="B188" s="25"/>
      <c r="C188" s="30" t="s">
        <v>433</v>
      </c>
      <c r="D188" s="27"/>
      <c r="E188" s="27"/>
      <c r="F188" s="31" t="s">
        <v>70</v>
      </c>
      <c r="G188" s="32">
        <v>1.4999999999999999E-2</v>
      </c>
      <c r="H188" s="27"/>
      <c r="I188" s="32">
        <v>3.254</v>
      </c>
      <c r="J188" s="34">
        <v>88.8</v>
      </c>
      <c r="K188" s="35"/>
      <c r="L188" s="35"/>
      <c r="M188" s="34">
        <f>ROUND(ROUND(J188, 2)*I188, 2)</f>
        <v>288.95999999999998</v>
      </c>
      <c r="N188" s="35"/>
      <c r="O188" s="35"/>
      <c r="P188" s="34">
        <v>88.8</v>
      </c>
      <c r="Q188" s="35"/>
      <c r="R188" s="35"/>
      <c r="S188" s="34">
        <f>ROUND(ROUND(P188, 2)*I188, 2)</f>
        <v>288.95999999999998</v>
      </c>
      <c r="T188" s="35"/>
      <c r="U188" s="36"/>
      <c r="V188" s="9">
        <f>ROUND(ROUND(P188, 2)/1.2, 2)</f>
        <v>74</v>
      </c>
      <c r="Y188" s="9">
        <f t="shared" si="26"/>
        <v>240.8</v>
      </c>
      <c r="AD188" s="4" t="s">
        <v>650</v>
      </c>
      <c r="AE188" s="4" t="s">
        <v>651</v>
      </c>
      <c r="AF188" s="4" t="s">
        <v>436</v>
      </c>
    </row>
    <row r="189" spans="1:35" ht="54" x14ac:dyDescent="0.3">
      <c r="A189" s="25" t="s">
        <v>652</v>
      </c>
      <c r="B189" s="25" t="s">
        <v>653</v>
      </c>
      <c r="C189" s="26" t="s">
        <v>654</v>
      </c>
      <c r="D189" s="27"/>
      <c r="E189" s="27" t="s">
        <v>655</v>
      </c>
      <c r="F189" s="27" t="s">
        <v>64</v>
      </c>
      <c r="G189" s="28">
        <v>1</v>
      </c>
      <c r="H189" s="27"/>
      <c r="I189" s="28">
        <v>25.81</v>
      </c>
      <c r="J189" s="29">
        <f>IFERROR(ROUND(SUM(M190,M191,M192,M193)/I189, 2),0)</f>
        <v>616.69000000000005</v>
      </c>
      <c r="K189" s="29">
        <v>1655</v>
      </c>
      <c r="L189" s="29">
        <f>J189+ROUND(K189, 2)</f>
        <v>2271.69</v>
      </c>
      <c r="M189" s="29">
        <f>ROUND(J189*I189, 2)</f>
        <v>15916.77</v>
      </c>
      <c r="N189" s="29">
        <f>ROUND(I189*ROUND(K189, 2), 2)</f>
        <v>42715.55</v>
      </c>
      <c r="O189" s="29">
        <f>M189+N189</f>
        <v>58632.320000000007</v>
      </c>
      <c r="P189" s="29">
        <f>IFERROR(ROUND(SUM(S190,S191,S192,S193)/I189, 2),0)</f>
        <v>616.69000000000005</v>
      </c>
      <c r="Q189" s="29">
        <v>1655</v>
      </c>
      <c r="R189" s="29">
        <f>P189+ROUND(Q189, 2)</f>
        <v>2271.69</v>
      </c>
      <c r="S189" s="29">
        <f>ROUND(P189*I189, 2)</f>
        <v>15916.77</v>
      </c>
      <c r="T189" s="29">
        <f>ROUND(I189*ROUND(Q189, 2), 2)</f>
        <v>42715.55</v>
      </c>
      <c r="U189" s="29">
        <f>S189+T189</f>
        <v>58632.320000000007</v>
      </c>
      <c r="V189" s="9">
        <f>ROUND(P189 / 1.2, 2)</f>
        <v>513.91</v>
      </c>
      <c r="W189" s="9">
        <f>ROUND(Q189 / 1.2, 2)</f>
        <v>1379.17</v>
      </c>
      <c r="X189" s="9">
        <f>ROUND(R189 / 1.2, 2)</f>
        <v>1893.08</v>
      </c>
      <c r="Y189" s="9">
        <f t="shared" si="26"/>
        <v>13263.98</v>
      </c>
      <c r="Z189" s="9">
        <f>ROUND(T189 / 1.2, 2)</f>
        <v>35596.29</v>
      </c>
      <c r="AA189" s="9">
        <f>Y189+Z189</f>
        <v>48860.270000000004</v>
      </c>
      <c r="AD189" s="4">
        <v>298925295</v>
      </c>
      <c r="AE189" s="4">
        <v>19973764</v>
      </c>
      <c r="AG189" s="4" t="s">
        <v>656</v>
      </c>
      <c r="AH189" s="4" t="s">
        <v>657</v>
      </c>
      <c r="AI189" s="4" t="s">
        <v>67</v>
      </c>
    </row>
    <row r="190" spans="1:35" ht="54" x14ac:dyDescent="0.3">
      <c r="A190" s="25" t="s">
        <v>658</v>
      </c>
      <c r="B190" s="25"/>
      <c r="C190" s="17" t="s">
        <v>401</v>
      </c>
      <c r="D190" s="27"/>
      <c r="E190" s="27" t="s">
        <v>402</v>
      </c>
      <c r="F190" s="31" t="s">
        <v>70</v>
      </c>
      <c r="G190" s="32">
        <v>7</v>
      </c>
      <c r="H190" s="27"/>
      <c r="I190" s="32">
        <v>180.67</v>
      </c>
      <c r="J190" s="34">
        <v>16.11</v>
      </c>
      <c r="K190" s="35"/>
      <c r="L190" s="35"/>
      <c r="M190" s="34">
        <f>ROUND(ROUND(J190, 2)*I190, 2)</f>
        <v>2910.59</v>
      </c>
      <c r="N190" s="35"/>
      <c r="O190" s="35"/>
      <c r="P190" s="34">
        <v>16.11</v>
      </c>
      <c r="Q190" s="35"/>
      <c r="R190" s="35"/>
      <c r="S190" s="34">
        <f>ROUND(ROUND(P190, 2)*I190, 2)</f>
        <v>2910.59</v>
      </c>
      <c r="T190" s="35"/>
      <c r="U190" s="36"/>
      <c r="V190" s="9">
        <f>ROUND(ROUND(P190, 2)/1.2, 2)</f>
        <v>13.43</v>
      </c>
      <c r="Y190" s="9">
        <f t="shared" si="26"/>
        <v>2425.4899999999998</v>
      </c>
      <c r="AD190" s="4" t="s">
        <v>659</v>
      </c>
      <c r="AE190" s="4" t="s">
        <v>660</v>
      </c>
      <c r="AF190" s="4" t="s">
        <v>405</v>
      </c>
    </row>
    <row r="191" spans="1:35" ht="54" x14ac:dyDescent="0.3">
      <c r="A191" s="25" t="s">
        <v>661</v>
      </c>
      <c r="B191" s="25"/>
      <c r="C191" s="17" t="s">
        <v>628</v>
      </c>
      <c r="D191" s="27"/>
      <c r="E191" s="27" t="s">
        <v>662</v>
      </c>
      <c r="F191" s="31" t="s">
        <v>64</v>
      </c>
      <c r="G191" s="32">
        <v>1.07</v>
      </c>
      <c r="H191" s="27"/>
      <c r="I191" s="33">
        <v>27.617000000000001</v>
      </c>
      <c r="J191" s="34">
        <v>447.41</v>
      </c>
      <c r="K191" s="35"/>
      <c r="L191" s="35"/>
      <c r="M191" s="34">
        <f>ROUND(ROUND(J191, 2)*I191, 2)</f>
        <v>12356.12</v>
      </c>
      <c r="N191" s="35"/>
      <c r="O191" s="35"/>
      <c r="P191" s="34">
        <v>447.41</v>
      </c>
      <c r="Q191" s="35"/>
      <c r="R191" s="35"/>
      <c r="S191" s="34">
        <f>ROUND(ROUND(P191, 2)*I191, 2)</f>
        <v>12356.12</v>
      </c>
      <c r="T191" s="35"/>
      <c r="U191" s="36"/>
      <c r="V191" s="9">
        <f>ROUND(ROUND(P191, 2)/1.2, 2)</f>
        <v>372.84</v>
      </c>
      <c r="Y191" s="9">
        <f t="shared" si="26"/>
        <v>10296.77</v>
      </c>
      <c r="AD191" s="4" t="s">
        <v>663</v>
      </c>
      <c r="AE191" s="4" t="s">
        <v>664</v>
      </c>
      <c r="AF191" s="4" t="s">
        <v>632</v>
      </c>
    </row>
    <row r="192" spans="1:35" ht="18" x14ac:dyDescent="0.3">
      <c r="A192" s="25" t="s">
        <v>665</v>
      </c>
      <c r="B192" s="25"/>
      <c r="C192" s="30" t="s">
        <v>612</v>
      </c>
      <c r="D192" s="27"/>
      <c r="E192" s="27"/>
      <c r="F192" s="31" t="s">
        <v>70</v>
      </c>
      <c r="G192" s="32">
        <v>0.25</v>
      </c>
      <c r="H192" s="27"/>
      <c r="I192" s="33">
        <v>6.4530000000000003</v>
      </c>
      <c r="J192" s="34">
        <v>47.44</v>
      </c>
      <c r="K192" s="35"/>
      <c r="L192" s="35"/>
      <c r="M192" s="34">
        <f>ROUND(ROUND(J192, 2)*I192, 2)</f>
        <v>306.13</v>
      </c>
      <c r="N192" s="35"/>
      <c r="O192" s="35"/>
      <c r="P192" s="34">
        <v>47.44</v>
      </c>
      <c r="Q192" s="35"/>
      <c r="R192" s="35"/>
      <c r="S192" s="34">
        <f>ROUND(ROUND(P192, 2)*I192, 2)</f>
        <v>306.13</v>
      </c>
      <c r="T192" s="35"/>
      <c r="U192" s="36"/>
      <c r="V192" s="9">
        <f>ROUND(ROUND(P192, 2)/1.2, 2)</f>
        <v>39.53</v>
      </c>
      <c r="Y192" s="9">
        <f t="shared" si="26"/>
        <v>255.11</v>
      </c>
      <c r="AD192" s="4" t="s">
        <v>666</v>
      </c>
      <c r="AE192" s="4" t="s">
        <v>667</v>
      </c>
      <c r="AF192" s="4" t="s">
        <v>616</v>
      </c>
    </row>
    <row r="193" spans="1:35" ht="36" x14ac:dyDescent="0.3">
      <c r="A193" s="25" t="s">
        <v>668</v>
      </c>
      <c r="B193" s="25"/>
      <c r="C193" s="30" t="s">
        <v>433</v>
      </c>
      <c r="D193" s="27"/>
      <c r="E193" s="27"/>
      <c r="F193" s="31" t="s">
        <v>70</v>
      </c>
      <c r="G193" s="32">
        <v>0.15</v>
      </c>
      <c r="H193" s="27"/>
      <c r="I193" s="32">
        <v>3.8719999999999999</v>
      </c>
      <c r="J193" s="34">
        <v>88.8</v>
      </c>
      <c r="K193" s="35"/>
      <c r="L193" s="35"/>
      <c r="M193" s="34">
        <f>ROUND(ROUND(J193, 2)*I193, 2)</f>
        <v>343.83</v>
      </c>
      <c r="N193" s="35"/>
      <c r="O193" s="35"/>
      <c r="P193" s="34">
        <v>88.8</v>
      </c>
      <c r="Q193" s="35"/>
      <c r="R193" s="35"/>
      <c r="S193" s="34">
        <f>ROUND(ROUND(P193, 2)*I193, 2)</f>
        <v>343.83</v>
      </c>
      <c r="T193" s="35"/>
      <c r="U193" s="36"/>
      <c r="V193" s="9">
        <f>ROUND(ROUND(P193, 2)/1.2, 2)</f>
        <v>74</v>
      </c>
      <c r="Y193" s="9">
        <f t="shared" si="26"/>
        <v>286.52999999999997</v>
      </c>
      <c r="AD193" s="4" t="s">
        <v>669</v>
      </c>
      <c r="AE193" s="4" t="s">
        <v>670</v>
      </c>
      <c r="AF193" s="4" t="s">
        <v>436</v>
      </c>
    </row>
    <row r="194" spans="1:35" ht="54" x14ac:dyDescent="0.3">
      <c r="A194" s="25" t="s">
        <v>671</v>
      </c>
      <c r="B194" s="25" t="s">
        <v>653</v>
      </c>
      <c r="C194" s="26" t="s">
        <v>654</v>
      </c>
      <c r="D194" s="27"/>
      <c r="E194" s="27" t="s">
        <v>672</v>
      </c>
      <c r="F194" s="27" t="s">
        <v>64</v>
      </c>
      <c r="G194" s="28">
        <v>1</v>
      </c>
      <c r="H194" s="27"/>
      <c r="I194" s="28">
        <v>46.37</v>
      </c>
      <c r="J194" s="29">
        <f>IFERROR(ROUND(SUM(M195,M196,M197,M198)/I194, 2),0)</f>
        <v>616.67999999999995</v>
      </c>
      <c r="K194" s="29">
        <v>1655</v>
      </c>
      <c r="L194" s="29">
        <f>J194+ROUND(K194, 2)</f>
        <v>2271.6799999999998</v>
      </c>
      <c r="M194" s="29">
        <f>ROUND(J194*I194, 2)</f>
        <v>28595.45</v>
      </c>
      <c r="N194" s="29">
        <f>ROUND(I194*ROUND(K194, 2), 2)</f>
        <v>76742.350000000006</v>
      </c>
      <c r="O194" s="29">
        <f>M194+N194</f>
        <v>105337.8</v>
      </c>
      <c r="P194" s="29">
        <f>IFERROR(ROUND(SUM(S195,S196,S197,S198)/I194, 2),0)</f>
        <v>616.67999999999995</v>
      </c>
      <c r="Q194" s="29">
        <v>1655</v>
      </c>
      <c r="R194" s="29">
        <f>P194+ROUND(Q194, 2)</f>
        <v>2271.6799999999998</v>
      </c>
      <c r="S194" s="29">
        <f>ROUND(P194*I194, 2)</f>
        <v>28595.45</v>
      </c>
      <c r="T194" s="29">
        <f>ROUND(I194*ROUND(Q194, 2), 2)</f>
        <v>76742.350000000006</v>
      </c>
      <c r="U194" s="29">
        <f>S194+T194</f>
        <v>105337.8</v>
      </c>
      <c r="V194" s="9">
        <f>ROUND(P194 / 1.2, 2)</f>
        <v>513.9</v>
      </c>
      <c r="W194" s="9">
        <f>ROUND(Q194 / 1.2, 2)</f>
        <v>1379.17</v>
      </c>
      <c r="X194" s="9">
        <f>ROUND(R194 / 1.2, 2)</f>
        <v>1893.07</v>
      </c>
      <c r="Y194" s="9">
        <f t="shared" si="26"/>
        <v>23829.54</v>
      </c>
      <c r="Z194" s="9">
        <f>ROUND(T194 / 1.2, 2)</f>
        <v>63951.96</v>
      </c>
      <c r="AA194" s="9">
        <f>Y194+Z194</f>
        <v>87781.5</v>
      </c>
      <c r="AD194" s="4">
        <v>298925381</v>
      </c>
      <c r="AE194" s="4">
        <v>19987963</v>
      </c>
      <c r="AG194" s="4" t="s">
        <v>656</v>
      </c>
      <c r="AH194" s="4" t="s">
        <v>657</v>
      </c>
      <c r="AI194" s="4" t="s">
        <v>67</v>
      </c>
    </row>
    <row r="195" spans="1:35" ht="36" x14ac:dyDescent="0.3">
      <c r="A195" s="25" t="s">
        <v>673</v>
      </c>
      <c r="B195" s="25"/>
      <c r="C195" s="30" t="s">
        <v>433</v>
      </c>
      <c r="D195" s="27"/>
      <c r="E195" s="27"/>
      <c r="F195" s="31" t="s">
        <v>70</v>
      </c>
      <c r="G195" s="32">
        <v>0.15</v>
      </c>
      <c r="H195" s="27"/>
      <c r="I195" s="32">
        <v>6.9560000000000004</v>
      </c>
      <c r="J195" s="34">
        <v>88.8</v>
      </c>
      <c r="K195" s="35"/>
      <c r="L195" s="35"/>
      <c r="M195" s="34">
        <f>ROUND(ROUND(J195, 2)*I195, 2)</f>
        <v>617.69000000000005</v>
      </c>
      <c r="N195" s="35"/>
      <c r="O195" s="35"/>
      <c r="P195" s="34">
        <v>88.8</v>
      </c>
      <c r="Q195" s="35"/>
      <c r="R195" s="35"/>
      <c r="S195" s="34">
        <f>ROUND(ROUND(P195, 2)*I195, 2)</f>
        <v>617.69000000000005</v>
      </c>
      <c r="T195" s="35"/>
      <c r="U195" s="36"/>
      <c r="V195" s="9">
        <f>ROUND(ROUND(P195, 2)/1.2, 2)</f>
        <v>74</v>
      </c>
      <c r="Y195" s="9">
        <f t="shared" si="26"/>
        <v>514.74</v>
      </c>
      <c r="AD195" s="4" t="s">
        <v>674</v>
      </c>
      <c r="AE195" s="4" t="s">
        <v>675</v>
      </c>
      <c r="AF195" s="4" t="s">
        <v>436</v>
      </c>
    </row>
    <row r="196" spans="1:35" ht="18" x14ac:dyDescent="0.3">
      <c r="A196" s="25" t="s">
        <v>676</v>
      </c>
      <c r="B196" s="25"/>
      <c r="C196" s="30" t="s">
        <v>612</v>
      </c>
      <c r="D196" s="27"/>
      <c r="E196" s="27"/>
      <c r="F196" s="31" t="s">
        <v>70</v>
      </c>
      <c r="G196" s="32">
        <v>0.25</v>
      </c>
      <c r="H196" s="27"/>
      <c r="I196" s="33">
        <v>11.593</v>
      </c>
      <c r="J196" s="34">
        <v>47.44</v>
      </c>
      <c r="K196" s="35"/>
      <c r="L196" s="35"/>
      <c r="M196" s="34">
        <f>ROUND(ROUND(J196, 2)*I196, 2)</f>
        <v>549.97</v>
      </c>
      <c r="N196" s="35"/>
      <c r="O196" s="35"/>
      <c r="P196" s="34">
        <v>47.44</v>
      </c>
      <c r="Q196" s="35"/>
      <c r="R196" s="35"/>
      <c r="S196" s="34">
        <f>ROUND(ROUND(P196, 2)*I196, 2)</f>
        <v>549.97</v>
      </c>
      <c r="T196" s="35"/>
      <c r="U196" s="36"/>
      <c r="V196" s="9">
        <f>ROUND(ROUND(P196, 2)/1.2, 2)</f>
        <v>39.53</v>
      </c>
      <c r="Y196" s="9">
        <f t="shared" si="26"/>
        <v>458.31</v>
      </c>
      <c r="AD196" s="4" t="s">
        <v>677</v>
      </c>
      <c r="AE196" s="4" t="s">
        <v>678</v>
      </c>
      <c r="AF196" s="4" t="s">
        <v>616</v>
      </c>
    </row>
    <row r="197" spans="1:35" ht="36" x14ac:dyDescent="0.3">
      <c r="A197" s="25" t="s">
        <v>679</v>
      </c>
      <c r="B197" s="25"/>
      <c r="C197" s="17" t="s">
        <v>628</v>
      </c>
      <c r="D197" s="27"/>
      <c r="E197" s="27" t="s">
        <v>680</v>
      </c>
      <c r="F197" s="31" t="s">
        <v>64</v>
      </c>
      <c r="G197" s="32">
        <v>1.07</v>
      </c>
      <c r="H197" s="27"/>
      <c r="I197" s="33">
        <v>49.616</v>
      </c>
      <c r="J197" s="34">
        <v>447.41</v>
      </c>
      <c r="K197" s="35"/>
      <c r="L197" s="35"/>
      <c r="M197" s="34">
        <f>ROUND(ROUND(J197, 2)*I197, 2)</f>
        <v>22198.69</v>
      </c>
      <c r="N197" s="35"/>
      <c r="O197" s="35"/>
      <c r="P197" s="34">
        <v>447.41</v>
      </c>
      <c r="Q197" s="35"/>
      <c r="R197" s="35"/>
      <c r="S197" s="34">
        <f>ROUND(ROUND(P197, 2)*I197, 2)</f>
        <v>22198.69</v>
      </c>
      <c r="T197" s="35"/>
      <c r="U197" s="36"/>
      <c r="V197" s="9">
        <f>ROUND(ROUND(P197, 2)/1.2, 2)</f>
        <v>372.84</v>
      </c>
      <c r="Y197" s="9">
        <f t="shared" si="26"/>
        <v>18498.91</v>
      </c>
      <c r="AD197" s="4" t="s">
        <v>681</v>
      </c>
      <c r="AE197" s="4" t="s">
        <v>682</v>
      </c>
      <c r="AF197" s="4" t="s">
        <v>632</v>
      </c>
    </row>
    <row r="198" spans="1:35" ht="54" x14ac:dyDescent="0.3">
      <c r="A198" s="25" t="s">
        <v>683</v>
      </c>
      <c r="B198" s="25"/>
      <c r="C198" s="17" t="s">
        <v>401</v>
      </c>
      <c r="D198" s="27"/>
      <c r="E198" s="27" t="s">
        <v>402</v>
      </c>
      <c r="F198" s="31" t="s">
        <v>70</v>
      </c>
      <c r="G198" s="32">
        <v>7</v>
      </c>
      <c r="H198" s="27"/>
      <c r="I198" s="32">
        <v>324.58999999999997</v>
      </c>
      <c r="J198" s="34">
        <v>16.11</v>
      </c>
      <c r="K198" s="35"/>
      <c r="L198" s="35"/>
      <c r="M198" s="34">
        <f>ROUND(ROUND(J198, 2)*I198, 2)</f>
        <v>5229.1400000000003</v>
      </c>
      <c r="N198" s="35"/>
      <c r="O198" s="35"/>
      <c r="P198" s="34">
        <v>16.11</v>
      </c>
      <c r="Q198" s="35"/>
      <c r="R198" s="35"/>
      <c r="S198" s="34">
        <f>ROUND(ROUND(P198, 2)*I198, 2)</f>
        <v>5229.1400000000003</v>
      </c>
      <c r="T198" s="35"/>
      <c r="U198" s="36"/>
      <c r="V198" s="9">
        <f>ROUND(ROUND(P198, 2)/1.2, 2)</f>
        <v>13.43</v>
      </c>
      <c r="Y198" s="9">
        <f t="shared" si="26"/>
        <v>4357.62</v>
      </c>
      <c r="AD198" s="4" t="s">
        <v>684</v>
      </c>
      <c r="AE198" s="4" t="s">
        <v>685</v>
      </c>
      <c r="AF198" s="4" t="s">
        <v>405</v>
      </c>
    </row>
    <row r="199" spans="1:35" ht="54" x14ac:dyDescent="0.3">
      <c r="A199" s="25" t="s">
        <v>686</v>
      </c>
      <c r="B199" s="25" t="s">
        <v>687</v>
      </c>
      <c r="C199" s="26" t="s">
        <v>688</v>
      </c>
      <c r="D199" s="27"/>
      <c r="E199" s="27" t="s">
        <v>689</v>
      </c>
      <c r="F199" s="27" t="s">
        <v>64</v>
      </c>
      <c r="G199" s="28">
        <v>1</v>
      </c>
      <c r="H199" s="27"/>
      <c r="I199" s="28">
        <v>335.84</v>
      </c>
      <c r="J199" s="29">
        <f>IFERROR(ROUND(SUM(M200,M201,M202,M203)/I199, 2),0)</f>
        <v>2233.0300000000002</v>
      </c>
      <c r="K199" s="29">
        <v>2785</v>
      </c>
      <c r="L199" s="29">
        <f>J199+ROUND(K199, 2)</f>
        <v>5018.0300000000007</v>
      </c>
      <c r="M199" s="29">
        <f>ROUND(J199*I199, 2)</f>
        <v>749940.8</v>
      </c>
      <c r="N199" s="29">
        <f>ROUND(I199*ROUND(K199, 2), 2)</f>
        <v>935314.4</v>
      </c>
      <c r="O199" s="29">
        <f>M199+N199</f>
        <v>1685255.2000000002</v>
      </c>
      <c r="P199" s="29">
        <f>IFERROR(ROUND(SUM(S200,S201,S202,S203)/I199, 2),0)</f>
        <v>1530.85</v>
      </c>
      <c r="Q199" s="29">
        <v>2785</v>
      </c>
      <c r="R199" s="29">
        <f>P199+ROUND(Q199, 2)</f>
        <v>4315.8500000000004</v>
      </c>
      <c r="S199" s="29">
        <f>ROUND(P199*I199, 2)</f>
        <v>514120.66</v>
      </c>
      <c r="T199" s="29">
        <f>ROUND(I199*ROUND(Q199, 2), 2)</f>
        <v>935314.4</v>
      </c>
      <c r="U199" s="29">
        <f>S199+T199</f>
        <v>1449435.06</v>
      </c>
      <c r="V199" s="9">
        <f>ROUND(P199 / 1.2, 2)</f>
        <v>1275.71</v>
      </c>
      <c r="W199" s="9">
        <f>ROUND(Q199 / 1.2, 2)</f>
        <v>2320.83</v>
      </c>
      <c r="X199" s="9">
        <f>ROUND(R199 / 1.2, 2)</f>
        <v>3596.54</v>
      </c>
      <c r="Y199" s="9">
        <f t="shared" si="26"/>
        <v>428433.88</v>
      </c>
      <c r="Z199" s="9">
        <f>ROUND(T199 / 1.2, 2)</f>
        <v>779428.67</v>
      </c>
      <c r="AA199" s="9">
        <f>Y199+Z199</f>
        <v>1207862.55</v>
      </c>
      <c r="AD199" s="4">
        <v>298925296</v>
      </c>
      <c r="AE199" s="4">
        <v>19973763</v>
      </c>
      <c r="AG199" s="4" t="s">
        <v>690</v>
      </c>
      <c r="AH199" s="4" t="s">
        <v>691</v>
      </c>
      <c r="AI199" s="4" t="s">
        <v>67</v>
      </c>
    </row>
    <row r="200" spans="1:35" ht="54" x14ac:dyDescent="0.3">
      <c r="A200" s="25" t="s">
        <v>692</v>
      </c>
      <c r="B200" s="25"/>
      <c r="C200" s="17" t="s">
        <v>693</v>
      </c>
      <c r="D200" s="27"/>
      <c r="E200" s="27" t="s">
        <v>402</v>
      </c>
      <c r="F200" s="31" t="s">
        <v>70</v>
      </c>
      <c r="G200" s="32">
        <v>1.2</v>
      </c>
      <c r="H200" s="27"/>
      <c r="I200" s="33">
        <v>806.01599999999996</v>
      </c>
      <c r="J200" s="34">
        <v>16.11</v>
      </c>
      <c r="K200" s="35"/>
      <c r="L200" s="35"/>
      <c r="M200" s="34">
        <f>ROUND(ROUND(J200, 2)*I200, 2)</f>
        <v>12984.92</v>
      </c>
      <c r="N200" s="35"/>
      <c r="O200" s="35"/>
      <c r="P200" s="34">
        <v>16.11</v>
      </c>
      <c r="Q200" s="35"/>
      <c r="R200" s="35"/>
      <c r="S200" s="34">
        <f>ROUND(ROUND(P200, 2)*I200, 2)</f>
        <v>12984.92</v>
      </c>
      <c r="T200" s="35"/>
      <c r="U200" s="36"/>
      <c r="V200" s="9">
        <f>ROUND(ROUND(P200, 2)/1.2, 2)</f>
        <v>13.43</v>
      </c>
      <c r="Y200" s="9">
        <f t="shared" si="26"/>
        <v>10820.77</v>
      </c>
      <c r="AD200" s="4" t="s">
        <v>694</v>
      </c>
      <c r="AE200" s="4" t="s">
        <v>695</v>
      </c>
      <c r="AF200" s="4" t="s">
        <v>696</v>
      </c>
    </row>
    <row r="201" spans="1:35" ht="72" x14ac:dyDescent="0.3">
      <c r="A201" s="25" t="s">
        <v>697</v>
      </c>
      <c r="B201" s="25"/>
      <c r="C201" s="30" t="s">
        <v>698</v>
      </c>
      <c r="D201" s="27"/>
      <c r="E201" s="27" t="s">
        <v>699</v>
      </c>
      <c r="F201" s="31" t="s">
        <v>64</v>
      </c>
      <c r="G201" s="32">
        <v>1.2</v>
      </c>
      <c r="H201" s="27"/>
      <c r="I201" s="33">
        <v>403.00799999999998</v>
      </c>
      <c r="J201" s="34">
        <v>1809.15</v>
      </c>
      <c r="K201" s="35"/>
      <c r="L201" s="35"/>
      <c r="M201" s="34">
        <f>ROUND(ROUND(J201, 2)*I201, 2)</f>
        <v>729101.92</v>
      </c>
      <c r="N201" s="35"/>
      <c r="O201" s="35"/>
      <c r="P201" s="34">
        <v>1224</v>
      </c>
      <c r="Q201" s="35"/>
      <c r="R201" s="35"/>
      <c r="S201" s="34">
        <f>ROUND(ROUND(P201, 2)*I201, 2)</f>
        <v>493281.79</v>
      </c>
      <c r="T201" s="35"/>
      <c r="U201" s="36"/>
      <c r="V201" s="9">
        <f>ROUND(ROUND(P201, 2)/1.2, 2)</f>
        <v>1020</v>
      </c>
      <c r="Y201" s="9">
        <f t="shared" si="26"/>
        <v>411068.15999999997</v>
      </c>
      <c r="AD201" s="4" t="s">
        <v>700</v>
      </c>
      <c r="AE201" s="4" t="s">
        <v>701</v>
      </c>
      <c r="AF201" s="4" t="s">
        <v>702</v>
      </c>
    </row>
    <row r="202" spans="1:35" ht="36" x14ac:dyDescent="0.3">
      <c r="A202" s="25" t="s">
        <v>703</v>
      </c>
      <c r="B202" s="25"/>
      <c r="C202" s="30" t="s">
        <v>426</v>
      </c>
      <c r="D202" s="27"/>
      <c r="E202" s="27"/>
      <c r="F202" s="31" t="s">
        <v>70</v>
      </c>
      <c r="G202" s="32">
        <v>0.25</v>
      </c>
      <c r="H202" s="27"/>
      <c r="I202" s="33">
        <v>83.96</v>
      </c>
      <c r="J202" s="34">
        <v>40.270000000000003</v>
      </c>
      <c r="K202" s="35"/>
      <c r="L202" s="35"/>
      <c r="M202" s="34">
        <f>ROUND(ROUND(J202, 2)*I202, 2)</f>
        <v>3381.07</v>
      </c>
      <c r="N202" s="35"/>
      <c r="O202" s="35"/>
      <c r="P202" s="34">
        <v>40.270000000000003</v>
      </c>
      <c r="Q202" s="35"/>
      <c r="R202" s="35"/>
      <c r="S202" s="34">
        <f>ROUND(ROUND(P202, 2)*I202, 2)</f>
        <v>3381.07</v>
      </c>
      <c r="T202" s="35"/>
      <c r="U202" s="36"/>
      <c r="V202" s="9">
        <f>ROUND(ROUND(P202, 2)/1.2, 2)</f>
        <v>33.56</v>
      </c>
      <c r="Y202" s="9">
        <f t="shared" si="26"/>
        <v>2817.56</v>
      </c>
      <c r="AD202" s="4" t="s">
        <v>704</v>
      </c>
      <c r="AE202" s="4" t="s">
        <v>705</v>
      </c>
      <c r="AF202" s="4" t="s">
        <v>429</v>
      </c>
    </row>
    <row r="203" spans="1:35" ht="36" x14ac:dyDescent="0.3">
      <c r="A203" s="25" t="s">
        <v>706</v>
      </c>
      <c r="B203" s="25"/>
      <c r="C203" s="30" t="s">
        <v>433</v>
      </c>
      <c r="D203" s="27"/>
      <c r="E203" s="27"/>
      <c r="F203" s="31" t="s">
        <v>70</v>
      </c>
      <c r="G203" s="32">
        <v>0.15</v>
      </c>
      <c r="H203" s="27"/>
      <c r="I203" s="32">
        <v>50.375999999999998</v>
      </c>
      <c r="J203" s="34">
        <v>88.8</v>
      </c>
      <c r="K203" s="35"/>
      <c r="L203" s="35"/>
      <c r="M203" s="34">
        <f>ROUND(ROUND(J203, 2)*I203, 2)</f>
        <v>4473.3900000000003</v>
      </c>
      <c r="N203" s="35"/>
      <c r="O203" s="35"/>
      <c r="P203" s="34">
        <v>88.8</v>
      </c>
      <c r="Q203" s="35"/>
      <c r="R203" s="35"/>
      <c r="S203" s="34">
        <f>ROUND(ROUND(P203, 2)*I203, 2)</f>
        <v>4473.3900000000003</v>
      </c>
      <c r="T203" s="35"/>
      <c r="U203" s="36"/>
      <c r="V203" s="9">
        <f>ROUND(ROUND(P203, 2)/1.2, 2)</f>
        <v>74</v>
      </c>
      <c r="Y203" s="9">
        <f t="shared" si="26"/>
        <v>3727.83</v>
      </c>
      <c r="AD203" s="4" t="s">
        <v>707</v>
      </c>
      <c r="AE203" s="4" t="s">
        <v>708</v>
      </c>
      <c r="AF203" s="4" t="s">
        <v>436</v>
      </c>
    </row>
    <row r="204" spans="1:35" ht="54" x14ac:dyDescent="0.3">
      <c r="A204" s="25" t="s">
        <v>709</v>
      </c>
      <c r="B204" s="25" t="s">
        <v>687</v>
      </c>
      <c r="C204" s="26" t="s">
        <v>688</v>
      </c>
      <c r="D204" s="27"/>
      <c r="E204" s="27" t="s">
        <v>710</v>
      </c>
      <c r="F204" s="27" t="s">
        <v>64</v>
      </c>
      <c r="G204" s="28">
        <v>1</v>
      </c>
      <c r="H204" s="27"/>
      <c r="I204" s="28">
        <v>551.70000000000005</v>
      </c>
      <c r="J204" s="29">
        <f>IFERROR(ROUND(SUM(M205,M206,M207,M208)/I204, 2),0)</f>
        <v>2233.0300000000002</v>
      </c>
      <c r="K204" s="29">
        <v>2785</v>
      </c>
      <c r="L204" s="29">
        <f>J204+ROUND(K204, 2)</f>
        <v>5018.0300000000007</v>
      </c>
      <c r="M204" s="29">
        <f>ROUND(J204*I204, 2)</f>
        <v>1231962.6499999999</v>
      </c>
      <c r="N204" s="29">
        <f>ROUND(I204*ROUND(K204, 2), 2)</f>
        <v>1536484.5</v>
      </c>
      <c r="O204" s="29">
        <f>M204+N204</f>
        <v>2768447.15</v>
      </c>
      <c r="P204" s="29">
        <f>IFERROR(ROUND(SUM(S205,S206,S207,S208)/I204, 2),0)</f>
        <v>1530.85</v>
      </c>
      <c r="Q204" s="29">
        <v>2785</v>
      </c>
      <c r="R204" s="29">
        <f>P204+ROUND(Q204, 2)</f>
        <v>4315.8500000000004</v>
      </c>
      <c r="S204" s="29">
        <f>ROUND(P204*I204, 2)</f>
        <v>844569.95</v>
      </c>
      <c r="T204" s="29">
        <f>ROUND(I204*ROUND(Q204, 2), 2)</f>
        <v>1536484.5</v>
      </c>
      <c r="U204" s="29">
        <f>S204+T204</f>
        <v>2381054.4500000002</v>
      </c>
      <c r="V204" s="9">
        <f>ROUND(P204 / 1.2, 2)</f>
        <v>1275.71</v>
      </c>
      <c r="W204" s="9">
        <f>ROUND(Q204 / 1.2, 2)</f>
        <v>2320.83</v>
      </c>
      <c r="X204" s="9">
        <f>ROUND(R204 / 1.2, 2)</f>
        <v>3596.54</v>
      </c>
      <c r="Y204" s="9">
        <f t="shared" si="26"/>
        <v>703808.29</v>
      </c>
      <c r="Z204" s="9">
        <f>ROUND(T204 / 1.2, 2)</f>
        <v>1280403.75</v>
      </c>
      <c r="AA204" s="9">
        <f>Y204+Z204</f>
        <v>1984212.04</v>
      </c>
      <c r="AD204" s="4">
        <v>298925382</v>
      </c>
      <c r="AE204" s="4">
        <v>19973766</v>
      </c>
      <c r="AG204" s="4" t="s">
        <v>690</v>
      </c>
      <c r="AH204" s="4" t="s">
        <v>691</v>
      </c>
      <c r="AI204" s="4" t="s">
        <v>67</v>
      </c>
    </row>
    <row r="205" spans="1:35" ht="36" x14ac:dyDescent="0.3">
      <c r="A205" s="25" t="s">
        <v>711</v>
      </c>
      <c r="B205" s="25"/>
      <c r="C205" s="30" t="s">
        <v>433</v>
      </c>
      <c r="D205" s="27"/>
      <c r="E205" s="27"/>
      <c r="F205" s="31" t="s">
        <v>70</v>
      </c>
      <c r="G205" s="32">
        <v>0.15</v>
      </c>
      <c r="H205" s="27"/>
      <c r="I205" s="32">
        <v>82.754999999999995</v>
      </c>
      <c r="J205" s="34">
        <v>88.8</v>
      </c>
      <c r="K205" s="35"/>
      <c r="L205" s="35"/>
      <c r="M205" s="34">
        <f>ROUND(ROUND(J205, 2)*I205, 2)</f>
        <v>7348.64</v>
      </c>
      <c r="N205" s="35"/>
      <c r="O205" s="35"/>
      <c r="P205" s="34">
        <v>88.8</v>
      </c>
      <c r="Q205" s="35"/>
      <c r="R205" s="35"/>
      <c r="S205" s="34">
        <f>ROUND(ROUND(P205, 2)*I205, 2)</f>
        <v>7348.64</v>
      </c>
      <c r="T205" s="35"/>
      <c r="U205" s="36"/>
      <c r="V205" s="9">
        <f>ROUND(ROUND(P205, 2)/1.2, 2)</f>
        <v>74</v>
      </c>
      <c r="Y205" s="9">
        <f t="shared" si="26"/>
        <v>6123.87</v>
      </c>
      <c r="AD205" s="4" t="s">
        <v>712</v>
      </c>
      <c r="AE205" s="4" t="s">
        <v>713</v>
      </c>
      <c r="AF205" s="4" t="s">
        <v>436</v>
      </c>
    </row>
    <row r="206" spans="1:35" ht="36" x14ac:dyDescent="0.3">
      <c r="A206" s="25" t="s">
        <v>714</v>
      </c>
      <c r="B206" s="25"/>
      <c r="C206" s="30" t="s">
        <v>426</v>
      </c>
      <c r="D206" s="27"/>
      <c r="E206" s="27"/>
      <c r="F206" s="31" t="s">
        <v>70</v>
      </c>
      <c r="G206" s="32">
        <v>0.25</v>
      </c>
      <c r="H206" s="27"/>
      <c r="I206" s="33">
        <v>137.92500000000001</v>
      </c>
      <c r="J206" s="34">
        <v>40.270000000000003</v>
      </c>
      <c r="K206" s="35"/>
      <c r="L206" s="35"/>
      <c r="M206" s="34">
        <f>ROUND(ROUND(J206, 2)*I206, 2)</f>
        <v>5554.24</v>
      </c>
      <c r="N206" s="35"/>
      <c r="O206" s="35"/>
      <c r="P206" s="34">
        <v>40.270000000000003</v>
      </c>
      <c r="Q206" s="35"/>
      <c r="R206" s="35"/>
      <c r="S206" s="34">
        <f>ROUND(ROUND(P206, 2)*I206, 2)</f>
        <v>5554.24</v>
      </c>
      <c r="T206" s="35"/>
      <c r="U206" s="36"/>
      <c r="V206" s="9">
        <f>ROUND(ROUND(P206, 2)/1.2, 2)</f>
        <v>33.56</v>
      </c>
      <c r="Y206" s="9">
        <f t="shared" si="26"/>
        <v>4628.53</v>
      </c>
      <c r="AD206" s="4" t="s">
        <v>715</v>
      </c>
      <c r="AE206" s="4" t="s">
        <v>716</v>
      </c>
      <c r="AF206" s="4" t="s">
        <v>429</v>
      </c>
    </row>
    <row r="207" spans="1:35" ht="72" x14ac:dyDescent="0.3">
      <c r="A207" s="25" t="s">
        <v>717</v>
      </c>
      <c r="B207" s="25"/>
      <c r="C207" s="30" t="s">
        <v>698</v>
      </c>
      <c r="D207" s="27"/>
      <c r="E207" s="27" t="s">
        <v>699</v>
      </c>
      <c r="F207" s="31" t="s">
        <v>64</v>
      </c>
      <c r="G207" s="32">
        <v>1.2</v>
      </c>
      <c r="H207" s="27"/>
      <c r="I207" s="33">
        <v>662.04</v>
      </c>
      <c r="J207" s="34">
        <v>1809.15</v>
      </c>
      <c r="K207" s="35"/>
      <c r="L207" s="35"/>
      <c r="M207" s="34">
        <f>ROUND(ROUND(J207, 2)*I207, 2)</f>
        <v>1197729.67</v>
      </c>
      <c r="N207" s="35"/>
      <c r="O207" s="35"/>
      <c r="P207" s="34">
        <v>1224</v>
      </c>
      <c r="Q207" s="35"/>
      <c r="R207" s="35"/>
      <c r="S207" s="34">
        <f>ROUND(ROUND(P207, 2)*I207, 2)</f>
        <v>810336.96</v>
      </c>
      <c r="T207" s="35"/>
      <c r="U207" s="36"/>
      <c r="V207" s="9">
        <f>ROUND(ROUND(P207, 2)/1.2, 2)</f>
        <v>1020</v>
      </c>
      <c r="Y207" s="9">
        <f t="shared" si="26"/>
        <v>675280.8</v>
      </c>
      <c r="AD207" s="4" t="s">
        <v>718</v>
      </c>
      <c r="AE207" s="4" t="s">
        <v>719</v>
      </c>
      <c r="AF207" s="4" t="s">
        <v>702</v>
      </c>
    </row>
    <row r="208" spans="1:35" ht="54" x14ac:dyDescent="0.3">
      <c r="A208" s="25" t="s">
        <v>720</v>
      </c>
      <c r="B208" s="25"/>
      <c r="C208" s="17" t="s">
        <v>693</v>
      </c>
      <c r="D208" s="27"/>
      <c r="E208" s="27" t="s">
        <v>402</v>
      </c>
      <c r="F208" s="31" t="s">
        <v>70</v>
      </c>
      <c r="G208" s="32">
        <v>1.2</v>
      </c>
      <c r="H208" s="27"/>
      <c r="I208" s="33">
        <v>1324.08</v>
      </c>
      <c r="J208" s="34">
        <v>16.11</v>
      </c>
      <c r="K208" s="35"/>
      <c r="L208" s="35"/>
      <c r="M208" s="34">
        <f>ROUND(ROUND(J208, 2)*I208, 2)</f>
        <v>21330.93</v>
      </c>
      <c r="N208" s="35"/>
      <c r="O208" s="35"/>
      <c r="P208" s="34">
        <v>16.11</v>
      </c>
      <c r="Q208" s="35"/>
      <c r="R208" s="35"/>
      <c r="S208" s="34">
        <f>ROUND(ROUND(P208, 2)*I208, 2)</f>
        <v>21330.93</v>
      </c>
      <c r="T208" s="35"/>
      <c r="U208" s="36"/>
      <c r="V208" s="9">
        <f>ROUND(ROUND(P208, 2)/1.2, 2)</f>
        <v>13.43</v>
      </c>
      <c r="Y208" s="9">
        <f t="shared" si="26"/>
        <v>17775.78</v>
      </c>
      <c r="AD208" s="4" t="s">
        <v>721</v>
      </c>
      <c r="AE208" s="4" t="s">
        <v>722</v>
      </c>
      <c r="AF208" s="4" t="s">
        <v>696</v>
      </c>
    </row>
    <row r="209" spans="1:35" ht="16.95" customHeight="1" x14ac:dyDescent="0.3">
      <c r="A209" s="10" t="s">
        <v>723</v>
      </c>
      <c r="B209" s="10" t="s">
        <v>724</v>
      </c>
      <c r="C209" s="352" t="s">
        <v>725</v>
      </c>
      <c r="D209" s="353"/>
      <c r="E209" s="353"/>
      <c r="F209" s="353"/>
      <c r="G209" s="353"/>
      <c r="H209" s="353"/>
      <c r="I209" s="354"/>
      <c r="M209" s="6">
        <f>SUM(M210,M296,M510,M609)</f>
        <v>11993477.709999999</v>
      </c>
      <c r="N209" s="6">
        <f>SUM(N210,N296,N510,N609)</f>
        <v>47833385.619999997</v>
      </c>
      <c r="O209" s="6">
        <f>SUM(O210,O296,O510,O609)</f>
        <v>59826863.330000006</v>
      </c>
      <c r="S209" s="6">
        <f>SUM(S210,S296,S510,S609)</f>
        <v>13087191.26</v>
      </c>
      <c r="T209" s="6">
        <f>SUM(T210,T296,T510,T609)</f>
        <v>48390099.619999997</v>
      </c>
      <c r="U209" s="6">
        <f>SUM(U210,U296,U510,U609)</f>
        <v>61477290.880000003</v>
      </c>
      <c r="Y209" s="9">
        <f>SUM(Y210,Y296,Y510,Y609)</f>
        <v>10905992.780000001</v>
      </c>
      <c r="Z209" s="9">
        <f>SUM(Z210,Z296,Z510,Z609)</f>
        <v>40325083.050000004</v>
      </c>
      <c r="AA209" s="9">
        <f>SUM(AA210,AA296,AA510,AA609)</f>
        <v>51231075.829999998</v>
      </c>
      <c r="AD209" s="4">
        <v>298925297</v>
      </c>
      <c r="AE209" s="4">
        <v>16211408</v>
      </c>
    </row>
    <row r="210" spans="1:35" ht="16.95" customHeight="1" x14ac:dyDescent="0.3">
      <c r="A210" s="10" t="s">
        <v>726</v>
      </c>
      <c r="B210" s="10" t="s">
        <v>727</v>
      </c>
      <c r="C210" s="352" t="s">
        <v>728</v>
      </c>
      <c r="D210" s="353"/>
      <c r="E210" s="353"/>
      <c r="F210" s="353"/>
      <c r="G210" s="353"/>
      <c r="H210" s="353"/>
      <c r="I210" s="354"/>
      <c r="M210" s="6">
        <f>SUM(M211,M214,M222,M232,M238,M241,M244,M247,M250,M260,M265,M270,M275,M280,M284,M288,M292)</f>
        <v>7216828.5499999989</v>
      </c>
      <c r="N210" s="6">
        <f>SUM(N211,N214,N222,N232,N238,N241,N244,N247,N250,N260,N265,N270,N275,N280,N284,N288,N292)</f>
        <v>34198555.399999999</v>
      </c>
      <c r="O210" s="6">
        <f>SUM(O211,O214,O222,O232,O238,O241,O244,O247,O250,O260,O265,O270,O275,O280,O284,O288,O292)</f>
        <v>41415383.950000003</v>
      </c>
      <c r="S210" s="6">
        <f>SUM(S211,S214,S222,S232,S238,S241,S244,S247,S250,S260,S265,S270,S275,S280,S284,S288,S292)</f>
        <v>6483565.0299999993</v>
      </c>
      <c r="T210" s="6">
        <f>SUM(T211,T214,T222,T232,T238,T241,T244,T247,T250,T260,T265,T270,T275,T280,T284,T288,T292)</f>
        <v>34198555.399999999</v>
      </c>
      <c r="U210" s="6">
        <f>SUM(U211,U214,U222,U232,U238,U241,U244,U247,U250,U260,U265,U270,U275,U280,U284,U288,U292)</f>
        <v>40682120.43</v>
      </c>
      <c r="Y210" s="9">
        <f>SUM(Y211,Y214,Y222,Y232,Y238,Y241,Y244,Y247,Y250,Y260,Y265,Y270,Y275,Y280,Y284,Y288,Y292)</f>
        <v>5402970.870000001</v>
      </c>
      <c r="Z210" s="9">
        <f>SUM(Z211,Z214,Z222,Z232,Z238,Z241,Z244,Z247,Z250,Z260,Z265,Z270,Z275,Z280,Z284,Z288,Z292)</f>
        <v>28498796.18</v>
      </c>
      <c r="AA210" s="9">
        <f>SUM(AA211,AA214,AA222,AA232,AA238,AA241,AA244,AA247,AA250,AA260,AA265,AA270,AA275,AA280,AA284,AA288,AA292)</f>
        <v>33901767.049999997</v>
      </c>
      <c r="AD210" s="4">
        <v>298925298</v>
      </c>
      <c r="AE210" s="4">
        <v>16211414</v>
      </c>
    </row>
    <row r="211" spans="1:35" ht="54" x14ac:dyDescent="0.3">
      <c r="A211" s="25" t="s">
        <v>729</v>
      </c>
      <c r="B211" s="25" t="s">
        <v>730</v>
      </c>
      <c r="C211" s="26" t="s">
        <v>731</v>
      </c>
      <c r="D211" s="27"/>
      <c r="E211" s="27" t="s">
        <v>732</v>
      </c>
      <c r="F211" s="27" t="s">
        <v>87</v>
      </c>
      <c r="G211" s="28">
        <v>1</v>
      </c>
      <c r="H211" s="27"/>
      <c r="I211" s="28">
        <v>3479</v>
      </c>
      <c r="J211" s="29">
        <f>IFERROR(ROUND(SUM(M212,M213)/I211, 2),0)</f>
        <v>11.32</v>
      </c>
      <c r="K211" s="29">
        <v>28</v>
      </c>
      <c r="L211" s="29">
        <f>J211+ROUND(K211, 2)</f>
        <v>39.32</v>
      </c>
      <c r="M211" s="29">
        <f>ROUND(J211*I211, 2)</f>
        <v>39382.28</v>
      </c>
      <c r="N211" s="29">
        <f>ROUND(I211*ROUND(K211, 2), 2)</f>
        <v>97412</v>
      </c>
      <c r="O211" s="29">
        <f>M211+N211</f>
        <v>136794.28</v>
      </c>
      <c r="P211" s="29">
        <f>IFERROR(ROUND(SUM(S212,S213)/I211, 2),0)</f>
        <v>11.32</v>
      </c>
      <c r="Q211" s="29">
        <v>28</v>
      </c>
      <c r="R211" s="29">
        <f>P211+ROUND(Q211, 2)</f>
        <v>39.32</v>
      </c>
      <c r="S211" s="29">
        <f>ROUND(P211*I211, 2)</f>
        <v>39382.28</v>
      </c>
      <c r="T211" s="29">
        <f>ROUND(I211*ROUND(Q211, 2), 2)</f>
        <v>97412</v>
      </c>
      <c r="U211" s="29">
        <f>S211+T211</f>
        <v>136794.28</v>
      </c>
      <c r="V211" s="9">
        <f>ROUND(P211 / 1.2, 2)</f>
        <v>9.43</v>
      </c>
      <c r="W211" s="9">
        <f>ROUND(Q211 / 1.2, 2)</f>
        <v>23.33</v>
      </c>
      <c r="X211" s="9">
        <f>ROUND(R211 / 1.2, 2)</f>
        <v>32.770000000000003</v>
      </c>
      <c r="Y211" s="9">
        <f>ROUND(S211 / 1.2, 2)</f>
        <v>32818.57</v>
      </c>
      <c r="Z211" s="9">
        <f>ROUND(T211 / 1.2, 2)</f>
        <v>81176.67</v>
      </c>
      <c r="AA211" s="9">
        <f>Y211+Z211</f>
        <v>113995.23999999999</v>
      </c>
      <c r="AD211" s="4">
        <v>298925300</v>
      </c>
      <c r="AE211" s="4">
        <v>19813870</v>
      </c>
      <c r="AG211" s="4" t="s">
        <v>733</v>
      </c>
      <c r="AH211" s="4" t="s">
        <v>734</v>
      </c>
      <c r="AI211" s="4" t="s">
        <v>67</v>
      </c>
    </row>
    <row r="212" spans="1:35" ht="36" x14ac:dyDescent="0.3">
      <c r="A212" s="25" t="s">
        <v>735</v>
      </c>
      <c r="B212" s="25"/>
      <c r="C212" s="17" t="s">
        <v>736</v>
      </c>
      <c r="D212" s="27"/>
      <c r="E212" s="27"/>
      <c r="F212" s="31" t="s">
        <v>70</v>
      </c>
      <c r="G212" s="32">
        <v>0.3</v>
      </c>
      <c r="H212" s="27"/>
      <c r="I212" s="33">
        <v>1043.7</v>
      </c>
      <c r="J212" s="34">
        <v>12.07</v>
      </c>
      <c r="K212" s="35"/>
      <c r="L212" s="35"/>
      <c r="M212" s="34">
        <f>ROUND(ROUND(J212, 2)*I212, 2)</f>
        <v>12597.46</v>
      </c>
      <c r="N212" s="35"/>
      <c r="O212" s="35"/>
      <c r="P212" s="34">
        <v>12.07</v>
      </c>
      <c r="Q212" s="35"/>
      <c r="R212" s="35"/>
      <c r="S212" s="34">
        <f>ROUND(ROUND(P212, 2)*I212, 2)</f>
        <v>12597.46</v>
      </c>
      <c r="T212" s="35"/>
      <c r="U212" s="36"/>
      <c r="V212" s="9">
        <f>ROUND(ROUND(P212, 2)/1.2, 2)</f>
        <v>10.06</v>
      </c>
      <c r="Y212" s="9">
        <f>ROUND(S212 / 1.2, 2)</f>
        <v>10497.88</v>
      </c>
      <c r="AD212" s="4" t="s">
        <v>737</v>
      </c>
      <c r="AE212" s="4" t="s">
        <v>738</v>
      </c>
      <c r="AF212" s="4" t="s">
        <v>739</v>
      </c>
    </row>
    <row r="213" spans="1:35" ht="18" x14ac:dyDescent="0.3">
      <c r="A213" s="25" t="s">
        <v>740</v>
      </c>
      <c r="B213" s="25"/>
      <c r="C213" s="30" t="s">
        <v>741</v>
      </c>
      <c r="D213" s="27"/>
      <c r="E213" s="27"/>
      <c r="F213" s="31" t="s">
        <v>87</v>
      </c>
      <c r="G213" s="32">
        <v>1.1000000000000001</v>
      </c>
      <c r="H213" s="27"/>
      <c r="I213" s="33">
        <v>3826.9</v>
      </c>
      <c r="J213" s="34">
        <v>7</v>
      </c>
      <c r="K213" s="35"/>
      <c r="L213" s="35"/>
      <c r="M213" s="34">
        <f>ROUND(ROUND(J213, 2)*I213, 2)</f>
        <v>26788.3</v>
      </c>
      <c r="N213" s="35"/>
      <c r="O213" s="35"/>
      <c r="P213" s="34">
        <v>7</v>
      </c>
      <c r="Q213" s="35"/>
      <c r="R213" s="35"/>
      <c r="S213" s="34">
        <f>ROUND(ROUND(P213, 2)*I213, 2)</f>
        <v>26788.3</v>
      </c>
      <c r="T213" s="35"/>
      <c r="U213" s="36"/>
      <c r="V213" s="9">
        <f>ROUND(ROUND(P213, 2)/1.2, 2)</f>
        <v>5.83</v>
      </c>
      <c r="Y213" s="9">
        <f>ROUND(S213 / 1.2, 2)</f>
        <v>22323.58</v>
      </c>
      <c r="AD213" s="4" t="s">
        <v>742</v>
      </c>
      <c r="AE213" s="4" t="s">
        <v>743</v>
      </c>
      <c r="AF213" s="4" t="s">
        <v>744</v>
      </c>
    </row>
    <row r="214" spans="1:35" ht="54" x14ac:dyDescent="0.3">
      <c r="A214" s="37" t="s">
        <v>745</v>
      </c>
      <c r="B214" s="37" t="s">
        <v>746</v>
      </c>
      <c r="C214" s="38" t="s">
        <v>747</v>
      </c>
      <c r="D214" s="39"/>
      <c r="E214" s="39" t="s">
        <v>63</v>
      </c>
      <c r="F214" s="39" t="s">
        <v>64</v>
      </c>
      <c r="G214" s="40">
        <v>1</v>
      </c>
      <c r="H214" s="39"/>
      <c r="I214" s="41">
        <v>0</v>
      </c>
      <c r="J214" s="42">
        <f>IFERROR(ROUND(SUM(M216,M218,M220)/I214, 2),0)</f>
        <v>0</v>
      </c>
      <c r="K214" s="42">
        <v>826</v>
      </c>
      <c r="L214" s="42">
        <f>J214+ROUND(K214, 2)</f>
        <v>826</v>
      </c>
      <c r="M214" s="42">
        <f>ROUND(J214*I214, 2)</f>
        <v>0</v>
      </c>
      <c r="N214" s="42">
        <f>ROUND(I214*ROUND(K214, 2), 2)</f>
        <v>0</v>
      </c>
      <c r="O214" s="42">
        <f>M214+N214</f>
        <v>0</v>
      </c>
      <c r="P214" s="42">
        <f>IFERROR(ROUND(SUM(S216,S218,S220)/I214, 2),0)</f>
        <v>0</v>
      </c>
      <c r="Q214" s="42">
        <v>826</v>
      </c>
      <c r="R214" s="42">
        <f>P214+ROUND(Q214, 2)</f>
        <v>826</v>
      </c>
      <c r="S214" s="42">
        <f>ROUND(P214*I214, 2)</f>
        <v>0</v>
      </c>
      <c r="T214" s="42">
        <f>ROUND(I214*ROUND(Q214, 2), 2)</f>
        <v>0</v>
      </c>
      <c r="U214" s="42">
        <f>S214+T214</f>
        <v>0</v>
      </c>
      <c r="V214" s="9">
        <f>ROUND(P214 / 1.2, 2)</f>
        <v>0</v>
      </c>
      <c r="W214" s="9">
        <f>ROUND(Q214 / 1.2, 2)</f>
        <v>688.33</v>
      </c>
      <c r="X214" s="9">
        <f>ROUND(R214 / 1.2, 2)</f>
        <v>688.33</v>
      </c>
      <c r="Y214" s="9">
        <f>ROUND(S214 / 1.2, 2)</f>
        <v>0</v>
      </c>
      <c r="Z214" s="9">
        <f>ROUND(T214 / 1.2, 2)</f>
        <v>0</v>
      </c>
      <c r="AA214" s="9">
        <f>Y214+Z214</f>
        <v>0</v>
      </c>
      <c r="AD214" s="4">
        <v>298925302</v>
      </c>
      <c r="AE214" s="4">
        <v>16677750</v>
      </c>
      <c r="AG214" s="4" t="s">
        <v>748</v>
      </c>
      <c r="AH214" s="4" t="s">
        <v>749</v>
      </c>
      <c r="AI214" s="4" t="s">
        <v>67</v>
      </c>
    </row>
    <row r="215" spans="1:35" ht="54" x14ac:dyDescent="0.3">
      <c r="A215" s="43" t="s">
        <v>750</v>
      </c>
      <c r="B215" s="43" t="s">
        <v>746</v>
      </c>
      <c r="C215" s="44" t="s">
        <v>747</v>
      </c>
      <c r="D215" s="45"/>
      <c r="E215" s="45"/>
      <c r="F215" s="45" t="s">
        <v>64</v>
      </c>
      <c r="G215" s="46">
        <v>1</v>
      </c>
      <c r="H215" s="45"/>
      <c r="I215" s="46">
        <v>8158.2</v>
      </c>
      <c r="J215" s="47">
        <v>0</v>
      </c>
      <c r="K215" s="47">
        <v>826</v>
      </c>
      <c r="L215" s="47"/>
      <c r="M215" s="47">
        <v>0</v>
      </c>
      <c r="N215" s="47"/>
      <c r="O215" s="47"/>
      <c r="P215" s="47">
        <v>0</v>
      </c>
      <c r="Q215" s="47">
        <v>826</v>
      </c>
      <c r="R215" s="47"/>
      <c r="S215" s="47">
        <v>0</v>
      </c>
      <c r="T215" s="47"/>
      <c r="U215" s="47"/>
      <c r="V215" s="9"/>
      <c r="W215" s="9">
        <f>ROUND(Q215 / 1.2, 2)</f>
        <v>688.33</v>
      </c>
      <c r="X215" s="9">
        <f>ROUND(R215 / 1.2, 2)</f>
        <v>0</v>
      </c>
      <c r="Y215" s="9"/>
      <c r="Z215" s="9">
        <f>ROUND(T215 / 1.2, 2)</f>
        <v>0</v>
      </c>
      <c r="AA215" s="9"/>
      <c r="AD215" s="4">
        <v>213487858</v>
      </c>
      <c r="AE215" s="4">
        <v>16677750</v>
      </c>
      <c r="AG215" s="4" t="s">
        <v>748</v>
      </c>
      <c r="AH215" s="4" t="s">
        <v>749</v>
      </c>
      <c r="AI215" s="4"/>
    </row>
    <row r="216" spans="1:35" ht="36" x14ac:dyDescent="0.3">
      <c r="A216" s="37" t="s">
        <v>751</v>
      </c>
      <c r="B216" s="37"/>
      <c r="C216" s="48" t="s">
        <v>752</v>
      </c>
      <c r="D216" s="39"/>
      <c r="E216" s="39" t="s">
        <v>753</v>
      </c>
      <c r="F216" s="49" t="s">
        <v>70</v>
      </c>
      <c r="G216" s="50">
        <v>1</v>
      </c>
      <c r="H216" s="39"/>
      <c r="I216" s="51">
        <v>0</v>
      </c>
      <c r="J216" s="52">
        <v>7.59</v>
      </c>
      <c r="K216" s="53"/>
      <c r="L216" s="53"/>
      <c r="M216" s="52">
        <f t="shared" ref="M216:M221" si="27">ROUND(ROUND(J216, 2)*I216, 2)</f>
        <v>0</v>
      </c>
      <c r="N216" s="53"/>
      <c r="O216" s="53"/>
      <c r="P216" s="52">
        <v>7.59</v>
      </c>
      <c r="Q216" s="53"/>
      <c r="R216" s="53"/>
      <c r="S216" s="52">
        <f t="shared" ref="S216:S221" si="28">ROUND(ROUND(P216, 2)*I216, 2)</f>
        <v>0</v>
      </c>
      <c r="T216" s="53"/>
      <c r="U216" s="54"/>
      <c r="V216" s="9">
        <f t="shared" ref="V216:V221" si="29">ROUND(ROUND(P216, 2)/1.2, 2)</f>
        <v>6.33</v>
      </c>
      <c r="Y216" s="9">
        <f t="shared" ref="Y216:Y222" si="30">ROUND(S216 / 1.2, 2)</f>
        <v>0</v>
      </c>
      <c r="AD216" s="4" t="s">
        <v>754</v>
      </c>
      <c r="AE216" s="4" t="s">
        <v>755</v>
      </c>
      <c r="AF216" s="4" t="s">
        <v>756</v>
      </c>
    </row>
    <row r="217" spans="1:35" ht="36" x14ac:dyDescent="0.3">
      <c r="A217" s="43" t="s">
        <v>757</v>
      </c>
      <c r="B217" s="43"/>
      <c r="C217" s="55" t="s">
        <v>752</v>
      </c>
      <c r="D217" s="45"/>
      <c r="E217" s="45" t="s">
        <v>753</v>
      </c>
      <c r="F217" s="56" t="s">
        <v>70</v>
      </c>
      <c r="G217" s="57">
        <v>1</v>
      </c>
      <c r="H217" s="45"/>
      <c r="I217" s="58">
        <v>163164</v>
      </c>
      <c r="J217" s="59">
        <v>7.59</v>
      </c>
      <c r="K217" s="60"/>
      <c r="L217" s="60"/>
      <c r="M217" s="59">
        <f t="shared" si="27"/>
        <v>1238414.76</v>
      </c>
      <c r="N217" s="60"/>
      <c r="O217" s="60"/>
      <c r="P217" s="59">
        <v>7.59</v>
      </c>
      <c r="Q217" s="60"/>
      <c r="R217" s="60"/>
      <c r="S217" s="59">
        <f t="shared" si="28"/>
        <v>1238414.76</v>
      </c>
      <c r="T217" s="60"/>
      <c r="U217" s="61"/>
      <c r="V217" s="9">
        <f t="shared" si="29"/>
        <v>6.33</v>
      </c>
      <c r="Y217" s="9">
        <f t="shared" si="30"/>
        <v>1032012.3</v>
      </c>
      <c r="AD217" s="4" t="s">
        <v>758</v>
      </c>
      <c r="AE217" s="4" t="s">
        <v>755</v>
      </c>
      <c r="AF217" s="4" t="s">
        <v>756</v>
      </c>
    </row>
    <row r="218" spans="1:35" ht="18" x14ac:dyDescent="0.3">
      <c r="A218" s="37" t="s">
        <v>759</v>
      </c>
      <c r="B218" s="37"/>
      <c r="C218" s="48" t="s">
        <v>760</v>
      </c>
      <c r="D218" s="39"/>
      <c r="E218" s="39"/>
      <c r="F218" s="49" t="s">
        <v>70</v>
      </c>
      <c r="G218" s="50">
        <v>0.25</v>
      </c>
      <c r="H218" s="39"/>
      <c r="I218" s="62">
        <v>0</v>
      </c>
      <c r="J218" s="52">
        <v>100</v>
      </c>
      <c r="K218" s="53"/>
      <c r="L218" s="53"/>
      <c r="M218" s="52">
        <f t="shared" si="27"/>
        <v>0</v>
      </c>
      <c r="N218" s="53"/>
      <c r="O218" s="53"/>
      <c r="P218" s="52">
        <v>100</v>
      </c>
      <c r="Q218" s="53"/>
      <c r="R218" s="53"/>
      <c r="S218" s="52">
        <f t="shared" si="28"/>
        <v>0</v>
      </c>
      <c r="T218" s="53"/>
      <c r="U218" s="54"/>
      <c r="V218" s="9">
        <f t="shared" si="29"/>
        <v>83.33</v>
      </c>
      <c r="Y218" s="9">
        <f t="shared" si="30"/>
        <v>0</v>
      </c>
      <c r="AD218" s="4" t="s">
        <v>761</v>
      </c>
      <c r="AE218" s="4" t="s">
        <v>762</v>
      </c>
      <c r="AF218" s="4" t="s">
        <v>763</v>
      </c>
    </row>
    <row r="219" spans="1:35" ht="18" x14ac:dyDescent="0.3">
      <c r="A219" s="43" t="s">
        <v>764</v>
      </c>
      <c r="B219" s="43"/>
      <c r="C219" s="55" t="s">
        <v>760</v>
      </c>
      <c r="D219" s="45"/>
      <c r="E219" s="45"/>
      <c r="F219" s="56" t="s">
        <v>70</v>
      </c>
      <c r="G219" s="57">
        <v>0.25</v>
      </c>
      <c r="H219" s="45"/>
      <c r="I219" s="57">
        <v>2039.55</v>
      </c>
      <c r="J219" s="59">
        <v>100</v>
      </c>
      <c r="K219" s="60"/>
      <c r="L219" s="60"/>
      <c r="M219" s="59">
        <f t="shared" si="27"/>
        <v>203955</v>
      </c>
      <c r="N219" s="60"/>
      <c r="O219" s="60"/>
      <c r="P219" s="59">
        <v>100</v>
      </c>
      <c r="Q219" s="60"/>
      <c r="R219" s="60"/>
      <c r="S219" s="59">
        <f t="shared" si="28"/>
        <v>203955</v>
      </c>
      <c r="T219" s="60"/>
      <c r="U219" s="61"/>
      <c r="V219" s="9">
        <f t="shared" si="29"/>
        <v>83.33</v>
      </c>
      <c r="Y219" s="9">
        <f t="shared" si="30"/>
        <v>169962.5</v>
      </c>
      <c r="AD219" s="4" t="s">
        <v>765</v>
      </c>
      <c r="AE219" s="4" t="s">
        <v>762</v>
      </c>
      <c r="AF219" s="4" t="s">
        <v>763</v>
      </c>
    </row>
    <row r="220" spans="1:35" ht="18" x14ac:dyDescent="0.3">
      <c r="A220" s="37" t="s">
        <v>766</v>
      </c>
      <c r="B220" s="37"/>
      <c r="C220" s="48" t="s">
        <v>767</v>
      </c>
      <c r="D220" s="39"/>
      <c r="E220" s="39"/>
      <c r="F220" s="49" t="s">
        <v>87</v>
      </c>
      <c r="G220" s="50">
        <v>1.05</v>
      </c>
      <c r="H220" s="39"/>
      <c r="I220" s="51">
        <v>0</v>
      </c>
      <c r="J220" s="52">
        <v>15.76</v>
      </c>
      <c r="K220" s="53"/>
      <c r="L220" s="53"/>
      <c r="M220" s="52">
        <f t="shared" si="27"/>
        <v>0</v>
      </c>
      <c r="N220" s="53"/>
      <c r="O220" s="53"/>
      <c r="P220" s="52">
        <v>15.76</v>
      </c>
      <c r="Q220" s="53"/>
      <c r="R220" s="53"/>
      <c r="S220" s="52">
        <f t="shared" si="28"/>
        <v>0</v>
      </c>
      <c r="T220" s="53"/>
      <c r="U220" s="54"/>
      <c r="V220" s="9">
        <f t="shared" si="29"/>
        <v>13.13</v>
      </c>
      <c r="Y220" s="9">
        <f t="shared" si="30"/>
        <v>0</v>
      </c>
      <c r="AD220" s="4" t="s">
        <v>768</v>
      </c>
      <c r="AE220" s="4" t="s">
        <v>769</v>
      </c>
      <c r="AF220" s="4" t="s">
        <v>770</v>
      </c>
    </row>
    <row r="221" spans="1:35" ht="18" x14ac:dyDescent="0.3">
      <c r="A221" s="43" t="s">
        <v>771</v>
      </c>
      <c r="B221" s="43"/>
      <c r="C221" s="55" t="s">
        <v>767</v>
      </c>
      <c r="D221" s="45"/>
      <c r="E221" s="45"/>
      <c r="F221" s="56" t="s">
        <v>87</v>
      </c>
      <c r="G221" s="57">
        <v>1.05</v>
      </c>
      <c r="H221" s="45"/>
      <c r="I221" s="58">
        <v>3339</v>
      </c>
      <c r="J221" s="59">
        <v>15.76</v>
      </c>
      <c r="K221" s="60"/>
      <c r="L221" s="60"/>
      <c r="M221" s="59">
        <f t="shared" si="27"/>
        <v>52622.64</v>
      </c>
      <c r="N221" s="60"/>
      <c r="O221" s="60"/>
      <c r="P221" s="59">
        <v>15.76</v>
      </c>
      <c r="Q221" s="60"/>
      <c r="R221" s="60"/>
      <c r="S221" s="59">
        <f t="shared" si="28"/>
        <v>52622.64</v>
      </c>
      <c r="T221" s="60"/>
      <c r="U221" s="61"/>
      <c r="V221" s="9">
        <f t="shared" si="29"/>
        <v>13.13</v>
      </c>
      <c r="Y221" s="9">
        <f t="shared" si="30"/>
        <v>43852.2</v>
      </c>
      <c r="AD221" s="4" t="s">
        <v>772</v>
      </c>
      <c r="AE221" s="4" t="s">
        <v>769</v>
      </c>
      <c r="AF221" s="4" t="s">
        <v>770</v>
      </c>
    </row>
    <row r="222" spans="1:35" ht="54" x14ac:dyDescent="0.3">
      <c r="A222" s="37" t="s">
        <v>773</v>
      </c>
      <c r="B222" s="37" t="s">
        <v>774</v>
      </c>
      <c r="C222" s="38" t="s">
        <v>775</v>
      </c>
      <c r="D222" s="39"/>
      <c r="E222" s="39" t="s">
        <v>776</v>
      </c>
      <c r="F222" s="39" t="s">
        <v>64</v>
      </c>
      <c r="G222" s="40">
        <v>1</v>
      </c>
      <c r="H222" s="39"/>
      <c r="I222" s="41">
        <v>0</v>
      </c>
      <c r="J222" s="42">
        <f>IFERROR(ROUND(SUM(M224,M226,M228,M230)/I222, 2),0)</f>
        <v>0</v>
      </c>
      <c r="K222" s="42">
        <v>329</v>
      </c>
      <c r="L222" s="42">
        <f>J222+ROUND(K222, 2)</f>
        <v>329</v>
      </c>
      <c r="M222" s="42">
        <f>ROUND(J222*I222, 2)</f>
        <v>0</v>
      </c>
      <c r="N222" s="42">
        <f>ROUND(I222*ROUND(K222, 2), 2)</f>
        <v>0</v>
      </c>
      <c r="O222" s="42">
        <f>M222+N222</f>
        <v>0</v>
      </c>
      <c r="P222" s="42">
        <f>IFERROR(ROUND(SUM(S224,S226,S228,S230)/I222, 2),0)</f>
        <v>0</v>
      </c>
      <c r="Q222" s="42">
        <v>329</v>
      </c>
      <c r="R222" s="42">
        <f>P222+ROUND(Q222, 2)</f>
        <v>329</v>
      </c>
      <c r="S222" s="42">
        <f>ROUND(P222*I222, 2)</f>
        <v>0</v>
      </c>
      <c r="T222" s="42">
        <f>ROUND(I222*ROUND(Q222, 2), 2)</f>
        <v>0</v>
      </c>
      <c r="U222" s="42">
        <f>S222+T222</f>
        <v>0</v>
      </c>
      <c r="V222" s="9">
        <f>ROUND(P222 / 1.2, 2)</f>
        <v>0</v>
      </c>
      <c r="W222" s="9">
        <f>ROUND(Q222 / 1.2, 2)</f>
        <v>274.17</v>
      </c>
      <c r="X222" s="9">
        <f>ROUND(R222 / 1.2, 2)</f>
        <v>274.17</v>
      </c>
      <c r="Y222" s="9">
        <f t="shared" si="30"/>
        <v>0</v>
      </c>
      <c r="Z222" s="9">
        <f>ROUND(T222 / 1.2, 2)</f>
        <v>0</v>
      </c>
      <c r="AA222" s="9">
        <f>Y222+Z222</f>
        <v>0</v>
      </c>
      <c r="AD222" s="4">
        <v>298925304</v>
      </c>
      <c r="AE222" s="4">
        <v>16211417</v>
      </c>
      <c r="AG222" s="4" t="s">
        <v>777</v>
      </c>
      <c r="AH222" s="4" t="s">
        <v>778</v>
      </c>
      <c r="AI222" s="4" t="s">
        <v>67</v>
      </c>
    </row>
    <row r="223" spans="1:35" ht="54" x14ac:dyDescent="0.3">
      <c r="A223" s="43" t="s">
        <v>779</v>
      </c>
      <c r="B223" s="43" t="s">
        <v>774</v>
      </c>
      <c r="C223" s="44" t="s">
        <v>775</v>
      </c>
      <c r="D223" s="45"/>
      <c r="E223" s="45" t="s">
        <v>780</v>
      </c>
      <c r="F223" s="45" t="s">
        <v>64</v>
      </c>
      <c r="G223" s="46">
        <v>1</v>
      </c>
      <c r="H223" s="45"/>
      <c r="I223" s="46">
        <v>9147.2999999999993</v>
      </c>
      <c r="J223" s="47">
        <v>0</v>
      </c>
      <c r="K223" s="47">
        <v>329</v>
      </c>
      <c r="L223" s="47"/>
      <c r="M223" s="47">
        <v>0</v>
      </c>
      <c r="N223" s="47"/>
      <c r="O223" s="47"/>
      <c r="P223" s="47">
        <v>0</v>
      </c>
      <c r="Q223" s="47">
        <v>329</v>
      </c>
      <c r="R223" s="47"/>
      <c r="S223" s="47">
        <v>0</v>
      </c>
      <c r="T223" s="47"/>
      <c r="U223" s="47"/>
      <c r="V223" s="9"/>
      <c r="W223" s="9">
        <f>ROUND(Q223 / 1.2, 2)</f>
        <v>274.17</v>
      </c>
      <c r="X223" s="9">
        <f>ROUND(R223 / 1.2, 2)</f>
        <v>0</v>
      </c>
      <c r="Y223" s="9"/>
      <c r="Z223" s="9">
        <f>ROUND(T223 / 1.2, 2)</f>
        <v>0</v>
      </c>
      <c r="AA223" s="9"/>
      <c r="AD223" s="4">
        <v>220089264</v>
      </c>
      <c r="AE223" s="4">
        <v>16211417</v>
      </c>
      <c r="AG223" s="4" t="s">
        <v>777</v>
      </c>
      <c r="AH223" s="4" t="s">
        <v>778</v>
      </c>
      <c r="AI223" s="4"/>
    </row>
    <row r="224" spans="1:35" ht="36" x14ac:dyDescent="0.3">
      <c r="A224" s="37" t="s">
        <v>781</v>
      </c>
      <c r="B224" s="37"/>
      <c r="C224" s="48" t="s">
        <v>736</v>
      </c>
      <c r="D224" s="39"/>
      <c r="E224" s="39" t="s">
        <v>782</v>
      </c>
      <c r="F224" s="49" t="s">
        <v>70</v>
      </c>
      <c r="G224" s="50">
        <v>1.8</v>
      </c>
      <c r="H224" s="39"/>
      <c r="I224" s="62">
        <v>0</v>
      </c>
      <c r="J224" s="52">
        <v>12.58</v>
      </c>
      <c r="K224" s="53"/>
      <c r="L224" s="53"/>
      <c r="M224" s="52">
        <f t="shared" ref="M224:M231" si="31">ROUND(ROUND(J224, 2)*I224, 2)</f>
        <v>0</v>
      </c>
      <c r="N224" s="53"/>
      <c r="O224" s="53"/>
      <c r="P224" s="52">
        <v>12.58</v>
      </c>
      <c r="Q224" s="53"/>
      <c r="R224" s="53"/>
      <c r="S224" s="52">
        <f t="shared" ref="S224:S231" si="32">ROUND(ROUND(P224, 2)*I224, 2)</f>
        <v>0</v>
      </c>
      <c r="T224" s="53"/>
      <c r="U224" s="54"/>
      <c r="V224" s="9">
        <f t="shared" ref="V224:V231" si="33">ROUND(ROUND(P224, 2)/1.2, 2)</f>
        <v>10.48</v>
      </c>
      <c r="Y224" s="9">
        <f t="shared" ref="Y224:Y232" si="34">ROUND(S224 / 1.2, 2)</f>
        <v>0</v>
      </c>
      <c r="AD224" s="4" t="s">
        <v>783</v>
      </c>
      <c r="AE224" s="4" t="s">
        <v>784</v>
      </c>
      <c r="AF224" s="4" t="s">
        <v>785</v>
      </c>
    </row>
    <row r="225" spans="1:35" ht="36" x14ac:dyDescent="0.3">
      <c r="A225" s="43" t="s">
        <v>786</v>
      </c>
      <c r="B225" s="43"/>
      <c r="C225" s="55" t="s">
        <v>736</v>
      </c>
      <c r="D225" s="45"/>
      <c r="E225" s="45" t="s">
        <v>782</v>
      </c>
      <c r="F225" s="56" t="s">
        <v>70</v>
      </c>
      <c r="G225" s="57">
        <v>1.8</v>
      </c>
      <c r="H225" s="45"/>
      <c r="I225" s="57">
        <v>16465.14</v>
      </c>
      <c r="J225" s="59">
        <v>12.58</v>
      </c>
      <c r="K225" s="60"/>
      <c r="L225" s="60"/>
      <c r="M225" s="59">
        <f t="shared" si="31"/>
        <v>207131.46</v>
      </c>
      <c r="N225" s="60"/>
      <c r="O225" s="60"/>
      <c r="P225" s="59">
        <v>12.58</v>
      </c>
      <c r="Q225" s="60"/>
      <c r="R225" s="60"/>
      <c r="S225" s="59">
        <f t="shared" si="32"/>
        <v>207131.46</v>
      </c>
      <c r="T225" s="60"/>
      <c r="U225" s="61"/>
      <c r="V225" s="9">
        <f t="shared" si="33"/>
        <v>10.48</v>
      </c>
      <c r="Y225" s="9">
        <f t="shared" si="34"/>
        <v>172609.55</v>
      </c>
      <c r="AD225" s="4" t="s">
        <v>787</v>
      </c>
      <c r="AE225" s="4" t="s">
        <v>784</v>
      </c>
      <c r="AF225" s="4" t="s">
        <v>785</v>
      </c>
    </row>
    <row r="226" spans="1:35" ht="18" x14ac:dyDescent="0.3">
      <c r="A226" s="37" t="s">
        <v>788</v>
      </c>
      <c r="B226" s="37"/>
      <c r="C226" s="48" t="s">
        <v>789</v>
      </c>
      <c r="D226" s="39"/>
      <c r="E226" s="39"/>
      <c r="F226" s="49" t="s">
        <v>116</v>
      </c>
      <c r="G226" s="50">
        <v>0.3</v>
      </c>
      <c r="H226" s="39"/>
      <c r="I226" s="51">
        <v>0</v>
      </c>
      <c r="J226" s="52">
        <v>73.099999999999994</v>
      </c>
      <c r="K226" s="53"/>
      <c r="L226" s="53"/>
      <c r="M226" s="52">
        <f t="shared" si="31"/>
        <v>0</v>
      </c>
      <c r="N226" s="53"/>
      <c r="O226" s="53"/>
      <c r="P226" s="52">
        <v>73.099999999999994</v>
      </c>
      <c r="Q226" s="53"/>
      <c r="R226" s="53"/>
      <c r="S226" s="52">
        <f t="shared" si="32"/>
        <v>0</v>
      </c>
      <c r="T226" s="53"/>
      <c r="U226" s="54"/>
      <c r="V226" s="9">
        <f t="shared" si="33"/>
        <v>60.92</v>
      </c>
      <c r="Y226" s="9">
        <f t="shared" si="34"/>
        <v>0</v>
      </c>
      <c r="AD226" s="4" t="s">
        <v>790</v>
      </c>
      <c r="AE226" s="4" t="s">
        <v>791</v>
      </c>
      <c r="AF226" s="4" t="s">
        <v>792</v>
      </c>
    </row>
    <row r="227" spans="1:35" ht="18" x14ac:dyDescent="0.3">
      <c r="A227" s="43" t="s">
        <v>793</v>
      </c>
      <c r="B227" s="43"/>
      <c r="C227" s="55" t="s">
        <v>789</v>
      </c>
      <c r="D227" s="45"/>
      <c r="E227" s="45"/>
      <c r="F227" s="56" t="s">
        <v>116</v>
      </c>
      <c r="G227" s="57">
        <v>0.3</v>
      </c>
      <c r="H227" s="45"/>
      <c r="I227" s="58">
        <v>567</v>
      </c>
      <c r="J227" s="59">
        <v>73.099999999999994</v>
      </c>
      <c r="K227" s="60"/>
      <c r="L227" s="60"/>
      <c r="M227" s="59">
        <f t="shared" si="31"/>
        <v>41447.699999999997</v>
      </c>
      <c r="N227" s="60"/>
      <c r="O227" s="60"/>
      <c r="P227" s="59">
        <v>73.099999999999994</v>
      </c>
      <c r="Q227" s="60"/>
      <c r="R227" s="60"/>
      <c r="S227" s="59">
        <f t="shared" si="32"/>
        <v>41447.699999999997</v>
      </c>
      <c r="T227" s="60"/>
      <c r="U227" s="61"/>
      <c r="V227" s="9">
        <f t="shared" si="33"/>
        <v>60.92</v>
      </c>
      <c r="Y227" s="9">
        <f t="shared" si="34"/>
        <v>34539.75</v>
      </c>
      <c r="AD227" s="4" t="s">
        <v>794</v>
      </c>
      <c r="AE227" s="4" t="s">
        <v>791</v>
      </c>
      <c r="AF227" s="4" t="s">
        <v>792</v>
      </c>
    </row>
    <row r="228" spans="1:35" ht="18" x14ac:dyDescent="0.3">
      <c r="A228" s="37" t="s">
        <v>795</v>
      </c>
      <c r="B228" s="37"/>
      <c r="C228" s="48" t="s">
        <v>796</v>
      </c>
      <c r="D228" s="39"/>
      <c r="E228" s="39"/>
      <c r="F228" s="49" t="s">
        <v>87</v>
      </c>
      <c r="G228" s="50">
        <v>1</v>
      </c>
      <c r="H228" s="39"/>
      <c r="I228" s="51">
        <v>0</v>
      </c>
      <c r="J228" s="52">
        <v>7</v>
      </c>
      <c r="K228" s="53"/>
      <c r="L228" s="53"/>
      <c r="M228" s="52">
        <f t="shared" si="31"/>
        <v>0</v>
      </c>
      <c r="N228" s="53"/>
      <c r="O228" s="53"/>
      <c r="P228" s="52">
        <v>7</v>
      </c>
      <c r="Q228" s="53"/>
      <c r="R228" s="53"/>
      <c r="S228" s="52">
        <f t="shared" si="32"/>
        <v>0</v>
      </c>
      <c r="T228" s="53"/>
      <c r="U228" s="54"/>
      <c r="V228" s="9">
        <f t="shared" si="33"/>
        <v>5.83</v>
      </c>
      <c r="Y228" s="9">
        <f t="shared" si="34"/>
        <v>0</v>
      </c>
      <c r="AD228" s="4" t="s">
        <v>797</v>
      </c>
      <c r="AE228" s="4" t="s">
        <v>798</v>
      </c>
      <c r="AF228" s="4" t="s">
        <v>799</v>
      </c>
    </row>
    <row r="229" spans="1:35" ht="18" x14ac:dyDescent="0.3">
      <c r="A229" s="43" t="s">
        <v>800</v>
      </c>
      <c r="B229" s="43"/>
      <c r="C229" s="55" t="s">
        <v>796</v>
      </c>
      <c r="D229" s="45"/>
      <c r="E229" s="45"/>
      <c r="F229" s="56" t="s">
        <v>87</v>
      </c>
      <c r="G229" s="57">
        <v>1</v>
      </c>
      <c r="H229" s="45"/>
      <c r="I229" s="58">
        <v>1500</v>
      </c>
      <c r="J229" s="59">
        <v>7</v>
      </c>
      <c r="K229" s="60"/>
      <c r="L229" s="60"/>
      <c r="M229" s="59">
        <f t="shared" si="31"/>
        <v>10500</v>
      </c>
      <c r="N229" s="60"/>
      <c r="O229" s="60"/>
      <c r="P229" s="59">
        <v>7</v>
      </c>
      <c r="Q229" s="60"/>
      <c r="R229" s="60"/>
      <c r="S229" s="59">
        <f t="shared" si="32"/>
        <v>10500</v>
      </c>
      <c r="T229" s="60"/>
      <c r="U229" s="61"/>
      <c r="V229" s="9">
        <f t="shared" si="33"/>
        <v>5.83</v>
      </c>
      <c r="Y229" s="9">
        <f t="shared" si="34"/>
        <v>8750</v>
      </c>
      <c r="AD229" s="4" t="s">
        <v>801</v>
      </c>
      <c r="AE229" s="4" t="s">
        <v>798</v>
      </c>
      <c r="AF229" s="4" t="s">
        <v>799</v>
      </c>
    </row>
    <row r="230" spans="1:35" ht="36" x14ac:dyDescent="0.3">
      <c r="A230" s="37" t="s">
        <v>802</v>
      </c>
      <c r="B230" s="37"/>
      <c r="C230" s="48" t="s">
        <v>433</v>
      </c>
      <c r="D230" s="39"/>
      <c r="E230" s="39"/>
      <c r="F230" s="49" t="s">
        <v>70</v>
      </c>
      <c r="G230" s="50">
        <v>0.15</v>
      </c>
      <c r="H230" s="39"/>
      <c r="I230" s="62">
        <v>0</v>
      </c>
      <c r="J230" s="52">
        <v>88.8</v>
      </c>
      <c r="K230" s="53"/>
      <c r="L230" s="53"/>
      <c r="M230" s="52">
        <f t="shared" si="31"/>
        <v>0</v>
      </c>
      <c r="N230" s="53"/>
      <c r="O230" s="53"/>
      <c r="P230" s="52">
        <v>88.8</v>
      </c>
      <c r="Q230" s="53"/>
      <c r="R230" s="53"/>
      <c r="S230" s="52">
        <f t="shared" si="32"/>
        <v>0</v>
      </c>
      <c r="T230" s="53"/>
      <c r="U230" s="54"/>
      <c r="V230" s="9">
        <f t="shared" si="33"/>
        <v>74</v>
      </c>
      <c r="Y230" s="9">
        <f t="shared" si="34"/>
        <v>0</v>
      </c>
      <c r="AD230" s="4" t="s">
        <v>803</v>
      </c>
      <c r="AE230" s="4" t="s">
        <v>804</v>
      </c>
      <c r="AF230" s="4" t="s">
        <v>436</v>
      </c>
    </row>
    <row r="231" spans="1:35" ht="36" x14ac:dyDescent="0.3">
      <c r="A231" s="43" t="s">
        <v>805</v>
      </c>
      <c r="B231" s="43"/>
      <c r="C231" s="55" t="s">
        <v>433</v>
      </c>
      <c r="D231" s="45"/>
      <c r="E231" s="45"/>
      <c r="F231" s="56" t="s">
        <v>70</v>
      </c>
      <c r="G231" s="57">
        <v>0.15</v>
      </c>
      <c r="H231" s="45"/>
      <c r="I231" s="57">
        <v>1372.095</v>
      </c>
      <c r="J231" s="59">
        <v>88.8</v>
      </c>
      <c r="K231" s="60"/>
      <c r="L231" s="60"/>
      <c r="M231" s="59">
        <f t="shared" si="31"/>
        <v>121842.04</v>
      </c>
      <c r="N231" s="60"/>
      <c r="O231" s="60"/>
      <c r="P231" s="59">
        <v>88.8</v>
      </c>
      <c r="Q231" s="60"/>
      <c r="R231" s="60"/>
      <c r="S231" s="59">
        <f t="shared" si="32"/>
        <v>121842.04</v>
      </c>
      <c r="T231" s="60"/>
      <c r="U231" s="61"/>
      <c r="V231" s="9">
        <f t="shared" si="33"/>
        <v>74</v>
      </c>
      <c r="Y231" s="9">
        <f t="shared" si="34"/>
        <v>101535.03</v>
      </c>
      <c r="AD231" s="4" t="s">
        <v>806</v>
      </c>
      <c r="AE231" s="4" t="s">
        <v>804</v>
      </c>
      <c r="AF231" s="4" t="s">
        <v>436</v>
      </c>
    </row>
    <row r="232" spans="1:35" ht="54" x14ac:dyDescent="0.3">
      <c r="A232" s="37" t="s">
        <v>807</v>
      </c>
      <c r="B232" s="37" t="s">
        <v>774</v>
      </c>
      <c r="C232" s="38" t="s">
        <v>775</v>
      </c>
      <c r="D232" s="39"/>
      <c r="E232" s="39" t="s">
        <v>808</v>
      </c>
      <c r="F232" s="39" t="s">
        <v>64</v>
      </c>
      <c r="G232" s="40">
        <v>1</v>
      </c>
      <c r="H232" s="39"/>
      <c r="I232" s="41">
        <v>0</v>
      </c>
      <c r="J232" s="42">
        <f>IFERROR(ROUND(SUM(M234,M236)/I232, 2),0)</f>
        <v>0</v>
      </c>
      <c r="K232" s="42">
        <v>329</v>
      </c>
      <c r="L232" s="42">
        <f>J232+ROUND(K232, 2)</f>
        <v>329</v>
      </c>
      <c r="M232" s="42">
        <f>ROUND(J232*I232, 2)</f>
        <v>0</v>
      </c>
      <c r="N232" s="42">
        <f>ROUND(I232*ROUND(K232, 2), 2)</f>
        <v>0</v>
      </c>
      <c r="O232" s="42">
        <f>M232+N232</f>
        <v>0</v>
      </c>
      <c r="P232" s="42">
        <f>IFERROR(ROUND(SUM(S234,S236)/I232, 2),0)</f>
        <v>0</v>
      </c>
      <c r="Q232" s="42">
        <v>329</v>
      </c>
      <c r="R232" s="42">
        <f>P232+ROUND(Q232, 2)</f>
        <v>329</v>
      </c>
      <c r="S232" s="42">
        <f>ROUND(P232*I232, 2)</f>
        <v>0</v>
      </c>
      <c r="T232" s="42">
        <f>ROUND(I232*ROUND(Q232, 2), 2)</f>
        <v>0</v>
      </c>
      <c r="U232" s="42">
        <f>S232+T232</f>
        <v>0</v>
      </c>
      <c r="V232" s="9">
        <f>ROUND(P232 / 1.2, 2)</f>
        <v>0</v>
      </c>
      <c r="W232" s="9">
        <f>ROUND(Q232 / 1.2, 2)</f>
        <v>274.17</v>
      </c>
      <c r="X232" s="9">
        <f>ROUND(R232 / 1.2, 2)</f>
        <v>274.17</v>
      </c>
      <c r="Y232" s="9">
        <f t="shared" si="34"/>
        <v>0</v>
      </c>
      <c r="Z232" s="9">
        <f>ROUND(T232 / 1.2, 2)</f>
        <v>0</v>
      </c>
      <c r="AA232" s="9">
        <f>Y232+Z232</f>
        <v>0</v>
      </c>
      <c r="AD232" s="4">
        <v>298925383</v>
      </c>
      <c r="AE232" s="4">
        <v>16211418</v>
      </c>
      <c r="AG232" s="4" t="s">
        <v>777</v>
      </c>
      <c r="AH232" s="4" t="s">
        <v>778</v>
      </c>
      <c r="AI232" s="4" t="s">
        <v>67</v>
      </c>
    </row>
    <row r="233" spans="1:35" ht="54" x14ac:dyDescent="0.3">
      <c r="A233" s="43" t="s">
        <v>809</v>
      </c>
      <c r="B233" s="43" t="s">
        <v>774</v>
      </c>
      <c r="C233" s="44" t="s">
        <v>775</v>
      </c>
      <c r="D233" s="45"/>
      <c r="E233" s="45" t="s">
        <v>810</v>
      </c>
      <c r="F233" s="45" t="s">
        <v>64</v>
      </c>
      <c r="G233" s="46">
        <v>1</v>
      </c>
      <c r="H233" s="45"/>
      <c r="I233" s="46">
        <v>9147.2999999999993</v>
      </c>
      <c r="J233" s="47">
        <v>0</v>
      </c>
      <c r="K233" s="47">
        <v>329</v>
      </c>
      <c r="L233" s="47"/>
      <c r="M233" s="47">
        <v>0</v>
      </c>
      <c r="N233" s="47"/>
      <c r="O233" s="47"/>
      <c r="P233" s="47">
        <v>0</v>
      </c>
      <c r="Q233" s="47">
        <v>329</v>
      </c>
      <c r="R233" s="47"/>
      <c r="S233" s="47">
        <v>0</v>
      </c>
      <c r="T233" s="47"/>
      <c r="U233" s="47"/>
      <c r="V233" s="9"/>
      <c r="W233" s="9">
        <f>ROUND(Q233 / 1.2, 2)</f>
        <v>274.17</v>
      </c>
      <c r="X233" s="9">
        <f>ROUND(R233 / 1.2, 2)</f>
        <v>0</v>
      </c>
      <c r="Y233" s="9"/>
      <c r="Z233" s="9">
        <f>ROUND(T233 / 1.2, 2)</f>
        <v>0</v>
      </c>
      <c r="AA233" s="9"/>
      <c r="AD233" s="4">
        <v>213475324</v>
      </c>
      <c r="AE233" s="4">
        <v>16211418</v>
      </c>
      <c r="AG233" s="4" t="s">
        <v>777</v>
      </c>
      <c r="AH233" s="4" t="s">
        <v>778</v>
      </c>
      <c r="AI233" s="4"/>
    </row>
    <row r="234" spans="1:35" ht="36" x14ac:dyDescent="0.3">
      <c r="A234" s="37" t="s">
        <v>811</v>
      </c>
      <c r="B234" s="37"/>
      <c r="C234" s="48" t="s">
        <v>433</v>
      </c>
      <c r="D234" s="39"/>
      <c r="E234" s="39"/>
      <c r="F234" s="49" t="s">
        <v>70</v>
      </c>
      <c r="G234" s="50">
        <v>0.15</v>
      </c>
      <c r="H234" s="39"/>
      <c r="I234" s="62">
        <v>0</v>
      </c>
      <c r="J234" s="52">
        <v>88.8</v>
      </c>
      <c r="K234" s="53"/>
      <c r="L234" s="53"/>
      <c r="M234" s="52">
        <f>ROUND(ROUND(J234, 2)*I234, 2)</f>
        <v>0</v>
      </c>
      <c r="N234" s="53"/>
      <c r="O234" s="53"/>
      <c r="P234" s="52">
        <v>88.8</v>
      </c>
      <c r="Q234" s="53"/>
      <c r="R234" s="53"/>
      <c r="S234" s="52">
        <f>ROUND(ROUND(P234, 2)*I234, 2)</f>
        <v>0</v>
      </c>
      <c r="T234" s="53"/>
      <c r="U234" s="54"/>
      <c r="V234" s="9">
        <f>ROUND(ROUND(P234, 2)/1.2, 2)</f>
        <v>74</v>
      </c>
      <c r="Y234" s="9">
        <f t="shared" ref="Y234:Y250" si="35">ROUND(S234 / 1.2, 2)</f>
        <v>0</v>
      </c>
      <c r="AD234" s="4" t="s">
        <v>812</v>
      </c>
      <c r="AE234" s="4" t="s">
        <v>813</v>
      </c>
      <c r="AF234" s="4" t="s">
        <v>436</v>
      </c>
    </row>
    <row r="235" spans="1:35" ht="36" x14ac:dyDescent="0.3">
      <c r="A235" s="43" t="s">
        <v>814</v>
      </c>
      <c r="B235" s="43"/>
      <c r="C235" s="55" t="s">
        <v>433</v>
      </c>
      <c r="D235" s="45"/>
      <c r="E235" s="45"/>
      <c r="F235" s="56" t="s">
        <v>70</v>
      </c>
      <c r="G235" s="57">
        <v>0.15</v>
      </c>
      <c r="H235" s="45"/>
      <c r="I235" s="57">
        <v>1372.095</v>
      </c>
      <c r="J235" s="59">
        <v>88.8</v>
      </c>
      <c r="K235" s="60"/>
      <c r="L235" s="60"/>
      <c r="M235" s="59">
        <f>ROUND(ROUND(J235, 2)*I235, 2)</f>
        <v>121842.04</v>
      </c>
      <c r="N235" s="60"/>
      <c r="O235" s="60"/>
      <c r="P235" s="59">
        <v>88.8</v>
      </c>
      <c r="Q235" s="60"/>
      <c r="R235" s="60"/>
      <c r="S235" s="59">
        <f>ROUND(ROUND(P235, 2)*I235, 2)</f>
        <v>121842.04</v>
      </c>
      <c r="T235" s="60"/>
      <c r="U235" s="61"/>
      <c r="V235" s="9">
        <f>ROUND(ROUND(P235, 2)/1.2, 2)</f>
        <v>74</v>
      </c>
      <c r="Y235" s="9">
        <f t="shared" si="35"/>
        <v>101535.03</v>
      </c>
      <c r="AD235" s="4" t="s">
        <v>815</v>
      </c>
      <c r="AE235" s="4" t="s">
        <v>813</v>
      </c>
      <c r="AF235" s="4" t="s">
        <v>436</v>
      </c>
    </row>
    <row r="236" spans="1:35" ht="36" x14ac:dyDescent="0.3">
      <c r="A236" s="37" t="s">
        <v>816</v>
      </c>
      <c r="B236" s="37"/>
      <c r="C236" s="48" t="s">
        <v>736</v>
      </c>
      <c r="D236" s="39"/>
      <c r="E236" s="39" t="s">
        <v>817</v>
      </c>
      <c r="F236" s="49" t="s">
        <v>70</v>
      </c>
      <c r="G236" s="50">
        <v>1.8</v>
      </c>
      <c r="H236" s="39"/>
      <c r="I236" s="62">
        <v>0</v>
      </c>
      <c r="J236" s="52">
        <v>12.58</v>
      </c>
      <c r="K236" s="53"/>
      <c r="L236" s="53"/>
      <c r="M236" s="52">
        <f>ROUND(ROUND(J236, 2)*I236, 2)</f>
        <v>0</v>
      </c>
      <c r="N236" s="53"/>
      <c r="O236" s="53"/>
      <c r="P236" s="52">
        <v>12.58</v>
      </c>
      <c r="Q236" s="53"/>
      <c r="R236" s="53"/>
      <c r="S236" s="52">
        <f>ROUND(ROUND(P236, 2)*I236, 2)</f>
        <v>0</v>
      </c>
      <c r="T236" s="53"/>
      <c r="U236" s="54"/>
      <c r="V236" s="9">
        <f>ROUND(ROUND(P236, 2)/1.2, 2)</f>
        <v>10.48</v>
      </c>
      <c r="Y236" s="9">
        <f t="shared" si="35"/>
        <v>0</v>
      </c>
      <c r="AD236" s="4" t="s">
        <v>818</v>
      </c>
      <c r="AE236" s="4" t="s">
        <v>819</v>
      </c>
      <c r="AF236" s="4" t="s">
        <v>785</v>
      </c>
    </row>
    <row r="237" spans="1:35" ht="36" x14ac:dyDescent="0.3">
      <c r="A237" s="43" t="s">
        <v>820</v>
      </c>
      <c r="B237" s="43"/>
      <c r="C237" s="55" t="s">
        <v>736</v>
      </c>
      <c r="D237" s="45"/>
      <c r="E237" s="45" t="s">
        <v>817</v>
      </c>
      <c r="F237" s="56" t="s">
        <v>70</v>
      </c>
      <c r="G237" s="57">
        <v>1.8</v>
      </c>
      <c r="H237" s="45"/>
      <c r="I237" s="57">
        <v>16465.14</v>
      </c>
      <c r="J237" s="59">
        <v>12.58</v>
      </c>
      <c r="K237" s="60"/>
      <c r="L237" s="60"/>
      <c r="M237" s="59">
        <f>ROUND(ROUND(J237, 2)*I237, 2)</f>
        <v>207131.46</v>
      </c>
      <c r="N237" s="60"/>
      <c r="O237" s="60"/>
      <c r="P237" s="59">
        <v>12.58</v>
      </c>
      <c r="Q237" s="60"/>
      <c r="R237" s="60"/>
      <c r="S237" s="59">
        <f>ROUND(ROUND(P237, 2)*I237, 2)</f>
        <v>207131.46</v>
      </c>
      <c r="T237" s="60"/>
      <c r="U237" s="61"/>
      <c r="V237" s="9">
        <f>ROUND(ROUND(P237, 2)/1.2, 2)</f>
        <v>10.48</v>
      </c>
      <c r="Y237" s="9">
        <f t="shared" si="35"/>
        <v>172609.55</v>
      </c>
      <c r="AD237" s="4" t="s">
        <v>821</v>
      </c>
      <c r="AE237" s="4" t="s">
        <v>819</v>
      </c>
      <c r="AF237" s="4" t="s">
        <v>785</v>
      </c>
    </row>
    <row r="238" spans="1:35" ht="54" x14ac:dyDescent="0.3">
      <c r="A238" s="25" t="s">
        <v>822</v>
      </c>
      <c r="B238" s="25" t="s">
        <v>823</v>
      </c>
      <c r="C238" s="26" t="s">
        <v>824</v>
      </c>
      <c r="D238" s="27"/>
      <c r="E238" s="27" t="s">
        <v>825</v>
      </c>
      <c r="F238" s="27" t="s">
        <v>64</v>
      </c>
      <c r="G238" s="28">
        <v>1</v>
      </c>
      <c r="H238" s="27"/>
      <c r="I238" s="28">
        <v>8128.4</v>
      </c>
      <c r="J238" s="29">
        <f>IFERROR(ROUND(SUM(M239,M240)/I238, 2),0)</f>
        <v>73.319999999999993</v>
      </c>
      <c r="K238" s="29">
        <v>508</v>
      </c>
      <c r="L238" s="29">
        <f>J238+ROUND(K238, 2)</f>
        <v>581.31999999999994</v>
      </c>
      <c r="M238" s="29">
        <f>ROUND(J238*I238, 2)</f>
        <v>595974.29</v>
      </c>
      <c r="N238" s="29">
        <f>ROUND(I238*ROUND(K238, 2), 2)</f>
        <v>4129227.2</v>
      </c>
      <c r="O238" s="29">
        <f>M238+N238</f>
        <v>4725201.49</v>
      </c>
      <c r="P238" s="29">
        <f>IFERROR(ROUND(SUM(S239,S240)/I238, 2),0)</f>
        <v>26.02</v>
      </c>
      <c r="Q238" s="29">
        <v>508</v>
      </c>
      <c r="R238" s="29">
        <f>P238+ROUND(Q238, 2)</f>
        <v>534.02</v>
      </c>
      <c r="S238" s="29">
        <f>ROUND(P238*I238, 2)</f>
        <v>211500.97</v>
      </c>
      <c r="T238" s="29">
        <f>ROUND(I238*ROUND(Q238, 2), 2)</f>
        <v>4129227.2</v>
      </c>
      <c r="U238" s="29">
        <f>S238+T238</f>
        <v>4340728.17</v>
      </c>
      <c r="V238" s="9">
        <f>ROUND(P238 / 1.2, 2)</f>
        <v>21.68</v>
      </c>
      <c r="W238" s="9">
        <f>ROUND(Q238 / 1.2, 2)</f>
        <v>423.33</v>
      </c>
      <c r="X238" s="9">
        <f>ROUND(R238 / 1.2, 2)</f>
        <v>445.02</v>
      </c>
      <c r="Y238" s="9">
        <f t="shared" si="35"/>
        <v>176250.81</v>
      </c>
      <c r="Z238" s="9">
        <f>ROUND(T238 / 1.2, 2)</f>
        <v>3441022.67</v>
      </c>
      <c r="AA238" s="9">
        <f>Y238+Z238</f>
        <v>3617273.48</v>
      </c>
      <c r="AD238" s="4">
        <v>298925306</v>
      </c>
      <c r="AE238" s="4">
        <v>19976869</v>
      </c>
      <c r="AG238" s="4" t="s">
        <v>826</v>
      </c>
      <c r="AH238" s="4" t="s">
        <v>827</v>
      </c>
      <c r="AI238" s="4" t="s">
        <v>67</v>
      </c>
    </row>
    <row r="239" spans="1:35" ht="36" x14ac:dyDescent="0.3">
      <c r="A239" s="25" t="s">
        <v>828</v>
      </c>
      <c r="B239" s="25"/>
      <c r="C239" s="30" t="s">
        <v>829</v>
      </c>
      <c r="D239" s="27"/>
      <c r="E239" s="27"/>
      <c r="F239" s="31" t="s">
        <v>70</v>
      </c>
      <c r="G239" s="32">
        <v>1</v>
      </c>
      <c r="H239" s="27"/>
      <c r="I239" s="32">
        <v>8128.4</v>
      </c>
      <c r="J239" s="34">
        <v>60</v>
      </c>
      <c r="K239" s="35"/>
      <c r="L239" s="35"/>
      <c r="M239" s="34">
        <f>ROUND(ROUND(J239, 2)*I239, 2)</f>
        <v>487704</v>
      </c>
      <c r="N239" s="35"/>
      <c r="O239" s="35"/>
      <c r="P239" s="34">
        <v>12.7</v>
      </c>
      <c r="Q239" s="35"/>
      <c r="R239" s="35"/>
      <c r="S239" s="34">
        <f>ROUND(ROUND(P239, 2)*I239, 2)</f>
        <v>103230.68</v>
      </c>
      <c r="T239" s="35"/>
      <c r="U239" s="36"/>
      <c r="V239" s="9">
        <f>ROUND(ROUND(P239, 2)/1.2, 2)</f>
        <v>10.58</v>
      </c>
      <c r="Y239" s="9">
        <f t="shared" si="35"/>
        <v>86025.57</v>
      </c>
      <c r="AD239" s="4" t="s">
        <v>830</v>
      </c>
      <c r="AE239" s="4" t="s">
        <v>831</v>
      </c>
      <c r="AF239" s="4" t="s">
        <v>832</v>
      </c>
    </row>
    <row r="240" spans="1:35" ht="36" x14ac:dyDescent="0.3">
      <c r="A240" s="25" t="s">
        <v>833</v>
      </c>
      <c r="B240" s="25"/>
      <c r="C240" s="30" t="s">
        <v>433</v>
      </c>
      <c r="D240" s="27"/>
      <c r="E240" s="27"/>
      <c r="F240" s="31" t="s">
        <v>70</v>
      </c>
      <c r="G240" s="32">
        <v>0.15</v>
      </c>
      <c r="H240" s="27"/>
      <c r="I240" s="32">
        <v>1219.26</v>
      </c>
      <c r="J240" s="34">
        <v>88.8</v>
      </c>
      <c r="K240" s="35"/>
      <c r="L240" s="35"/>
      <c r="M240" s="34">
        <f>ROUND(ROUND(J240, 2)*I240, 2)</f>
        <v>108270.29</v>
      </c>
      <c r="N240" s="35"/>
      <c r="O240" s="35"/>
      <c r="P240" s="34">
        <v>88.8</v>
      </c>
      <c r="Q240" s="35"/>
      <c r="R240" s="35"/>
      <c r="S240" s="34">
        <f>ROUND(ROUND(P240, 2)*I240, 2)</f>
        <v>108270.29</v>
      </c>
      <c r="T240" s="35"/>
      <c r="U240" s="36"/>
      <c r="V240" s="9">
        <f>ROUND(ROUND(P240, 2)/1.2, 2)</f>
        <v>74</v>
      </c>
      <c r="Y240" s="9">
        <f t="shared" si="35"/>
        <v>90225.24</v>
      </c>
      <c r="AD240" s="4" t="s">
        <v>834</v>
      </c>
      <c r="AE240" s="4" t="s">
        <v>835</v>
      </c>
      <c r="AF240" s="4" t="s">
        <v>436</v>
      </c>
    </row>
    <row r="241" spans="1:35" ht="54" x14ac:dyDescent="0.3">
      <c r="A241" s="25" t="s">
        <v>836</v>
      </c>
      <c r="B241" s="25" t="s">
        <v>823</v>
      </c>
      <c r="C241" s="26" t="s">
        <v>824</v>
      </c>
      <c r="D241" s="27"/>
      <c r="E241" s="27" t="s">
        <v>837</v>
      </c>
      <c r="F241" s="27" t="s">
        <v>64</v>
      </c>
      <c r="G241" s="28">
        <v>1</v>
      </c>
      <c r="H241" s="27"/>
      <c r="I241" s="28">
        <v>7374</v>
      </c>
      <c r="J241" s="29">
        <f>IFERROR(ROUND(SUM(M242,M243)/I241, 2),0)</f>
        <v>73.319999999999993</v>
      </c>
      <c r="K241" s="29">
        <v>508</v>
      </c>
      <c r="L241" s="29">
        <f>J241+ROUND(K241, 2)</f>
        <v>581.31999999999994</v>
      </c>
      <c r="M241" s="29">
        <f>ROUND(J241*I241, 2)</f>
        <v>540661.68000000005</v>
      </c>
      <c r="N241" s="29">
        <f>ROUND(I241*ROUND(K241, 2), 2)</f>
        <v>3745992</v>
      </c>
      <c r="O241" s="29">
        <f>M241+N241</f>
        <v>4286653.68</v>
      </c>
      <c r="P241" s="29">
        <f>IFERROR(ROUND(SUM(S242,S243)/I241, 2),0)</f>
        <v>26.02</v>
      </c>
      <c r="Q241" s="29">
        <v>508</v>
      </c>
      <c r="R241" s="29">
        <f>P241+ROUND(Q241, 2)</f>
        <v>534.02</v>
      </c>
      <c r="S241" s="29">
        <f>ROUND(P241*I241, 2)</f>
        <v>191871.48</v>
      </c>
      <c r="T241" s="29">
        <f>ROUND(I241*ROUND(Q241, 2), 2)</f>
        <v>3745992</v>
      </c>
      <c r="U241" s="29">
        <f>S241+T241</f>
        <v>3937863.48</v>
      </c>
      <c r="V241" s="9">
        <f>ROUND(P241 / 1.2, 2)</f>
        <v>21.68</v>
      </c>
      <c r="W241" s="9">
        <f>ROUND(Q241 / 1.2, 2)</f>
        <v>423.33</v>
      </c>
      <c r="X241" s="9">
        <f>ROUND(R241 / 1.2, 2)</f>
        <v>445.02</v>
      </c>
      <c r="Y241" s="9">
        <f t="shared" si="35"/>
        <v>159892.9</v>
      </c>
      <c r="Z241" s="9">
        <f>ROUND(T241 / 1.2, 2)</f>
        <v>3121660</v>
      </c>
      <c r="AA241" s="9">
        <f>Y241+Z241</f>
        <v>3281552.9</v>
      </c>
      <c r="AD241" s="4">
        <v>298925384</v>
      </c>
      <c r="AE241" s="4">
        <v>19976870</v>
      </c>
      <c r="AG241" s="4" t="s">
        <v>826</v>
      </c>
      <c r="AH241" s="4" t="s">
        <v>827</v>
      </c>
      <c r="AI241" s="4" t="s">
        <v>67</v>
      </c>
    </row>
    <row r="242" spans="1:35" ht="36" x14ac:dyDescent="0.3">
      <c r="A242" s="25" t="s">
        <v>838</v>
      </c>
      <c r="B242" s="25"/>
      <c r="C242" s="30" t="s">
        <v>433</v>
      </c>
      <c r="D242" s="27"/>
      <c r="E242" s="27"/>
      <c r="F242" s="31" t="s">
        <v>70</v>
      </c>
      <c r="G242" s="32">
        <v>0.15</v>
      </c>
      <c r="H242" s="27"/>
      <c r="I242" s="32">
        <v>1106.0999999999999</v>
      </c>
      <c r="J242" s="34">
        <v>88.8</v>
      </c>
      <c r="K242" s="35"/>
      <c r="L242" s="35"/>
      <c r="M242" s="34">
        <f>ROUND(ROUND(J242, 2)*I242, 2)</f>
        <v>98221.68</v>
      </c>
      <c r="N242" s="35"/>
      <c r="O242" s="35"/>
      <c r="P242" s="34">
        <v>88.8</v>
      </c>
      <c r="Q242" s="35"/>
      <c r="R242" s="35"/>
      <c r="S242" s="34">
        <f>ROUND(ROUND(P242, 2)*I242, 2)</f>
        <v>98221.68</v>
      </c>
      <c r="T242" s="35"/>
      <c r="U242" s="36"/>
      <c r="V242" s="9">
        <f>ROUND(ROUND(P242, 2)/1.2, 2)</f>
        <v>74</v>
      </c>
      <c r="Y242" s="9">
        <f t="shared" si="35"/>
        <v>81851.399999999994</v>
      </c>
      <c r="AD242" s="4" t="s">
        <v>839</v>
      </c>
      <c r="AE242" s="4" t="s">
        <v>840</v>
      </c>
      <c r="AF242" s="4" t="s">
        <v>436</v>
      </c>
    </row>
    <row r="243" spans="1:35" ht="36" x14ac:dyDescent="0.3">
      <c r="A243" s="25" t="s">
        <v>841</v>
      </c>
      <c r="B243" s="25"/>
      <c r="C243" s="30" t="s">
        <v>829</v>
      </c>
      <c r="D243" s="27"/>
      <c r="E243" s="27"/>
      <c r="F243" s="31" t="s">
        <v>70</v>
      </c>
      <c r="G243" s="32">
        <v>1</v>
      </c>
      <c r="H243" s="27"/>
      <c r="I243" s="32">
        <v>7374</v>
      </c>
      <c r="J243" s="34">
        <v>60</v>
      </c>
      <c r="K243" s="35"/>
      <c r="L243" s="35"/>
      <c r="M243" s="34">
        <f>ROUND(ROUND(J243, 2)*I243, 2)</f>
        <v>442440</v>
      </c>
      <c r="N243" s="35"/>
      <c r="O243" s="35"/>
      <c r="P243" s="34">
        <v>12.7</v>
      </c>
      <c r="Q243" s="35"/>
      <c r="R243" s="35"/>
      <c r="S243" s="34">
        <f>ROUND(ROUND(P243, 2)*I243, 2)</f>
        <v>93649.8</v>
      </c>
      <c r="T243" s="35"/>
      <c r="U243" s="36"/>
      <c r="V243" s="9">
        <f>ROUND(ROUND(P243, 2)/1.2, 2)</f>
        <v>10.58</v>
      </c>
      <c r="Y243" s="9">
        <f t="shared" si="35"/>
        <v>78041.5</v>
      </c>
      <c r="AD243" s="4" t="s">
        <v>842</v>
      </c>
      <c r="AE243" s="4" t="s">
        <v>843</v>
      </c>
      <c r="AF243" s="4" t="s">
        <v>832</v>
      </c>
    </row>
    <row r="244" spans="1:35" ht="36" x14ac:dyDescent="0.3">
      <c r="A244" s="25" t="s">
        <v>844</v>
      </c>
      <c r="B244" s="25" t="s">
        <v>823</v>
      </c>
      <c r="C244" s="26" t="s">
        <v>824</v>
      </c>
      <c r="D244" s="27"/>
      <c r="E244" s="27" t="s">
        <v>845</v>
      </c>
      <c r="F244" s="27" t="s">
        <v>64</v>
      </c>
      <c r="G244" s="28">
        <v>1</v>
      </c>
      <c r="H244" s="27"/>
      <c r="I244" s="28">
        <v>8128.4</v>
      </c>
      <c r="J244" s="29">
        <f>IFERROR(ROUND(SUM(M245,M246)/I244, 2),0)</f>
        <v>35.049999999999997</v>
      </c>
      <c r="K244" s="29">
        <v>508</v>
      </c>
      <c r="L244" s="29">
        <f>J244+ROUND(K244, 2)</f>
        <v>543.04999999999995</v>
      </c>
      <c r="M244" s="29">
        <f>ROUND(J244*I244, 2)</f>
        <v>284900.42</v>
      </c>
      <c r="N244" s="29">
        <f>ROUND(I244*ROUND(K244, 2), 2)</f>
        <v>4129227.2</v>
      </c>
      <c r="O244" s="29">
        <f>M244+N244</f>
        <v>4414127.62</v>
      </c>
      <c r="P244" s="29">
        <f>IFERROR(ROUND(SUM(S245,S246)/I244, 2),0)</f>
        <v>35.049999999999997</v>
      </c>
      <c r="Q244" s="29">
        <v>508</v>
      </c>
      <c r="R244" s="29">
        <f>P244+ROUND(Q244, 2)</f>
        <v>543.04999999999995</v>
      </c>
      <c r="S244" s="29">
        <f>ROUND(P244*I244, 2)</f>
        <v>284900.42</v>
      </c>
      <c r="T244" s="29">
        <f>ROUND(I244*ROUND(Q244, 2), 2)</f>
        <v>4129227.2</v>
      </c>
      <c r="U244" s="29">
        <f>S244+T244</f>
        <v>4414127.62</v>
      </c>
      <c r="V244" s="9">
        <f>ROUND(P244 / 1.2, 2)</f>
        <v>29.21</v>
      </c>
      <c r="W244" s="9">
        <f>ROUND(Q244 / 1.2, 2)</f>
        <v>423.33</v>
      </c>
      <c r="X244" s="9">
        <f>ROUND(R244 / 1.2, 2)</f>
        <v>452.54</v>
      </c>
      <c r="Y244" s="9">
        <f t="shared" si="35"/>
        <v>237417.02</v>
      </c>
      <c r="Z244" s="9">
        <f>ROUND(T244 / 1.2, 2)</f>
        <v>3441022.67</v>
      </c>
      <c r="AA244" s="9">
        <f>Y244+Z244</f>
        <v>3678439.69</v>
      </c>
      <c r="AD244" s="4">
        <v>298925385</v>
      </c>
      <c r="AE244" s="4">
        <v>19976875</v>
      </c>
      <c r="AG244" s="4" t="s">
        <v>826</v>
      </c>
      <c r="AH244" s="4" t="s">
        <v>827</v>
      </c>
      <c r="AI244" s="4" t="s">
        <v>67</v>
      </c>
    </row>
    <row r="245" spans="1:35" ht="36" x14ac:dyDescent="0.3">
      <c r="A245" s="25" t="s">
        <v>846</v>
      </c>
      <c r="B245" s="25"/>
      <c r="C245" s="17" t="s">
        <v>736</v>
      </c>
      <c r="D245" s="27"/>
      <c r="E245" s="27"/>
      <c r="F245" s="31" t="s">
        <v>70</v>
      </c>
      <c r="G245" s="32">
        <v>1.8</v>
      </c>
      <c r="H245" s="27"/>
      <c r="I245" s="32">
        <v>14631.12</v>
      </c>
      <c r="J245" s="34">
        <v>12.07</v>
      </c>
      <c r="K245" s="35"/>
      <c r="L245" s="35"/>
      <c r="M245" s="34">
        <f>ROUND(ROUND(J245, 2)*I245, 2)</f>
        <v>176597.62</v>
      </c>
      <c r="N245" s="35"/>
      <c r="O245" s="35"/>
      <c r="P245" s="34">
        <v>12.07</v>
      </c>
      <c r="Q245" s="35"/>
      <c r="R245" s="35"/>
      <c r="S245" s="34">
        <f>ROUND(ROUND(P245, 2)*I245, 2)</f>
        <v>176597.62</v>
      </c>
      <c r="T245" s="35"/>
      <c r="U245" s="36"/>
      <c r="V245" s="9">
        <f>ROUND(ROUND(P245, 2)/1.2, 2)</f>
        <v>10.06</v>
      </c>
      <c r="Y245" s="9">
        <f t="shared" si="35"/>
        <v>147164.68</v>
      </c>
      <c r="AD245" s="4" t="s">
        <v>847</v>
      </c>
      <c r="AE245" s="4" t="s">
        <v>848</v>
      </c>
      <c r="AF245" s="4" t="s">
        <v>785</v>
      </c>
    </row>
    <row r="246" spans="1:35" ht="36" x14ac:dyDescent="0.3">
      <c r="A246" s="25" t="s">
        <v>849</v>
      </c>
      <c r="B246" s="25"/>
      <c r="C246" s="30" t="s">
        <v>433</v>
      </c>
      <c r="D246" s="27"/>
      <c r="E246" s="27"/>
      <c r="F246" s="31" t="s">
        <v>70</v>
      </c>
      <c r="G246" s="32">
        <v>0.15</v>
      </c>
      <c r="H246" s="27"/>
      <c r="I246" s="32">
        <v>1219.26</v>
      </c>
      <c r="J246" s="34">
        <v>88.8</v>
      </c>
      <c r="K246" s="35"/>
      <c r="L246" s="35"/>
      <c r="M246" s="34">
        <f>ROUND(ROUND(J246, 2)*I246, 2)</f>
        <v>108270.29</v>
      </c>
      <c r="N246" s="35"/>
      <c r="O246" s="35"/>
      <c r="P246" s="34">
        <v>88.8</v>
      </c>
      <c r="Q246" s="35"/>
      <c r="R246" s="35"/>
      <c r="S246" s="34">
        <f>ROUND(ROUND(P246, 2)*I246, 2)</f>
        <v>108270.29</v>
      </c>
      <c r="T246" s="35"/>
      <c r="U246" s="36"/>
      <c r="V246" s="9">
        <f>ROUND(ROUND(P246, 2)/1.2, 2)</f>
        <v>74</v>
      </c>
      <c r="Y246" s="9">
        <f t="shared" si="35"/>
        <v>90225.24</v>
      </c>
      <c r="AD246" s="4" t="s">
        <v>850</v>
      </c>
      <c r="AE246" s="4" t="s">
        <v>851</v>
      </c>
      <c r="AF246" s="4" t="s">
        <v>436</v>
      </c>
    </row>
    <row r="247" spans="1:35" ht="36" x14ac:dyDescent="0.3">
      <c r="A247" s="25" t="s">
        <v>852</v>
      </c>
      <c r="B247" s="25" t="s">
        <v>823</v>
      </c>
      <c r="C247" s="26" t="s">
        <v>824</v>
      </c>
      <c r="D247" s="27"/>
      <c r="E247" s="27" t="s">
        <v>853</v>
      </c>
      <c r="F247" s="27" t="s">
        <v>64</v>
      </c>
      <c r="G247" s="28">
        <v>1</v>
      </c>
      <c r="H247" s="27"/>
      <c r="I247" s="28">
        <v>7374</v>
      </c>
      <c r="J247" s="29">
        <f>IFERROR(ROUND(SUM(M248,M249)/I247, 2),0)</f>
        <v>35.049999999999997</v>
      </c>
      <c r="K247" s="29">
        <v>508</v>
      </c>
      <c r="L247" s="29">
        <f>J247+ROUND(K247, 2)</f>
        <v>543.04999999999995</v>
      </c>
      <c r="M247" s="29">
        <f>ROUND(J247*I247, 2)</f>
        <v>258458.7</v>
      </c>
      <c r="N247" s="29">
        <f>ROUND(I247*ROUND(K247, 2), 2)</f>
        <v>3745992</v>
      </c>
      <c r="O247" s="29">
        <f>M247+N247</f>
        <v>4004450.7</v>
      </c>
      <c r="P247" s="29">
        <f>IFERROR(ROUND(SUM(S248,S249)/I247, 2),0)</f>
        <v>35.049999999999997</v>
      </c>
      <c r="Q247" s="29">
        <v>508</v>
      </c>
      <c r="R247" s="29">
        <f>P247+ROUND(Q247, 2)</f>
        <v>543.04999999999995</v>
      </c>
      <c r="S247" s="29">
        <f>ROUND(P247*I247, 2)</f>
        <v>258458.7</v>
      </c>
      <c r="T247" s="29">
        <f>ROUND(I247*ROUND(Q247, 2), 2)</f>
        <v>3745992</v>
      </c>
      <c r="U247" s="29">
        <f>S247+T247</f>
        <v>4004450.7</v>
      </c>
      <c r="V247" s="9">
        <f>ROUND(P247 / 1.2, 2)</f>
        <v>29.21</v>
      </c>
      <c r="W247" s="9">
        <f>ROUND(Q247 / 1.2, 2)</f>
        <v>423.33</v>
      </c>
      <c r="X247" s="9">
        <f>ROUND(R247 / 1.2, 2)</f>
        <v>452.54</v>
      </c>
      <c r="Y247" s="9">
        <f t="shared" si="35"/>
        <v>215382.25</v>
      </c>
      <c r="Z247" s="9">
        <f>ROUND(T247 / 1.2, 2)</f>
        <v>3121660</v>
      </c>
      <c r="AA247" s="9">
        <f>Y247+Z247</f>
        <v>3337042.25</v>
      </c>
      <c r="AD247" s="4">
        <v>298925386</v>
      </c>
      <c r="AE247" s="4">
        <v>19976876</v>
      </c>
      <c r="AG247" s="4" t="s">
        <v>826</v>
      </c>
      <c r="AH247" s="4" t="s">
        <v>827</v>
      </c>
      <c r="AI247" s="4" t="s">
        <v>67</v>
      </c>
    </row>
    <row r="248" spans="1:35" ht="36" x14ac:dyDescent="0.3">
      <c r="A248" s="25" t="s">
        <v>854</v>
      </c>
      <c r="B248" s="25"/>
      <c r="C248" s="30" t="s">
        <v>433</v>
      </c>
      <c r="D248" s="27"/>
      <c r="E248" s="27"/>
      <c r="F248" s="31" t="s">
        <v>70</v>
      </c>
      <c r="G248" s="32">
        <v>0.15</v>
      </c>
      <c r="H248" s="27"/>
      <c r="I248" s="32">
        <v>1106.0999999999999</v>
      </c>
      <c r="J248" s="34">
        <v>88.8</v>
      </c>
      <c r="K248" s="35"/>
      <c r="L248" s="35"/>
      <c r="M248" s="34">
        <f>ROUND(ROUND(J248, 2)*I248, 2)</f>
        <v>98221.68</v>
      </c>
      <c r="N248" s="35"/>
      <c r="O248" s="35"/>
      <c r="P248" s="34">
        <v>88.8</v>
      </c>
      <c r="Q248" s="35"/>
      <c r="R248" s="35"/>
      <c r="S248" s="34">
        <f>ROUND(ROUND(P248, 2)*I248, 2)</f>
        <v>98221.68</v>
      </c>
      <c r="T248" s="35"/>
      <c r="U248" s="36"/>
      <c r="V248" s="9">
        <f>ROUND(ROUND(P248, 2)/1.2, 2)</f>
        <v>74</v>
      </c>
      <c r="Y248" s="9">
        <f t="shared" si="35"/>
        <v>81851.399999999994</v>
      </c>
      <c r="AD248" s="4" t="s">
        <v>855</v>
      </c>
      <c r="AE248" s="4" t="s">
        <v>856</v>
      </c>
      <c r="AF248" s="4" t="s">
        <v>436</v>
      </c>
    </row>
    <row r="249" spans="1:35" ht="36" x14ac:dyDescent="0.3">
      <c r="A249" s="25" t="s">
        <v>857</v>
      </c>
      <c r="B249" s="25"/>
      <c r="C249" s="17" t="s">
        <v>736</v>
      </c>
      <c r="D249" s="27"/>
      <c r="E249" s="27"/>
      <c r="F249" s="31" t="s">
        <v>70</v>
      </c>
      <c r="G249" s="32">
        <v>1.8</v>
      </c>
      <c r="H249" s="27"/>
      <c r="I249" s="32">
        <v>13273.2</v>
      </c>
      <c r="J249" s="34">
        <v>12.07</v>
      </c>
      <c r="K249" s="35"/>
      <c r="L249" s="35"/>
      <c r="M249" s="34">
        <f>ROUND(ROUND(J249, 2)*I249, 2)</f>
        <v>160207.51999999999</v>
      </c>
      <c r="N249" s="35"/>
      <c r="O249" s="35"/>
      <c r="P249" s="34">
        <v>12.07</v>
      </c>
      <c r="Q249" s="35"/>
      <c r="R249" s="35"/>
      <c r="S249" s="34">
        <f>ROUND(ROUND(P249, 2)*I249, 2)</f>
        <v>160207.51999999999</v>
      </c>
      <c r="T249" s="35"/>
      <c r="U249" s="36"/>
      <c r="V249" s="9">
        <f>ROUND(ROUND(P249, 2)/1.2, 2)</f>
        <v>10.06</v>
      </c>
      <c r="Y249" s="9">
        <f t="shared" si="35"/>
        <v>133506.26999999999</v>
      </c>
      <c r="AD249" s="4" t="s">
        <v>858</v>
      </c>
      <c r="AE249" s="4" t="s">
        <v>859</v>
      </c>
      <c r="AF249" s="4" t="s">
        <v>785</v>
      </c>
    </row>
    <row r="250" spans="1:35" ht="72" x14ac:dyDescent="0.3">
      <c r="A250" s="37" t="s">
        <v>860</v>
      </c>
      <c r="B250" s="37" t="s">
        <v>861</v>
      </c>
      <c r="C250" s="38" t="s">
        <v>862</v>
      </c>
      <c r="D250" s="39"/>
      <c r="E250" s="39" t="s">
        <v>63</v>
      </c>
      <c r="F250" s="39" t="s">
        <v>64</v>
      </c>
      <c r="G250" s="40">
        <v>1</v>
      </c>
      <c r="H250" s="39"/>
      <c r="I250" s="41">
        <v>0</v>
      </c>
      <c r="J250" s="42">
        <f>IFERROR(ROUND(SUM(M252,M254,M256,M258)/I250, 2),0)</f>
        <v>0</v>
      </c>
      <c r="K250" s="42">
        <v>873</v>
      </c>
      <c r="L250" s="42">
        <f>J250+ROUND(K250, 2)</f>
        <v>873</v>
      </c>
      <c r="M250" s="42">
        <f>ROUND(J250*I250, 2)</f>
        <v>0</v>
      </c>
      <c r="N250" s="42">
        <f>ROUND(I250*ROUND(K250, 2), 2)</f>
        <v>0</v>
      </c>
      <c r="O250" s="42">
        <f>M250+N250</f>
        <v>0</v>
      </c>
      <c r="P250" s="42">
        <f>IFERROR(ROUND(SUM(S252,S254,S256,S258)/I250, 2),0)</f>
        <v>0</v>
      </c>
      <c r="Q250" s="42">
        <v>873</v>
      </c>
      <c r="R250" s="42">
        <f>P250+ROUND(Q250, 2)</f>
        <v>873</v>
      </c>
      <c r="S250" s="42">
        <f>ROUND(P250*I250, 2)</f>
        <v>0</v>
      </c>
      <c r="T250" s="42">
        <f>ROUND(I250*ROUND(Q250, 2), 2)</f>
        <v>0</v>
      </c>
      <c r="U250" s="42">
        <f>S250+T250</f>
        <v>0</v>
      </c>
      <c r="V250" s="9">
        <f>ROUND(P250 / 1.2, 2)</f>
        <v>0</v>
      </c>
      <c r="W250" s="9">
        <f>ROUND(Q250 / 1.2, 2)</f>
        <v>727.5</v>
      </c>
      <c r="X250" s="9">
        <f>ROUND(R250 / 1.2, 2)</f>
        <v>727.5</v>
      </c>
      <c r="Y250" s="9">
        <f t="shared" si="35"/>
        <v>0</v>
      </c>
      <c r="Z250" s="9">
        <f>ROUND(T250 / 1.2, 2)</f>
        <v>0</v>
      </c>
      <c r="AA250" s="9">
        <f>Y250+Z250</f>
        <v>0</v>
      </c>
      <c r="AD250" s="4">
        <v>298925308</v>
      </c>
      <c r="AE250" s="4">
        <v>16678913</v>
      </c>
      <c r="AG250" s="4" t="s">
        <v>863</v>
      </c>
      <c r="AH250" s="4" t="s">
        <v>864</v>
      </c>
      <c r="AI250" s="4" t="s">
        <v>67</v>
      </c>
    </row>
    <row r="251" spans="1:35" ht="72" x14ac:dyDescent="0.3">
      <c r="A251" s="43" t="s">
        <v>865</v>
      </c>
      <c r="B251" s="43" t="s">
        <v>861</v>
      </c>
      <c r="C251" s="44" t="s">
        <v>862</v>
      </c>
      <c r="D251" s="45"/>
      <c r="E251" s="45"/>
      <c r="F251" s="45" t="s">
        <v>64</v>
      </c>
      <c r="G251" s="46">
        <v>1</v>
      </c>
      <c r="H251" s="45"/>
      <c r="I251" s="46">
        <v>989.1</v>
      </c>
      <c r="J251" s="47">
        <v>0</v>
      </c>
      <c r="K251" s="47">
        <v>873</v>
      </c>
      <c r="L251" s="47"/>
      <c r="M251" s="47">
        <v>0</v>
      </c>
      <c r="N251" s="47"/>
      <c r="O251" s="47"/>
      <c r="P251" s="47">
        <v>0</v>
      </c>
      <c r="Q251" s="47">
        <v>873</v>
      </c>
      <c r="R251" s="47"/>
      <c r="S251" s="47">
        <v>0</v>
      </c>
      <c r="T251" s="47"/>
      <c r="U251" s="47"/>
      <c r="V251" s="9"/>
      <c r="W251" s="9">
        <f>ROUND(Q251 / 1.2, 2)</f>
        <v>727.5</v>
      </c>
      <c r="X251" s="9">
        <f>ROUND(R251 / 1.2, 2)</f>
        <v>0</v>
      </c>
      <c r="Y251" s="9"/>
      <c r="Z251" s="9">
        <f>ROUND(T251 / 1.2, 2)</f>
        <v>0</v>
      </c>
      <c r="AA251" s="9"/>
      <c r="AD251" s="4">
        <v>225331855</v>
      </c>
      <c r="AE251" s="4">
        <v>16678913</v>
      </c>
      <c r="AG251" s="4" t="s">
        <v>863</v>
      </c>
      <c r="AH251" s="4" t="s">
        <v>864</v>
      </c>
      <c r="AI251" s="4"/>
    </row>
    <row r="252" spans="1:35" ht="36" x14ac:dyDescent="0.3">
      <c r="A252" s="37" t="s">
        <v>866</v>
      </c>
      <c r="B252" s="37"/>
      <c r="C252" s="48" t="s">
        <v>867</v>
      </c>
      <c r="D252" s="39"/>
      <c r="E252" s="39" t="s">
        <v>868</v>
      </c>
      <c r="F252" s="49" t="s">
        <v>70</v>
      </c>
      <c r="G252" s="50">
        <v>1.3</v>
      </c>
      <c r="H252" s="39"/>
      <c r="I252" s="51">
        <v>0</v>
      </c>
      <c r="J252" s="52">
        <v>8.6</v>
      </c>
      <c r="K252" s="53"/>
      <c r="L252" s="53"/>
      <c r="M252" s="52">
        <f t="shared" ref="M252:M259" si="36">ROUND(ROUND(J252, 2)*I252, 2)</f>
        <v>0</v>
      </c>
      <c r="N252" s="53"/>
      <c r="O252" s="53"/>
      <c r="P252" s="52">
        <v>8.6</v>
      </c>
      <c r="Q252" s="53"/>
      <c r="R252" s="53"/>
      <c r="S252" s="52">
        <f t="shared" ref="S252:S259" si="37">ROUND(ROUND(P252, 2)*I252, 2)</f>
        <v>0</v>
      </c>
      <c r="T252" s="53"/>
      <c r="U252" s="54"/>
      <c r="V252" s="9">
        <f t="shared" ref="V252:V259" si="38">ROUND(ROUND(P252, 2)/1.2, 2)</f>
        <v>7.17</v>
      </c>
      <c r="Y252" s="9">
        <f t="shared" ref="Y252:Y295" si="39">ROUND(S252 / 1.2, 2)</f>
        <v>0</v>
      </c>
      <c r="AD252" s="4" t="s">
        <v>869</v>
      </c>
      <c r="AE252" s="4" t="s">
        <v>870</v>
      </c>
      <c r="AF252" s="4" t="s">
        <v>871</v>
      </c>
    </row>
    <row r="253" spans="1:35" ht="36" x14ac:dyDescent="0.3">
      <c r="A253" s="43" t="s">
        <v>872</v>
      </c>
      <c r="B253" s="43"/>
      <c r="C253" s="55" t="s">
        <v>867</v>
      </c>
      <c r="D253" s="45"/>
      <c r="E253" s="45" t="s">
        <v>868</v>
      </c>
      <c r="F253" s="56" t="s">
        <v>70</v>
      </c>
      <c r="G253" s="57">
        <v>1.3</v>
      </c>
      <c r="H253" s="45"/>
      <c r="I253" s="58">
        <v>25716.6</v>
      </c>
      <c r="J253" s="59">
        <v>8.6</v>
      </c>
      <c r="K253" s="60"/>
      <c r="L253" s="60"/>
      <c r="M253" s="59">
        <f t="shared" si="36"/>
        <v>221162.76</v>
      </c>
      <c r="N253" s="60"/>
      <c r="O253" s="60"/>
      <c r="P253" s="59">
        <v>8.6</v>
      </c>
      <c r="Q253" s="60"/>
      <c r="R253" s="60"/>
      <c r="S253" s="59">
        <f t="shared" si="37"/>
        <v>221162.76</v>
      </c>
      <c r="T253" s="60"/>
      <c r="U253" s="61"/>
      <c r="V253" s="9">
        <f t="shared" si="38"/>
        <v>7.17</v>
      </c>
      <c r="Y253" s="9">
        <f t="shared" si="39"/>
        <v>184302.3</v>
      </c>
      <c r="AD253" s="4" t="s">
        <v>873</v>
      </c>
      <c r="AE253" s="4" t="s">
        <v>870</v>
      </c>
      <c r="AF253" s="4" t="s">
        <v>871</v>
      </c>
    </row>
    <row r="254" spans="1:35" ht="18" x14ac:dyDescent="0.3">
      <c r="A254" s="37" t="s">
        <v>874</v>
      </c>
      <c r="B254" s="37"/>
      <c r="C254" s="48" t="s">
        <v>875</v>
      </c>
      <c r="D254" s="39"/>
      <c r="E254" s="39"/>
      <c r="F254" s="49" t="s">
        <v>64</v>
      </c>
      <c r="G254" s="50">
        <v>1.1000000000000001</v>
      </c>
      <c r="H254" s="39"/>
      <c r="I254" s="62">
        <v>0</v>
      </c>
      <c r="J254" s="52">
        <v>26</v>
      </c>
      <c r="K254" s="53"/>
      <c r="L254" s="53"/>
      <c r="M254" s="52">
        <f t="shared" si="36"/>
        <v>0</v>
      </c>
      <c r="N254" s="53"/>
      <c r="O254" s="53"/>
      <c r="P254" s="52">
        <v>26</v>
      </c>
      <c r="Q254" s="53"/>
      <c r="R254" s="53"/>
      <c r="S254" s="52">
        <f t="shared" si="37"/>
        <v>0</v>
      </c>
      <c r="T254" s="53"/>
      <c r="U254" s="54"/>
      <c r="V254" s="9">
        <f t="shared" si="38"/>
        <v>21.67</v>
      </c>
      <c r="Y254" s="9">
        <f t="shared" si="39"/>
        <v>0</v>
      </c>
      <c r="AD254" s="4" t="s">
        <v>876</v>
      </c>
      <c r="AE254" s="4" t="s">
        <v>877</v>
      </c>
      <c r="AF254" s="4" t="s">
        <v>878</v>
      </c>
    </row>
    <row r="255" spans="1:35" ht="18" x14ac:dyDescent="0.3">
      <c r="A255" s="43" t="s">
        <v>879</v>
      </c>
      <c r="B255" s="43"/>
      <c r="C255" s="55" t="s">
        <v>875</v>
      </c>
      <c r="D255" s="45"/>
      <c r="E255" s="45"/>
      <c r="F255" s="56" t="s">
        <v>64</v>
      </c>
      <c r="G255" s="57">
        <v>1.1000000000000001</v>
      </c>
      <c r="H255" s="45"/>
      <c r="I255" s="57">
        <v>1088.01</v>
      </c>
      <c r="J255" s="59">
        <v>26</v>
      </c>
      <c r="K255" s="60"/>
      <c r="L255" s="60"/>
      <c r="M255" s="59">
        <f t="shared" si="36"/>
        <v>28288.26</v>
      </c>
      <c r="N255" s="60"/>
      <c r="O255" s="60"/>
      <c r="P255" s="59">
        <v>26</v>
      </c>
      <c r="Q255" s="60"/>
      <c r="R255" s="60"/>
      <c r="S255" s="59">
        <f t="shared" si="37"/>
        <v>28288.26</v>
      </c>
      <c r="T255" s="60"/>
      <c r="U255" s="61"/>
      <c r="V255" s="9">
        <f t="shared" si="38"/>
        <v>21.67</v>
      </c>
      <c r="Y255" s="9">
        <f t="shared" si="39"/>
        <v>23573.55</v>
      </c>
      <c r="AD255" s="4" t="s">
        <v>880</v>
      </c>
      <c r="AE255" s="4" t="s">
        <v>877</v>
      </c>
      <c r="AF255" s="4" t="s">
        <v>878</v>
      </c>
    </row>
    <row r="256" spans="1:35" ht="18" x14ac:dyDescent="0.3">
      <c r="A256" s="37" t="s">
        <v>881</v>
      </c>
      <c r="B256" s="37"/>
      <c r="C256" s="48" t="s">
        <v>767</v>
      </c>
      <c r="D256" s="39"/>
      <c r="E256" s="39"/>
      <c r="F256" s="49" t="s">
        <v>87</v>
      </c>
      <c r="G256" s="50">
        <v>1</v>
      </c>
      <c r="H256" s="39"/>
      <c r="I256" s="51">
        <v>0</v>
      </c>
      <c r="J256" s="52">
        <v>15.76</v>
      </c>
      <c r="K256" s="53"/>
      <c r="L256" s="53"/>
      <c r="M256" s="52">
        <f t="shared" si="36"/>
        <v>0</v>
      </c>
      <c r="N256" s="53"/>
      <c r="O256" s="53"/>
      <c r="P256" s="52">
        <v>15.76</v>
      </c>
      <c r="Q256" s="53"/>
      <c r="R256" s="53"/>
      <c r="S256" s="52">
        <f t="shared" si="37"/>
        <v>0</v>
      </c>
      <c r="T256" s="53"/>
      <c r="U256" s="54"/>
      <c r="V256" s="9">
        <f t="shared" si="38"/>
        <v>13.13</v>
      </c>
      <c r="Y256" s="9">
        <f t="shared" si="39"/>
        <v>0</v>
      </c>
      <c r="AD256" s="4" t="s">
        <v>882</v>
      </c>
      <c r="AE256" s="4" t="s">
        <v>883</v>
      </c>
      <c r="AF256" s="4" t="s">
        <v>770</v>
      </c>
    </row>
    <row r="257" spans="1:35" ht="18" x14ac:dyDescent="0.3">
      <c r="A257" s="43" t="s">
        <v>884</v>
      </c>
      <c r="B257" s="43"/>
      <c r="C257" s="55" t="s">
        <v>767</v>
      </c>
      <c r="D257" s="45"/>
      <c r="E257" s="45"/>
      <c r="F257" s="56" t="s">
        <v>87</v>
      </c>
      <c r="G257" s="57">
        <v>1</v>
      </c>
      <c r="H257" s="45"/>
      <c r="I257" s="58">
        <v>630</v>
      </c>
      <c r="J257" s="59">
        <v>15.76</v>
      </c>
      <c r="K257" s="60"/>
      <c r="L257" s="60"/>
      <c r="M257" s="59">
        <f t="shared" si="36"/>
        <v>9928.7999999999993</v>
      </c>
      <c r="N257" s="60"/>
      <c r="O257" s="60"/>
      <c r="P257" s="59">
        <v>15.76</v>
      </c>
      <c r="Q257" s="60"/>
      <c r="R257" s="60"/>
      <c r="S257" s="59">
        <f t="shared" si="37"/>
        <v>9928.7999999999993</v>
      </c>
      <c r="T257" s="60"/>
      <c r="U257" s="61"/>
      <c r="V257" s="9">
        <f t="shared" si="38"/>
        <v>13.13</v>
      </c>
      <c r="Y257" s="9">
        <f t="shared" si="39"/>
        <v>8274</v>
      </c>
      <c r="AD257" s="4" t="s">
        <v>885</v>
      </c>
      <c r="AE257" s="4" t="s">
        <v>883</v>
      </c>
      <c r="AF257" s="4" t="s">
        <v>770</v>
      </c>
    </row>
    <row r="258" spans="1:35" ht="18" x14ac:dyDescent="0.3">
      <c r="A258" s="37" t="s">
        <v>886</v>
      </c>
      <c r="B258" s="37"/>
      <c r="C258" s="48" t="s">
        <v>760</v>
      </c>
      <c r="D258" s="39"/>
      <c r="E258" s="39"/>
      <c r="F258" s="49" t="s">
        <v>70</v>
      </c>
      <c r="G258" s="50">
        <v>0.25</v>
      </c>
      <c r="H258" s="39"/>
      <c r="I258" s="62">
        <v>0</v>
      </c>
      <c r="J258" s="52">
        <v>100</v>
      </c>
      <c r="K258" s="53"/>
      <c r="L258" s="53"/>
      <c r="M258" s="52">
        <f t="shared" si="36"/>
        <v>0</v>
      </c>
      <c r="N258" s="53"/>
      <c r="O258" s="53"/>
      <c r="P258" s="52">
        <v>100</v>
      </c>
      <c r="Q258" s="53"/>
      <c r="R258" s="53"/>
      <c r="S258" s="52">
        <f t="shared" si="37"/>
        <v>0</v>
      </c>
      <c r="T258" s="53"/>
      <c r="U258" s="54"/>
      <c r="V258" s="9">
        <f t="shared" si="38"/>
        <v>83.33</v>
      </c>
      <c r="Y258" s="9">
        <f t="shared" si="39"/>
        <v>0</v>
      </c>
      <c r="AD258" s="4" t="s">
        <v>887</v>
      </c>
      <c r="AE258" s="4" t="s">
        <v>888</v>
      </c>
      <c r="AF258" s="4" t="s">
        <v>763</v>
      </c>
    </row>
    <row r="259" spans="1:35" ht="18" x14ac:dyDescent="0.3">
      <c r="A259" s="43" t="s">
        <v>889</v>
      </c>
      <c r="B259" s="43"/>
      <c r="C259" s="55" t="s">
        <v>760</v>
      </c>
      <c r="D259" s="45"/>
      <c r="E259" s="45"/>
      <c r="F259" s="56" t="s">
        <v>70</v>
      </c>
      <c r="G259" s="57">
        <v>0.25</v>
      </c>
      <c r="H259" s="45"/>
      <c r="I259" s="57">
        <v>247.27500000000001</v>
      </c>
      <c r="J259" s="59">
        <v>100</v>
      </c>
      <c r="K259" s="60"/>
      <c r="L259" s="60"/>
      <c r="M259" s="59">
        <f t="shared" si="36"/>
        <v>24727.5</v>
      </c>
      <c r="N259" s="60"/>
      <c r="O259" s="60"/>
      <c r="P259" s="59">
        <v>100</v>
      </c>
      <c r="Q259" s="60"/>
      <c r="R259" s="60"/>
      <c r="S259" s="59">
        <f t="shared" si="37"/>
        <v>24727.5</v>
      </c>
      <c r="T259" s="60"/>
      <c r="U259" s="61"/>
      <c r="V259" s="9">
        <f t="shared" si="38"/>
        <v>83.33</v>
      </c>
      <c r="Y259" s="9">
        <f t="shared" si="39"/>
        <v>20606.25</v>
      </c>
      <c r="AD259" s="4" t="s">
        <v>890</v>
      </c>
      <c r="AE259" s="4" t="s">
        <v>888</v>
      </c>
      <c r="AF259" s="4" t="s">
        <v>763</v>
      </c>
    </row>
    <row r="260" spans="1:35" ht="72" x14ac:dyDescent="0.3">
      <c r="A260" s="25" t="s">
        <v>891</v>
      </c>
      <c r="B260" s="25" t="s">
        <v>892</v>
      </c>
      <c r="C260" s="26" t="s">
        <v>893</v>
      </c>
      <c r="D260" s="27"/>
      <c r="E260" s="27" t="s">
        <v>894</v>
      </c>
      <c r="F260" s="27" t="s">
        <v>64</v>
      </c>
      <c r="G260" s="28">
        <v>1</v>
      </c>
      <c r="H260" s="27"/>
      <c r="I260" s="28">
        <v>174.8</v>
      </c>
      <c r="J260" s="29">
        <f>IFERROR(ROUND(SUM(M261,M262,M263,M264)/I260, 2),0)</f>
        <v>460.66</v>
      </c>
      <c r="K260" s="29">
        <v>1067</v>
      </c>
      <c r="L260" s="29">
        <f>J260+ROUND(K260, 2)</f>
        <v>1527.66</v>
      </c>
      <c r="M260" s="29">
        <f>ROUND(J260*I260, 2)</f>
        <v>80523.37</v>
      </c>
      <c r="N260" s="29">
        <f>ROUND(I260*ROUND(K260, 2), 2)</f>
        <v>186511.6</v>
      </c>
      <c r="O260" s="29">
        <f>M260+N260</f>
        <v>267034.96999999997</v>
      </c>
      <c r="P260" s="29">
        <f>IFERROR(ROUND(SUM(S261,S262,S263,S264)/I260, 2),0)</f>
        <v>460.66</v>
      </c>
      <c r="Q260" s="29">
        <v>1067</v>
      </c>
      <c r="R260" s="29">
        <f>P260+ROUND(Q260, 2)</f>
        <v>1527.66</v>
      </c>
      <c r="S260" s="29">
        <f>ROUND(P260*I260, 2)</f>
        <v>80523.37</v>
      </c>
      <c r="T260" s="29">
        <f>ROUND(I260*ROUND(Q260, 2), 2)</f>
        <v>186511.6</v>
      </c>
      <c r="U260" s="29">
        <f>S260+T260</f>
        <v>267034.96999999997</v>
      </c>
      <c r="V260" s="9">
        <f>ROUND(P260 / 1.2, 2)</f>
        <v>383.88</v>
      </c>
      <c r="W260" s="9">
        <f>ROUND(Q260 / 1.2, 2)</f>
        <v>889.17</v>
      </c>
      <c r="X260" s="9">
        <f>ROUND(R260 / 1.2, 2)</f>
        <v>1273.05</v>
      </c>
      <c r="Y260" s="9">
        <f t="shared" si="39"/>
        <v>67102.81</v>
      </c>
      <c r="Z260" s="9">
        <f>ROUND(T260 / 1.2, 2)</f>
        <v>155426.32999999999</v>
      </c>
      <c r="AA260" s="9">
        <f>Y260+Z260</f>
        <v>222529.13999999998</v>
      </c>
      <c r="AD260" s="4">
        <v>298925309</v>
      </c>
      <c r="AE260" s="4">
        <v>16211497</v>
      </c>
      <c r="AG260" s="4" t="s">
        <v>895</v>
      </c>
      <c r="AH260" s="4" t="s">
        <v>896</v>
      </c>
      <c r="AI260" s="4" t="s">
        <v>67</v>
      </c>
    </row>
    <row r="261" spans="1:35" ht="18" x14ac:dyDescent="0.3">
      <c r="A261" s="25" t="s">
        <v>897</v>
      </c>
      <c r="B261" s="25"/>
      <c r="C261" s="30" t="s">
        <v>867</v>
      </c>
      <c r="D261" s="27"/>
      <c r="E261" s="27"/>
      <c r="F261" s="31" t="s">
        <v>70</v>
      </c>
      <c r="G261" s="32">
        <v>1.3</v>
      </c>
      <c r="H261" s="27"/>
      <c r="I261" s="33">
        <v>7953.4</v>
      </c>
      <c r="J261" s="34">
        <v>8.6</v>
      </c>
      <c r="K261" s="35"/>
      <c r="L261" s="35"/>
      <c r="M261" s="34">
        <f>ROUND(ROUND(J261, 2)*I261, 2)</f>
        <v>68399.240000000005</v>
      </c>
      <c r="N261" s="35"/>
      <c r="O261" s="35"/>
      <c r="P261" s="34">
        <v>8.6</v>
      </c>
      <c r="Q261" s="35"/>
      <c r="R261" s="35"/>
      <c r="S261" s="34">
        <f>ROUND(ROUND(P261, 2)*I261, 2)</f>
        <v>68399.240000000005</v>
      </c>
      <c r="T261" s="35"/>
      <c r="U261" s="36"/>
      <c r="V261" s="9">
        <f>ROUND(ROUND(P261, 2)/1.2, 2)</f>
        <v>7.17</v>
      </c>
      <c r="Y261" s="9">
        <f t="shared" si="39"/>
        <v>56999.37</v>
      </c>
      <c r="AD261" s="4" t="s">
        <v>898</v>
      </c>
      <c r="AE261" s="4" t="s">
        <v>899</v>
      </c>
      <c r="AF261" s="4" t="s">
        <v>871</v>
      </c>
    </row>
    <row r="262" spans="1:35" ht="18" x14ac:dyDescent="0.3">
      <c r="A262" s="25" t="s">
        <v>900</v>
      </c>
      <c r="B262" s="25"/>
      <c r="C262" s="30" t="s">
        <v>875</v>
      </c>
      <c r="D262" s="27"/>
      <c r="E262" s="27"/>
      <c r="F262" s="31" t="s">
        <v>64</v>
      </c>
      <c r="G262" s="32">
        <v>1.1000000000000001</v>
      </c>
      <c r="H262" s="27"/>
      <c r="I262" s="32">
        <v>192.28</v>
      </c>
      <c r="J262" s="34">
        <v>26</v>
      </c>
      <c r="K262" s="35"/>
      <c r="L262" s="35"/>
      <c r="M262" s="34">
        <f>ROUND(ROUND(J262, 2)*I262, 2)</f>
        <v>4999.28</v>
      </c>
      <c r="N262" s="35"/>
      <c r="O262" s="35"/>
      <c r="P262" s="34">
        <v>26</v>
      </c>
      <c r="Q262" s="35"/>
      <c r="R262" s="35"/>
      <c r="S262" s="34">
        <f>ROUND(ROUND(P262, 2)*I262, 2)</f>
        <v>4999.28</v>
      </c>
      <c r="T262" s="35"/>
      <c r="U262" s="36"/>
      <c r="V262" s="9">
        <f>ROUND(ROUND(P262, 2)/1.2, 2)</f>
        <v>21.67</v>
      </c>
      <c r="Y262" s="9">
        <f t="shared" si="39"/>
        <v>4166.07</v>
      </c>
      <c r="AD262" s="4" t="s">
        <v>901</v>
      </c>
      <c r="AE262" s="4" t="s">
        <v>902</v>
      </c>
      <c r="AF262" s="4" t="s">
        <v>878</v>
      </c>
    </row>
    <row r="263" spans="1:35" ht="18" x14ac:dyDescent="0.3">
      <c r="A263" s="25" t="s">
        <v>903</v>
      </c>
      <c r="B263" s="25"/>
      <c r="C263" s="30" t="s">
        <v>767</v>
      </c>
      <c r="D263" s="27"/>
      <c r="E263" s="27"/>
      <c r="F263" s="31" t="s">
        <v>87</v>
      </c>
      <c r="G263" s="32">
        <v>1</v>
      </c>
      <c r="H263" s="27"/>
      <c r="I263" s="33">
        <v>174.8</v>
      </c>
      <c r="J263" s="34">
        <v>15.76</v>
      </c>
      <c r="K263" s="35"/>
      <c r="L263" s="35"/>
      <c r="M263" s="34">
        <f>ROUND(ROUND(J263, 2)*I263, 2)</f>
        <v>2754.85</v>
      </c>
      <c r="N263" s="35"/>
      <c r="O263" s="35"/>
      <c r="P263" s="34">
        <v>15.76</v>
      </c>
      <c r="Q263" s="35"/>
      <c r="R263" s="35"/>
      <c r="S263" s="34">
        <f>ROUND(ROUND(P263, 2)*I263, 2)</f>
        <v>2754.85</v>
      </c>
      <c r="T263" s="35"/>
      <c r="U263" s="36"/>
      <c r="V263" s="9">
        <f>ROUND(ROUND(P263, 2)/1.2, 2)</f>
        <v>13.13</v>
      </c>
      <c r="Y263" s="9">
        <f t="shared" si="39"/>
        <v>2295.71</v>
      </c>
      <c r="AD263" s="4" t="s">
        <v>904</v>
      </c>
      <c r="AE263" s="4" t="s">
        <v>905</v>
      </c>
      <c r="AF263" s="4" t="s">
        <v>770</v>
      </c>
    </row>
    <row r="264" spans="1:35" ht="18" x14ac:dyDescent="0.3">
      <c r="A264" s="25" t="s">
        <v>906</v>
      </c>
      <c r="B264" s="25"/>
      <c r="C264" s="30" t="s">
        <v>760</v>
      </c>
      <c r="D264" s="27"/>
      <c r="E264" s="27"/>
      <c r="F264" s="31" t="s">
        <v>70</v>
      </c>
      <c r="G264" s="32">
        <v>0.25</v>
      </c>
      <c r="H264" s="27"/>
      <c r="I264" s="32">
        <v>43.7</v>
      </c>
      <c r="J264" s="34">
        <v>100</v>
      </c>
      <c r="K264" s="35"/>
      <c r="L264" s="35"/>
      <c r="M264" s="34">
        <f>ROUND(ROUND(J264, 2)*I264, 2)</f>
        <v>4370</v>
      </c>
      <c r="N264" s="35"/>
      <c r="O264" s="35"/>
      <c r="P264" s="34">
        <v>100</v>
      </c>
      <c r="Q264" s="35"/>
      <c r="R264" s="35"/>
      <c r="S264" s="34">
        <f>ROUND(ROUND(P264, 2)*I264, 2)</f>
        <v>4370</v>
      </c>
      <c r="T264" s="35"/>
      <c r="U264" s="36"/>
      <c r="V264" s="9">
        <f>ROUND(ROUND(P264, 2)/1.2, 2)</f>
        <v>83.33</v>
      </c>
      <c r="Y264" s="9">
        <f t="shared" si="39"/>
        <v>3641.67</v>
      </c>
      <c r="AD264" s="4" t="s">
        <v>907</v>
      </c>
      <c r="AE264" s="4" t="s">
        <v>908</v>
      </c>
      <c r="AF264" s="4" t="s">
        <v>763</v>
      </c>
    </row>
    <row r="265" spans="1:35" ht="72" x14ac:dyDescent="0.3">
      <c r="A265" s="25" t="s">
        <v>909</v>
      </c>
      <c r="B265" s="25" t="s">
        <v>892</v>
      </c>
      <c r="C265" s="26" t="s">
        <v>893</v>
      </c>
      <c r="D265" s="27"/>
      <c r="E265" s="27" t="s">
        <v>910</v>
      </c>
      <c r="F265" s="27" t="s">
        <v>64</v>
      </c>
      <c r="G265" s="28">
        <v>1</v>
      </c>
      <c r="H265" s="27"/>
      <c r="I265" s="28">
        <v>808</v>
      </c>
      <c r="J265" s="29">
        <f>IFERROR(ROUND(SUM(M266,M267,M268,M269)/I265, 2),0)</f>
        <v>448.98</v>
      </c>
      <c r="K265" s="29">
        <v>1067</v>
      </c>
      <c r="L265" s="29">
        <f>J265+ROUND(K265, 2)</f>
        <v>1515.98</v>
      </c>
      <c r="M265" s="29">
        <f>ROUND(J265*I265, 2)</f>
        <v>362775.84</v>
      </c>
      <c r="N265" s="29">
        <f>ROUND(I265*ROUND(K265, 2), 2)</f>
        <v>862136</v>
      </c>
      <c r="O265" s="29">
        <f>M265+N265</f>
        <v>1224911.8400000001</v>
      </c>
      <c r="P265" s="29">
        <f>IFERROR(ROUND(SUM(S266,S267,S268,S269)/I265, 2),0)</f>
        <v>448.98</v>
      </c>
      <c r="Q265" s="29">
        <v>1067</v>
      </c>
      <c r="R265" s="29">
        <f>P265+ROUND(Q265, 2)</f>
        <v>1515.98</v>
      </c>
      <c r="S265" s="29">
        <f>ROUND(P265*I265, 2)</f>
        <v>362775.84</v>
      </c>
      <c r="T265" s="29">
        <f>ROUND(I265*ROUND(Q265, 2), 2)</f>
        <v>862136</v>
      </c>
      <c r="U265" s="29">
        <f>S265+T265</f>
        <v>1224911.8400000001</v>
      </c>
      <c r="V265" s="9">
        <f>ROUND(P265 / 1.2, 2)</f>
        <v>374.15</v>
      </c>
      <c r="W265" s="9">
        <f>ROUND(Q265 / 1.2, 2)</f>
        <v>889.17</v>
      </c>
      <c r="X265" s="9">
        <f>ROUND(R265 / 1.2, 2)</f>
        <v>1263.32</v>
      </c>
      <c r="Y265" s="9">
        <f t="shared" si="39"/>
        <v>302313.2</v>
      </c>
      <c r="Z265" s="9">
        <f>ROUND(T265 / 1.2, 2)</f>
        <v>718446.67</v>
      </c>
      <c r="AA265" s="9">
        <f>Y265+Z265</f>
        <v>1020759.8700000001</v>
      </c>
      <c r="AD265" s="4">
        <v>298925387</v>
      </c>
      <c r="AE265" s="4">
        <v>19976809</v>
      </c>
      <c r="AG265" s="4" t="s">
        <v>895</v>
      </c>
      <c r="AH265" s="4" t="s">
        <v>896</v>
      </c>
      <c r="AI265" s="4" t="s">
        <v>67</v>
      </c>
    </row>
    <row r="266" spans="1:35" ht="36" x14ac:dyDescent="0.3">
      <c r="A266" s="25" t="s">
        <v>911</v>
      </c>
      <c r="B266" s="25"/>
      <c r="C266" s="30" t="s">
        <v>433</v>
      </c>
      <c r="D266" s="27"/>
      <c r="E266" s="27"/>
      <c r="F266" s="31" t="s">
        <v>70</v>
      </c>
      <c r="G266" s="32">
        <v>0.15</v>
      </c>
      <c r="H266" s="27"/>
      <c r="I266" s="32">
        <v>121.2</v>
      </c>
      <c r="J266" s="34">
        <v>88.8</v>
      </c>
      <c r="K266" s="35"/>
      <c r="L266" s="35"/>
      <c r="M266" s="34">
        <f>ROUND(ROUND(J266, 2)*I266, 2)</f>
        <v>10762.56</v>
      </c>
      <c r="N266" s="35"/>
      <c r="O266" s="35"/>
      <c r="P266" s="34">
        <v>88.8</v>
      </c>
      <c r="Q266" s="35"/>
      <c r="R266" s="35"/>
      <c r="S266" s="34">
        <f>ROUND(ROUND(P266, 2)*I266, 2)</f>
        <v>10762.56</v>
      </c>
      <c r="T266" s="35"/>
      <c r="U266" s="36"/>
      <c r="V266" s="9">
        <f>ROUND(ROUND(P266, 2)/1.2, 2)</f>
        <v>74</v>
      </c>
      <c r="Y266" s="9">
        <f t="shared" si="39"/>
        <v>8968.7999999999993</v>
      </c>
      <c r="AD266" s="4" t="s">
        <v>912</v>
      </c>
      <c r="AE266" s="4" t="s">
        <v>913</v>
      </c>
      <c r="AF266" s="4" t="s">
        <v>436</v>
      </c>
    </row>
    <row r="267" spans="1:35" ht="18" x14ac:dyDescent="0.3">
      <c r="A267" s="25" t="s">
        <v>914</v>
      </c>
      <c r="B267" s="25"/>
      <c r="C267" s="30" t="s">
        <v>767</v>
      </c>
      <c r="D267" s="27"/>
      <c r="E267" s="27"/>
      <c r="F267" s="31" t="s">
        <v>87</v>
      </c>
      <c r="G267" s="32">
        <v>1</v>
      </c>
      <c r="H267" s="27"/>
      <c r="I267" s="33">
        <v>808</v>
      </c>
      <c r="J267" s="34">
        <v>15.76</v>
      </c>
      <c r="K267" s="35"/>
      <c r="L267" s="35"/>
      <c r="M267" s="34">
        <f>ROUND(ROUND(J267, 2)*I267, 2)</f>
        <v>12734.08</v>
      </c>
      <c r="N267" s="35"/>
      <c r="O267" s="35"/>
      <c r="P267" s="34">
        <v>15.76</v>
      </c>
      <c r="Q267" s="35"/>
      <c r="R267" s="35"/>
      <c r="S267" s="34">
        <f>ROUND(ROUND(P267, 2)*I267, 2)</f>
        <v>12734.08</v>
      </c>
      <c r="T267" s="35"/>
      <c r="U267" s="36"/>
      <c r="V267" s="9">
        <f>ROUND(ROUND(P267, 2)/1.2, 2)</f>
        <v>13.13</v>
      </c>
      <c r="Y267" s="9">
        <f t="shared" si="39"/>
        <v>10611.73</v>
      </c>
      <c r="AD267" s="4" t="s">
        <v>915</v>
      </c>
      <c r="AE267" s="4" t="s">
        <v>916</v>
      </c>
      <c r="AF267" s="4" t="s">
        <v>770</v>
      </c>
    </row>
    <row r="268" spans="1:35" ht="18" x14ac:dyDescent="0.3">
      <c r="A268" s="25" t="s">
        <v>917</v>
      </c>
      <c r="B268" s="25"/>
      <c r="C268" s="30" t="s">
        <v>875</v>
      </c>
      <c r="D268" s="27"/>
      <c r="E268" s="27"/>
      <c r="F268" s="31" t="s">
        <v>64</v>
      </c>
      <c r="G268" s="32">
        <v>1.1000000000000001</v>
      </c>
      <c r="H268" s="27"/>
      <c r="I268" s="32">
        <v>888.8</v>
      </c>
      <c r="J268" s="34">
        <v>26</v>
      </c>
      <c r="K268" s="35"/>
      <c r="L268" s="35"/>
      <c r="M268" s="34">
        <f>ROUND(ROUND(J268, 2)*I268, 2)</f>
        <v>23108.799999999999</v>
      </c>
      <c r="N268" s="35"/>
      <c r="O268" s="35"/>
      <c r="P268" s="34">
        <v>26</v>
      </c>
      <c r="Q268" s="35"/>
      <c r="R268" s="35"/>
      <c r="S268" s="34">
        <f>ROUND(ROUND(P268, 2)*I268, 2)</f>
        <v>23108.799999999999</v>
      </c>
      <c r="T268" s="35"/>
      <c r="U268" s="36"/>
      <c r="V268" s="9">
        <f>ROUND(ROUND(P268, 2)/1.2, 2)</f>
        <v>21.67</v>
      </c>
      <c r="Y268" s="9">
        <f t="shared" si="39"/>
        <v>19257.330000000002</v>
      </c>
      <c r="AD268" s="4" t="s">
        <v>918</v>
      </c>
      <c r="AE268" s="4" t="s">
        <v>919</v>
      </c>
      <c r="AF268" s="4" t="s">
        <v>878</v>
      </c>
    </row>
    <row r="269" spans="1:35" ht="18" x14ac:dyDescent="0.3">
      <c r="A269" s="25" t="s">
        <v>920</v>
      </c>
      <c r="B269" s="25"/>
      <c r="C269" s="30" t="s">
        <v>867</v>
      </c>
      <c r="D269" s="27"/>
      <c r="E269" s="27"/>
      <c r="F269" s="31" t="s">
        <v>70</v>
      </c>
      <c r="G269" s="32">
        <v>1.3</v>
      </c>
      <c r="H269" s="27"/>
      <c r="I269" s="33">
        <v>36764</v>
      </c>
      <c r="J269" s="34">
        <v>8.6</v>
      </c>
      <c r="K269" s="35"/>
      <c r="L269" s="35"/>
      <c r="M269" s="34">
        <f>ROUND(ROUND(J269, 2)*I269, 2)</f>
        <v>316170.40000000002</v>
      </c>
      <c r="N269" s="35"/>
      <c r="O269" s="35"/>
      <c r="P269" s="34">
        <v>8.6</v>
      </c>
      <c r="Q269" s="35"/>
      <c r="R269" s="35"/>
      <c r="S269" s="34">
        <f>ROUND(ROUND(P269, 2)*I269, 2)</f>
        <v>316170.40000000002</v>
      </c>
      <c r="T269" s="35"/>
      <c r="U269" s="36"/>
      <c r="V269" s="9">
        <f>ROUND(ROUND(P269, 2)/1.2, 2)</f>
        <v>7.17</v>
      </c>
      <c r="Y269" s="9">
        <f t="shared" si="39"/>
        <v>263475.33</v>
      </c>
      <c r="AD269" s="4" t="s">
        <v>921</v>
      </c>
      <c r="AE269" s="4" t="s">
        <v>922</v>
      </c>
      <c r="AF269" s="4" t="s">
        <v>871</v>
      </c>
    </row>
    <row r="270" spans="1:35" ht="72" x14ac:dyDescent="0.3">
      <c r="A270" s="25" t="s">
        <v>923</v>
      </c>
      <c r="B270" s="25" t="s">
        <v>892</v>
      </c>
      <c r="C270" s="26" t="s">
        <v>893</v>
      </c>
      <c r="D270" s="27"/>
      <c r="E270" s="27" t="s">
        <v>924</v>
      </c>
      <c r="F270" s="27" t="s">
        <v>64</v>
      </c>
      <c r="G270" s="28">
        <v>1</v>
      </c>
      <c r="H270" s="27"/>
      <c r="I270" s="28">
        <v>154.19999999999999</v>
      </c>
      <c r="J270" s="29">
        <f>IFERROR(ROUND(SUM(M271,M272,M273,M274)/I270, 2),0)</f>
        <v>460.66</v>
      </c>
      <c r="K270" s="29">
        <v>1067</v>
      </c>
      <c r="L270" s="29">
        <f>J270+ROUND(K270, 2)</f>
        <v>1527.66</v>
      </c>
      <c r="M270" s="29">
        <f>ROUND(J270*I270, 2)</f>
        <v>71033.77</v>
      </c>
      <c r="N270" s="29">
        <f>ROUND(I270*ROUND(K270, 2), 2)</f>
        <v>164531.4</v>
      </c>
      <c r="O270" s="29">
        <f>M270+N270</f>
        <v>235565.16999999998</v>
      </c>
      <c r="P270" s="29">
        <f>IFERROR(ROUND(SUM(S271,S272,S273,S274)/I270, 2),0)</f>
        <v>460.66</v>
      </c>
      <c r="Q270" s="29">
        <v>1067</v>
      </c>
      <c r="R270" s="29">
        <f>P270+ROUND(Q270, 2)</f>
        <v>1527.66</v>
      </c>
      <c r="S270" s="29">
        <f>ROUND(P270*I270, 2)</f>
        <v>71033.77</v>
      </c>
      <c r="T270" s="29">
        <f>ROUND(I270*ROUND(Q270, 2), 2)</f>
        <v>164531.4</v>
      </c>
      <c r="U270" s="29">
        <f>S270+T270</f>
        <v>235565.16999999998</v>
      </c>
      <c r="V270" s="9">
        <f>ROUND(P270 / 1.2, 2)</f>
        <v>383.88</v>
      </c>
      <c r="W270" s="9">
        <f>ROUND(Q270 / 1.2, 2)</f>
        <v>889.17</v>
      </c>
      <c r="X270" s="9">
        <f>ROUND(R270 / 1.2, 2)</f>
        <v>1273.05</v>
      </c>
      <c r="Y270" s="9">
        <f t="shared" si="39"/>
        <v>59194.81</v>
      </c>
      <c r="Z270" s="9">
        <f>ROUND(T270 / 1.2, 2)</f>
        <v>137109.5</v>
      </c>
      <c r="AA270" s="9">
        <f>Y270+Z270</f>
        <v>196304.31</v>
      </c>
      <c r="AD270" s="4">
        <v>298925388</v>
      </c>
      <c r="AE270" s="4">
        <v>19976810</v>
      </c>
      <c r="AG270" s="4" t="s">
        <v>895</v>
      </c>
      <c r="AH270" s="4" t="s">
        <v>896</v>
      </c>
      <c r="AI270" s="4" t="s">
        <v>67</v>
      </c>
    </row>
    <row r="271" spans="1:35" ht="18" x14ac:dyDescent="0.3">
      <c r="A271" s="25" t="s">
        <v>925</v>
      </c>
      <c r="B271" s="25"/>
      <c r="C271" s="30" t="s">
        <v>867</v>
      </c>
      <c r="D271" s="27"/>
      <c r="E271" s="27"/>
      <c r="F271" s="31" t="s">
        <v>70</v>
      </c>
      <c r="G271" s="32">
        <v>1.3</v>
      </c>
      <c r="H271" s="27"/>
      <c r="I271" s="33">
        <v>7016.1</v>
      </c>
      <c r="J271" s="34">
        <v>8.6</v>
      </c>
      <c r="K271" s="35"/>
      <c r="L271" s="35"/>
      <c r="M271" s="34">
        <f>ROUND(ROUND(J271, 2)*I271, 2)</f>
        <v>60338.46</v>
      </c>
      <c r="N271" s="35"/>
      <c r="O271" s="35"/>
      <c r="P271" s="34">
        <v>8.6</v>
      </c>
      <c r="Q271" s="35"/>
      <c r="R271" s="35"/>
      <c r="S271" s="34">
        <f>ROUND(ROUND(P271, 2)*I271, 2)</f>
        <v>60338.46</v>
      </c>
      <c r="T271" s="35"/>
      <c r="U271" s="36"/>
      <c r="V271" s="9">
        <f>ROUND(ROUND(P271, 2)/1.2, 2)</f>
        <v>7.17</v>
      </c>
      <c r="Y271" s="9">
        <f t="shared" si="39"/>
        <v>50282.05</v>
      </c>
      <c r="AD271" s="4" t="s">
        <v>926</v>
      </c>
      <c r="AE271" s="4" t="s">
        <v>927</v>
      </c>
      <c r="AF271" s="4" t="s">
        <v>871</v>
      </c>
    </row>
    <row r="272" spans="1:35" ht="18" x14ac:dyDescent="0.3">
      <c r="A272" s="25" t="s">
        <v>928</v>
      </c>
      <c r="B272" s="25"/>
      <c r="C272" s="30" t="s">
        <v>875</v>
      </c>
      <c r="D272" s="27"/>
      <c r="E272" s="27"/>
      <c r="F272" s="31" t="s">
        <v>64</v>
      </c>
      <c r="G272" s="32">
        <v>1.1000000000000001</v>
      </c>
      <c r="H272" s="27"/>
      <c r="I272" s="32">
        <v>169.62</v>
      </c>
      <c r="J272" s="34">
        <v>26</v>
      </c>
      <c r="K272" s="35"/>
      <c r="L272" s="35"/>
      <c r="M272" s="34">
        <f>ROUND(ROUND(J272, 2)*I272, 2)</f>
        <v>4410.12</v>
      </c>
      <c r="N272" s="35"/>
      <c r="O272" s="35"/>
      <c r="P272" s="34">
        <v>26</v>
      </c>
      <c r="Q272" s="35"/>
      <c r="R272" s="35"/>
      <c r="S272" s="34">
        <f>ROUND(ROUND(P272, 2)*I272, 2)</f>
        <v>4410.12</v>
      </c>
      <c r="T272" s="35"/>
      <c r="U272" s="36"/>
      <c r="V272" s="9">
        <f>ROUND(ROUND(P272, 2)/1.2, 2)</f>
        <v>21.67</v>
      </c>
      <c r="Y272" s="9">
        <f t="shared" si="39"/>
        <v>3675.1</v>
      </c>
      <c r="AD272" s="4" t="s">
        <v>929</v>
      </c>
      <c r="AE272" s="4" t="s">
        <v>930</v>
      </c>
      <c r="AF272" s="4" t="s">
        <v>878</v>
      </c>
    </row>
    <row r="273" spans="1:35" ht="18" x14ac:dyDescent="0.3">
      <c r="A273" s="25" t="s">
        <v>931</v>
      </c>
      <c r="B273" s="25"/>
      <c r="C273" s="30" t="s">
        <v>767</v>
      </c>
      <c r="D273" s="27"/>
      <c r="E273" s="27"/>
      <c r="F273" s="31" t="s">
        <v>87</v>
      </c>
      <c r="G273" s="32">
        <v>1</v>
      </c>
      <c r="H273" s="27"/>
      <c r="I273" s="33">
        <v>154.19999999999999</v>
      </c>
      <c r="J273" s="34">
        <v>15.76</v>
      </c>
      <c r="K273" s="35"/>
      <c r="L273" s="35"/>
      <c r="M273" s="34">
        <f>ROUND(ROUND(J273, 2)*I273, 2)</f>
        <v>2430.19</v>
      </c>
      <c r="N273" s="35"/>
      <c r="O273" s="35"/>
      <c r="P273" s="34">
        <v>15.76</v>
      </c>
      <c r="Q273" s="35"/>
      <c r="R273" s="35"/>
      <c r="S273" s="34">
        <f>ROUND(ROUND(P273, 2)*I273, 2)</f>
        <v>2430.19</v>
      </c>
      <c r="T273" s="35"/>
      <c r="U273" s="36"/>
      <c r="V273" s="9">
        <f>ROUND(ROUND(P273, 2)/1.2, 2)</f>
        <v>13.13</v>
      </c>
      <c r="Y273" s="9">
        <f t="shared" si="39"/>
        <v>2025.16</v>
      </c>
      <c r="AD273" s="4" t="s">
        <v>932</v>
      </c>
      <c r="AE273" s="4" t="s">
        <v>933</v>
      </c>
      <c r="AF273" s="4" t="s">
        <v>770</v>
      </c>
    </row>
    <row r="274" spans="1:35" ht="18" x14ac:dyDescent="0.3">
      <c r="A274" s="25" t="s">
        <v>934</v>
      </c>
      <c r="B274" s="25"/>
      <c r="C274" s="30" t="s">
        <v>760</v>
      </c>
      <c r="D274" s="27"/>
      <c r="E274" s="27"/>
      <c r="F274" s="31" t="s">
        <v>70</v>
      </c>
      <c r="G274" s="32">
        <v>0.25</v>
      </c>
      <c r="H274" s="27"/>
      <c r="I274" s="32">
        <v>38.549999999999997</v>
      </c>
      <c r="J274" s="34">
        <v>100</v>
      </c>
      <c r="K274" s="35"/>
      <c r="L274" s="35"/>
      <c r="M274" s="34">
        <f>ROUND(ROUND(J274, 2)*I274, 2)</f>
        <v>3855</v>
      </c>
      <c r="N274" s="35"/>
      <c r="O274" s="35"/>
      <c r="P274" s="34">
        <v>100</v>
      </c>
      <c r="Q274" s="35"/>
      <c r="R274" s="35"/>
      <c r="S274" s="34">
        <f>ROUND(ROUND(P274, 2)*I274, 2)</f>
        <v>3855</v>
      </c>
      <c r="T274" s="35"/>
      <c r="U274" s="36"/>
      <c r="V274" s="9">
        <f>ROUND(ROUND(P274, 2)/1.2, 2)</f>
        <v>83.33</v>
      </c>
      <c r="Y274" s="9">
        <f t="shared" si="39"/>
        <v>3212.5</v>
      </c>
      <c r="AD274" s="4" t="s">
        <v>935</v>
      </c>
      <c r="AE274" s="4" t="s">
        <v>936</v>
      </c>
      <c r="AF274" s="4" t="s">
        <v>763</v>
      </c>
    </row>
    <row r="275" spans="1:35" ht="72" x14ac:dyDescent="0.3">
      <c r="A275" s="25" t="s">
        <v>937</v>
      </c>
      <c r="B275" s="25" t="s">
        <v>892</v>
      </c>
      <c r="C275" s="26" t="s">
        <v>893</v>
      </c>
      <c r="D275" s="27"/>
      <c r="E275" s="27" t="s">
        <v>938</v>
      </c>
      <c r="F275" s="27" t="s">
        <v>64</v>
      </c>
      <c r="G275" s="28">
        <v>1</v>
      </c>
      <c r="H275" s="27"/>
      <c r="I275" s="28">
        <v>572.4</v>
      </c>
      <c r="J275" s="29">
        <f>IFERROR(ROUND(SUM(M276,M277,M278,M279)/I275, 2),0)</f>
        <v>448.98</v>
      </c>
      <c r="K275" s="29">
        <v>1067</v>
      </c>
      <c r="L275" s="29">
        <f>J275+ROUND(K275, 2)</f>
        <v>1515.98</v>
      </c>
      <c r="M275" s="29">
        <f>ROUND(J275*I275, 2)</f>
        <v>256996.15</v>
      </c>
      <c r="N275" s="29">
        <f>ROUND(I275*ROUND(K275, 2), 2)</f>
        <v>610750.80000000005</v>
      </c>
      <c r="O275" s="29">
        <f>M275+N275</f>
        <v>867746.95000000007</v>
      </c>
      <c r="P275" s="29">
        <f>IFERROR(ROUND(SUM(S276,S277,S278,S279)/I275, 2),0)</f>
        <v>448.98</v>
      </c>
      <c r="Q275" s="29">
        <v>1067</v>
      </c>
      <c r="R275" s="29">
        <f>P275+ROUND(Q275, 2)</f>
        <v>1515.98</v>
      </c>
      <c r="S275" s="29">
        <f>ROUND(P275*I275, 2)</f>
        <v>256996.15</v>
      </c>
      <c r="T275" s="29">
        <f>ROUND(I275*ROUND(Q275, 2), 2)</f>
        <v>610750.80000000005</v>
      </c>
      <c r="U275" s="29">
        <f>S275+T275</f>
        <v>867746.95000000007</v>
      </c>
      <c r="V275" s="9">
        <f>ROUND(P275 / 1.2, 2)</f>
        <v>374.15</v>
      </c>
      <c r="W275" s="9">
        <f>ROUND(Q275 / 1.2, 2)</f>
        <v>889.17</v>
      </c>
      <c r="X275" s="9">
        <f>ROUND(R275 / 1.2, 2)</f>
        <v>1263.32</v>
      </c>
      <c r="Y275" s="9">
        <f t="shared" si="39"/>
        <v>214163.46</v>
      </c>
      <c r="Z275" s="9">
        <f>ROUND(T275 / 1.2, 2)</f>
        <v>508959</v>
      </c>
      <c r="AA275" s="9">
        <f>Y275+Z275</f>
        <v>723122.46</v>
      </c>
      <c r="AD275" s="4">
        <v>298925389</v>
      </c>
      <c r="AE275" s="4">
        <v>19976811</v>
      </c>
      <c r="AG275" s="4" t="s">
        <v>895</v>
      </c>
      <c r="AH275" s="4" t="s">
        <v>896</v>
      </c>
      <c r="AI275" s="4" t="s">
        <v>67</v>
      </c>
    </row>
    <row r="276" spans="1:35" ht="36" x14ac:dyDescent="0.3">
      <c r="A276" s="25" t="s">
        <v>939</v>
      </c>
      <c r="B276" s="25"/>
      <c r="C276" s="30" t="s">
        <v>433</v>
      </c>
      <c r="D276" s="27"/>
      <c r="E276" s="27"/>
      <c r="F276" s="31" t="s">
        <v>70</v>
      </c>
      <c r="G276" s="32">
        <v>0.15</v>
      </c>
      <c r="H276" s="27"/>
      <c r="I276" s="32">
        <v>85.86</v>
      </c>
      <c r="J276" s="34">
        <v>88.8</v>
      </c>
      <c r="K276" s="35"/>
      <c r="L276" s="35"/>
      <c r="M276" s="34">
        <f>ROUND(ROUND(J276, 2)*I276, 2)</f>
        <v>7624.37</v>
      </c>
      <c r="N276" s="35"/>
      <c r="O276" s="35"/>
      <c r="P276" s="34">
        <v>88.8</v>
      </c>
      <c r="Q276" s="35"/>
      <c r="R276" s="35"/>
      <c r="S276" s="34">
        <f>ROUND(ROUND(P276, 2)*I276, 2)</f>
        <v>7624.37</v>
      </c>
      <c r="T276" s="35"/>
      <c r="U276" s="36"/>
      <c r="V276" s="9">
        <f>ROUND(ROUND(P276, 2)/1.2, 2)</f>
        <v>74</v>
      </c>
      <c r="Y276" s="9">
        <f t="shared" si="39"/>
        <v>6353.64</v>
      </c>
      <c r="AD276" s="4" t="s">
        <v>940</v>
      </c>
      <c r="AE276" s="4" t="s">
        <v>941</v>
      </c>
      <c r="AF276" s="4" t="s">
        <v>436</v>
      </c>
    </row>
    <row r="277" spans="1:35" ht="18" x14ac:dyDescent="0.3">
      <c r="A277" s="25" t="s">
        <v>942</v>
      </c>
      <c r="B277" s="25"/>
      <c r="C277" s="30" t="s">
        <v>767</v>
      </c>
      <c r="D277" s="27"/>
      <c r="E277" s="27"/>
      <c r="F277" s="31" t="s">
        <v>87</v>
      </c>
      <c r="G277" s="32">
        <v>1</v>
      </c>
      <c r="H277" s="27"/>
      <c r="I277" s="33">
        <v>572.4</v>
      </c>
      <c r="J277" s="34">
        <v>15.76</v>
      </c>
      <c r="K277" s="35"/>
      <c r="L277" s="35"/>
      <c r="M277" s="34">
        <f>ROUND(ROUND(J277, 2)*I277, 2)</f>
        <v>9021.02</v>
      </c>
      <c r="N277" s="35"/>
      <c r="O277" s="35"/>
      <c r="P277" s="34">
        <v>15.76</v>
      </c>
      <c r="Q277" s="35"/>
      <c r="R277" s="35"/>
      <c r="S277" s="34">
        <f>ROUND(ROUND(P277, 2)*I277, 2)</f>
        <v>9021.02</v>
      </c>
      <c r="T277" s="35"/>
      <c r="U277" s="36"/>
      <c r="V277" s="9">
        <f>ROUND(ROUND(P277, 2)/1.2, 2)</f>
        <v>13.13</v>
      </c>
      <c r="Y277" s="9">
        <f t="shared" si="39"/>
        <v>7517.52</v>
      </c>
      <c r="AD277" s="4" t="s">
        <v>943</v>
      </c>
      <c r="AE277" s="4" t="s">
        <v>944</v>
      </c>
      <c r="AF277" s="4" t="s">
        <v>770</v>
      </c>
    </row>
    <row r="278" spans="1:35" ht="18" x14ac:dyDescent="0.3">
      <c r="A278" s="25" t="s">
        <v>945</v>
      </c>
      <c r="B278" s="25"/>
      <c r="C278" s="30" t="s">
        <v>875</v>
      </c>
      <c r="D278" s="27"/>
      <c r="E278" s="27"/>
      <c r="F278" s="31" t="s">
        <v>64</v>
      </c>
      <c r="G278" s="32">
        <v>1.1000000000000001</v>
      </c>
      <c r="H278" s="27"/>
      <c r="I278" s="32">
        <v>629.64</v>
      </c>
      <c r="J278" s="34">
        <v>26</v>
      </c>
      <c r="K278" s="35"/>
      <c r="L278" s="35"/>
      <c r="M278" s="34">
        <f>ROUND(ROUND(J278, 2)*I278, 2)</f>
        <v>16370.64</v>
      </c>
      <c r="N278" s="35"/>
      <c r="O278" s="35"/>
      <c r="P278" s="34">
        <v>26</v>
      </c>
      <c r="Q278" s="35"/>
      <c r="R278" s="35"/>
      <c r="S278" s="34">
        <f>ROUND(ROUND(P278, 2)*I278, 2)</f>
        <v>16370.64</v>
      </c>
      <c r="T278" s="35"/>
      <c r="U278" s="36"/>
      <c r="V278" s="9">
        <f>ROUND(ROUND(P278, 2)/1.2, 2)</f>
        <v>21.67</v>
      </c>
      <c r="Y278" s="9">
        <f t="shared" si="39"/>
        <v>13642.2</v>
      </c>
      <c r="AD278" s="4" t="s">
        <v>946</v>
      </c>
      <c r="AE278" s="4" t="s">
        <v>947</v>
      </c>
      <c r="AF278" s="4" t="s">
        <v>878</v>
      </c>
    </row>
    <row r="279" spans="1:35" ht="18" x14ac:dyDescent="0.3">
      <c r="A279" s="25" t="s">
        <v>948</v>
      </c>
      <c r="B279" s="25"/>
      <c r="C279" s="30" t="s">
        <v>867</v>
      </c>
      <c r="D279" s="27"/>
      <c r="E279" s="27"/>
      <c r="F279" s="31" t="s">
        <v>70</v>
      </c>
      <c r="G279" s="32">
        <v>1.3</v>
      </c>
      <c r="H279" s="27"/>
      <c r="I279" s="33">
        <v>26044.2</v>
      </c>
      <c r="J279" s="34">
        <v>8.6</v>
      </c>
      <c r="K279" s="35"/>
      <c r="L279" s="35"/>
      <c r="M279" s="34">
        <f>ROUND(ROUND(J279, 2)*I279, 2)</f>
        <v>223980.12</v>
      </c>
      <c r="N279" s="35"/>
      <c r="O279" s="35"/>
      <c r="P279" s="34">
        <v>8.6</v>
      </c>
      <c r="Q279" s="35"/>
      <c r="R279" s="35"/>
      <c r="S279" s="34">
        <f>ROUND(ROUND(P279, 2)*I279, 2)</f>
        <v>223980.12</v>
      </c>
      <c r="T279" s="35"/>
      <c r="U279" s="36"/>
      <c r="V279" s="9">
        <f>ROUND(ROUND(P279, 2)/1.2, 2)</f>
        <v>7.17</v>
      </c>
      <c r="Y279" s="9">
        <f t="shared" si="39"/>
        <v>186650.1</v>
      </c>
      <c r="AD279" s="4" t="s">
        <v>949</v>
      </c>
      <c r="AE279" s="4" t="s">
        <v>950</v>
      </c>
      <c r="AF279" s="4" t="s">
        <v>871</v>
      </c>
    </row>
    <row r="280" spans="1:35" ht="54" x14ac:dyDescent="0.3">
      <c r="A280" s="25" t="s">
        <v>951</v>
      </c>
      <c r="B280" s="25" t="s">
        <v>952</v>
      </c>
      <c r="C280" s="26" t="s">
        <v>953</v>
      </c>
      <c r="D280" s="27"/>
      <c r="E280" s="27" t="s">
        <v>894</v>
      </c>
      <c r="F280" s="27" t="s">
        <v>64</v>
      </c>
      <c r="G280" s="28">
        <v>1</v>
      </c>
      <c r="H280" s="27"/>
      <c r="I280" s="28">
        <v>3617.6</v>
      </c>
      <c r="J280" s="29">
        <f>IFERROR(ROUND(SUM(M281,M282,M283)/I280, 2),0)</f>
        <v>313.41000000000003</v>
      </c>
      <c r="K280" s="29">
        <v>1073</v>
      </c>
      <c r="L280" s="29">
        <f>J280+ROUND(K280, 2)</f>
        <v>1386.41</v>
      </c>
      <c r="M280" s="29">
        <f>ROUND(J280*I280, 2)</f>
        <v>1133792.02</v>
      </c>
      <c r="N280" s="29">
        <f>ROUND(I280*ROUND(K280, 2), 2)</f>
        <v>3881684.8</v>
      </c>
      <c r="O280" s="29">
        <f>M280+N280</f>
        <v>5015476.82</v>
      </c>
      <c r="P280" s="29">
        <f>IFERROR(ROUND(SUM(S281,S282,S283)/I280, 2),0)</f>
        <v>313.41000000000003</v>
      </c>
      <c r="Q280" s="29">
        <v>1073</v>
      </c>
      <c r="R280" s="29">
        <f>P280+ROUND(Q280, 2)</f>
        <v>1386.41</v>
      </c>
      <c r="S280" s="29">
        <f>ROUND(P280*I280, 2)</f>
        <v>1133792.02</v>
      </c>
      <c r="T280" s="29">
        <f>ROUND(I280*ROUND(Q280, 2), 2)</f>
        <v>3881684.8</v>
      </c>
      <c r="U280" s="29">
        <f>S280+T280</f>
        <v>5015476.82</v>
      </c>
      <c r="V280" s="9">
        <f>ROUND(P280 / 1.2, 2)</f>
        <v>261.18</v>
      </c>
      <c r="W280" s="9">
        <f>ROUND(Q280 / 1.2, 2)</f>
        <v>894.17</v>
      </c>
      <c r="X280" s="9">
        <f>ROUND(R280 / 1.2, 2)</f>
        <v>1155.3399999999999</v>
      </c>
      <c r="Y280" s="9">
        <f t="shared" si="39"/>
        <v>944826.68</v>
      </c>
      <c r="Z280" s="9">
        <f>ROUND(T280 / 1.2, 2)</f>
        <v>3234737.33</v>
      </c>
      <c r="AA280" s="9">
        <f>Y280+Z280</f>
        <v>4179564.0100000002</v>
      </c>
      <c r="AD280" s="4">
        <v>298925311</v>
      </c>
      <c r="AE280" s="4">
        <v>19976797</v>
      </c>
      <c r="AG280" s="4" t="s">
        <v>954</v>
      </c>
      <c r="AH280" s="4" t="s">
        <v>955</v>
      </c>
      <c r="AI280" s="4" t="s">
        <v>67</v>
      </c>
    </row>
    <row r="281" spans="1:35" ht="36" x14ac:dyDescent="0.3">
      <c r="A281" s="25" t="s">
        <v>956</v>
      </c>
      <c r="B281" s="25"/>
      <c r="C281" s="17" t="s">
        <v>752</v>
      </c>
      <c r="D281" s="27"/>
      <c r="E281" s="27"/>
      <c r="F281" s="31" t="s">
        <v>70</v>
      </c>
      <c r="G281" s="32">
        <v>1</v>
      </c>
      <c r="H281" s="27"/>
      <c r="I281" s="33">
        <v>126616</v>
      </c>
      <c r="J281" s="34">
        <v>7.79</v>
      </c>
      <c r="K281" s="35"/>
      <c r="L281" s="35"/>
      <c r="M281" s="34">
        <f>ROUND(ROUND(J281, 2)*I281, 2)</f>
        <v>986338.64</v>
      </c>
      <c r="N281" s="35"/>
      <c r="O281" s="35"/>
      <c r="P281" s="34">
        <v>7.79</v>
      </c>
      <c r="Q281" s="35"/>
      <c r="R281" s="35"/>
      <c r="S281" s="34">
        <f>ROUND(ROUND(P281, 2)*I281, 2)</f>
        <v>986338.64</v>
      </c>
      <c r="T281" s="35"/>
      <c r="U281" s="36"/>
      <c r="V281" s="9">
        <f>ROUND(ROUND(P281, 2)/1.2, 2)</f>
        <v>6.49</v>
      </c>
      <c r="Y281" s="9">
        <f t="shared" si="39"/>
        <v>821948.87</v>
      </c>
      <c r="AD281" s="4" t="s">
        <v>957</v>
      </c>
      <c r="AE281" s="4" t="s">
        <v>958</v>
      </c>
      <c r="AF281" s="4" t="s">
        <v>756</v>
      </c>
    </row>
    <row r="282" spans="1:35" ht="18" x14ac:dyDescent="0.3">
      <c r="A282" s="25" t="s">
        <v>959</v>
      </c>
      <c r="B282" s="25"/>
      <c r="C282" s="30" t="s">
        <v>767</v>
      </c>
      <c r="D282" s="27"/>
      <c r="E282" s="27"/>
      <c r="F282" s="31" t="s">
        <v>87</v>
      </c>
      <c r="G282" s="32">
        <v>1</v>
      </c>
      <c r="H282" s="27"/>
      <c r="I282" s="33">
        <v>3617.6</v>
      </c>
      <c r="J282" s="34">
        <v>15.76</v>
      </c>
      <c r="K282" s="35"/>
      <c r="L282" s="35"/>
      <c r="M282" s="34">
        <f>ROUND(ROUND(J282, 2)*I282, 2)</f>
        <v>57013.38</v>
      </c>
      <c r="N282" s="35"/>
      <c r="O282" s="35"/>
      <c r="P282" s="34">
        <v>15.76</v>
      </c>
      <c r="Q282" s="35"/>
      <c r="R282" s="35"/>
      <c r="S282" s="34">
        <f>ROUND(ROUND(P282, 2)*I282, 2)</f>
        <v>57013.38</v>
      </c>
      <c r="T282" s="35"/>
      <c r="U282" s="36"/>
      <c r="V282" s="9">
        <f>ROUND(ROUND(P282, 2)/1.2, 2)</f>
        <v>13.13</v>
      </c>
      <c r="Y282" s="9">
        <f t="shared" si="39"/>
        <v>47511.15</v>
      </c>
      <c r="AD282" s="4" t="s">
        <v>960</v>
      </c>
      <c r="AE282" s="4" t="s">
        <v>961</v>
      </c>
      <c r="AF282" s="4" t="s">
        <v>770</v>
      </c>
    </row>
    <row r="283" spans="1:35" ht="18" x14ac:dyDescent="0.3">
      <c r="A283" s="25" t="s">
        <v>962</v>
      </c>
      <c r="B283" s="25"/>
      <c r="C283" s="30" t="s">
        <v>760</v>
      </c>
      <c r="D283" s="27"/>
      <c r="E283" s="27"/>
      <c r="F283" s="31" t="s">
        <v>70</v>
      </c>
      <c r="G283" s="32">
        <v>0.25</v>
      </c>
      <c r="H283" s="27"/>
      <c r="I283" s="32">
        <v>904.4</v>
      </c>
      <c r="J283" s="34">
        <v>100</v>
      </c>
      <c r="K283" s="35"/>
      <c r="L283" s="35"/>
      <c r="M283" s="34">
        <f>ROUND(ROUND(J283, 2)*I283, 2)</f>
        <v>90440</v>
      </c>
      <c r="N283" s="35"/>
      <c r="O283" s="35"/>
      <c r="P283" s="34">
        <v>100</v>
      </c>
      <c r="Q283" s="35"/>
      <c r="R283" s="35"/>
      <c r="S283" s="34">
        <f>ROUND(ROUND(P283, 2)*I283, 2)</f>
        <v>90440</v>
      </c>
      <c r="T283" s="35"/>
      <c r="U283" s="36"/>
      <c r="V283" s="9">
        <f>ROUND(ROUND(P283, 2)/1.2, 2)</f>
        <v>83.33</v>
      </c>
      <c r="Y283" s="9">
        <f t="shared" si="39"/>
        <v>75366.67</v>
      </c>
      <c r="AD283" s="4" t="s">
        <v>963</v>
      </c>
      <c r="AE283" s="4" t="s">
        <v>964</v>
      </c>
      <c r="AF283" s="4" t="s">
        <v>763</v>
      </c>
    </row>
    <row r="284" spans="1:35" ht="54" x14ac:dyDescent="0.3">
      <c r="A284" s="25" t="s">
        <v>965</v>
      </c>
      <c r="B284" s="25" t="s">
        <v>952</v>
      </c>
      <c r="C284" s="26" t="s">
        <v>953</v>
      </c>
      <c r="D284" s="27"/>
      <c r="E284" s="27" t="s">
        <v>966</v>
      </c>
      <c r="F284" s="27" t="s">
        <v>64</v>
      </c>
      <c r="G284" s="28">
        <v>1</v>
      </c>
      <c r="H284" s="27"/>
      <c r="I284" s="28">
        <v>4460.8</v>
      </c>
      <c r="J284" s="29">
        <f>IFERROR(ROUND(SUM(M285,M286,M287)/I284, 2),0)</f>
        <v>301.73</v>
      </c>
      <c r="K284" s="29">
        <v>1073</v>
      </c>
      <c r="L284" s="29">
        <f>J284+ROUND(K284, 2)</f>
        <v>1374.73</v>
      </c>
      <c r="M284" s="29">
        <f>ROUND(J284*I284, 2)</f>
        <v>1345957.18</v>
      </c>
      <c r="N284" s="29">
        <f>ROUND(I284*ROUND(K284, 2), 2)</f>
        <v>4786438.4000000004</v>
      </c>
      <c r="O284" s="29">
        <f>M284+N284</f>
        <v>6132395.5800000001</v>
      </c>
      <c r="P284" s="29">
        <f>IFERROR(ROUND(SUM(S285,S286,S287)/I284, 2),0)</f>
        <v>301.73</v>
      </c>
      <c r="Q284" s="29">
        <v>1073</v>
      </c>
      <c r="R284" s="29">
        <f>P284+ROUND(Q284, 2)</f>
        <v>1374.73</v>
      </c>
      <c r="S284" s="29">
        <f>ROUND(P284*I284, 2)</f>
        <v>1345957.18</v>
      </c>
      <c r="T284" s="29">
        <f>ROUND(I284*ROUND(Q284, 2), 2)</f>
        <v>4786438.4000000004</v>
      </c>
      <c r="U284" s="29">
        <f>S284+T284</f>
        <v>6132395.5800000001</v>
      </c>
      <c r="V284" s="9">
        <f>ROUND(P284 / 1.2, 2)</f>
        <v>251.44</v>
      </c>
      <c r="W284" s="9">
        <f>ROUND(Q284 / 1.2, 2)</f>
        <v>894.17</v>
      </c>
      <c r="X284" s="9">
        <f>ROUND(R284 / 1.2, 2)</f>
        <v>1145.6099999999999</v>
      </c>
      <c r="Y284" s="9">
        <f t="shared" si="39"/>
        <v>1121630.98</v>
      </c>
      <c r="Z284" s="9">
        <f>ROUND(T284 / 1.2, 2)</f>
        <v>3988698.67</v>
      </c>
      <c r="AA284" s="9">
        <f>Y284+Z284</f>
        <v>5110329.6500000004</v>
      </c>
      <c r="AD284" s="4">
        <v>298925390</v>
      </c>
      <c r="AE284" s="4">
        <v>19976798</v>
      </c>
      <c r="AG284" s="4" t="s">
        <v>954</v>
      </c>
      <c r="AH284" s="4" t="s">
        <v>955</v>
      </c>
      <c r="AI284" s="4" t="s">
        <v>67</v>
      </c>
    </row>
    <row r="285" spans="1:35" ht="36" x14ac:dyDescent="0.3">
      <c r="A285" s="25" t="s">
        <v>967</v>
      </c>
      <c r="B285" s="25"/>
      <c r="C285" s="30" t="s">
        <v>433</v>
      </c>
      <c r="D285" s="27"/>
      <c r="E285" s="27"/>
      <c r="F285" s="31" t="s">
        <v>70</v>
      </c>
      <c r="G285" s="32">
        <v>0.15</v>
      </c>
      <c r="H285" s="27"/>
      <c r="I285" s="33">
        <v>669.12</v>
      </c>
      <c r="J285" s="34">
        <v>88.8</v>
      </c>
      <c r="K285" s="35"/>
      <c r="L285" s="35"/>
      <c r="M285" s="34">
        <f>ROUND(ROUND(J285, 2)*I285, 2)</f>
        <v>59417.86</v>
      </c>
      <c r="N285" s="35"/>
      <c r="O285" s="35"/>
      <c r="P285" s="34">
        <v>88.8</v>
      </c>
      <c r="Q285" s="35"/>
      <c r="R285" s="35"/>
      <c r="S285" s="34">
        <f>ROUND(ROUND(P285, 2)*I285, 2)</f>
        <v>59417.86</v>
      </c>
      <c r="T285" s="35"/>
      <c r="U285" s="36"/>
      <c r="V285" s="9">
        <f>ROUND(ROUND(P285, 2)/1.2, 2)</f>
        <v>74</v>
      </c>
      <c r="Y285" s="9">
        <f t="shared" si="39"/>
        <v>49514.879999999997</v>
      </c>
      <c r="AD285" s="4" t="s">
        <v>968</v>
      </c>
      <c r="AE285" s="4" t="s">
        <v>969</v>
      </c>
      <c r="AF285" s="4" t="s">
        <v>436</v>
      </c>
    </row>
    <row r="286" spans="1:35" ht="18" x14ac:dyDescent="0.3">
      <c r="A286" s="25" t="s">
        <v>970</v>
      </c>
      <c r="B286" s="25"/>
      <c r="C286" s="30" t="s">
        <v>767</v>
      </c>
      <c r="D286" s="27"/>
      <c r="E286" s="27"/>
      <c r="F286" s="31" t="s">
        <v>87</v>
      </c>
      <c r="G286" s="32">
        <v>1</v>
      </c>
      <c r="H286" s="27"/>
      <c r="I286" s="33">
        <v>4460.8</v>
      </c>
      <c r="J286" s="34">
        <v>15.76</v>
      </c>
      <c r="K286" s="35"/>
      <c r="L286" s="35"/>
      <c r="M286" s="34">
        <f>ROUND(ROUND(J286, 2)*I286, 2)</f>
        <v>70302.210000000006</v>
      </c>
      <c r="N286" s="35"/>
      <c r="O286" s="35"/>
      <c r="P286" s="34">
        <v>15.76</v>
      </c>
      <c r="Q286" s="35"/>
      <c r="R286" s="35"/>
      <c r="S286" s="34">
        <f>ROUND(ROUND(P286, 2)*I286, 2)</f>
        <v>70302.210000000006</v>
      </c>
      <c r="T286" s="35"/>
      <c r="U286" s="36"/>
      <c r="V286" s="9">
        <f>ROUND(ROUND(P286, 2)/1.2, 2)</f>
        <v>13.13</v>
      </c>
      <c r="Y286" s="9">
        <f t="shared" si="39"/>
        <v>58585.18</v>
      </c>
      <c r="AD286" s="4" t="s">
        <v>971</v>
      </c>
      <c r="AE286" s="4" t="s">
        <v>972</v>
      </c>
      <c r="AF286" s="4" t="s">
        <v>770</v>
      </c>
    </row>
    <row r="287" spans="1:35" ht="36" x14ac:dyDescent="0.3">
      <c r="A287" s="25" t="s">
        <v>973</v>
      </c>
      <c r="B287" s="25"/>
      <c r="C287" s="17" t="s">
        <v>752</v>
      </c>
      <c r="D287" s="27"/>
      <c r="E287" s="27"/>
      <c r="F287" s="31" t="s">
        <v>70</v>
      </c>
      <c r="G287" s="32">
        <v>1</v>
      </c>
      <c r="H287" s="27"/>
      <c r="I287" s="33">
        <v>156128</v>
      </c>
      <c r="J287" s="34">
        <v>7.79</v>
      </c>
      <c r="K287" s="35"/>
      <c r="L287" s="35"/>
      <c r="M287" s="34">
        <f>ROUND(ROUND(J287, 2)*I287, 2)</f>
        <v>1216237.1200000001</v>
      </c>
      <c r="N287" s="35"/>
      <c r="O287" s="35"/>
      <c r="P287" s="34">
        <v>7.79</v>
      </c>
      <c r="Q287" s="35"/>
      <c r="R287" s="35"/>
      <c r="S287" s="34">
        <f>ROUND(ROUND(P287, 2)*I287, 2)</f>
        <v>1216237.1200000001</v>
      </c>
      <c r="T287" s="35"/>
      <c r="U287" s="36"/>
      <c r="V287" s="9">
        <f>ROUND(ROUND(P287, 2)/1.2, 2)</f>
        <v>6.49</v>
      </c>
      <c r="Y287" s="9">
        <f t="shared" si="39"/>
        <v>1013530.93</v>
      </c>
      <c r="AD287" s="4" t="s">
        <v>974</v>
      </c>
      <c r="AE287" s="4" t="s">
        <v>975</v>
      </c>
      <c r="AF287" s="4" t="s">
        <v>756</v>
      </c>
    </row>
    <row r="288" spans="1:35" ht="54" x14ac:dyDescent="0.3">
      <c r="A288" s="25" t="s">
        <v>976</v>
      </c>
      <c r="B288" s="25" t="s">
        <v>952</v>
      </c>
      <c r="C288" s="26" t="s">
        <v>953</v>
      </c>
      <c r="D288" s="27"/>
      <c r="E288" s="27" t="s">
        <v>924</v>
      </c>
      <c r="F288" s="27" t="s">
        <v>64</v>
      </c>
      <c r="G288" s="28">
        <v>1</v>
      </c>
      <c r="H288" s="27"/>
      <c r="I288" s="28">
        <v>3125.2</v>
      </c>
      <c r="J288" s="29">
        <f>IFERROR(ROUND(SUM(M289,M290,M291)/I288, 2),0)</f>
        <v>313.41000000000003</v>
      </c>
      <c r="K288" s="29">
        <v>1073</v>
      </c>
      <c r="L288" s="29">
        <f>J288+ROUND(K288, 2)</f>
        <v>1386.41</v>
      </c>
      <c r="M288" s="29">
        <f>ROUND(J288*I288, 2)</f>
        <v>979468.93</v>
      </c>
      <c r="N288" s="29">
        <f>ROUND(I288*ROUND(K288, 2), 2)</f>
        <v>3353339.6</v>
      </c>
      <c r="O288" s="29">
        <f>M288+N288</f>
        <v>4332808.53</v>
      </c>
      <c r="P288" s="29">
        <f>IFERROR(ROUND(SUM(S289,S290,S291)/I288, 2),0)</f>
        <v>313.41000000000003</v>
      </c>
      <c r="Q288" s="29">
        <v>1073</v>
      </c>
      <c r="R288" s="29">
        <f>P288+ROUND(Q288, 2)</f>
        <v>1386.41</v>
      </c>
      <c r="S288" s="29">
        <f>ROUND(P288*I288, 2)</f>
        <v>979468.93</v>
      </c>
      <c r="T288" s="29">
        <f>ROUND(I288*ROUND(Q288, 2), 2)</f>
        <v>3353339.6</v>
      </c>
      <c r="U288" s="29">
        <f>S288+T288</f>
        <v>4332808.53</v>
      </c>
      <c r="V288" s="9">
        <f>ROUND(P288 / 1.2, 2)</f>
        <v>261.18</v>
      </c>
      <c r="W288" s="9">
        <f>ROUND(Q288 / 1.2, 2)</f>
        <v>894.17</v>
      </c>
      <c r="X288" s="9">
        <f>ROUND(R288 / 1.2, 2)</f>
        <v>1155.3399999999999</v>
      </c>
      <c r="Y288" s="9">
        <f t="shared" si="39"/>
        <v>816224.11</v>
      </c>
      <c r="Z288" s="9">
        <f>ROUND(T288 / 1.2, 2)</f>
        <v>2794449.67</v>
      </c>
      <c r="AA288" s="9">
        <f>Y288+Z288</f>
        <v>3610673.78</v>
      </c>
      <c r="AD288" s="4">
        <v>298925391</v>
      </c>
      <c r="AE288" s="4">
        <v>19976799</v>
      </c>
      <c r="AG288" s="4" t="s">
        <v>954</v>
      </c>
      <c r="AH288" s="4" t="s">
        <v>955</v>
      </c>
      <c r="AI288" s="4" t="s">
        <v>67</v>
      </c>
    </row>
    <row r="289" spans="1:35" ht="36" x14ac:dyDescent="0.3">
      <c r="A289" s="25" t="s">
        <v>977</v>
      </c>
      <c r="B289" s="25"/>
      <c r="C289" s="17" t="s">
        <v>752</v>
      </c>
      <c r="D289" s="27"/>
      <c r="E289" s="27"/>
      <c r="F289" s="31" t="s">
        <v>70</v>
      </c>
      <c r="G289" s="32">
        <v>1</v>
      </c>
      <c r="H289" s="27"/>
      <c r="I289" s="33">
        <v>109382</v>
      </c>
      <c r="J289" s="34">
        <v>7.79</v>
      </c>
      <c r="K289" s="35"/>
      <c r="L289" s="35"/>
      <c r="M289" s="34">
        <f>ROUND(ROUND(J289, 2)*I289, 2)</f>
        <v>852085.78</v>
      </c>
      <c r="N289" s="35"/>
      <c r="O289" s="35"/>
      <c r="P289" s="34">
        <v>7.79</v>
      </c>
      <c r="Q289" s="35"/>
      <c r="R289" s="35"/>
      <c r="S289" s="34">
        <f>ROUND(ROUND(P289, 2)*I289, 2)</f>
        <v>852085.78</v>
      </c>
      <c r="T289" s="35"/>
      <c r="U289" s="36"/>
      <c r="V289" s="9">
        <f>ROUND(ROUND(P289, 2)/1.2, 2)</f>
        <v>6.49</v>
      </c>
      <c r="Y289" s="9">
        <f t="shared" si="39"/>
        <v>710071.48</v>
      </c>
      <c r="AD289" s="4" t="s">
        <v>978</v>
      </c>
      <c r="AE289" s="4" t="s">
        <v>979</v>
      </c>
      <c r="AF289" s="4" t="s">
        <v>756</v>
      </c>
    </row>
    <row r="290" spans="1:35" ht="18" x14ac:dyDescent="0.3">
      <c r="A290" s="25" t="s">
        <v>980</v>
      </c>
      <c r="B290" s="25"/>
      <c r="C290" s="30" t="s">
        <v>767</v>
      </c>
      <c r="D290" s="27"/>
      <c r="E290" s="27"/>
      <c r="F290" s="31" t="s">
        <v>87</v>
      </c>
      <c r="G290" s="32">
        <v>1</v>
      </c>
      <c r="H290" s="27"/>
      <c r="I290" s="33">
        <v>3125.2</v>
      </c>
      <c r="J290" s="34">
        <v>15.76</v>
      </c>
      <c r="K290" s="35"/>
      <c r="L290" s="35"/>
      <c r="M290" s="34">
        <f>ROUND(ROUND(J290, 2)*I290, 2)</f>
        <v>49253.15</v>
      </c>
      <c r="N290" s="35"/>
      <c r="O290" s="35"/>
      <c r="P290" s="34">
        <v>15.76</v>
      </c>
      <c r="Q290" s="35"/>
      <c r="R290" s="35"/>
      <c r="S290" s="34">
        <f>ROUND(ROUND(P290, 2)*I290, 2)</f>
        <v>49253.15</v>
      </c>
      <c r="T290" s="35"/>
      <c r="U290" s="36"/>
      <c r="V290" s="9">
        <f>ROUND(ROUND(P290, 2)/1.2, 2)</f>
        <v>13.13</v>
      </c>
      <c r="Y290" s="9">
        <f t="shared" si="39"/>
        <v>41044.29</v>
      </c>
      <c r="AD290" s="4" t="s">
        <v>981</v>
      </c>
      <c r="AE290" s="4" t="s">
        <v>982</v>
      </c>
      <c r="AF290" s="4" t="s">
        <v>770</v>
      </c>
    </row>
    <row r="291" spans="1:35" ht="18" x14ac:dyDescent="0.3">
      <c r="A291" s="25" t="s">
        <v>983</v>
      </c>
      <c r="B291" s="25"/>
      <c r="C291" s="30" t="s">
        <v>760</v>
      </c>
      <c r="D291" s="27"/>
      <c r="E291" s="27"/>
      <c r="F291" s="31" t="s">
        <v>70</v>
      </c>
      <c r="G291" s="32">
        <v>0.25</v>
      </c>
      <c r="H291" s="27"/>
      <c r="I291" s="32">
        <v>781.3</v>
      </c>
      <c r="J291" s="34">
        <v>100</v>
      </c>
      <c r="K291" s="35"/>
      <c r="L291" s="35"/>
      <c r="M291" s="34">
        <f>ROUND(ROUND(J291, 2)*I291, 2)</f>
        <v>78130</v>
      </c>
      <c r="N291" s="35"/>
      <c r="O291" s="35"/>
      <c r="P291" s="34">
        <v>100</v>
      </c>
      <c r="Q291" s="35"/>
      <c r="R291" s="35"/>
      <c r="S291" s="34">
        <f>ROUND(ROUND(P291, 2)*I291, 2)</f>
        <v>78130</v>
      </c>
      <c r="T291" s="35"/>
      <c r="U291" s="36"/>
      <c r="V291" s="9">
        <f>ROUND(ROUND(P291, 2)/1.2, 2)</f>
        <v>83.33</v>
      </c>
      <c r="Y291" s="9">
        <f t="shared" si="39"/>
        <v>65108.33</v>
      </c>
      <c r="AD291" s="4" t="s">
        <v>984</v>
      </c>
      <c r="AE291" s="4" t="s">
        <v>985</v>
      </c>
      <c r="AF291" s="4" t="s">
        <v>763</v>
      </c>
    </row>
    <row r="292" spans="1:35" ht="54" x14ac:dyDescent="0.3">
      <c r="A292" s="25" t="s">
        <v>986</v>
      </c>
      <c r="B292" s="25" t="s">
        <v>952</v>
      </c>
      <c r="C292" s="26" t="s">
        <v>953</v>
      </c>
      <c r="D292" s="27"/>
      <c r="E292" s="27" t="s">
        <v>987</v>
      </c>
      <c r="F292" s="27" t="s">
        <v>64</v>
      </c>
      <c r="G292" s="28">
        <v>1</v>
      </c>
      <c r="H292" s="27"/>
      <c r="I292" s="28">
        <v>4198.8</v>
      </c>
      <c r="J292" s="29">
        <f>IFERROR(ROUND(SUM(M293,M294,M295)/I292, 2),0)</f>
        <v>301.73</v>
      </c>
      <c r="K292" s="29">
        <v>1073</v>
      </c>
      <c r="L292" s="29">
        <f>J292+ROUND(K292, 2)</f>
        <v>1374.73</v>
      </c>
      <c r="M292" s="29">
        <f>ROUND(J292*I292, 2)</f>
        <v>1266903.92</v>
      </c>
      <c r="N292" s="29">
        <f>ROUND(I292*ROUND(K292, 2), 2)</f>
        <v>4505312.4000000004</v>
      </c>
      <c r="O292" s="29">
        <f>M292+N292</f>
        <v>5772216.3200000003</v>
      </c>
      <c r="P292" s="29">
        <f>IFERROR(ROUND(SUM(S293,S294,S295)/I292, 2),0)</f>
        <v>301.73</v>
      </c>
      <c r="Q292" s="29">
        <v>1073</v>
      </c>
      <c r="R292" s="29">
        <f>P292+ROUND(Q292, 2)</f>
        <v>1374.73</v>
      </c>
      <c r="S292" s="29">
        <f>ROUND(P292*I292, 2)</f>
        <v>1266903.92</v>
      </c>
      <c r="T292" s="29">
        <f>ROUND(I292*ROUND(Q292, 2), 2)</f>
        <v>4505312.4000000004</v>
      </c>
      <c r="U292" s="29">
        <f>S292+T292</f>
        <v>5772216.3200000003</v>
      </c>
      <c r="V292" s="9">
        <f>ROUND(P292 / 1.2, 2)</f>
        <v>251.44</v>
      </c>
      <c r="W292" s="9">
        <f>ROUND(Q292 / 1.2, 2)</f>
        <v>894.17</v>
      </c>
      <c r="X292" s="9">
        <f>ROUND(R292 / 1.2, 2)</f>
        <v>1145.6099999999999</v>
      </c>
      <c r="Y292" s="9">
        <f t="shared" si="39"/>
        <v>1055753.27</v>
      </c>
      <c r="Z292" s="9">
        <f>ROUND(T292 / 1.2, 2)</f>
        <v>3754427</v>
      </c>
      <c r="AA292" s="9">
        <f>Y292+Z292</f>
        <v>4810180.2699999996</v>
      </c>
      <c r="AD292" s="4">
        <v>298925392</v>
      </c>
      <c r="AE292" s="4">
        <v>19976800</v>
      </c>
      <c r="AG292" s="4" t="s">
        <v>954</v>
      </c>
      <c r="AH292" s="4" t="s">
        <v>955</v>
      </c>
      <c r="AI292" s="4" t="s">
        <v>67</v>
      </c>
    </row>
    <row r="293" spans="1:35" ht="36" x14ac:dyDescent="0.3">
      <c r="A293" s="25" t="s">
        <v>988</v>
      </c>
      <c r="B293" s="25"/>
      <c r="C293" s="30" t="s">
        <v>433</v>
      </c>
      <c r="D293" s="27"/>
      <c r="E293" s="27"/>
      <c r="F293" s="31" t="s">
        <v>70</v>
      </c>
      <c r="G293" s="32">
        <v>0.15</v>
      </c>
      <c r="H293" s="27"/>
      <c r="I293" s="33">
        <v>629.82000000000005</v>
      </c>
      <c r="J293" s="34">
        <v>88.8</v>
      </c>
      <c r="K293" s="35"/>
      <c r="L293" s="35"/>
      <c r="M293" s="34">
        <f>ROUND(ROUND(J293, 2)*I293, 2)</f>
        <v>55928.02</v>
      </c>
      <c r="N293" s="35"/>
      <c r="O293" s="35"/>
      <c r="P293" s="34">
        <v>88.8</v>
      </c>
      <c r="Q293" s="35"/>
      <c r="R293" s="35"/>
      <c r="S293" s="34">
        <f>ROUND(ROUND(P293, 2)*I293, 2)</f>
        <v>55928.02</v>
      </c>
      <c r="T293" s="35"/>
      <c r="U293" s="36"/>
      <c r="V293" s="9">
        <f>ROUND(ROUND(P293, 2)/1.2, 2)</f>
        <v>74</v>
      </c>
      <c r="Y293" s="9">
        <f t="shared" si="39"/>
        <v>46606.68</v>
      </c>
      <c r="AD293" s="4" t="s">
        <v>989</v>
      </c>
      <c r="AE293" s="4" t="s">
        <v>990</v>
      </c>
      <c r="AF293" s="4" t="s">
        <v>436</v>
      </c>
    </row>
    <row r="294" spans="1:35" ht="18" x14ac:dyDescent="0.3">
      <c r="A294" s="25" t="s">
        <v>991</v>
      </c>
      <c r="B294" s="25"/>
      <c r="C294" s="30" t="s">
        <v>767</v>
      </c>
      <c r="D294" s="27"/>
      <c r="E294" s="27"/>
      <c r="F294" s="31" t="s">
        <v>87</v>
      </c>
      <c r="G294" s="32">
        <v>1</v>
      </c>
      <c r="H294" s="27"/>
      <c r="I294" s="33">
        <v>4198.8</v>
      </c>
      <c r="J294" s="34">
        <v>15.76</v>
      </c>
      <c r="K294" s="35"/>
      <c r="L294" s="35"/>
      <c r="M294" s="34">
        <f>ROUND(ROUND(J294, 2)*I294, 2)</f>
        <v>66173.09</v>
      </c>
      <c r="N294" s="35"/>
      <c r="O294" s="35"/>
      <c r="P294" s="34">
        <v>15.76</v>
      </c>
      <c r="Q294" s="35"/>
      <c r="R294" s="35"/>
      <c r="S294" s="34">
        <f>ROUND(ROUND(P294, 2)*I294, 2)</f>
        <v>66173.09</v>
      </c>
      <c r="T294" s="35"/>
      <c r="U294" s="36"/>
      <c r="V294" s="9">
        <f>ROUND(ROUND(P294, 2)/1.2, 2)</f>
        <v>13.13</v>
      </c>
      <c r="Y294" s="9">
        <f t="shared" si="39"/>
        <v>55144.24</v>
      </c>
      <c r="AD294" s="4" t="s">
        <v>992</v>
      </c>
      <c r="AE294" s="4" t="s">
        <v>993</v>
      </c>
      <c r="AF294" s="4" t="s">
        <v>770</v>
      </c>
    </row>
    <row r="295" spans="1:35" ht="36" x14ac:dyDescent="0.3">
      <c r="A295" s="25" t="s">
        <v>994</v>
      </c>
      <c r="B295" s="25"/>
      <c r="C295" s="17" t="s">
        <v>752</v>
      </c>
      <c r="D295" s="27"/>
      <c r="E295" s="27"/>
      <c r="F295" s="31" t="s">
        <v>70</v>
      </c>
      <c r="G295" s="32">
        <v>1</v>
      </c>
      <c r="H295" s="27"/>
      <c r="I295" s="33">
        <v>146958</v>
      </c>
      <c r="J295" s="34">
        <v>7.79</v>
      </c>
      <c r="K295" s="35"/>
      <c r="L295" s="35"/>
      <c r="M295" s="34">
        <f>ROUND(ROUND(J295, 2)*I295, 2)</f>
        <v>1144802.82</v>
      </c>
      <c r="N295" s="35"/>
      <c r="O295" s="35"/>
      <c r="P295" s="34">
        <v>7.79</v>
      </c>
      <c r="Q295" s="35"/>
      <c r="R295" s="35"/>
      <c r="S295" s="34">
        <f>ROUND(ROUND(P295, 2)*I295, 2)</f>
        <v>1144802.82</v>
      </c>
      <c r="T295" s="35"/>
      <c r="U295" s="36"/>
      <c r="V295" s="9">
        <f>ROUND(ROUND(P295, 2)/1.2, 2)</f>
        <v>6.49</v>
      </c>
      <c r="Y295" s="9">
        <f t="shared" si="39"/>
        <v>954002.35</v>
      </c>
      <c r="AD295" s="4" t="s">
        <v>995</v>
      </c>
      <c r="AE295" s="4" t="s">
        <v>996</v>
      </c>
      <c r="AF295" s="4" t="s">
        <v>756</v>
      </c>
    </row>
    <row r="296" spans="1:35" ht="16.95" customHeight="1" x14ac:dyDescent="0.3">
      <c r="A296" s="10" t="s">
        <v>997</v>
      </c>
      <c r="B296" s="10" t="s">
        <v>998</v>
      </c>
      <c r="C296" s="352" t="s">
        <v>999</v>
      </c>
      <c r="D296" s="353"/>
      <c r="E296" s="353"/>
      <c r="F296" s="353"/>
      <c r="G296" s="353"/>
      <c r="H296" s="353"/>
      <c r="I296" s="354"/>
      <c r="M296" s="6">
        <f>SUM(M297,M309,M321,M327,M333,M339,M345,M351,M357,M363,M366,M369,M372,M375,M378,M381,M384,M387,M390,M393,M396,M399,M402,M405,M408,M411,M414,M417,M420,M423,M426,M429,M434,M439,M444,M448,M453,M457,M463,M469,M474,M479,M484,M489,M494,M500,M505)</f>
        <v>2456982.8000000003</v>
      </c>
      <c r="N296" s="6">
        <f>SUM(N297,N309,N321,N327,N333,N339,N345,N351,N357,N363,N366,N369,N372,N375,N378,N381,N384,N387,N390,N393,N396,N399,N402,N405,N408,N411,N414,N417,N420,N423,N426,N429,N434,N439,N444,N448,N453,N457,N463,N469,N474,N479,N484,N489,N494,N500,N505)</f>
        <v>10285693.439999998</v>
      </c>
      <c r="O296" s="6">
        <f>SUM(O297,O309,O321,O327,O333,O339,O345,O351,O357,O363,O366,O369,O372,O375,O378,O381,O384,O387,O390,O393,O396,O399,O402,O405,O408,O411,O414,O417,O420,O423,O426,O429,O434,O439,O444,O448,O453,O457,O463,O469,O474,O479,O484,O489,O494,O500,O505)</f>
        <v>12742676.24</v>
      </c>
      <c r="S296" s="6">
        <f>SUM(S297,S309,S321,S327,S333,S339,S345,S351,S357,S363,S366,S369,S372,S375,S378,S381,S384,S387,S390,S393,S396,S399,S402,S405,S408,S411,S414,S417,S420,S423,S426,S429,S434,S439,S444,S448,S453,S457,S463,S469,S474,S479,S484,S489,S494,S500,S505)</f>
        <v>2321278.4100000006</v>
      </c>
      <c r="T296" s="6">
        <f>SUM(T297,T309,T321,T327,T333,T339,T345,T351,T357,T363,T366,T369,T372,T375,T378,T381,T384,T387,T390,T393,T396,T399,T402,T405,T408,T411,T414,T417,T420,T423,T426,T429,T434,T439,T444,T448,T453,T457,T463,T469,T474,T479,T484,T489,T494,T500,T505)</f>
        <v>10285693.439999998</v>
      </c>
      <c r="U296" s="6">
        <f>SUM(U297,U309,U321,U327,U333,U339,U345,U351,U357,U363,U366,U369,U372,U375,U378,U381,U384,U387,U390,U393,U396,U399,U402,U405,U408,U411,U414,U417,U420,U423,U426,U429,U434,U439,U444,U448,U453,U457,U463,U469,U474,U479,U484,U489,U494,U500,U505)</f>
        <v>12606971.850000003</v>
      </c>
      <c r="Y296" s="9">
        <f>SUM(Y297,Y309,Y321,Y327,Y333,Y339,Y345,Y351,Y357,Y363,Y366,Y369,Y372,Y375,Y378,Y381,Y384,Y387,Y390,Y393,Y396,Y399,Y402,Y405,Y408,Y411,Y414,Y417,Y420,Y423,Y426,Y429,Y434,Y439,Y444,Y448,Y453,Y457,Y463,Y469,Y474,Y479,Y484,Y489,Y494,Y500,Y505)</f>
        <v>1934398.7300000002</v>
      </c>
      <c r="Z296" s="9">
        <f>SUM(Z297,Z309,Z321,Z327,Z333,Z339,Z345,Z351,Z357,Z363,Z366,Z369,Z372,Z375,Z378,Z381,Z384,Z387,Z390,Z393,Z396,Z399,Z402,Z405,Z408,Z411,Z414,Z417,Z420,Z423,Z426,Z429,Z434,Z439,Z444,Z448,Z453,Z457,Z463,Z469,Z474,Z479,Z484,Z489,Z494,Z500,Z505)</f>
        <v>8571411.2099999972</v>
      </c>
      <c r="AA296" s="9">
        <f>SUM(AA297,AA309,AA321,AA327,AA333,AA339,AA345,AA351,AA357,AA363,AA366,AA369,AA372,AA375,AA378,AA381,AA384,AA387,AA390,AA393,AA396,AA399,AA402,AA405,AA408,AA411,AA414,AA417,AA420,AA423,AA426,AA429,AA434,AA439,AA444,AA448,AA453,AA457,AA463,AA469,AA474,AA479,AA484,AA489,AA494,AA500,AA505)</f>
        <v>10505809.939999999</v>
      </c>
      <c r="AD296" s="4">
        <v>298925312</v>
      </c>
      <c r="AE296" s="4">
        <v>16211525</v>
      </c>
    </row>
    <row r="297" spans="1:35" ht="54" x14ac:dyDescent="0.3">
      <c r="A297" s="37" t="s">
        <v>1000</v>
      </c>
      <c r="B297" s="37" t="s">
        <v>1001</v>
      </c>
      <c r="C297" s="38" t="s">
        <v>1002</v>
      </c>
      <c r="D297" s="39"/>
      <c r="E297" s="39" t="s">
        <v>63</v>
      </c>
      <c r="F297" s="39" t="s">
        <v>64</v>
      </c>
      <c r="G297" s="40">
        <v>1</v>
      </c>
      <c r="H297" s="39"/>
      <c r="I297" s="41">
        <v>0</v>
      </c>
      <c r="J297" s="42">
        <f>IFERROR(ROUND(SUM(M299,M301,M303,M305,M307)/I297, 2),0)</f>
        <v>0</v>
      </c>
      <c r="K297" s="42">
        <v>2056</v>
      </c>
      <c r="L297" s="42">
        <f>J297+ROUND(K297, 2)</f>
        <v>2056</v>
      </c>
      <c r="M297" s="42">
        <f>ROUND(J297*I297, 2)</f>
        <v>0</v>
      </c>
      <c r="N297" s="42">
        <f>ROUND(I297*ROUND(K297, 2), 2)</f>
        <v>0</v>
      </c>
      <c r="O297" s="42">
        <f>M297+N297</f>
        <v>0</v>
      </c>
      <c r="P297" s="42">
        <f>IFERROR(ROUND(SUM(S299,S301,S303,S305,S307)/I297, 2),0)</f>
        <v>0</v>
      </c>
      <c r="Q297" s="42">
        <v>1869</v>
      </c>
      <c r="R297" s="42">
        <f>P297+ROUND(Q297, 2)</f>
        <v>1869</v>
      </c>
      <c r="S297" s="42">
        <f>ROUND(P297*I297, 2)</f>
        <v>0</v>
      </c>
      <c r="T297" s="42">
        <f>ROUND(I297*ROUND(Q297, 2), 2)</f>
        <v>0</v>
      </c>
      <c r="U297" s="42">
        <f>S297+T297</f>
        <v>0</v>
      </c>
      <c r="V297" s="9">
        <f>ROUND(P297 / 1.2, 2)</f>
        <v>0</v>
      </c>
      <c r="W297" s="9">
        <f>ROUND(Q297 / 1.2, 2)</f>
        <v>1557.5</v>
      </c>
      <c r="X297" s="9">
        <f>ROUND(R297 / 1.2, 2)</f>
        <v>1557.5</v>
      </c>
      <c r="Y297" s="9">
        <f>ROUND(S297 / 1.2, 2)</f>
        <v>0</v>
      </c>
      <c r="Z297" s="9">
        <f>ROUND(T297 / 1.2, 2)</f>
        <v>0</v>
      </c>
      <c r="AA297" s="9">
        <f>Y297+Z297</f>
        <v>0</v>
      </c>
      <c r="AD297" s="4">
        <v>298925314</v>
      </c>
      <c r="AE297" s="4">
        <v>16211621</v>
      </c>
      <c r="AG297" s="4" t="s">
        <v>1003</v>
      </c>
      <c r="AH297" s="4" t="s">
        <v>1004</v>
      </c>
      <c r="AI297" s="4" t="s">
        <v>67</v>
      </c>
    </row>
    <row r="298" spans="1:35" ht="54" x14ac:dyDescent="0.3">
      <c r="A298" s="43" t="s">
        <v>1005</v>
      </c>
      <c r="B298" s="43" t="s">
        <v>1001</v>
      </c>
      <c r="C298" s="44" t="s">
        <v>1002</v>
      </c>
      <c r="D298" s="45"/>
      <c r="E298" s="45"/>
      <c r="F298" s="45" t="s">
        <v>64</v>
      </c>
      <c r="G298" s="46">
        <v>1</v>
      </c>
      <c r="H298" s="45"/>
      <c r="I298" s="46">
        <v>493</v>
      </c>
      <c r="J298" s="47">
        <v>0</v>
      </c>
      <c r="K298" s="47">
        <v>1869</v>
      </c>
      <c r="L298" s="47"/>
      <c r="M298" s="47">
        <v>0</v>
      </c>
      <c r="N298" s="47"/>
      <c r="O298" s="47"/>
      <c r="P298" s="47">
        <v>0</v>
      </c>
      <c r="Q298" s="47">
        <v>1869</v>
      </c>
      <c r="R298" s="47"/>
      <c r="S298" s="47">
        <v>0</v>
      </c>
      <c r="T298" s="47"/>
      <c r="U298" s="47"/>
      <c r="V298" s="9"/>
      <c r="W298" s="9">
        <f>ROUND(Q298 / 1.2, 2)</f>
        <v>1557.5</v>
      </c>
      <c r="X298" s="9">
        <f>ROUND(R298 / 1.2, 2)</f>
        <v>0</v>
      </c>
      <c r="Y298" s="9"/>
      <c r="Z298" s="9">
        <f>ROUND(T298 / 1.2, 2)</f>
        <v>0</v>
      </c>
      <c r="AA298" s="9"/>
      <c r="AD298" s="4">
        <v>213504123</v>
      </c>
      <c r="AE298" s="4">
        <v>16211621</v>
      </c>
      <c r="AG298" s="4" t="s">
        <v>1003</v>
      </c>
      <c r="AH298" s="4" t="s">
        <v>1004</v>
      </c>
      <c r="AI298" s="4"/>
    </row>
    <row r="299" spans="1:35" ht="36" x14ac:dyDescent="0.3">
      <c r="A299" s="37" t="s">
        <v>1006</v>
      </c>
      <c r="B299" s="37"/>
      <c r="C299" s="48" t="s">
        <v>1007</v>
      </c>
      <c r="D299" s="39"/>
      <c r="E299" s="39"/>
      <c r="F299" s="49" t="s">
        <v>87</v>
      </c>
      <c r="G299" s="50">
        <v>0.23</v>
      </c>
      <c r="H299" s="39"/>
      <c r="I299" s="51">
        <v>0</v>
      </c>
      <c r="J299" s="52">
        <v>97.71</v>
      </c>
      <c r="K299" s="53"/>
      <c r="L299" s="53"/>
      <c r="M299" s="52">
        <f t="shared" ref="M299:M308" si="40">ROUND(ROUND(J299, 2)*I299, 2)</f>
        <v>0</v>
      </c>
      <c r="N299" s="53"/>
      <c r="O299" s="53"/>
      <c r="P299" s="52">
        <v>97.71</v>
      </c>
      <c r="Q299" s="53"/>
      <c r="R299" s="53"/>
      <c r="S299" s="52">
        <f t="shared" ref="S299:S308" si="41">ROUND(ROUND(P299, 2)*I299, 2)</f>
        <v>0</v>
      </c>
      <c r="T299" s="53"/>
      <c r="U299" s="54"/>
      <c r="V299" s="9">
        <f t="shared" ref="V299:V308" si="42">ROUND(ROUND(P299, 2)/1.2, 2)</f>
        <v>81.430000000000007</v>
      </c>
      <c r="Y299" s="9">
        <f t="shared" ref="Y299:Y309" si="43">ROUND(S299 / 1.2, 2)</f>
        <v>0</v>
      </c>
      <c r="AD299" s="4" t="s">
        <v>1008</v>
      </c>
      <c r="AE299" s="4" t="s">
        <v>1009</v>
      </c>
      <c r="AF299" s="4" t="s">
        <v>1010</v>
      </c>
    </row>
    <row r="300" spans="1:35" ht="36" x14ac:dyDescent="0.3">
      <c r="A300" s="43" t="s">
        <v>1011</v>
      </c>
      <c r="B300" s="43"/>
      <c r="C300" s="55" t="s">
        <v>1007</v>
      </c>
      <c r="D300" s="45"/>
      <c r="E300" s="45"/>
      <c r="F300" s="56" t="s">
        <v>87</v>
      </c>
      <c r="G300" s="57">
        <v>0.23</v>
      </c>
      <c r="H300" s="45"/>
      <c r="I300" s="58">
        <v>30.13</v>
      </c>
      <c r="J300" s="59">
        <v>97.71</v>
      </c>
      <c r="K300" s="60"/>
      <c r="L300" s="60"/>
      <c r="M300" s="59">
        <f t="shared" si="40"/>
        <v>2944</v>
      </c>
      <c r="N300" s="60"/>
      <c r="O300" s="60"/>
      <c r="P300" s="59">
        <v>97.71</v>
      </c>
      <c r="Q300" s="60"/>
      <c r="R300" s="60"/>
      <c r="S300" s="59">
        <f t="shared" si="41"/>
        <v>2944</v>
      </c>
      <c r="T300" s="60"/>
      <c r="U300" s="61"/>
      <c r="V300" s="9">
        <f t="shared" si="42"/>
        <v>81.430000000000007</v>
      </c>
      <c r="Y300" s="9">
        <f t="shared" si="43"/>
        <v>2453.33</v>
      </c>
      <c r="AD300" s="4" t="s">
        <v>1012</v>
      </c>
      <c r="AE300" s="4" t="s">
        <v>1009</v>
      </c>
      <c r="AF300" s="4" t="s">
        <v>1010</v>
      </c>
    </row>
    <row r="301" spans="1:35" ht="54" x14ac:dyDescent="0.3">
      <c r="A301" s="37" t="s">
        <v>1013</v>
      </c>
      <c r="B301" s="37"/>
      <c r="C301" s="48" t="s">
        <v>601</v>
      </c>
      <c r="D301" s="39"/>
      <c r="E301" s="39" t="s">
        <v>402</v>
      </c>
      <c r="F301" s="49" t="s">
        <v>70</v>
      </c>
      <c r="G301" s="50">
        <v>1.2</v>
      </c>
      <c r="H301" s="39"/>
      <c r="I301" s="51">
        <v>0</v>
      </c>
      <c r="J301" s="52">
        <v>12.33</v>
      </c>
      <c r="K301" s="53"/>
      <c r="L301" s="53"/>
      <c r="M301" s="52">
        <f t="shared" si="40"/>
        <v>0</v>
      </c>
      <c r="N301" s="53"/>
      <c r="O301" s="53"/>
      <c r="P301" s="52">
        <v>12.33</v>
      </c>
      <c r="Q301" s="53"/>
      <c r="R301" s="53"/>
      <c r="S301" s="52">
        <f t="shared" si="41"/>
        <v>0</v>
      </c>
      <c r="T301" s="53"/>
      <c r="U301" s="54"/>
      <c r="V301" s="9">
        <f t="shared" si="42"/>
        <v>10.28</v>
      </c>
      <c r="Y301" s="9">
        <f t="shared" si="43"/>
        <v>0</v>
      </c>
      <c r="AD301" s="4" t="s">
        <v>1014</v>
      </c>
      <c r="AE301" s="4" t="s">
        <v>1015</v>
      </c>
      <c r="AF301" s="4" t="s">
        <v>604</v>
      </c>
    </row>
    <row r="302" spans="1:35" ht="54" x14ac:dyDescent="0.3">
      <c r="A302" s="43" t="s">
        <v>1016</v>
      </c>
      <c r="B302" s="43"/>
      <c r="C302" s="55" t="s">
        <v>601</v>
      </c>
      <c r="D302" s="45"/>
      <c r="E302" s="45" t="s">
        <v>402</v>
      </c>
      <c r="F302" s="56" t="s">
        <v>70</v>
      </c>
      <c r="G302" s="57">
        <v>1.2</v>
      </c>
      <c r="H302" s="45"/>
      <c r="I302" s="58">
        <v>1922.7</v>
      </c>
      <c r="J302" s="59">
        <v>12.33</v>
      </c>
      <c r="K302" s="60"/>
      <c r="L302" s="60"/>
      <c r="M302" s="59">
        <f t="shared" si="40"/>
        <v>23706.89</v>
      </c>
      <c r="N302" s="60"/>
      <c r="O302" s="60"/>
      <c r="P302" s="59">
        <v>12.33</v>
      </c>
      <c r="Q302" s="60"/>
      <c r="R302" s="60"/>
      <c r="S302" s="59">
        <f t="shared" si="41"/>
        <v>23706.89</v>
      </c>
      <c r="T302" s="60"/>
      <c r="U302" s="61"/>
      <c r="V302" s="9">
        <f t="shared" si="42"/>
        <v>10.28</v>
      </c>
      <c r="Y302" s="9">
        <f t="shared" si="43"/>
        <v>19755.740000000002</v>
      </c>
      <c r="AD302" s="4" t="s">
        <v>1017</v>
      </c>
      <c r="AE302" s="4" t="s">
        <v>1015</v>
      </c>
      <c r="AF302" s="4" t="s">
        <v>604</v>
      </c>
    </row>
    <row r="303" spans="1:35" ht="90" x14ac:dyDescent="0.3">
      <c r="A303" s="37" t="s">
        <v>1018</v>
      </c>
      <c r="B303" s="37"/>
      <c r="C303" s="48" t="s">
        <v>1019</v>
      </c>
      <c r="D303" s="39"/>
      <c r="E303" s="39" t="s">
        <v>1020</v>
      </c>
      <c r="F303" s="49" t="s">
        <v>64</v>
      </c>
      <c r="G303" s="50">
        <v>1.07</v>
      </c>
      <c r="H303" s="39"/>
      <c r="I303" s="51">
        <v>0</v>
      </c>
      <c r="J303" s="52">
        <v>1279.95</v>
      </c>
      <c r="K303" s="53"/>
      <c r="L303" s="53"/>
      <c r="M303" s="52">
        <f t="shared" si="40"/>
        <v>0</v>
      </c>
      <c r="N303" s="53"/>
      <c r="O303" s="53"/>
      <c r="P303" s="52">
        <v>637.79999999999995</v>
      </c>
      <c r="Q303" s="53"/>
      <c r="R303" s="53"/>
      <c r="S303" s="52">
        <f t="shared" si="41"/>
        <v>0</v>
      </c>
      <c r="T303" s="53"/>
      <c r="U303" s="54"/>
      <c r="V303" s="9">
        <f t="shared" si="42"/>
        <v>531.5</v>
      </c>
      <c r="Y303" s="9">
        <f t="shared" si="43"/>
        <v>0</v>
      </c>
      <c r="AD303" s="4" t="s">
        <v>1021</v>
      </c>
      <c r="AE303" s="4" t="s">
        <v>1022</v>
      </c>
      <c r="AF303" s="4" t="s">
        <v>1023</v>
      </c>
    </row>
    <row r="304" spans="1:35" ht="90" x14ac:dyDescent="0.3">
      <c r="A304" s="43" t="s">
        <v>1024</v>
      </c>
      <c r="B304" s="43"/>
      <c r="C304" s="55" t="s">
        <v>1019</v>
      </c>
      <c r="D304" s="45"/>
      <c r="E304" s="45" t="s">
        <v>1020</v>
      </c>
      <c r="F304" s="56" t="s">
        <v>64</v>
      </c>
      <c r="G304" s="57">
        <v>1.07</v>
      </c>
      <c r="H304" s="45"/>
      <c r="I304" s="58">
        <v>527.51</v>
      </c>
      <c r="J304" s="59">
        <v>1279.95</v>
      </c>
      <c r="K304" s="60"/>
      <c r="L304" s="60"/>
      <c r="M304" s="59">
        <f t="shared" si="40"/>
        <v>675186.42</v>
      </c>
      <c r="N304" s="60"/>
      <c r="O304" s="60"/>
      <c r="P304" s="59">
        <v>637.79999999999995</v>
      </c>
      <c r="Q304" s="60"/>
      <c r="R304" s="60"/>
      <c r="S304" s="59">
        <f t="shared" si="41"/>
        <v>336445.88</v>
      </c>
      <c r="T304" s="60"/>
      <c r="U304" s="61"/>
      <c r="V304" s="9">
        <f t="shared" si="42"/>
        <v>531.5</v>
      </c>
      <c r="Y304" s="9">
        <f t="shared" si="43"/>
        <v>280371.57</v>
      </c>
      <c r="AD304" s="4" t="s">
        <v>1025</v>
      </c>
      <c r="AE304" s="4" t="s">
        <v>1022</v>
      </c>
      <c r="AF304" s="4" t="s">
        <v>1023</v>
      </c>
    </row>
    <row r="305" spans="1:35" ht="36" x14ac:dyDescent="0.3">
      <c r="A305" s="37" t="s">
        <v>1026</v>
      </c>
      <c r="B305" s="37"/>
      <c r="C305" s="48" t="s">
        <v>426</v>
      </c>
      <c r="D305" s="39"/>
      <c r="E305" s="39"/>
      <c r="F305" s="49" t="s">
        <v>70</v>
      </c>
      <c r="G305" s="50">
        <v>0.25</v>
      </c>
      <c r="H305" s="39"/>
      <c r="I305" s="51">
        <v>0</v>
      </c>
      <c r="J305" s="52">
        <v>40.270000000000003</v>
      </c>
      <c r="K305" s="53"/>
      <c r="L305" s="53"/>
      <c r="M305" s="52">
        <f t="shared" si="40"/>
        <v>0</v>
      </c>
      <c r="N305" s="53"/>
      <c r="O305" s="53"/>
      <c r="P305" s="52">
        <v>40.270000000000003</v>
      </c>
      <c r="Q305" s="53"/>
      <c r="R305" s="53"/>
      <c r="S305" s="52">
        <f t="shared" si="41"/>
        <v>0</v>
      </c>
      <c r="T305" s="53"/>
      <c r="U305" s="54"/>
      <c r="V305" s="9">
        <f t="shared" si="42"/>
        <v>33.56</v>
      </c>
      <c r="Y305" s="9">
        <f t="shared" si="43"/>
        <v>0</v>
      </c>
      <c r="AD305" s="4" t="s">
        <v>1027</v>
      </c>
      <c r="AE305" s="4" t="s">
        <v>1028</v>
      </c>
      <c r="AF305" s="4" t="s">
        <v>429</v>
      </c>
    </row>
    <row r="306" spans="1:35" ht="36" x14ac:dyDescent="0.3">
      <c r="A306" s="43" t="s">
        <v>1029</v>
      </c>
      <c r="B306" s="43"/>
      <c r="C306" s="55" t="s">
        <v>426</v>
      </c>
      <c r="D306" s="45"/>
      <c r="E306" s="45"/>
      <c r="F306" s="56" t="s">
        <v>70</v>
      </c>
      <c r="G306" s="57">
        <v>0.25</v>
      </c>
      <c r="H306" s="45"/>
      <c r="I306" s="58">
        <v>123.25</v>
      </c>
      <c r="J306" s="59">
        <v>40.270000000000003</v>
      </c>
      <c r="K306" s="60"/>
      <c r="L306" s="60"/>
      <c r="M306" s="59">
        <f t="shared" si="40"/>
        <v>4963.28</v>
      </c>
      <c r="N306" s="60"/>
      <c r="O306" s="60"/>
      <c r="P306" s="59">
        <v>40.270000000000003</v>
      </c>
      <c r="Q306" s="60"/>
      <c r="R306" s="60"/>
      <c r="S306" s="59">
        <f t="shared" si="41"/>
        <v>4963.28</v>
      </c>
      <c r="T306" s="60"/>
      <c r="U306" s="61"/>
      <c r="V306" s="9">
        <f t="shared" si="42"/>
        <v>33.56</v>
      </c>
      <c r="Y306" s="9">
        <f t="shared" si="43"/>
        <v>4136.07</v>
      </c>
      <c r="AD306" s="4" t="s">
        <v>1030</v>
      </c>
      <c r="AE306" s="4" t="s">
        <v>1028</v>
      </c>
      <c r="AF306" s="4" t="s">
        <v>429</v>
      </c>
    </row>
    <row r="307" spans="1:35" ht="36" x14ac:dyDescent="0.3">
      <c r="A307" s="37" t="s">
        <v>1031</v>
      </c>
      <c r="B307" s="37"/>
      <c r="C307" s="48" t="s">
        <v>452</v>
      </c>
      <c r="D307" s="39"/>
      <c r="E307" s="39"/>
      <c r="F307" s="49" t="s">
        <v>70</v>
      </c>
      <c r="G307" s="50">
        <v>0.15</v>
      </c>
      <c r="H307" s="39"/>
      <c r="I307" s="62">
        <v>0</v>
      </c>
      <c r="J307" s="52">
        <v>68.400000000000006</v>
      </c>
      <c r="K307" s="53"/>
      <c r="L307" s="53"/>
      <c r="M307" s="52">
        <f t="shared" si="40"/>
        <v>0</v>
      </c>
      <c r="N307" s="53"/>
      <c r="O307" s="53"/>
      <c r="P307" s="52">
        <v>68.400000000000006</v>
      </c>
      <c r="Q307" s="53"/>
      <c r="R307" s="53"/>
      <c r="S307" s="52">
        <f t="shared" si="41"/>
        <v>0</v>
      </c>
      <c r="T307" s="53"/>
      <c r="U307" s="54"/>
      <c r="V307" s="9">
        <f t="shared" si="42"/>
        <v>57</v>
      </c>
      <c r="Y307" s="9">
        <f t="shared" si="43"/>
        <v>0</v>
      </c>
      <c r="AD307" s="4" t="s">
        <v>1032</v>
      </c>
      <c r="AE307" s="4" t="s">
        <v>1033</v>
      </c>
      <c r="AF307" s="4" t="s">
        <v>456</v>
      </c>
    </row>
    <row r="308" spans="1:35" ht="36" x14ac:dyDescent="0.3">
      <c r="A308" s="43" t="s">
        <v>1034</v>
      </c>
      <c r="B308" s="43"/>
      <c r="C308" s="55" t="s">
        <v>452</v>
      </c>
      <c r="D308" s="45"/>
      <c r="E308" s="45"/>
      <c r="F308" s="56" t="s">
        <v>70</v>
      </c>
      <c r="G308" s="57">
        <v>0.15</v>
      </c>
      <c r="H308" s="45"/>
      <c r="I308" s="57">
        <v>73.95</v>
      </c>
      <c r="J308" s="59">
        <v>68.400000000000006</v>
      </c>
      <c r="K308" s="60"/>
      <c r="L308" s="60"/>
      <c r="M308" s="59">
        <f t="shared" si="40"/>
        <v>5058.18</v>
      </c>
      <c r="N308" s="60"/>
      <c r="O308" s="60"/>
      <c r="P308" s="59">
        <v>68.400000000000006</v>
      </c>
      <c r="Q308" s="60"/>
      <c r="R308" s="60"/>
      <c r="S308" s="59">
        <f t="shared" si="41"/>
        <v>5058.18</v>
      </c>
      <c r="T308" s="60"/>
      <c r="U308" s="61"/>
      <c r="V308" s="9">
        <f t="shared" si="42"/>
        <v>57</v>
      </c>
      <c r="Y308" s="9">
        <f t="shared" si="43"/>
        <v>4215.1499999999996</v>
      </c>
      <c r="AD308" s="4" t="s">
        <v>1035</v>
      </c>
      <c r="AE308" s="4" t="s">
        <v>1033</v>
      </c>
      <c r="AF308" s="4" t="s">
        <v>456</v>
      </c>
    </row>
    <row r="309" spans="1:35" ht="54" x14ac:dyDescent="0.3">
      <c r="A309" s="37" t="s">
        <v>1036</v>
      </c>
      <c r="B309" s="37" t="s">
        <v>1001</v>
      </c>
      <c r="C309" s="38" t="s">
        <v>1002</v>
      </c>
      <c r="D309" s="39"/>
      <c r="E309" s="39" t="s">
        <v>63</v>
      </c>
      <c r="F309" s="39" t="s">
        <v>64</v>
      </c>
      <c r="G309" s="40">
        <v>1</v>
      </c>
      <c r="H309" s="39"/>
      <c r="I309" s="41">
        <v>0</v>
      </c>
      <c r="J309" s="42">
        <f>IFERROR(ROUND(SUM(M311,M313,M315,M317,M319)/I309, 2),0)</f>
        <v>0</v>
      </c>
      <c r="K309" s="42">
        <v>2056</v>
      </c>
      <c r="L309" s="42">
        <f>J309+ROUND(K309, 2)</f>
        <v>2056</v>
      </c>
      <c r="M309" s="42">
        <f>ROUND(J309*I309, 2)</f>
        <v>0</v>
      </c>
      <c r="N309" s="42">
        <f>ROUND(I309*ROUND(K309, 2), 2)</f>
        <v>0</v>
      </c>
      <c r="O309" s="42">
        <f>M309+N309</f>
        <v>0</v>
      </c>
      <c r="P309" s="42">
        <f>IFERROR(ROUND(SUM(S311,S313,S315,S317,S319)/I309, 2),0)</f>
        <v>0</v>
      </c>
      <c r="Q309" s="42">
        <v>1869</v>
      </c>
      <c r="R309" s="42">
        <f>P309+ROUND(Q309, 2)</f>
        <v>1869</v>
      </c>
      <c r="S309" s="42">
        <f>ROUND(P309*I309, 2)</f>
        <v>0</v>
      </c>
      <c r="T309" s="42">
        <f>ROUND(I309*ROUND(Q309, 2), 2)</f>
        <v>0</v>
      </c>
      <c r="U309" s="42">
        <f>S309+T309</f>
        <v>0</v>
      </c>
      <c r="V309" s="9">
        <f>ROUND(P309 / 1.2, 2)</f>
        <v>0</v>
      </c>
      <c r="W309" s="9">
        <f>ROUND(Q309 / 1.2, 2)</f>
        <v>1557.5</v>
      </c>
      <c r="X309" s="9">
        <f>ROUND(R309 / 1.2, 2)</f>
        <v>1557.5</v>
      </c>
      <c r="Y309" s="9">
        <f t="shared" si="43"/>
        <v>0</v>
      </c>
      <c r="Z309" s="9">
        <f>ROUND(T309 / 1.2, 2)</f>
        <v>0</v>
      </c>
      <c r="AA309" s="9">
        <f>Y309+Z309</f>
        <v>0</v>
      </c>
      <c r="AD309" s="4">
        <v>298925393</v>
      </c>
      <c r="AE309" s="4">
        <v>16211622</v>
      </c>
      <c r="AG309" s="4" t="s">
        <v>1003</v>
      </c>
      <c r="AH309" s="4" t="s">
        <v>1004</v>
      </c>
      <c r="AI309" s="4" t="s">
        <v>67</v>
      </c>
    </row>
    <row r="310" spans="1:35" ht="54" x14ac:dyDescent="0.3">
      <c r="A310" s="43" t="s">
        <v>1037</v>
      </c>
      <c r="B310" s="43" t="s">
        <v>1001</v>
      </c>
      <c r="C310" s="44" t="s">
        <v>1002</v>
      </c>
      <c r="D310" s="45"/>
      <c r="E310" s="45"/>
      <c r="F310" s="45" t="s">
        <v>64</v>
      </c>
      <c r="G310" s="46">
        <v>1</v>
      </c>
      <c r="H310" s="45"/>
      <c r="I310" s="46">
        <v>413</v>
      </c>
      <c r="J310" s="47">
        <v>0</v>
      </c>
      <c r="K310" s="47">
        <v>1869</v>
      </c>
      <c r="L310" s="47"/>
      <c r="M310" s="47">
        <v>0</v>
      </c>
      <c r="N310" s="47"/>
      <c r="O310" s="47"/>
      <c r="P310" s="47">
        <v>0</v>
      </c>
      <c r="Q310" s="47">
        <v>1869</v>
      </c>
      <c r="R310" s="47"/>
      <c r="S310" s="47">
        <v>0</v>
      </c>
      <c r="T310" s="47"/>
      <c r="U310" s="47"/>
      <c r="V310" s="9"/>
      <c r="W310" s="9">
        <f>ROUND(Q310 / 1.2, 2)</f>
        <v>1557.5</v>
      </c>
      <c r="X310" s="9">
        <f>ROUND(R310 / 1.2, 2)</f>
        <v>0</v>
      </c>
      <c r="Y310" s="9"/>
      <c r="Z310" s="9">
        <f>ROUND(T310 / 1.2, 2)</f>
        <v>0</v>
      </c>
      <c r="AA310" s="9"/>
      <c r="AD310" s="4">
        <v>213504145</v>
      </c>
      <c r="AE310" s="4">
        <v>16211622</v>
      </c>
      <c r="AG310" s="4" t="s">
        <v>1003</v>
      </c>
      <c r="AH310" s="4" t="s">
        <v>1004</v>
      </c>
      <c r="AI310" s="4"/>
    </row>
    <row r="311" spans="1:35" ht="36" x14ac:dyDescent="0.3">
      <c r="A311" s="37" t="s">
        <v>1038</v>
      </c>
      <c r="B311" s="37"/>
      <c r="C311" s="48" t="s">
        <v>452</v>
      </c>
      <c r="D311" s="39"/>
      <c r="E311" s="39"/>
      <c r="F311" s="49" t="s">
        <v>70</v>
      </c>
      <c r="G311" s="50">
        <v>0.15</v>
      </c>
      <c r="H311" s="39"/>
      <c r="I311" s="62">
        <v>0</v>
      </c>
      <c r="J311" s="52">
        <v>68.400000000000006</v>
      </c>
      <c r="K311" s="53"/>
      <c r="L311" s="53"/>
      <c r="M311" s="52">
        <f t="shared" ref="M311:M320" si="44">ROUND(ROUND(J311, 2)*I311, 2)</f>
        <v>0</v>
      </c>
      <c r="N311" s="53"/>
      <c r="O311" s="53"/>
      <c r="P311" s="52">
        <v>68.400000000000006</v>
      </c>
      <c r="Q311" s="53"/>
      <c r="R311" s="53"/>
      <c r="S311" s="52">
        <f t="shared" ref="S311:S320" si="45">ROUND(ROUND(P311, 2)*I311, 2)</f>
        <v>0</v>
      </c>
      <c r="T311" s="53"/>
      <c r="U311" s="54"/>
      <c r="V311" s="9">
        <f t="shared" ref="V311:V320" si="46">ROUND(ROUND(P311, 2)/1.2, 2)</f>
        <v>57</v>
      </c>
      <c r="Y311" s="9">
        <f t="shared" ref="Y311:Y321" si="47">ROUND(S311 / 1.2, 2)</f>
        <v>0</v>
      </c>
      <c r="AD311" s="4" t="s">
        <v>1039</v>
      </c>
      <c r="AE311" s="4" t="s">
        <v>1040</v>
      </c>
      <c r="AF311" s="4" t="s">
        <v>456</v>
      </c>
    </row>
    <row r="312" spans="1:35" ht="36" x14ac:dyDescent="0.3">
      <c r="A312" s="43" t="s">
        <v>1041</v>
      </c>
      <c r="B312" s="43"/>
      <c r="C312" s="55" t="s">
        <v>452</v>
      </c>
      <c r="D312" s="45"/>
      <c r="E312" s="45"/>
      <c r="F312" s="56" t="s">
        <v>70</v>
      </c>
      <c r="G312" s="57">
        <v>0.15</v>
      </c>
      <c r="H312" s="45"/>
      <c r="I312" s="57">
        <v>61.95</v>
      </c>
      <c r="J312" s="59">
        <v>68.400000000000006</v>
      </c>
      <c r="K312" s="60"/>
      <c r="L312" s="60"/>
      <c r="M312" s="59">
        <f t="shared" si="44"/>
        <v>4237.38</v>
      </c>
      <c r="N312" s="60"/>
      <c r="O312" s="60"/>
      <c r="P312" s="59">
        <v>68.400000000000006</v>
      </c>
      <c r="Q312" s="60"/>
      <c r="R312" s="60"/>
      <c r="S312" s="59">
        <f t="shared" si="45"/>
        <v>4237.38</v>
      </c>
      <c r="T312" s="60"/>
      <c r="U312" s="61"/>
      <c r="V312" s="9">
        <f t="shared" si="46"/>
        <v>57</v>
      </c>
      <c r="Y312" s="9">
        <f t="shared" si="47"/>
        <v>3531.15</v>
      </c>
      <c r="AD312" s="4" t="s">
        <v>1042</v>
      </c>
      <c r="AE312" s="4" t="s">
        <v>1040</v>
      </c>
      <c r="AF312" s="4" t="s">
        <v>456</v>
      </c>
    </row>
    <row r="313" spans="1:35" ht="18" x14ac:dyDescent="0.3">
      <c r="A313" s="37" t="s">
        <v>1043</v>
      </c>
      <c r="B313" s="37"/>
      <c r="C313" s="48" t="s">
        <v>1044</v>
      </c>
      <c r="D313" s="39"/>
      <c r="E313" s="39" t="s">
        <v>1045</v>
      </c>
      <c r="F313" s="49" t="s">
        <v>70</v>
      </c>
      <c r="G313" s="50">
        <v>0.25</v>
      </c>
      <c r="H313" s="39"/>
      <c r="I313" s="51">
        <v>0</v>
      </c>
      <c r="J313" s="52">
        <v>40.270000000000003</v>
      </c>
      <c r="K313" s="53"/>
      <c r="L313" s="53"/>
      <c r="M313" s="52">
        <f t="shared" si="44"/>
        <v>0</v>
      </c>
      <c r="N313" s="53"/>
      <c r="O313" s="53"/>
      <c r="P313" s="52">
        <v>40.270000000000003</v>
      </c>
      <c r="Q313" s="53"/>
      <c r="R313" s="53"/>
      <c r="S313" s="52">
        <f t="shared" si="45"/>
        <v>0</v>
      </c>
      <c r="T313" s="53"/>
      <c r="U313" s="54"/>
      <c r="V313" s="9">
        <f t="shared" si="46"/>
        <v>33.56</v>
      </c>
      <c r="Y313" s="9">
        <f t="shared" si="47"/>
        <v>0</v>
      </c>
      <c r="AD313" s="4" t="s">
        <v>1046</v>
      </c>
      <c r="AE313" s="4" t="s">
        <v>1047</v>
      </c>
      <c r="AF313" s="4" t="s">
        <v>1048</v>
      </c>
    </row>
    <row r="314" spans="1:35" ht="18" x14ac:dyDescent="0.3">
      <c r="A314" s="43" t="s">
        <v>1049</v>
      </c>
      <c r="B314" s="43"/>
      <c r="C314" s="55" t="s">
        <v>1044</v>
      </c>
      <c r="D314" s="45"/>
      <c r="E314" s="45" t="s">
        <v>1045</v>
      </c>
      <c r="F314" s="56" t="s">
        <v>70</v>
      </c>
      <c r="G314" s="57">
        <v>0.25</v>
      </c>
      <c r="H314" s="45"/>
      <c r="I314" s="58">
        <v>103.25</v>
      </c>
      <c r="J314" s="59">
        <v>40.270000000000003</v>
      </c>
      <c r="K314" s="60"/>
      <c r="L314" s="60"/>
      <c r="M314" s="59">
        <f t="shared" si="44"/>
        <v>4157.88</v>
      </c>
      <c r="N314" s="60"/>
      <c r="O314" s="60"/>
      <c r="P314" s="59">
        <v>40.270000000000003</v>
      </c>
      <c r="Q314" s="60"/>
      <c r="R314" s="60"/>
      <c r="S314" s="59">
        <f t="shared" si="45"/>
        <v>4157.88</v>
      </c>
      <c r="T314" s="60"/>
      <c r="U314" s="61"/>
      <c r="V314" s="9">
        <f t="shared" si="46"/>
        <v>33.56</v>
      </c>
      <c r="Y314" s="9">
        <f t="shared" si="47"/>
        <v>3464.9</v>
      </c>
      <c r="AD314" s="4" t="s">
        <v>1050</v>
      </c>
      <c r="AE314" s="4" t="s">
        <v>1047</v>
      </c>
      <c r="AF314" s="4" t="s">
        <v>1048</v>
      </c>
    </row>
    <row r="315" spans="1:35" ht="72" x14ac:dyDescent="0.3">
      <c r="A315" s="37" t="s">
        <v>1051</v>
      </c>
      <c r="B315" s="37"/>
      <c r="C315" s="48" t="s">
        <v>1052</v>
      </c>
      <c r="D315" s="39"/>
      <c r="E315" s="39" t="s">
        <v>1053</v>
      </c>
      <c r="F315" s="49" t="s">
        <v>64</v>
      </c>
      <c r="G315" s="50">
        <v>1.07</v>
      </c>
      <c r="H315" s="39"/>
      <c r="I315" s="51">
        <v>0</v>
      </c>
      <c r="J315" s="52">
        <v>1374.45</v>
      </c>
      <c r="K315" s="53"/>
      <c r="L315" s="53"/>
      <c r="M315" s="52">
        <f t="shared" si="44"/>
        <v>0</v>
      </c>
      <c r="N315" s="53"/>
      <c r="O315" s="53"/>
      <c r="P315" s="52">
        <v>837.4</v>
      </c>
      <c r="Q315" s="53"/>
      <c r="R315" s="53"/>
      <c r="S315" s="52">
        <f t="shared" si="45"/>
        <v>0</v>
      </c>
      <c r="T315" s="53"/>
      <c r="U315" s="54"/>
      <c r="V315" s="9">
        <f t="shared" si="46"/>
        <v>697.83</v>
      </c>
      <c r="Y315" s="9">
        <f t="shared" si="47"/>
        <v>0</v>
      </c>
      <c r="AD315" s="4" t="s">
        <v>1054</v>
      </c>
      <c r="AE315" s="4" t="s">
        <v>1055</v>
      </c>
      <c r="AF315" s="4" t="s">
        <v>1056</v>
      </c>
    </row>
    <row r="316" spans="1:35" ht="72" x14ac:dyDescent="0.3">
      <c r="A316" s="43" t="s">
        <v>1057</v>
      </c>
      <c r="B316" s="43"/>
      <c r="C316" s="55" t="s">
        <v>1052</v>
      </c>
      <c r="D316" s="45"/>
      <c r="E316" s="45" t="s">
        <v>1053</v>
      </c>
      <c r="F316" s="56" t="s">
        <v>64</v>
      </c>
      <c r="G316" s="57">
        <v>1.07</v>
      </c>
      <c r="H316" s="45"/>
      <c r="I316" s="58">
        <v>441.91</v>
      </c>
      <c r="J316" s="59">
        <v>1374.45</v>
      </c>
      <c r="K316" s="60"/>
      <c r="L316" s="60"/>
      <c r="M316" s="59">
        <f t="shared" si="44"/>
        <v>607383.19999999995</v>
      </c>
      <c r="N316" s="60"/>
      <c r="O316" s="60"/>
      <c r="P316" s="59">
        <v>837.4</v>
      </c>
      <c r="Q316" s="60"/>
      <c r="R316" s="60"/>
      <c r="S316" s="59">
        <f t="shared" si="45"/>
        <v>370055.43</v>
      </c>
      <c r="T316" s="60"/>
      <c r="U316" s="61"/>
      <c r="V316" s="9">
        <f t="shared" si="46"/>
        <v>697.83</v>
      </c>
      <c r="Y316" s="9">
        <f t="shared" si="47"/>
        <v>308379.53000000003</v>
      </c>
      <c r="AD316" s="4" t="s">
        <v>1058</v>
      </c>
      <c r="AE316" s="4" t="s">
        <v>1055</v>
      </c>
      <c r="AF316" s="4" t="s">
        <v>1056</v>
      </c>
    </row>
    <row r="317" spans="1:35" ht="54" x14ac:dyDescent="0.3">
      <c r="A317" s="37" t="s">
        <v>1059</v>
      </c>
      <c r="B317" s="37"/>
      <c r="C317" s="48" t="s">
        <v>601</v>
      </c>
      <c r="D317" s="39"/>
      <c r="E317" s="39" t="s">
        <v>402</v>
      </c>
      <c r="F317" s="49" t="s">
        <v>70</v>
      </c>
      <c r="G317" s="50">
        <v>1.2</v>
      </c>
      <c r="H317" s="39"/>
      <c r="I317" s="51">
        <v>0</v>
      </c>
      <c r="J317" s="52">
        <v>12.33</v>
      </c>
      <c r="K317" s="53"/>
      <c r="L317" s="53"/>
      <c r="M317" s="52">
        <f t="shared" si="44"/>
        <v>0</v>
      </c>
      <c r="N317" s="53"/>
      <c r="O317" s="53"/>
      <c r="P317" s="52">
        <v>12.33</v>
      </c>
      <c r="Q317" s="53"/>
      <c r="R317" s="53"/>
      <c r="S317" s="52">
        <f t="shared" si="45"/>
        <v>0</v>
      </c>
      <c r="T317" s="53"/>
      <c r="U317" s="54"/>
      <c r="V317" s="9">
        <f t="shared" si="46"/>
        <v>10.28</v>
      </c>
      <c r="Y317" s="9">
        <f t="shared" si="47"/>
        <v>0</v>
      </c>
      <c r="AD317" s="4" t="s">
        <v>1060</v>
      </c>
      <c r="AE317" s="4" t="s">
        <v>1061</v>
      </c>
      <c r="AF317" s="4" t="s">
        <v>604</v>
      </c>
    </row>
    <row r="318" spans="1:35" ht="54" x14ac:dyDescent="0.3">
      <c r="A318" s="43" t="s">
        <v>1062</v>
      </c>
      <c r="B318" s="43"/>
      <c r="C318" s="55" t="s">
        <v>601</v>
      </c>
      <c r="D318" s="45"/>
      <c r="E318" s="45" t="s">
        <v>402</v>
      </c>
      <c r="F318" s="56" t="s">
        <v>70</v>
      </c>
      <c r="G318" s="57">
        <v>1.2</v>
      </c>
      <c r="H318" s="45"/>
      <c r="I318" s="58">
        <v>1610.7</v>
      </c>
      <c r="J318" s="59">
        <v>12.33</v>
      </c>
      <c r="K318" s="60"/>
      <c r="L318" s="60"/>
      <c r="M318" s="59">
        <f t="shared" si="44"/>
        <v>19859.93</v>
      </c>
      <c r="N318" s="60"/>
      <c r="O318" s="60"/>
      <c r="P318" s="59">
        <v>12.33</v>
      </c>
      <c r="Q318" s="60"/>
      <c r="R318" s="60"/>
      <c r="S318" s="59">
        <f t="shared" si="45"/>
        <v>19859.93</v>
      </c>
      <c r="T318" s="60"/>
      <c r="U318" s="61"/>
      <c r="V318" s="9">
        <f t="shared" si="46"/>
        <v>10.28</v>
      </c>
      <c r="Y318" s="9">
        <f t="shared" si="47"/>
        <v>16549.939999999999</v>
      </c>
      <c r="AD318" s="4" t="s">
        <v>1063</v>
      </c>
      <c r="AE318" s="4" t="s">
        <v>1061</v>
      </c>
      <c r="AF318" s="4" t="s">
        <v>604</v>
      </c>
    </row>
    <row r="319" spans="1:35" ht="36" x14ac:dyDescent="0.3">
      <c r="A319" s="37" t="s">
        <v>1064</v>
      </c>
      <c r="B319" s="37"/>
      <c r="C319" s="48" t="s">
        <v>1007</v>
      </c>
      <c r="D319" s="39"/>
      <c r="E319" s="39"/>
      <c r="F319" s="49" t="s">
        <v>87</v>
      </c>
      <c r="G319" s="50">
        <v>0.23</v>
      </c>
      <c r="H319" s="39"/>
      <c r="I319" s="51">
        <v>0</v>
      </c>
      <c r="J319" s="52">
        <v>97.71</v>
      </c>
      <c r="K319" s="53"/>
      <c r="L319" s="53"/>
      <c r="M319" s="52">
        <f t="shared" si="44"/>
        <v>0</v>
      </c>
      <c r="N319" s="53"/>
      <c r="O319" s="53"/>
      <c r="P319" s="52">
        <v>97.71</v>
      </c>
      <c r="Q319" s="53"/>
      <c r="R319" s="53"/>
      <c r="S319" s="52">
        <f t="shared" si="45"/>
        <v>0</v>
      </c>
      <c r="T319" s="53"/>
      <c r="U319" s="54"/>
      <c r="V319" s="9">
        <f t="shared" si="46"/>
        <v>81.430000000000007</v>
      </c>
      <c r="Y319" s="9">
        <f t="shared" si="47"/>
        <v>0</v>
      </c>
      <c r="AD319" s="4" t="s">
        <v>1065</v>
      </c>
      <c r="AE319" s="4" t="s">
        <v>1066</v>
      </c>
      <c r="AF319" s="4" t="s">
        <v>1010</v>
      </c>
    </row>
    <row r="320" spans="1:35" ht="36" x14ac:dyDescent="0.3">
      <c r="A320" s="43" t="s">
        <v>1067</v>
      </c>
      <c r="B320" s="43"/>
      <c r="C320" s="55" t="s">
        <v>1007</v>
      </c>
      <c r="D320" s="45"/>
      <c r="E320" s="45"/>
      <c r="F320" s="56" t="s">
        <v>87</v>
      </c>
      <c r="G320" s="57">
        <v>0.23</v>
      </c>
      <c r="H320" s="45"/>
      <c r="I320" s="58">
        <v>24.15</v>
      </c>
      <c r="J320" s="59">
        <v>97.71</v>
      </c>
      <c r="K320" s="60"/>
      <c r="L320" s="60"/>
      <c r="M320" s="59">
        <f t="shared" si="44"/>
        <v>2359.6999999999998</v>
      </c>
      <c r="N320" s="60"/>
      <c r="O320" s="60"/>
      <c r="P320" s="59">
        <v>97.71</v>
      </c>
      <c r="Q320" s="60"/>
      <c r="R320" s="60"/>
      <c r="S320" s="59">
        <f t="shared" si="45"/>
        <v>2359.6999999999998</v>
      </c>
      <c r="T320" s="60"/>
      <c r="U320" s="61"/>
      <c r="V320" s="9">
        <f t="shared" si="46"/>
        <v>81.430000000000007</v>
      </c>
      <c r="Y320" s="9">
        <f t="shared" si="47"/>
        <v>1966.42</v>
      </c>
      <c r="AD320" s="4" t="s">
        <v>1068</v>
      </c>
      <c r="AE320" s="4" t="s">
        <v>1066</v>
      </c>
      <c r="AF320" s="4" t="s">
        <v>1010</v>
      </c>
    </row>
    <row r="321" spans="1:35" ht="36" x14ac:dyDescent="0.3">
      <c r="A321" s="37" t="s">
        <v>1069</v>
      </c>
      <c r="B321" s="37" t="s">
        <v>1070</v>
      </c>
      <c r="C321" s="38" t="s">
        <v>1071</v>
      </c>
      <c r="D321" s="39"/>
      <c r="E321" s="39" t="s">
        <v>63</v>
      </c>
      <c r="F321" s="39" t="s">
        <v>64</v>
      </c>
      <c r="G321" s="40">
        <v>1</v>
      </c>
      <c r="H321" s="39"/>
      <c r="I321" s="41">
        <v>0</v>
      </c>
      <c r="J321" s="42">
        <f>IFERROR(ROUND(SUM(M323,M325)/I321, 2),0)</f>
        <v>0</v>
      </c>
      <c r="K321" s="42">
        <v>276</v>
      </c>
      <c r="L321" s="42">
        <f>J321+ROUND(K321, 2)</f>
        <v>276</v>
      </c>
      <c r="M321" s="42">
        <f>ROUND(J321*I321, 2)</f>
        <v>0</v>
      </c>
      <c r="N321" s="42">
        <f>ROUND(I321*ROUND(K321, 2), 2)</f>
        <v>0</v>
      </c>
      <c r="O321" s="42">
        <f>M321+N321</f>
        <v>0</v>
      </c>
      <c r="P321" s="42">
        <f>IFERROR(ROUND(SUM(S323,S325)/I321, 2),0)</f>
        <v>0</v>
      </c>
      <c r="Q321" s="42">
        <v>251</v>
      </c>
      <c r="R321" s="42">
        <f>P321+ROUND(Q321, 2)</f>
        <v>251</v>
      </c>
      <c r="S321" s="42">
        <f>ROUND(P321*I321, 2)</f>
        <v>0</v>
      </c>
      <c r="T321" s="42">
        <f>ROUND(I321*ROUND(Q321, 2), 2)</f>
        <v>0</v>
      </c>
      <c r="U321" s="42">
        <f>S321+T321</f>
        <v>0</v>
      </c>
      <c r="V321" s="9">
        <f>ROUND(P321 / 1.2, 2)</f>
        <v>0</v>
      </c>
      <c r="W321" s="9">
        <f>ROUND(Q321 / 1.2, 2)</f>
        <v>209.17</v>
      </c>
      <c r="X321" s="9">
        <f>ROUND(R321 / 1.2, 2)</f>
        <v>209.17</v>
      </c>
      <c r="Y321" s="9">
        <f t="shared" si="47"/>
        <v>0</v>
      </c>
      <c r="Z321" s="9">
        <f>ROUND(T321 / 1.2, 2)</f>
        <v>0</v>
      </c>
      <c r="AA321" s="9">
        <f>Y321+Z321</f>
        <v>0</v>
      </c>
      <c r="AD321" s="4">
        <v>298925316</v>
      </c>
      <c r="AE321" s="4">
        <v>16211512</v>
      </c>
      <c r="AG321" s="4" t="s">
        <v>1072</v>
      </c>
      <c r="AH321" s="4" t="s">
        <v>1073</v>
      </c>
      <c r="AI321" s="4" t="s">
        <v>67</v>
      </c>
    </row>
    <row r="322" spans="1:35" ht="36" x14ac:dyDescent="0.3">
      <c r="A322" s="43" t="s">
        <v>1074</v>
      </c>
      <c r="B322" s="43" t="s">
        <v>1070</v>
      </c>
      <c r="C322" s="44" t="s">
        <v>1071</v>
      </c>
      <c r="D322" s="45"/>
      <c r="E322" s="45"/>
      <c r="F322" s="45" t="s">
        <v>64</v>
      </c>
      <c r="G322" s="46">
        <v>1</v>
      </c>
      <c r="H322" s="45"/>
      <c r="I322" s="46">
        <v>6415</v>
      </c>
      <c r="J322" s="47">
        <v>0</v>
      </c>
      <c r="K322" s="47">
        <v>251</v>
      </c>
      <c r="L322" s="47"/>
      <c r="M322" s="47">
        <v>0</v>
      </c>
      <c r="N322" s="47"/>
      <c r="O322" s="47"/>
      <c r="P322" s="47">
        <v>0</v>
      </c>
      <c r="Q322" s="47">
        <v>251</v>
      </c>
      <c r="R322" s="47"/>
      <c r="S322" s="47">
        <v>0</v>
      </c>
      <c r="T322" s="47"/>
      <c r="U322" s="47"/>
      <c r="V322" s="9"/>
      <c r="W322" s="9">
        <f>ROUND(Q322 / 1.2, 2)</f>
        <v>209.17</v>
      </c>
      <c r="X322" s="9">
        <f>ROUND(R322 / 1.2, 2)</f>
        <v>0</v>
      </c>
      <c r="Y322" s="9"/>
      <c r="Z322" s="9">
        <f>ROUND(T322 / 1.2, 2)</f>
        <v>0</v>
      </c>
      <c r="AA322" s="9"/>
      <c r="AD322" s="4">
        <v>206117306</v>
      </c>
      <c r="AE322" s="4">
        <v>16211512</v>
      </c>
      <c r="AG322" s="4" t="s">
        <v>1072</v>
      </c>
      <c r="AH322" s="4" t="s">
        <v>1073</v>
      </c>
      <c r="AI322" s="4"/>
    </row>
    <row r="323" spans="1:35" ht="36" x14ac:dyDescent="0.3">
      <c r="A323" s="37" t="s">
        <v>1075</v>
      </c>
      <c r="B323" s="37"/>
      <c r="C323" s="48" t="s">
        <v>433</v>
      </c>
      <c r="D323" s="39"/>
      <c r="E323" s="39"/>
      <c r="F323" s="49" t="s">
        <v>70</v>
      </c>
      <c r="G323" s="50">
        <v>0.15</v>
      </c>
      <c r="H323" s="39"/>
      <c r="I323" s="62">
        <v>0</v>
      </c>
      <c r="J323" s="52">
        <v>88.8</v>
      </c>
      <c r="K323" s="53"/>
      <c r="L323" s="53"/>
      <c r="M323" s="52">
        <f>ROUND(ROUND(J323, 2)*I323, 2)</f>
        <v>0</v>
      </c>
      <c r="N323" s="53"/>
      <c r="O323" s="53"/>
      <c r="P323" s="52">
        <v>88.8</v>
      </c>
      <c r="Q323" s="53"/>
      <c r="R323" s="53"/>
      <c r="S323" s="52">
        <f>ROUND(ROUND(P323, 2)*I323, 2)</f>
        <v>0</v>
      </c>
      <c r="T323" s="53"/>
      <c r="U323" s="54"/>
      <c r="V323" s="9">
        <f>ROUND(ROUND(P323, 2)/1.2, 2)</f>
        <v>74</v>
      </c>
      <c r="Y323" s="9">
        <f>ROUND(S323 / 1.2, 2)</f>
        <v>0</v>
      </c>
      <c r="AD323" s="4" t="s">
        <v>1076</v>
      </c>
      <c r="AE323" s="4" t="s">
        <v>1077</v>
      </c>
      <c r="AF323" s="4" t="s">
        <v>436</v>
      </c>
    </row>
    <row r="324" spans="1:35" ht="36" x14ac:dyDescent="0.3">
      <c r="A324" s="43" t="s">
        <v>1078</v>
      </c>
      <c r="B324" s="43"/>
      <c r="C324" s="55" t="s">
        <v>433</v>
      </c>
      <c r="D324" s="45"/>
      <c r="E324" s="45"/>
      <c r="F324" s="56" t="s">
        <v>70</v>
      </c>
      <c r="G324" s="57">
        <v>0.15</v>
      </c>
      <c r="H324" s="45"/>
      <c r="I324" s="57">
        <v>962.25</v>
      </c>
      <c r="J324" s="59">
        <v>88.8</v>
      </c>
      <c r="K324" s="60"/>
      <c r="L324" s="60"/>
      <c r="M324" s="59">
        <f>ROUND(ROUND(J324, 2)*I324, 2)</f>
        <v>85447.8</v>
      </c>
      <c r="N324" s="60"/>
      <c r="O324" s="60"/>
      <c r="P324" s="59">
        <v>88.8</v>
      </c>
      <c r="Q324" s="60"/>
      <c r="R324" s="60"/>
      <c r="S324" s="59">
        <f>ROUND(ROUND(P324, 2)*I324, 2)</f>
        <v>85447.8</v>
      </c>
      <c r="T324" s="60"/>
      <c r="U324" s="61"/>
      <c r="V324" s="9">
        <f>ROUND(ROUND(P324, 2)/1.2, 2)</f>
        <v>74</v>
      </c>
      <c r="Y324" s="9">
        <f>ROUND(S324 / 1.2, 2)</f>
        <v>71206.5</v>
      </c>
      <c r="AD324" s="4" t="s">
        <v>1079</v>
      </c>
      <c r="AE324" s="4" t="s">
        <v>1077</v>
      </c>
      <c r="AF324" s="4" t="s">
        <v>436</v>
      </c>
    </row>
    <row r="325" spans="1:35" ht="90" x14ac:dyDescent="0.3">
      <c r="A325" s="37" t="s">
        <v>1080</v>
      </c>
      <c r="B325" s="37"/>
      <c r="C325" s="48" t="s">
        <v>1081</v>
      </c>
      <c r="D325" s="39"/>
      <c r="E325" s="39" t="s">
        <v>1082</v>
      </c>
      <c r="F325" s="49" t="s">
        <v>70</v>
      </c>
      <c r="G325" s="50">
        <v>0.3</v>
      </c>
      <c r="H325" s="39"/>
      <c r="I325" s="62">
        <v>0</v>
      </c>
      <c r="J325" s="52">
        <v>252.47</v>
      </c>
      <c r="K325" s="53"/>
      <c r="L325" s="53"/>
      <c r="M325" s="52">
        <f>ROUND(ROUND(J325, 2)*I325, 2)</f>
        <v>0</v>
      </c>
      <c r="N325" s="53"/>
      <c r="O325" s="53"/>
      <c r="P325" s="52">
        <v>252.47</v>
      </c>
      <c r="Q325" s="53"/>
      <c r="R325" s="53"/>
      <c r="S325" s="52">
        <f>ROUND(ROUND(P325, 2)*I325, 2)</f>
        <v>0</v>
      </c>
      <c r="T325" s="53"/>
      <c r="U325" s="54"/>
      <c r="V325" s="9">
        <f>ROUND(ROUND(P325, 2)/1.2, 2)</f>
        <v>210.39</v>
      </c>
      <c r="Y325" s="9">
        <f>ROUND(S325 / 1.2, 2)</f>
        <v>0</v>
      </c>
      <c r="AD325" s="4" t="s">
        <v>1083</v>
      </c>
      <c r="AE325" s="4" t="s">
        <v>1084</v>
      </c>
      <c r="AF325" s="4" t="s">
        <v>1085</v>
      </c>
    </row>
    <row r="326" spans="1:35" ht="90" x14ac:dyDescent="0.3">
      <c r="A326" s="43" t="s">
        <v>1086</v>
      </c>
      <c r="B326" s="43"/>
      <c r="C326" s="55" t="s">
        <v>1081</v>
      </c>
      <c r="D326" s="45"/>
      <c r="E326" s="45" t="s">
        <v>1082</v>
      </c>
      <c r="F326" s="56" t="s">
        <v>70</v>
      </c>
      <c r="G326" s="57">
        <v>0.3</v>
      </c>
      <c r="H326" s="45"/>
      <c r="I326" s="57">
        <v>1924.5</v>
      </c>
      <c r="J326" s="59">
        <v>252.47</v>
      </c>
      <c r="K326" s="60"/>
      <c r="L326" s="60"/>
      <c r="M326" s="59">
        <f>ROUND(ROUND(J326, 2)*I326, 2)</f>
        <v>485878.52</v>
      </c>
      <c r="N326" s="60"/>
      <c r="O326" s="60"/>
      <c r="P326" s="59">
        <v>252.47</v>
      </c>
      <c r="Q326" s="60"/>
      <c r="R326" s="60"/>
      <c r="S326" s="59">
        <f>ROUND(ROUND(P326, 2)*I326, 2)</f>
        <v>485878.52</v>
      </c>
      <c r="T326" s="60"/>
      <c r="U326" s="61"/>
      <c r="V326" s="9">
        <f>ROUND(ROUND(P326, 2)/1.2, 2)</f>
        <v>210.39</v>
      </c>
      <c r="Y326" s="9">
        <f>ROUND(S326 / 1.2, 2)</f>
        <v>404898.77</v>
      </c>
      <c r="AD326" s="4" t="s">
        <v>1087</v>
      </c>
      <c r="AE326" s="4" t="s">
        <v>1084</v>
      </c>
      <c r="AF326" s="4" t="s">
        <v>1085</v>
      </c>
    </row>
    <row r="327" spans="1:35" ht="36" x14ac:dyDescent="0.3">
      <c r="A327" s="37" t="s">
        <v>1088</v>
      </c>
      <c r="B327" s="37" t="s">
        <v>1070</v>
      </c>
      <c r="C327" s="38" t="s">
        <v>1071</v>
      </c>
      <c r="D327" s="39"/>
      <c r="E327" s="39" t="s">
        <v>63</v>
      </c>
      <c r="F327" s="39" t="s">
        <v>64</v>
      </c>
      <c r="G327" s="40">
        <v>1</v>
      </c>
      <c r="H327" s="39"/>
      <c r="I327" s="41">
        <v>0</v>
      </c>
      <c r="J327" s="42">
        <f>IFERROR(ROUND(SUM(M329,M331)/I327, 2),0)</f>
        <v>0</v>
      </c>
      <c r="K327" s="42">
        <v>276</v>
      </c>
      <c r="L327" s="42">
        <f>J327+ROUND(K327, 2)</f>
        <v>276</v>
      </c>
      <c r="M327" s="42">
        <f>ROUND(J327*I327, 2)</f>
        <v>0</v>
      </c>
      <c r="N327" s="42">
        <f>ROUND(I327*ROUND(K327, 2), 2)</f>
        <v>0</v>
      </c>
      <c r="O327" s="42">
        <f>M327+N327</f>
        <v>0</v>
      </c>
      <c r="P327" s="42">
        <f>IFERROR(ROUND(SUM(S329,S331)/I327, 2),0)</f>
        <v>0</v>
      </c>
      <c r="Q327" s="42">
        <v>251</v>
      </c>
      <c r="R327" s="42">
        <f>P327+ROUND(Q327, 2)</f>
        <v>251</v>
      </c>
      <c r="S327" s="42">
        <f>ROUND(P327*I327, 2)</f>
        <v>0</v>
      </c>
      <c r="T327" s="42">
        <f>ROUND(I327*ROUND(Q327, 2), 2)</f>
        <v>0</v>
      </c>
      <c r="U327" s="42">
        <f>S327+T327</f>
        <v>0</v>
      </c>
      <c r="V327" s="9">
        <f>ROUND(P327 / 1.2, 2)</f>
        <v>0</v>
      </c>
      <c r="W327" s="9">
        <f>ROUND(Q327 / 1.2, 2)</f>
        <v>209.17</v>
      </c>
      <c r="X327" s="9">
        <f>ROUND(R327 / 1.2, 2)</f>
        <v>209.17</v>
      </c>
      <c r="Y327" s="9">
        <f>ROUND(S327 / 1.2, 2)</f>
        <v>0</v>
      </c>
      <c r="Z327" s="9">
        <f>ROUND(T327 / 1.2, 2)</f>
        <v>0</v>
      </c>
      <c r="AA327" s="9">
        <f>Y327+Z327</f>
        <v>0</v>
      </c>
      <c r="AD327" s="4">
        <v>298925394</v>
      </c>
      <c r="AE327" s="4">
        <v>16211513</v>
      </c>
      <c r="AG327" s="4" t="s">
        <v>1072</v>
      </c>
      <c r="AH327" s="4" t="s">
        <v>1073</v>
      </c>
      <c r="AI327" s="4" t="s">
        <v>67</v>
      </c>
    </row>
    <row r="328" spans="1:35" ht="36" x14ac:dyDescent="0.3">
      <c r="A328" s="43" t="s">
        <v>1089</v>
      </c>
      <c r="B328" s="43" t="s">
        <v>1070</v>
      </c>
      <c r="C328" s="44" t="s">
        <v>1071</v>
      </c>
      <c r="D328" s="45"/>
      <c r="E328" s="45"/>
      <c r="F328" s="45" t="s">
        <v>64</v>
      </c>
      <c r="G328" s="46">
        <v>1</v>
      </c>
      <c r="H328" s="45"/>
      <c r="I328" s="46">
        <v>291</v>
      </c>
      <c r="J328" s="47">
        <v>0</v>
      </c>
      <c r="K328" s="47">
        <v>251</v>
      </c>
      <c r="L328" s="47"/>
      <c r="M328" s="47">
        <v>0</v>
      </c>
      <c r="N328" s="47"/>
      <c r="O328" s="47"/>
      <c r="P328" s="47">
        <v>0</v>
      </c>
      <c r="Q328" s="47">
        <v>251</v>
      </c>
      <c r="R328" s="47"/>
      <c r="S328" s="47">
        <v>0</v>
      </c>
      <c r="T328" s="47"/>
      <c r="U328" s="47"/>
      <c r="V328" s="9"/>
      <c r="W328" s="9">
        <f>ROUND(Q328 / 1.2, 2)</f>
        <v>209.17</v>
      </c>
      <c r="X328" s="9">
        <f>ROUND(R328 / 1.2, 2)</f>
        <v>0</v>
      </c>
      <c r="Y328" s="9"/>
      <c r="Z328" s="9">
        <f>ROUND(T328 / 1.2, 2)</f>
        <v>0</v>
      </c>
      <c r="AA328" s="9"/>
      <c r="AD328" s="4">
        <v>206117308</v>
      </c>
      <c r="AE328" s="4">
        <v>16211513</v>
      </c>
      <c r="AG328" s="4" t="s">
        <v>1072</v>
      </c>
      <c r="AH328" s="4" t="s">
        <v>1073</v>
      </c>
      <c r="AI328" s="4"/>
    </row>
    <row r="329" spans="1:35" ht="90" x14ac:dyDescent="0.3">
      <c r="A329" s="37" t="s">
        <v>1090</v>
      </c>
      <c r="B329" s="37"/>
      <c r="C329" s="48" t="s">
        <v>1091</v>
      </c>
      <c r="D329" s="39"/>
      <c r="E329" s="39" t="s">
        <v>1092</v>
      </c>
      <c r="F329" s="49" t="s">
        <v>70</v>
      </c>
      <c r="G329" s="50">
        <v>0.3</v>
      </c>
      <c r="H329" s="39"/>
      <c r="I329" s="62">
        <v>0</v>
      </c>
      <c r="J329" s="52">
        <v>388.89</v>
      </c>
      <c r="K329" s="53"/>
      <c r="L329" s="53"/>
      <c r="M329" s="52">
        <f>ROUND(ROUND(J329, 2)*I329, 2)</f>
        <v>0</v>
      </c>
      <c r="N329" s="53"/>
      <c r="O329" s="53"/>
      <c r="P329" s="52">
        <v>388.89</v>
      </c>
      <c r="Q329" s="53"/>
      <c r="R329" s="53"/>
      <c r="S329" s="52">
        <f>ROUND(ROUND(P329, 2)*I329, 2)</f>
        <v>0</v>
      </c>
      <c r="T329" s="53"/>
      <c r="U329" s="54"/>
      <c r="V329" s="9">
        <f>ROUND(ROUND(P329, 2)/1.2, 2)</f>
        <v>324.08</v>
      </c>
      <c r="Y329" s="9">
        <f>ROUND(S329 / 1.2, 2)</f>
        <v>0</v>
      </c>
      <c r="AD329" s="4" t="s">
        <v>1093</v>
      </c>
      <c r="AE329" s="4" t="s">
        <v>1094</v>
      </c>
      <c r="AF329" s="4" t="s">
        <v>1095</v>
      </c>
    </row>
    <row r="330" spans="1:35" ht="90" x14ac:dyDescent="0.3">
      <c r="A330" s="43" t="s">
        <v>1096</v>
      </c>
      <c r="B330" s="43"/>
      <c r="C330" s="55" t="s">
        <v>1091</v>
      </c>
      <c r="D330" s="45"/>
      <c r="E330" s="45" t="s">
        <v>1092</v>
      </c>
      <c r="F330" s="56" t="s">
        <v>70</v>
      </c>
      <c r="G330" s="57">
        <v>0.3</v>
      </c>
      <c r="H330" s="45"/>
      <c r="I330" s="57">
        <v>87.3</v>
      </c>
      <c r="J330" s="59">
        <v>388.89</v>
      </c>
      <c r="K330" s="60"/>
      <c r="L330" s="60"/>
      <c r="M330" s="59">
        <f>ROUND(ROUND(J330, 2)*I330, 2)</f>
        <v>33950.1</v>
      </c>
      <c r="N330" s="60"/>
      <c r="O330" s="60"/>
      <c r="P330" s="59">
        <v>388.89</v>
      </c>
      <c r="Q330" s="60"/>
      <c r="R330" s="60"/>
      <c r="S330" s="59">
        <f>ROUND(ROUND(P330, 2)*I330, 2)</f>
        <v>33950.1</v>
      </c>
      <c r="T330" s="60"/>
      <c r="U330" s="61"/>
      <c r="V330" s="9">
        <f>ROUND(ROUND(P330, 2)/1.2, 2)</f>
        <v>324.08</v>
      </c>
      <c r="Y330" s="9">
        <f>ROUND(S330 / 1.2, 2)</f>
        <v>28291.75</v>
      </c>
      <c r="AD330" s="4" t="s">
        <v>1097</v>
      </c>
      <c r="AE330" s="4" t="s">
        <v>1094</v>
      </c>
      <c r="AF330" s="4" t="s">
        <v>1095</v>
      </c>
    </row>
    <row r="331" spans="1:35" ht="36" x14ac:dyDescent="0.3">
      <c r="A331" s="37" t="s">
        <v>1098</v>
      </c>
      <c r="B331" s="37"/>
      <c r="C331" s="48" t="s">
        <v>433</v>
      </c>
      <c r="D331" s="39"/>
      <c r="E331" s="39"/>
      <c r="F331" s="49" t="s">
        <v>70</v>
      </c>
      <c r="G331" s="50">
        <v>0.15</v>
      </c>
      <c r="H331" s="39"/>
      <c r="I331" s="62">
        <v>0</v>
      </c>
      <c r="J331" s="52">
        <v>88.8</v>
      </c>
      <c r="K331" s="53"/>
      <c r="L331" s="53"/>
      <c r="M331" s="52">
        <f>ROUND(ROUND(J331, 2)*I331, 2)</f>
        <v>0</v>
      </c>
      <c r="N331" s="53"/>
      <c r="O331" s="53"/>
      <c r="P331" s="52">
        <v>88.8</v>
      </c>
      <c r="Q331" s="53"/>
      <c r="R331" s="53"/>
      <c r="S331" s="52">
        <f>ROUND(ROUND(P331, 2)*I331, 2)</f>
        <v>0</v>
      </c>
      <c r="T331" s="53"/>
      <c r="U331" s="54"/>
      <c r="V331" s="9">
        <f>ROUND(ROUND(P331, 2)/1.2, 2)</f>
        <v>74</v>
      </c>
      <c r="Y331" s="9">
        <f>ROUND(S331 / 1.2, 2)</f>
        <v>0</v>
      </c>
      <c r="AD331" s="4" t="s">
        <v>1099</v>
      </c>
      <c r="AE331" s="4" t="s">
        <v>1100</v>
      </c>
      <c r="AF331" s="4" t="s">
        <v>436</v>
      </c>
    </row>
    <row r="332" spans="1:35" ht="36" x14ac:dyDescent="0.3">
      <c r="A332" s="43" t="s">
        <v>1101</v>
      </c>
      <c r="B332" s="43"/>
      <c r="C332" s="55" t="s">
        <v>433</v>
      </c>
      <c r="D332" s="45"/>
      <c r="E332" s="45"/>
      <c r="F332" s="56" t="s">
        <v>70</v>
      </c>
      <c r="G332" s="57">
        <v>0.15</v>
      </c>
      <c r="H332" s="45"/>
      <c r="I332" s="57">
        <v>43.65</v>
      </c>
      <c r="J332" s="59">
        <v>88.8</v>
      </c>
      <c r="K332" s="60"/>
      <c r="L332" s="60"/>
      <c r="M332" s="59">
        <f>ROUND(ROUND(J332, 2)*I332, 2)</f>
        <v>3876.12</v>
      </c>
      <c r="N332" s="60"/>
      <c r="O332" s="60"/>
      <c r="P332" s="59">
        <v>88.8</v>
      </c>
      <c r="Q332" s="60"/>
      <c r="R332" s="60"/>
      <c r="S332" s="59">
        <f>ROUND(ROUND(P332, 2)*I332, 2)</f>
        <v>3876.12</v>
      </c>
      <c r="T332" s="60"/>
      <c r="U332" s="61"/>
      <c r="V332" s="9">
        <f>ROUND(ROUND(P332, 2)/1.2, 2)</f>
        <v>74</v>
      </c>
      <c r="Y332" s="9">
        <f>ROUND(S332 / 1.2, 2)</f>
        <v>3230.1</v>
      </c>
      <c r="AD332" s="4" t="s">
        <v>1102</v>
      </c>
      <c r="AE332" s="4" t="s">
        <v>1100</v>
      </c>
      <c r="AF332" s="4" t="s">
        <v>436</v>
      </c>
    </row>
    <row r="333" spans="1:35" ht="36" x14ac:dyDescent="0.3">
      <c r="A333" s="37" t="s">
        <v>1103</v>
      </c>
      <c r="B333" s="37" t="s">
        <v>1070</v>
      </c>
      <c r="C333" s="38" t="s">
        <v>1071</v>
      </c>
      <c r="D333" s="39"/>
      <c r="E333" s="39" t="s">
        <v>63</v>
      </c>
      <c r="F333" s="39" t="s">
        <v>64</v>
      </c>
      <c r="G333" s="40">
        <v>1</v>
      </c>
      <c r="H333" s="39"/>
      <c r="I333" s="41">
        <v>0</v>
      </c>
      <c r="J333" s="42">
        <f>IFERROR(ROUND(SUM(M335,M337)/I333, 2),0)</f>
        <v>0</v>
      </c>
      <c r="K333" s="42">
        <v>276</v>
      </c>
      <c r="L333" s="42">
        <f>J333+ROUND(K333, 2)</f>
        <v>276</v>
      </c>
      <c r="M333" s="42">
        <f>ROUND(J333*I333, 2)</f>
        <v>0</v>
      </c>
      <c r="N333" s="42">
        <f>ROUND(I333*ROUND(K333, 2), 2)</f>
        <v>0</v>
      </c>
      <c r="O333" s="42">
        <f>M333+N333</f>
        <v>0</v>
      </c>
      <c r="P333" s="42">
        <f>IFERROR(ROUND(SUM(S335,S337)/I333, 2),0)</f>
        <v>0</v>
      </c>
      <c r="Q333" s="42">
        <v>251</v>
      </c>
      <c r="R333" s="42">
        <f>P333+ROUND(Q333, 2)</f>
        <v>251</v>
      </c>
      <c r="S333" s="42">
        <f>ROUND(P333*I333, 2)</f>
        <v>0</v>
      </c>
      <c r="T333" s="42">
        <f>ROUND(I333*ROUND(Q333, 2), 2)</f>
        <v>0</v>
      </c>
      <c r="U333" s="42">
        <f>S333+T333</f>
        <v>0</v>
      </c>
      <c r="V333" s="9">
        <f>ROUND(P333 / 1.2, 2)</f>
        <v>0</v>
      </c>
      <c r="W333" s="9">
        <f>ROUND(Q333 / 1.2, 2)</f>
        <v>209.17</v>
      </c>
      <c r="X333" s="9">
        <f>ROUND(R333 / 1.2, 2)</f>
        <v>209.17</v>
      </c>
      <c r="Y333" s="9">
        <f>ROUND(S333 / 1.2, 2)</f>
        <v>0</v>
      </c>
      <c r="Z333" s="9">
        <f>ROUND(T333 / 1.2, 2)</f>
        <v>0</v>
      </c>
      <c r="AA333" s="9">
        <f>Y333+Z333</f>
        <v>0</v>
      </c>
      <c r="AD333" s="4">
        <v>298925395</v>
      </c>
      <c r="AE333" s="4">
        <v>16211514</v>
      </c>
      <c r="AG333" s="4" t="s">
        <v>1072</v>
      </c>
      <c r="AH333" s="4" t="s">
        <v>1073</v>
      </c>
      <c r="AI333" s="4" t="s">
        <v>67</v>
      </c>
    </row>
    <row r="334" spans="1:35" ht="36" x14ac:dyDescent="0.3">
      <c r="A334" s="43" t="s">
        <v>1104</v>
      </c>
      <c r="B334" s="43" t="s">
        <v>1070</v>
      </c>
      <c r="C334" s="44" t="s">
        <v>1071</v>
      </c>
      <c r="D334" s="45"/>
      <c r="E334" s="45"/>
      <c r="F334" s="45" t="s">
        <v>64</v>
      </c>
      <c r="G334" s="46">
        <v>1</v>
      </c>
      <c r="H334" s="45"/>
      <c r="I334" s="46">
        <v>1533.5</v>
      </c>
      <c r="J334" s="47">
        <v>0</v>
      </c>
      <c r="K334" s="47">
        <v>251</v>
      </c>
      <c r="L334" s="47"/>
      <c r="M334" s="47">
        <v>0</v>
      </c>
      <c r="N334" s="47"/>
      <c r="O334" s="47"/>
      <c r="P334" s="47">
        <v>0</v>
      </c>
      <c r="Q334" s="47">
        <v>251</v>
      </c>
      <c r="R334" s="47"/>
      <c r="S334" s="47">
        <v>0</v>
      </c>
      <c r="T334" s="47"/>
      <c r="U334" s="47"/>
      <c r="V334" s="9"/>
      <c r="W334" s="9">
        <f>ROUND(Q334 / 1.2, 2)</f>
        <v>209.17</v>
      </c>
      <c r="X334" s="9">
        <f>ROUND(R334 / 1.2, 2)</f>
        <v>0</v>
      </c>
      <c r="Y334" s="9"/>
      <c r="Z334" s="9">
        <f>ROUND(T334 / 1.2, 2)</f>
        <v>0</v>
      </c>
      <c r="AA334" s="9"/>
      <c r="AD334" s="4">
        <v>213223687</v>
      </c>
      <c r="AE334" s="4">
        <v>16211514</v>
      </c>
      <c r="AG334" s="4" t="s">
        <v>1072</v>
      </c>
      <c r="AH334" s="4" t="s">
        <v>1073</v>
      </c>
      <c r="AI334" s="4"/>
    </row>
    <row r="335" spans="1:35" ht="36" x14ac:dyDescent="0.3">
      <c r="A335" s="37" t="s">
        <v>1105</v>
      </c>
      <c r="B335" s="37"/>
      <c r="C335" s="48" t="s">
        <v>433</v>
      </c>
      <c r="D335" s="39"/>
      <c r="E335" s="39"/>
      <c r="F335" s="49" t="s">
        <v>70</v>
      </c>
      <c r="G335" s="50">
        <v>0.15</v>
      </c>
      <c r="H335" s="39"/>
      <c r="I335" s="62">
        <v>0</v>
      </c>
      <c r="J335" s="52">
        <v>88.8</v>
      </c>
      <c r="K335" s="53"/>
      <c r="L335" s="53"/>
      <c r="M335" s="52">
        <f>ROUND(ROUND(J335, 2)*I335, 2)</f>
        <v>0</v>
      </c>
      <c r="N335" s="53"/>
      <c r="O335" s="53"/>
      <c r="P335" s="52">
        <v>88.8</v>
      </c>
      <c r="Q335" s="53"/>
      <c r="R335" s="53"/>
      <c r="S335" s="52">
        <f>ROUND(ROUND(P335, 2)*I335, 2)</f>
        <v>0</v>
      </c>
      <c r="T335" s="53"/>
      <c r="U335" s="54"/>
      <c r="V335" s="9">
        <f>ROUND(ROUND(P335, 2)/1.2, 2)</f>
        <v>74</v>
      </c>
      <c r="Y335" s="9">
        <f>ROUND(S335 / 1.2, 2)</f>
        <v>0</v>
      </c>
      <c r="AD335" s="4" t="s">
        <v>1106</v>
      </c>
      <c r="AE335" s="4" t="s">
        <v>1107</v>
      </c>
      <c r="AF335" s="4" t="s">
        <v>436</v>
      </c>
    </row>
    <row r="336" spans="1:35" ht="36" x14ac:dyDescent="0.3">
      <c r="A336" s="43" t="s">
        <v>1108</v>
      </c>
      <c r="B336" s="43"/>
      <c r="C336" s="55" t="s">
        <v>433</v>
      </c>
      <c r="D336" s="45"/>
      <c r="E336" s="45"/>
      <c r="F336" s="56" t="s">
        <v>70</v>
      </c>
      <c r="G336" s="57">
        <v>0.15</v>
      </c>
      <c r="H336" s="45"/>
      <c r="I336" s="57">
        <v>230.02500000000001</v>
      </c>
      <c r="J336" s="59">
        <v>88.8</v>
      </c>
      <c r="K336" s="60"/>
      <c r="L336" s="60"/>
      <c r="M336" s="59">
        <f>ROUND(ROUND(J336, 2)*I336, 2)</f>
        <v>20426.22</v>
      </c>
      <c r="N336" s="60"/>
      <c r="O336" s="60"/>
      <c r="P336" s="59">
        <v>88.8</v>
      </c>
      <c r="Q336" s="60"/>
      <c r="R336" s="60"/>
      <c r="S336" s="59">
        <f>ROUND(ROUND(P336, 2)*I336, 2)</f>
        <v>20426.22</v>
      </c>
      <c r="T336" s="60"/>
      <c r="U336" s="61"/>
      <c r="V336" s="9">
        <f>ROUND(ROUND(P336, 2)/1.2, 2)</f>
        <v>74</v>
      </c>
      <c r="Y336" s="9">
        <f>ROUND(S336 / 1.2, 2)</f>
        <v>17021.849999999999</v>
      </c>
      <c r="AD336" s="4" t="s">
        <v>1109</v>
      </c>
      <c r="AE336" s="4" t="s">
        <v>1107</v>
      </c>
      <c r="AF336" s="4" t="s">
        <v>436</v>
      </c>
    </row>
    <row r="337" spans="1:35" ht="54" x14ac:dyDescent="0.3">
      <c r="A337" s="37" t="s">
        <v>1110</v>
      </c>
      <c r="B337" s="37"/>
      <c r="C337" s="48" t="s">
        <v>1111</v>
      </c>
      <c r="D337" s="39"/>
      <c r="E337" s="39" t="s">
        <v>1112</v>
      </c>
      <c r="F337" s="49" t="s">
        <v>70</v>
      </c>
      <c r="G337" s="50">
        <v>0.3</v>
      </c>
      <c r="H337" s="39"/>
      <c r="I337" s="62">
        <v>0</v>
      </c>
      <c r="J337" s="52">
        <v>0</v>
      </c>
      <c r="K337" s="53"/>
      <c r="L337" s="53"/>
      <c r="M337" s="52">
        <f>ROUND(ROUND(J337, 2)*I337, 2)</f>
        <v>0</v>
      </c>
      <c r="N337" s="53"/>
      <c r="O337" s="53"/>
      <c r="P337" s="52">
        <v>0</v>
      </c>
      <c r="Q337" s="53"/>
      <c r="R337" s="53"/>
      <c r="S337" s="52">
        <f>ROUND(ROUND(P337, 2)*I337, 2)</f>
        <v>0</v>
      </c>
      <c r="T337" s="53"/>
      <c r="U337" s="54"/>
      <c r="V337" s="9">
        <f>ROUND(ROUND(P337, 2)/1.2, 2)</f>
        <v>0</v>
      </c>
      <c r="Y337" s="9">
        <f>ROUND(S337 / 1.2, 2)</f>
        <v>0</v>
      </c>
      <c r="AD337" s="4" t="s">
        <v>1113</v>
      </c>
      <c r="AE337" s="4" t="s">
        <v>1114</v>
      </c>
      <c r="AF337" s="4" t="s">
        <v>1115</v>
      </c>
    </row>
    <row r="338" spans="1:35" ht="54" x14ac:dyDescent="0.3">
      <c r="A338" s="43" t="s">
        <v>1116</v>
      </c>
      <c r="B338" s="43"/>
      <c r="C338" s="55" t="s">
        <v>1111</v>
      </c>
      <c r="D338" s="45"/>
      <c r="E338" s="45" t="s">
        <v>1112</v>
      </c>
      <c r="F338" s="56" t="s">
        <v>70</v>
      </c>
      <c r="G338" s="57">
        <v>0.3</v>
      </c>
      <c r="H338" s="45"/>
      <c r="I338" s="57">
        <v>460.05</v>
      </c>
      <c r="J338" s="59">
        <v>0</v>
      </c>
      <c r="K338" s="60"/>
      <c r="L338" s="60"/>
      <c r="M338" s="59">
        <f>ROUND(ROUND(J338, 2)*I338, 2)</f>
        <v>0</v>
      </c>
      <c r="N338" s="60"/>
      <c r="O338" s="60"/>
      <c r="P338" s="59">
        <v>0</v>
      </c>
      <c r="Q338" s="60"/>
      <c r="R338" s="60"/>
      <c r="S338" s="59">
        <f>ROUND(ROUND(P338, 2)*I338, 2)</f>
        <v>0</v>
      </c>
      <c r="T338" s="60"/>
      <c r="U338" s="61"/>
      <c r="V338" s="9">
        <f>ROUND(ROUND(P338, 2)/1.2, 2)</f>
        <v>0</v>
      </c>
      <c r="Y338" s="9">
        <f>ROUND(S338 / 1.2, 2)</f>
        <v>0</v>
      </c>
      <c r="AD338" s="4" t="s">
        <v>1117</v>
      </c>
      <c r="AE338" s="4" t="s">
        <v>1114</v>
      </c>
      <c r="AF338" s="4" t="s">
        <v>1115</v>
      </c>
    </row>
    <row r="339" spans="1:35" ht="36" x14ac:dyDescent="0.3">
      <c r="A339" s="37" t="s">
        <v>1118</v>
      </c>
      <c r="B339" s="37" t="s">
        <v>1070</v>
      </c>
      <c r="C339" s="38" t="s">
        <v>1071</v>
      </c>
      <c r="D339" s="39"/>
      <c r="E339" s="39" t="s">
        <v>63</v>
      </c>
      <c r="F339" s="39" t="s">
        <v>64</v>
      </c>
      <c r="G339" s="40">
        <v>1</v>
      </c>
      <c r="H339" s="39"/>
      <c r="I339" s="41">
        <v>0</v>
      </c>
      <c r="J339" s="42">
        <f>IFERROR(ROUND(SUM(M341,M343)/I339, 2),0)</f>
        <v>0</v>
      </c>
      <c r="K339" s="42">
        <v>276</v>
      </c>
      <c r="L339" s="42">
        <f>J339+ROUND(K339, 2)</f>
        <v>276</v>
      </c>
      <c r="M339" s="42">
        <f>ROUND(J339*I339, 2)</f>
        <v>0</v>
      </c>
      <c r="N339" s="42">
        <f>ROUND(I339*ROUND(K339, 2), 2)</f>
        <v>0</v>
      </c>
      <c r="O339" s="42">
        <f>M339+N339</f>
        <v>0</v>
      </c>
      <c r="P339" s="42">
        <f>IFERROR(ROUND(SUM(S341,S343)/I339, 2),0)</f>
        <v>0</v>
      </c>
      <c r="Q339" s="42">
        <v>251</v>
      </c>
      <c r="R339" s="42">
        <f>P339+ROUND(Q339, 2)</f>
        <v>251</v>
      </c>
      <c r="S339" s="42">
        <f>ROUND(P339*I339, 2)</f>
        <v>0</v>
      </c>
      <c r="T339" s="42">
        <f>ROUND(I339*ROUND(Q339, 2), 2)</f>
        <v>0</v>
      </c>
      <c r="U339" s="42">
        <f>S339+T339</f>
        <v>0</v>
      </c>
      <c r="V339" s="9">
        <f>ROUND(P339 / 1.2, 2)</f>
        <v>0</v>
      </c>
      <c r="W339" s="9">
        <f>ROUND(Q339 / 1.2, 2)</f>
        <v>209.17</v>
      </c>
      <c r="X339" s="9">
        <f>ROUND(R339 / 1.2, 2)</f>
        <v>209.17</v>
      </c>
      <c r="Y339" s="9">
        <f>ROUND(S339 / 1.2, 2)</f>
        <v>0</v>
      </c>
      <c r="Z339" s="9">
        <f>ROUND(T339 / 1.2, 2)</f>
        <v>0</v>
      </c>
      <c r="AA339" s="9">
        <f>Y339+Z339</f>
        <v>0</v>
      </c>
      <c r="AD339" s="4">
        <v>298925396</v>
      </c>
      <c r="AE339" s="4">
        <v>16211515</v>
      </c>
      <c r="AG339" s="4" t="s">
        <v>1072</v>
      </c>
      <c r="AH339" s="4" t="s">
        <v>1073</v>
      </c>
      <c r="AI339" s="4" t="s">
        <v>67</v>
      </c>
    </row>
    <row r="340" spans="1:35" ht="36" x14ac:dyDescent="0.3">
      <c r="A340" s="43" t="s">
        <v>1119</v>
      </c>
      <c r="B340" s="43" t="s">
        <v>1070</v>
      </c>
      <c r="C340" s="44" t="s">
        <v>1071</v>
      </c>
      <c r="D340" s="45"/>
      <c r="E340" s="45"/>
      <c r="F340" s="45" t="s">
        <v>64</v>
      </c>
      <c r="G340" s="46">
        <v>1</v>
      </c>
      <c r="H340" s="45"/>
      <c r="I340" s="46">
        <v>98.2</v>
      </c>
      <c r="J340" s="47">
        <v>0</v>
      </c>
      <c r="K340" s="47">
        <v>251</v>
      </c>
      <c r="L340" s="47"/>
      <c r="M340" s="47">
        <v>0</v>
      </c>
      <c r="N340" s="47"/>
      <c r="O340" s="47"/>
      <c r="P340" s="47">
        <v>0</v>
      </c>
      <c r="Q340" s="47">
        <v>251</v>
      </c>
      <c r="R340" s="47"/>
      <c r="S340" s="47">
        <v>0</v>
      </c>
      <c r="T340" s="47"/>
      <c r="U340" s="47"/>
      <c r="V340" s="9"/>
      <c r="W340" s="9">
        <f>ROUND(Q340 / 1.2, 2)</f>
        <v>209.17</v>
      </c>
      <c r="X340" s="9">
        <f>ROUND(R340 / 1.2, 2)</f>
        <v>0</v>
      </c>
      <c r="Y340" s="9"/>
      <c r="Z340" s="9">
        <f>ROUND(T340 / 1.2, 2)</f>
        <v>0</v>
      </c>
      <c r="AA340" s="9"/>
      <c r="AD340" s="4">
        <v>206117310</v>
      </c>
      <c r="AE340" s="4">
        <v>16211515</v>
      </c>
      <c r="AG340" s="4" t="s">
        <v>1072</v>
      </c>
      <c r="AH340" s="4" t="s">
        <v>1073</v>
      </c>
      <c r="AI340" s="4"/>
    </row>
    <row r="341" spans="1:35" ht="90" x14ac:dyDescent="0.3">
      <c r="A341" s="37" t="s">
        <v>1120</v>
      </c>
      <c r="B341" s="37"/>
      <c r="C341" s="48" t="s">
        <v>1091</v>
      </c>
      <c r="D341" s="39"/>
      <c r="E341" s="39" t="s">
        <v>1121</v>
      </c>
      <c r="F341" s="49" t="s">
        <v>70</v>
      </c>
      <c r="G341" s="50">
        <v>0.3</v>
      </c>
      <c r="H341" s="39"/>
      <c r="I341" s="62">
        <v>0</v>
      </c>
      <c r="J341" s="52">
        <v>388.89</v>
      </c>
      <c r="K341" s="53"/>
      <c r="L341" s="53"/>
      <c r="M341" s="52">
        <f>ROUND(ROUND(J341, 2)*I341, 2)</f>
        <v>0</v>
      </c>
      <c r="N341" s="53"/>
      <c r="O341" s="53"/>
      <c r="P341" s="52">
        <v>388.89</v>
      </c>
      <c r="Q341" s="53"/>
      <c r="R341" s="53"/>
      <c r="S341" s="52">
        <f>ROUND(ROUND(P341, 2)*I341, 2)</f>
        <v>0</v>
      </c>
      <c r="T341" s="53"/>
      <c r="U341" s="54"/>
      <c r="V341" s="9">
        <f>ROUND(ROUND(P341, 2)/1.2, 2)</f>
        <v>324.08</v>
      </c>
      <c r="Y341" s="9">
        <f>ROUND(S341 / 1.2, 2)</f>
        <v>0</v>
      </c>
      <c r="AD341" s="4" t="s">
        <v>1122</v>
      </c>
      <c r="AE341" s="4" t="s">
        <v>1123</v>
      </c>
      <c r="AF341" s="4" t="s">
        <v>1095</v>
      </c>
    </row>
    <row r="342" spans="1:35" ht="90" x14ac:dyDescent="0.3">
      <c r="A342" s="43" t="s">
        <v>1124</v>
      </c>
      <c r="B342" s="43"/>
      <c r="C342" s="55" t="s">
        <v>1091</v>
      </c>
      <c r="D342" s="45"/>
      <c r="E342" s="45" t="s">
        <v>1121</v>
      </c>
      <c r="F342" s="56" t="s">
        <v>70</v>
      </c>
      <c r="G342" s="57">
        <v>0.3</v>
      </c>
      <c r="H342" s="45"/>
      <c r="I342" s="57">
        <v>29.46</v>
      </c>
      <c r="J342" s="59">
        <v>388.89</v>
      </c>
      <c r="K342" s="60"/>
      <c r="L342" s="60"/>
      <c r="M342" s="59">
        <f>ROUND(ROUND(J342, 2)*I342, 2)</f>
        <v>11456.7</v>
      </c>
      <c r="N342" s="60"/>
      <c r="O342" s="60"/>
      <c r="P342" s="59">
        <v>388.89</v>
      </c>
      <c r="Q342" s="60"/>
      <c r="R342" s="60"/>
      <c r="S342" s="59">
        <f>ROUND(ROUND(P342, 2)*I342, 2)</f>
        <v>11456.7</v>
      </c>
      <c r="T342" s="60"/>
      <c r="U342" s="61"/>
      <c r="V342" s="9">
        <f>ROUND(ROUND(P342, 2)/1.2, 2)</f>
        <v>324.08</v>
      </c>
      <c r="Y342" s="9">
        <f>ROUND(S342 / 1.2, 2)</f>
        <v>9547.25</v>
      </c>
      <c r="AD342" s="4" t="s">
        <v>1125</v>
      </c>
      <c r="AE342" s="4" t="s">
        <v>1123</v>
      </c>
      <c r="AF342" s="4" t="s">
        <v>1095</v>
      </c>
    </row>
    <row r="343" spans="1:35" ht="36" x14ac:dyDescent="0.3">
      <c r="A343" s="37" t="s">
        <v>1126</v>
      </c>
      <c r="B343" s="37"/>
      <c r="C343" s="48" t="s">
        <v>433</v>
      </c>
      <c r="D343" s="39"/>
      <c r="E343" s="39"/>
      <c r="F343" s="49" t="s">
        <v>70</v>
      </c>
      <c r="G343" s="50">
        <v>0.15</v>
      </c>
      <c r="H343" s="39"/>
      <c r="I343" s="62">
        <v>0</v>
      </c>
      <c r="J343" s="52">
        <v>88.8</v>
      </c>
      <c r="K343" s="53"/>
      <c r="L343" s="53"/>
      <c r="M343" s="52">
        <f>ROUND(ROUND(J343, 2)*I343, 2)</f>
        <v>0</v>
      </c>
      <c r="N343" s="53"/>
      <c r="O343" s="53"/>
      <c r="P343" s="52">
        <v>88.8</v>
      </c>
      <c r="Q343" s="53"/>
      <c r="R343" s="53"/>
      <c r="S343" s="52">
        <f>ROUND(ROUND(P343, 2)*I343, 2)</f>
        <v>0</v>
      </c>
      <c r="T343" s="53"/>
      <c r="U343" s="54"/>
      <c r="V343" s="9">
        <f>ROUND(ROUND(P343, 2)/1.2, 2)</f>
        <v>74</v>
      </c>
      <c r="Y343" s="9">
        <f>ROUND(S343 / 1.2, 2)</f>
        <v>0</v>
      </c>
      <c r="AD343" s="4" t="s">
        <v>1127</v>
      </c>
      <c r="AE343" s="4" t="s">
        <v>1128</v>
      </c>
      <c r="AF343" s="4" t="s">
        <v>436</v>
      </c>
    </row>
    <row r="344" spans="1:35" ht="36" x14ac:dyDescent="0.3">
      <c r="A344" s="43" t="s">
        <v>1129</v>
      </c>
      <c r="B344" s="43"/>
      <c r="C344" s="55" t="s">
        <v>433</v>
      </c>
      <c r="D344" s="45"/>
      <c r="E344" s="45"/>
      <c r="F344" s="56" t="s">
        <v>70</v>
      </c>
      <c r="G344" s="57">
        <v>0.15</v>
      </c>
      <c r="H344" s="45"/>
      <c r="I344" s="57">
        <v>14.73</v>
      </c>
      <c r="J344" s="59">
        <v>88.8</v>
      </c>
      <c r="K344" s="60"/>
      <c r="L344" s="60"/>
      <c r="M344" s="59">
        <f>ROUND(ROUND(J344, 2)*I344, 2)</f>
        <v>1308.02</v>
      </c>
      <c r="N344" s="60"/>
      <c r="O344" s="60"/>
      <c r="P344" s="59">
        <v>88.8</v>
      </c>
      <c r="Q344" s="60"/>
      <c r="R344" s="60"/>
      <c r="S344" s="59">
        <f>ROUND(ROUND(P344, 2)*I344, 2)</f>
        <v>1308.02</v>
      </c>
      <c r="T344" s="60"/>
      <c r="U344" s="61"/>
      <c r="V344" s="9">
        <f>ROUND(ROUND(P344, 2)/1.2, 2)</f>
        <v>74</v>
      </c>
      <c r="Y344" s="9">
        <f>ROUND(S344 / 1.2, 2)</f>
        <v>1090.02</v>
      </c>
      <c r="AD344" s="4" t="s">
        <v>1130</v>
      </c>
      <c r="AE344" s="4" t="s">
        <v>1128</v>
      </c>
      <c r="AF344" s="4" t="s">
        <v>436</v>
      </c>
    </row>
    <row r="345" spans="1:35" ht="36" x14ac:dyDescent="0.3">
      <c r="A345" s="37" t="s">
        <v>1131</v>
      </c>
      <c r="B345" s="37" t="s">
        <v>1070</v>
      </c>
      <c r="C345" s="38" t="s">
        <v>1071</v>
      </c>
      <c r="D345" s="39"/>
      <c r="E345" s="39" t="s">
        <v>63</v>
      </c>
      <c r="F345" s="39" t="s">
        <v>64</v>
      </c>
      <c r="G345" s="40">
        <v>1</v>
      </c>
      <c r="H345" s="39"/>
      <c r="I345" s="41">
        <v>0</v>
      </c>
      <c r="J345" s="42">
        <f>IFERROR(ROUND(SUM(M347,M349)/I345, 2),0)</f>
        <v>0</v>
      </c>
      <c r="K345" s="42">
        <v>276</v>
      </c>
      <c r="L345" s="42">
        <f>J345+ROUND(K345, 2)</f>
        <v>276</v>
      </c>
      <c r="M345" s="42">
        <f>ROUND(J345*I345, 2)</f>
        <v>0</v>
      </c>
      <c r="N345" s="42">
        <f>ROUND(I345*ROUND(K345, 2), 2)</f>
        <v>0</v>
      </c>
      <c r="O345" s="42">
        <f>M345+N345</f>
        <v>0</v>
      </c>
      <c r="P345" s="42">
        <f>IFERROR(ROUND(SUM(S347,S349)/I345, 2),0)</f>
        <v>0</v>
      </c>
      <c r="Q345" s="42">
        <v>251</v>
      </c>
      <c r="R345" s="42">
        <f>P345+ROUND(Q345, 2)</f>
        <v>251</v>
      </c>
      <c r="S345" s="42">
        <f>ROUND(P345*I345, 2)</f>
        <v>0</v>
      </c>
      <c r="T345" s="42">
        <f>ROUND(I345*ROUND(Q345, 2), 2)</f>
        <v>0</v>
      </c>
      <c r="U345" s="42">
        <f>S345+T345</f>
        <v>0</v>
      </c>
      <c r="V345" s="9">
        <f>ROUND(P345 / 1.2, 2)</f>
        <v>0</v>
      </c>
      <c r="W345" s="9">
        <f>ROUND(Q345 / 1.2, 2)</f>
        <v>209.17</v>
      </c>
      <c r="X345" s="9">
        <f>ROUND(R345 / 1.2, 2)</f>
        <v>209.17</v>
      </c>
      <c r="Y345" s="9">
        <f>ROUND(S345 / 1.2, 2)</f>
        <v>0</v>
      </c>
      <c r="Z345" s="9">
        <f>ROUND(T345 / 1.2, 2)</f>
        <v>0</v>
      </c>
      <c r="AA345" s="9">
        <f>Y345+Z345</f>
        <v>0</v>
      </c>
      <c r="AD345" s="4">
        <v>298925397</v>
      </c>
      <c r="AE345" s="4">
        <v>16211516</v>
      </c>
      <c r="AG345" s="4" t="s">
        <v>1072</v>
      </c>
      <c r="AH345" s="4" t="s">
        <v>1073</v>
      </c>
      <c r="AI345" s="4" t="s">
        <v>67</v>
      </c>
    </row>
    <row r="346" spans="1:35" ht="36" x14ac:dyDescent="0.3">
      <c r="A346" s="43" t="s">
        <v>1132</v>
      </c>
      <c r="B346" s="43" t="s">
        <v>1070</v>
      </c>
      <c r="C346" s="44" t="s">
        <v>1071</v>
      </c>
      <c r="D346" s="45"/>
      <c r="E346" s="45"/>
      <c r="F346" s="45" t="s">
        <v>64</v>
      </c>
      <c r="G346" s="46">
        <v>1</v>
      </c>
      <c r="H346" s="45"/>
      <c r="I346" s="46">
        <v>21</v>
      </c>
      <c r="J346" s="47">
        <v>0</v>
      </c>
      <c r="K346" s="47">
        <v>251</v>
      </c>
      <c r="L346" s="47"/>
      <c r="M346" s="47">
        <v>0</v>
      </c>
      <c r="N346" s="47"/>
      <c r="O346" s="47"/>
      <c r="P346" s="47">
        <v>0</v>
      </c>
      <c r="Q346" s="47">
        <v>251</v>
      </c>
      <c r="R346" s="47"/>
      <c r="S346" s="47">
        <v>0</v>
      </c>
      <c r="T346" s="47"/>
      <c r="U346" s="47"/>
      <c r="V346" s="9"/>
      <c r="W346" s="9">
        <f>ROUND(Q346 / 1.2, 2)</f>
        <v>209.17</v>
      </c>
      <c r="X346" s="9">
        <f>ROUND(R346 / 1.2, 2)</f>
        <v>0</v>
      </c>
      <c r="Y346" s="9"/>
      <c r="Z346" s="9">
        <f>ROUND(T346 / 1.2, 2)</f>
        <v>0</v>
      </c>
      <c r="AA346" s="9"/>
      <c r="AD346" s="4">
        <v>206117311</v>
      </c>
      <c r="AE346" s="4">
        <v>16211516</v>
      </c>
      <c r="AG346" s="4" t="s">
        <v>1072</v>
      </c>
      <c r="AH346" s="4" t="s">
        <v>1073</v>
      </c>
      <c r="AI346" s="4"/>
    </row>
    <row r="347" spans="1:35" ht="36" x14ac:dyDescent="0.3">
      <c r="A347" s="37" t="s">
        <v>1133</v>
      </c>
      <c r="B347" s="37"/>
      <c r="C347" s="48" t="s">
        <v>433</v>
      </c>
      <c r="D347" s="39"/>
      <c r="E347" s="39"/>
      <c r="F347" s="49" t="s">
        <v>70</v>
      </c>
      <c r="G347" s="50">
        <v>0.15</v>
      </c>
      <c r="H347" s="39"/>
      <c r="I347" s="62">
        <v>0</v>
      </c>
      <c r="J347" s="52">
        <v>88.8</v>
      </c>
      <c r="K347" s="53"/>
      <c r="L347" s="53"/>
      <c r="M347" s="52">
        <f>ROUND(ROUND(J347, 2)*I347, 2)</f>
        <v>0</v>
      </c>
      <c r="N347" s="53"/>
      <c r="O347" s="53"/>
      <c r="P347" s="52">
        <v>88.8</v>
      </c>
      <c r="Q347" s="53"/>
      <c r="R347" s="53"/>
      <c r="S347" s="52">
        <f>ROUND(ROUND(P347, 2)*I347, 2)</f>
        <v>0</v>
      </c>
      <c r="T347" s="53"/>
      <c r="U347" s="54"/>
      <c r="V347" s="9">
        <f>ROUND(ROUND(P347, 2)/1.2, 2)</f>
        <v>74</v>
      </c>
      <c r="Y347" s="9">
        <f>ROUND(S347 / 1.2, 2)</f>
        <v>0</v>
      </c>
      <c r="AD347" s="4" t="s">
        <v>1134</v>
      </c>
      <c r="AE347" s="4" t="s">
        <v>1135</v>
      </c>
      <c r="AF347" s="4" t="s">
        <v>436</v>
      </c>
    </row>
    <row r="348" spans="1:35" ht="36" x14ac:dyDescent="0.3">
      <c r="A348" s="43" t="s">
        <v>1136</v>
      </c>
      <c r="B348" s="43"/>
      <c r="C348" s="55" t="s">
        <v>433</v>
      </c>
      <c r="D348" s="45"/>
      <c r="E348" s="45"/>
      <c r="F348" s="56" t="s">
        <v>70</v>
      </c>
      <c r="G348" s="57">
        <v>0.15</v>
      </c>
      <c r="H348" s="45"/>
      <c r="I348" s="57">
        <v>3.15</v>
      </c>
      <c r="J348" s="59">
        <v>88.8</v>
      </c>
      <c r="K348" s="60"/>
      <c r="L348" s="60"/>
      <c r="M348" s="59">
        <f>ROUND(ROUND(J348, 2)*I348, 2)</f>
        <v>279.72000000000003</v>
      </c>
      <c r="N348" s="60"/>
      <c r="O348" s="60"/>
      <c r="P348" s="59">
        <v>88.8</v>
      </c>
      <c r="Q348" s="60"/>
      <c r="R348" s="60"/>
      <c r="S348" s="59">
        <f>ROUND(ROUND(P348, 2)*I348, 2)</f>
        <v>279.72000000000003</v>
      </c>
      <c r="T348" s="60"/>
      <c r="U348" s="61"/>
      <c r="V348" s="9">
        <f>ROUND(ROUND(P348, 2)/1.2, 2)</f>
        <v>74</v>
      </c>
      <c r="Y348" s="9">
        <f>ROUND(S348 / 1.2, 2)</f>
        <v>233.1</v>
      </c>
      <c r="AD348" s="4" t="s">
        <v>1137</v>
      </c>
      <c r="AE348" s="4" t="s">
        <v>1135</v>
      </c>
      <c r="AF348" s="4" t="s">
        <v>436</v>
      </c>
    </row>
    <row r="349" spans="1:35" ht="90" x14ac:dyDescent="0.3">
      <c r="A349" s="37" t="s">
        <v>1138</v>
      </c>
      <c r="B349" s="37"/>
      <c r="C349" s="48" t="s">
        <v>1091</v>
      </c>
      <c r="D349" s="39"/>
      <c r="E349" s="39" t="s">
        <v>1139</v>
      </c>
      <c r="F349" s="49" t="s">
        <v>70</v>
      </c>
      <c r="G349" s="50">
        <v>0.3</v>
      </c>
      <c r="H349" s="39"/>
      <c r="I349" s="62">
        <v>0</v>
      </c>
      <c r="J349" s="52">
        <v>388.89</v>
      </c>
      <c r="K349" s="53"/>
      <c r="L349" s="53"/>
      <c r="M349" s="52">
        <f>ROUND(ROUND(J349, 2)*I349, 2)</f>
        <v>0</v>
      </c>
      <c r="N349" s="53"/>
      <c r="O349" s="53"/>
      <c r="P349" s="52">
        <v>388.89</v>
      </c>
      <c r="Q349" s="53"/>
      <c r="R349" s="53"/>
      <c r="S349" s="52">
        <f>ROUND(ROUND(P349, 2)*I349, 2)</f>
        <v>0</v>
      </c>
      <c r="T349" s="53"/>
      <c r="U349" s="54"/>
      <c r="V349" s="9">
        <f>ROUND(ROUND(P349, 2)/1.2, 2)</f>
        <v>324.08</v>
      </c>
      <c r="Y349" s="9">
        <f>ROUND(S349 / 1.2, 2)</f>
        <v>0</v>
      </c>
      <c r="AD349" s="4" t="s">
        <v>1140</v>
      </c>
      <c r="AE349" s="4" t="s">
        <v>1141</v>
      </c>
      <c r="AF349" s="4" t="s">
        <v>1095</v>
      </c>
    </row>
    <row r="350" spans="1:35" ht="90" x14ac:dyDescent="0.3">
      <c r="A350" s="43" t="s">
        <v>1142</v>
      </c>
      <c r="B350" s="43"/>
      <c r="C350" s="55" t="s">
        <v>1091</v>
      </c>
      <c r="D350" s="45"/>
      <c r="E350" s="45" t="s">
        <v>1139</v>
      </c>
      <c r="F350" s="56" t="s">
        <v>70</v>
      </c>
      <c r="G350" s="57">
        <v>0.3</v>
      </c>
      <c r="H350" s="45"/>
      <c r="I350" s="57">
        <v>6.3</v>
      </c>
      <c r="J350" s="59">
        <v>388.89</v>
      </c>
      <c r="K350" s="60"/>
      <c r="L350" s="60"/>
      <c r="M350" s="59">
        <f>ROUND(ROUND(J350, 2)*I350, 2)</f>
        <v>2450.0100000000002</v>
      </c>
      <c r="N350" s="60"/>
      <c r="O350" s="60"/>
      <c r="P350" s="59">
        <v>388.89</v>
      </c>
      <c r="Q350" s="60"/>
      <c r="R350" s="60"/>
      <c r="S350" s="59">
        <f>ROUND(ROUND(P350, 2)*I350, 2)</f>
        <v>2450.0100000000002</v>
      </c>
      <c r="T350" s="60"/>
      <c r="U350" s="61"/>
      <c r="V350" s="9">
        <f>ROUND(ROUND(P350, 2)/1.2, 2)</f>
        <v>324.08</v>
      </c>
      <c r="Y350" s="9">
        <f>ROUND(S350 / 1.2, 2)</f>
        <v>2041.68</v>
      </c>
      <c r="AD350" s="4" t="s">
        <v>1143</v>
      </c>
      <c r="AE350" s="4" t="s">
        <v>1141</v>
      </c>
      <c r="AF350" s="4" t="s">
        <v>1095</v>
      </c>
    </row>
    <row r="351" spans="1:35" ht="36" x14ac:dyDescent="0.3">
      <c r="A351" s="37" t="s">
        <v>1144</v>
      </c>
      <c r="B351" s="37" t="s">
        <v>1070</v>
      </c>
      <c r="C351" s="38" t="s">
        <v>1071</v>
      </c>
      <c r="D351" s="39"/>
      <c r="E351" s="39" t="s">
        <v>63</v>
      </c>
      <c r="F351" s="39" t="s">
        <v>64</v>
      </c>
      <c r="G351" s="40">
        <v>1</v>
      </c>
      <c r="H351" s="39"/>
      <c r="I351" s="41">
        <v>0</v>
      </c>
      <c r="J351" s="42">
        <f>IFERROR(ROUND(SUM(M353,M355)/I351, 2),0)</f>
        <v>0</v>
      </c>
      <c r="K351" s="42">
        <v>276</v>
      </c>
      <c r="L351" s="42">
        <f>J351+ROUND(K351, 2)</f>
        <v>276</v>
      </c>
      <c r="M351" s="42">
        <f>ROUND(J351*I351, 2)</f>
        <v>0</v>
      </c>
      <c r="N351" s="42">
        <f>ROUND(I351*ROUND(K351, 2), 2)</f>
        <v>0</v>
      </c>
      <c r="O351" s="42">
        <f>M351+N351</f>
        <v>0</v>
      </c>
      <c r="P351" s="42">
        <f>IFERROR(ROUND(SUM(S353,S355)/I351, 2),0)</f>
        <v>0</v>
      </c>
      <c r="Q351" s="42">
        <v>251</v>
      </c>
      <c r="R351" s="42">
        <f>P351+ROUND(Q351, 2)</f>
        <v>251</v>
      </c>
      <c r="S351" s="42">
        <f>ROUND(P351*I351, 2)</f>
        <v>0</v>
      </c>
      <c r="T351" s="42">
        <f>ROUND(I351*ROUND(Q351, 2), 2)</f>
        <v>0</v>
      </c>
      <c r="U351" s="42">
        <f>S351+T351</f>
        <v>0</v>
      </c>
      <c r="V351" s="9">
        <f>ROUND(P351 / 1.2, 2)</f>
        <v>0</v>
      </c>
      <c r="W351" s="9">
        <f>ROUND(Q351 / 1.2, 2)</f>
        <v>209.17</v>
      </c>
      <c r="X351" s="9">
        <f>ROUND(R351 / 1.2, 2)</f>
        <v>209.17</v>
      </c>
      <c r="Y351" s="9">
        <f>ROUND(S351 / 1.2, 2)</f>
        <v>0</v>
      </c>
      <c r="Z351" s="9">
        <f>ROUND(T351 / 1.2, 2)</f>
        <v>0</v>
      </c>
      <c r="AA351" s="9">
        <f>Y351+Z351</f>
        <v>0</v>
      </c>
      <c r="AD351" s="4">
        <v>298925398</v>
      </c>
      <c r="AE351" s="4">
        <v>16211517</v>
      </c>
      <c r="AG351" s="4" t="s">
        <v>1072</v>
      </c>
      <c r="AH351" s="4" t="s">
        <v>1073</v>
      </c>
      <c r="AI351" s="4" t="s">
        <v>67</v>
      </c>
    </row>
    <row r="352" spans="1:35" ht="36" x14ac:dyDescent="0.3">
      <c r="A352" s="43" t="s">
        <v>1145</v>
      </c>
      <c r="B352" s="43" t="s">
        <v>1070</v>
      </c>
      <c r="C352" s="44" t="s">
        <v>1071</v>
      </c>
      <c r="D352" s="45"/>
      <c r="E352" s="45"/>
      <c r="F352" s="45" t="s">
        <v>64</v>
      </c>
      <c r="G352" s="46">
        <v>1</v>
      </c>
      <c r="H352" s="45"/>
      <c r="I352" s="46">
        <v>76</v>
      </c>
      <c r="J352" s="47">
        <v>0</v>
      </c>
      <c r="K352" s="47">
        <v>251</v>
      </c>
      <c r="L352" s="47"/>
      <c r="M352" s="47">
        <v>0</v>
      </c>
      <c r="N352" s="47"/>
      <c r="O352" s="47"/>
      <c r="P352" s="47">
        <v>0</v>
      </c>
      <c r="Q352" s="47">
        <v>251</v>
      </c>
      <c r="R352" s="47"/>
      <c r="S352" s="47">
        <v>0</v>
      </c>
      <c r="T352" s="47"/>
      <c r="U352" s="47"/>
      <c r="V352" s="9"/>
      <c r="W352" s="9">
        <f>ROUND(Q352 / 1.2, 2)</f>
        <v>209.17</v>
      </c>
      <c r="X352" s="9">
        <f>ROUND(R352 / 1.2, 2)</f>
        <v>0</v>
      </c>
      <c r="Y352" s="9"/>
      <c r="Z352" s="9">
        <f>ROUND(T352 / 1.2, 2)</f>
        <v>0</v>
      </c>
      <c r="AA352" s="9"/>
      <c r="AD352" s="4">
        <v>206117312</v>
      </c>
      <c r="AE352" s="4">
        <v>16211517</v>
      </c>
      <c r="AG352" s="4" t="s">
        <v>1072</v>
      </c>
      <c r="AH352" s="4" t="s">
        <v>1073</v>
      </c>
      <c r="AI352" s="4"/>
    </row>
    <row r="353" spans="1:35" ht="90" x14ac:dyDescent="0.3">
      <c r="A353" s="37" t="s">
        <v>1146</v>
      </c>
      <c r="B353" s="37"/>
      <c r="C353" s="48" t="s">
        <v>1091</v>
      </c>
      <c r="D353" s="39"/>
      <c r="E353" s="39" t="s">
        <v>1147</v>
      </c>
      <c r="F353" s="49" t="s">
        <v>70</v>
      </c>
      <c r="G353" s="50">
        <v>0.3</v>
      </c>
      <c r="H353" s="39"/>
      <c r="I353" s="62">
        <v>0</v>
      </c>
      <c r="J353" s="52">
        <v>388.89</v>
      </c>
      <c r="K353" s="53"/>
      <c r="L353" s="53"/>
      <c r="M353" s="52">
        <f>ROUND(ROUND(J353, 2)*I353, 2)</f>
        <v>0</v>
      </c>
      <c r="N353" s="53"/>
      <c r="O353" s="53"/>
      <c r="P353" s="52">
        <v>388.89</v>
      </c>
      <c r="Q353" s="53"/>
      <c r="R353" s="53"/>
      <c r="S353" s="52">
        <f>ROUND(ROUND(P353, 2)*I353, 2)</f>
        <v>0</v>
      </c>
      <c r="T353" s="53"/>
      <c r="U353" s="54"/>
      <c r="V353" s="9">
        <f>ROUND(ROUND(P353, 2)/1.2, 2)</f>
        <v>324.08</v>
      </c>
      <c r="Y353" s="9">
        <f>ROUND(S353 / 1.2, 2)</f>
        <v>0</v>
      </c>
      <c r="AD353" s="4" t="s">
        <v>1148</v>
      </c>
      <c r="AE353" s="4" t="s">
        <v>1149</v>
      </c>
      <c r="AF353" s="4" t="s">
        <v>1095</v>
      </c>
    </row>
    <row r="354" spans="1:35" ht="90" x14ac:dyDescent="0.3">
      <c r="A354" s="43" t="s">
        <v>1150</v>
      </c>
      <c r="B354" s="43"/>
      <c r="C354" s="55" t="s">
        <v>1091</v>
      </c>
      <c r="D354" s="45"/>
      <c r="E354" s="45" t="s">
        <v>1147</v>
      </c>
      <c r="F354" s="56" t="s">
        <v>70</v>
      </c>
      <c r="G354" s="57">
        <v>0.3</v>
      </c>
      <c r="H354" s="45"/>
      <c r="I354" s="57">
        <v>22.8</v>
      </c>
      <c r="J354" s="59">
        <v>388.89</v>
      </c>
      <c r="K354" s="60"/>
      <c r="L354" s="60"/>
      <c r="M354" s="59">
        <f>ROUND(ROUND(J354, 2)*I354, 2)</f>
        <v>8866.69</v>
      </c>
      <c r="N354" s="60"/>
      <c r="O354" s="60"/>
      <c r="P354" s="59">
        <v>388.89</v>
      </c>
      <c r="Q354" s="60"/>
      <c r="R354" s="60"/>
      <c r="S354" s="59">
        <f>ROUND(ROUND(P354, 2)*I354, 2)</f>
        <v>8866.69</v>
      </c>
      <c r="T354" s="60"/>
      <c r="U354" s="61"/>
      <c r="V354" s="9">
        <f>ROUND(ROUND(P354, 2)/1.2, 2)</f>
        <v>324.08</v>
      </c>
      <c r="Y354" s="9">
        <f>ROUND(S354 / 1.2, 2)</f>
        <v>7388.91</v>
      </c>
      <c r="AD354" s="4" t="s">
        <v>1151</v>
      </c>
      <c r="AE354" s="4" t="s">
        <v>1149</v>
      </c>
      <c r="AF354" s="4" t="s">
        <v>1095</v>
      </c>
    </row>
    <row r="355" spans="1:35" ht="36" x14ac:dyDescent="0.3">
      <c r="A355" s="37" t="s">
        <v>1152</v>
      </c>
      <c r="B355" s="37"/>
      <c r="C355" s="48" t="s">
        <v>433</v>
      </c>
      <c r="D355" s="39"/>
      <c r="E355" s="39"/>
      <c r="F355" s="49" t="s">
        <v>70</v>
      </c>
      <c r="G355" s="50">
        <v>0.15</v>
      </c>
      <c r="H355" s="39"/>
      <c r="I355" s="62">
        <v>0</v>
      </c>
      <c r="J355" s="52">
        <v>88.8</v>
      </c>
      <c r="K355" s="53"/>
      <c r="L355" s="53"/>
      <c r="M355" s="52">
        <f>ROUND(ROUND(J355, 2)*I355, 2)</f>
        <v>0</v>
      </c>
      <c r="N355" s="53"/>
      <c r="O355" s="53"/>
      <c r="P355" s="52">
        <v>88.8</v>
      </c>
      <c r="Q355" s="53"/>
      <c r="R355" s="53"/>
      <c r="S355" s="52">
        <f>ROUND(ROUND(P355, 2)*I355, 2)</f>
        <v>0</v>
      </c>
      <c r="T355" s="53"/>
      <c r="U355" s="54"/>
      <c r="V355" s="9">
        <f>ROUND(ROUND(P355, 2)/1.2, 2)</f>
        <v>74</v>
      </c>
      <c r="Y355" s="9">
        <f>ROUND(S355 / 1.2, 2)</f>
        <v>0</v>
      </c>
      <c r="AD355" s="4" t="s">
        <v>1153</v>
      </c>
      <c r="AE355" s="4" t="s">
        <v>1154</v>
      </c>
      <c r="AF355" s="4" t="s">
        <v>436</v>
      </c>
    </row>
    <row r="356" spans="1:35" ht="36" x14ac:dyDescent="0.3">
      <c r="A356" s="43" t="s">
        <v>1155</v>
      </c>
      <c r="B356" s="43"/>
      <c r="C356" s="55" t="s">
        <v>433</v>
      </c>
      <c r="D356" s="45"/>
      <c r="E356" s="45"/>
      <c r="F356" s="56" t="s">
        <v>70</v>
      </c>
      <c r="G356" s="57">
        <v>0.15</v>
      </c>
      <c r="H356" s="45"/>
      <c r="I356" s="57">
        <v>11.4</v>
      </c>
      <c r="J356" s="59">
        <v>88.8</v>
      </c>
      <c r="K356" s="60"/>
      <c r="L356" s="60"/>
      <c r="M356" s="59">
        <f>ROUND(ROUND(J356, 2)*I356, 2)</f>
        <v>1012.32</v>
      </c>
      <c r="N356" s="60"/>
      <c r="O356" s="60"/>
      <c r="P356" s="59">
        <v>88.8</v>
      </c>
      <c r="Q356" s="60"/>
      <c r="R356" s="60"/>
      <c r="S356" s="59">
        <f>ROUND(ROUND(P356, 2)*I356, 2)</f>
        <v>1012.32</v>
      </c>
      <c r="T356" s="60"/>
      <c r="U356" s="61"/>
      <c r="V356" s="9">
        <f>ROUND(ROUND(P356, 2)/1.2, 2)</f>
        <v>74</v>
      </c>
      <c r="Y356" s="9">
        <f>ROUND(S356 / 1.2, 2)</f>
        <v>843.6</v>
      </c>
      <c r="AD356" s="4" t="s">
        <v>1156</v>
      </c>
      <c r="AE356" s="4" t="s">
        <v>1154</v>
      </c>
      <c r="AF356" s="4" t="s">
        <v>436</v>
      </c>
    </row>
    <row r="357" spans="1:35" ht="36" x14ac:dyDescent="0.3">
      <c r="A357" s="37" t="s">
        <v>1157</v>
      </c>
      <c r="B357" s="37" t="s">
        <v>1070</v>
      </c>
      <c r="C357" s="38" t="s">
        <v>1071</v>
      </c>
      <c r="D357" s="39"/>
      <c r="E357" s="39" t="s">
        <v>63</v>
      </c>
      <c r="F357" s="39" t="s">
        <v>64</v>
      </c>
      <c r="G357" s="40">
        <v>1</v>
      </c>
      <c r="H357" s="39"/>
      <c r="I357" s="41">
        <v>0</v>
      </c>
      <c r="J357" s="42">
        <f>IFERROR(ROUND(SUM(M359,M361)/I357, 2),0)</f>
        <v>0</v>
      </c>
      <c r="K357" s="42">
        <v>276</v>
      </c>
      <c r="L357" s="42">
        <f>J357+ROUND(K357, 2)</f>
        <v>276</v>
      </c>
      <c r="M357" s="42">
        <f>ROUND(J357*I357, 2)</f>
        <v>0</v>
      </c>
      <c r="N357" s="42">
        <f>ROUND(I357*ROUND(K357, 2), 2)</f>
        <v>0</v>
      </c>
      <c r="O357" s="42">
        <f>M357+N357</f>
        <v>0</v>
      </c>
      <c r="P357" s="42">
        <f>IFERROR(ROUND(SUM(S359,S361)/I357, 2),0)</f>
        <v>0</v>
      </c>
      <c r="Q357" s="42">
        <v>251</v>
      </c>
      <c r="R357" s="42">
        <f>P357+ROUND(Q357, 2)</f>
        <v>251</v>
      </c>
      <c r="S357" s="42">
        <f>ROUND(P357*I357, 2)</f>
        <v>0</v>
      </c>
      <c r="T357" s="42">
        <f>ROUND(I357*ROUND(Q357, 2), 2)</f>
        <v>0</v>
      </c>
      <c r="U357" s="42">
        <f>S357+T357</f>
        <v>0</v>
      </c>
      <c r="V357" s="9">
        <f>ROUND(P357 / 1.2, 2)</f>
        <v>0</v>
      </c>
      <c r="W357" s="9">
        <f>ROUND(Q357 / 1.2, 2)</f>
        <v>209.17</v>
      </c>
      <c r="X357" s="9">
        <f>ROUND(R357 / 1.2, 2)</f>
        <v>209.17</v>
      </c>
      <c r="Y357" s="9">
        <f>ROUND(S357 / 1.2, 2)</f>
        <v>0</v>
      </c>
      <c r="Z357" s="9">
        <f>ROUND(T357 / 1.2, 2)</f>
        <v>0</v>
      </c>
      <c r="AA357" s="9">
        <f>Y357+Z357</f>
        <v>0</v>
      </c>
      <c r="AD357" s="4">
        <v>298925399</v>
      </c>
      <c r="AE357" s="4">
        <v>16211518</v>
      </c>
      <c r="AG357" s="4" t="s">
        <v>1072</v>
      </c>
      <c r="AH357" s="4" t="s">
        <v>1073</v>
      </c>
      <c r="AI357" s="4" t="s">
        <v>67</v>
      </c>
    </row>
    <row r="358" spans="1:35" ht="36" x14ac:dyDescent="0.3">
      <c r="A358" s="43" t="s">
        <v>1158</v>
      </c>
      <c r="B358" s="43" t="s">
        <v>1070</v>
      </c>
      <c r="C358" s="44" t="s">
        <v>1071</v>
      </c>
      <c r="D358" s="45"/>
      <c r="E358" s="45"/>
      <c r="F358" s="45" t="s">
        <v>64</v>
      </c>
      <c r="G358" s="46">
        <v>1</v>
      </c>
      <c r="H358" s="45"/>
      <c r="I358" s="46">
        <v>10.8</v>
      </c>
      <c r="J358" s="47">
        <v>0</v>
      </c>
      <c r="K358" s="47">
        <v>251</v>
      </c>
      <c r="L358" s="47"/>
      <c r="M358" s="47">
        <v>0</v>
      </c>
      <c r="N358" s="47"/>
      <c r="O358" s="47"/>
      <c r="P358" s="47">
        <v>0</v>
      </c>
      <c r="Q358" s="47">
        <v>251</v>
      </c>
      <c r="R358" s="47"/>
      <c r="S358" s="47">
        <v>0</v>
      </c>
      <c r="T358" s="47"/>
      <c r="U358" s="47"/>
      <c r="V358" s="9"/>
      <c r="W358" s="9">
        <f>ROUND(Q358 / 1.2, 2)</f>
        <v>209.17</v>
      </c>
      <c r="X358" s="9">
        <f>ROUND(R358 / 1.2, 2)</f>
        <v>0</v>
      </c>
      <c r="Y358" s="9"/>
      <c r="Z358" s="9">
        <f>ROUND(T358 / 1.2, 2)</f>
        <v>0</v>
      </c>
      <c r="AA358" s="9"/>
      <c r="AD358" s="4">
        <v>206117313</v>
      </c>
      <c r="AE358" s="4">
        <v>16211518</v>
      </c>
      <c r="AG358" s="4" t="s">
        <v>1072</v>
      </c>
      <c r="AH358" s="4" t="s">
        <v>1073</v>
      </c>
      <c r="AI358" s="4"/>
    </row>
    <row r="359" spans="1:35" ht="36" x14ac:dyDescent="0.3">
      <c r="A359" s="37" t="s">
        <v>1159</v>
      </c>
      <c r="B359" s="37"/>
      <c r="C359" s="48" t="s">
        <v>433</v>
      </c>
      <c r="D359" s="39"/>
      <c r="E359" s="39"/>
      <c r="F359" s="49" t="s">
        <v>70</v>
      </c>
      <c r="G359" s="50">
        <v>0.15</v>
      </c>
      <c r="H359" s="39"/>
      <c r="I359" s="62">
        <v>0</v>
      </c>
      <c r="J359" s="52">
        <v>88.8</v>
      </c>
      <c r="K359" s="53"/>
      <c r="L359" s="53"/>
      <c r="M359" s="52">
        <f>ROUND(ROUND(J359, 2)*I359, 2)</f>
        <v>0</v>
      </c>
      <c r="N359" s="53"/>
      <c r="O359" s="53"/>
      <c r="P359" s="52">
        <v>88.8</v>
      </c>
      <c r="Q359" s="53"/>
      <c r="R359" s="53"/>
      <c r="S359" s="52">
        <f>ROUND(ROUND(P359, 2)*I359, 2)</f>
        <v>0</v>
      </c>
      <c r="T359" s="53"/>
      <c r="U359" s="54"/>
      <c r="V359" s="9">
        <f>ROUND(ROUND(P359, 2)/1.2, 2)</f>
        <v>74</v>
      </c>
      <c r="Y359" s="9">
        <f t="shared" ref="Y359:Y390" si="48">ROUND(S359 / 1.2, 2)</f>
        <v>0</v>
      </c>
      <c r="AD359" s="4" t="s">
        <v>1160</v>
      </c>
      <c r="AE359" s="4" t="s">
        <v>1161</v>
      </c>
      <c r="AF359" s="4" t="s">
        <v>436</v>
      </c>
    </row>
    <row r="360" spans="1:35" ht="36" x14ac:dyDescent="0.3">
      <c r="A360" s="43" t="s">
        <v>1162</v>
      </c>
      <c r="B360" s="43"/>
      <c r="C360" s="55" t="s">
        <v>433</v>
      </c>
      <c r="D360" s="45"/>
      <c r="E360" s="45"/>
      <c r="F360" s="56" t="s">
        <v>70</v>
      </c>
      <c r="G360" s="57">
        <v>0.15</v>
      </c>
      <c r="H360" s="45"/>
      <c r="I360" s="57">
        <v>1.62</v>
      </c>
      <c r="J360" s="59">
        <v>88.8</v>
      </c>
      <c r="K360" s="60"/>
      <c r="L360" s="60"/>
      <c r="M360" s="59">
        <f>ROUND(ROUND(J360, 2)*I360, 2)</f>
        <v>143.86000000000001</v>
      </c>
      <c r="N360" s="60"/>
      <c r="O360" s="60"/>
      <c r="P360" s="59">
        <v>88.8</v>
      </c>
      <c r="Q360" s="60"/>
      <c r="R360" s="60"/>
      <c r="S360" s="59">
        <f>ROUND(ROUND(P360, 2)*I360, 2)</f>
        <v>143.86000000000001</v>
      </c>
      <c r="T360" s="60"/>
      <c r="U360" s="61"/>
      <c r="V360" s="9">
        <f>ROUND(ROUND(P360, 2)/1.2, 2)</f>
        <v>74</v>
      </c>
      <c r="Y360" s="9">
        <f t="shared" si="48"/>
        <v>119.88</v>
      </c>
      <c r="AD360" s="4" t="s">
        <v>1163</v>
      </c>
      <c r="AE360" s="4" t="s">
        <v>1161</v>
      </c>
      <c r="AF360" s="4" t="s">
        <v>436</v>
      </c>
    </row>
    <row r="361" spans="1:35" ht="90" x14ac:dyDescent="0.3">
      <c r="A361" s="37" t="s">
        <v>1164</v>
      </c>
      <c r="B361" s="37"/>
      <c r="C361" s="48" t="s">
        <v>1091</v>
      </c>
      <c r="D361" s="39"/>
      <c r="E361" s="39" t="s">
        <v>1121</v>
      </c>
      <c r="F361" s="49" t="s">
        <v>70</v>
      </c>
      <c r="G361" s="50">
        <v>0.3</v>
      </c>
      <c r="H361" s="39"/>
      <c r="I361" s="62">
        <v>0</v>
      </c>
      <c r="J361" s="52">
        <v>388.89</v>
      </c>
      <c r="K361" s="53"/>
      <c r="L361" s="53"/>
      <c r="M361" s="52">
        <f>ROUND(ROUND(J361, 2)*I361, 2)</f>
        <v>0</v>
      </c>
      <c r="N361" s="53"/>
      <c r="O361" s="53"/>
      <c r="P361" s="52">
        <v>388.89</v>
      </c>
      <c r="Q361" s="53"/>
      <c r="R361" s="53"/>
      <c r="S361" s="52">
        <f>ROUND(ROUND(P361, 2)*I361, 2)</f>
        <v>0</v>
      </c>
      <c r="T361" s="53"/>
      <c r="U361" s="54"/>
      <c r="V361" s="9">
        <f>ROUND(ROUND(P361, 2)/1.2, 2)</f>
        <v>324.08</v>
      </c>
      <c r="Y361" s="9">
        <f t="shared" si="48"/>
        <v>0</v>
      </c>
      <c r="AD361" s="4" t="s">
        <v>1165</v>
      </c>
      <c r="AE361" s="4" t="s">
        <v>1166</v>
      </c>
      <c r="AF361" s="4" t="s">
        <v>1095</v>
      </c>
    </row>
    <row r="362" spans="1:35" ht="90" x14ac:dyDescent="0.3">
      <c r="A362" s="43" t="s">
        <v>1167</v>
      </c>
      <c r="B362" s="43"/>
      <c r="C362" s="55" t="s">
        <v>1091</v>
      </c>
      <c r="D362" s="45"/>
      <c r="E362" s="45" t="s">
        <v>1121</v>
      </c>
      <c r="F362" s="56" t="s">
        <v>70</v>
      </c>
      <c r="G362" s="57">
        <v>0.3</v>
      </c>
      <c r="H362" s="45"/>
      <c r="I362" s="57">
        <v>3.24</v>
      </c>
      <c r="J362" s="59">
        <v>388.89</v>
      </c>
      <c r="K362" s="60"/>
      <c r="L362" s="60"/>
      <c r="M362" s="59">
        <f>ROUND(ROUND(J362, 2)*I362, 2)</f>
        <v>1260</v>
      </c>
      <c r="N362" s="60"/>
      <c r="O362" s="60"/>
      <c r="P362" s="59">
        <v>388.89</v>
      </c>
      <c r="Q362" s="60"/>
      <c r="R362" s="60"/>
      <c r="S362" s="59">
        <f>ROUND(ROUND(P362, 2)*I362, 2)</f>
        <v>1260</v>
      </c>
      <c r="T362" s="60"/>
      <c r="U362" s="61"/>
      <c r="V362" s="9">
        <f>ROUND(ROUND(P362, 2)/1.2, 2)</f>
        <v>324.08</v>
      </c>
      <c r="Y362" s="9">
        <f t="shared" si="48"/>
        <v>1050</v>
      </c>
      <c r="AD362" s="4" t="s">
        <v>1168</v>
      </c>
      <c r="AE362" s="4" t="s">
        <v>1166</v>
      </c>
      <c r="AF362" s="4" t="s">
        <v>1095</v>
      </c>
    </row>
    <row r="363" spans="1:35" ht="36" x14ac:dyDescent="0.3">
      <c r="A363" s="25" t="s">
        <v>1169</v>
      </c>
      <c r="B363" s="25" t="s">
        <v>1170</v>
      </c>
      <c r="C363" s="26" t="s">
        <v>1171</v>
      </c>
      <c r="D363" s="27"/>
      <c r="E363" s="27" t="s">
        <v>1172</v>
      </c>
      <c r="F363" s="27" t="s">
        <v>64</v>
      </c>
      <c r="G363" s="28">
        <v>1</v>
      </c>
      <c r="H363" s="27"/>
      <c r="I363" s="28">
        <v>5404.01</v>
      </c>
      <c r="J363" s="29">
        <f>IFERROR(ROUND(SUM(M364,M365)/I363, 2),0)</f>
        <v>13.32</v>
      </c>
      <c r="K363" s="29">
        <v>428</v>
      </c>
      <c r="L363" s="29">
        <f>J363+ROUND(K363, 2)</f>
        <v>441.32</v>
      </c>
      <c r="M363" s="29">
        <f>ROUND(J363*I363, 2)</f>
        <v>71981.41</v>
      </c>
      <c r="N363" s="29">
        <f>ROUND(I363*ROUND(K363, 2), 2)</f>
        <v>2312916.2799999998</v>
      </c>
      <c r="O363" s="29">
        <f>M363+N363</f>
        <v>2384897.69</v>
      </c>
      <c r="P363" s="29">
        <f>IFERROR(ROUND(SUM(S364,S365)/I363, 2),0)</f>
        <v>68.28</v>
      </c>
      <c r="Q363" s="29">
        <v>428</v>
      </c>
      <c r="R363" s="29">
        <f>P363+ROUND(Q363, 2)</f>
        <v>496.28</v>
      </c>
      <c r="S363" s="29">
        <f>ROUND(P363*I363, 2)</f>
        <v>368985.8</v>
      </c>
      <c r="T363" s="29">
        <f>ROUND(I363*ROUND(Q363, 2), 2)</f>
        <v>2312916.2799999998</v>
      </c>
      <c r="U363" s="29">
        <f>S363+T363</f>
        <v>2681902.0799999996</v>
      </c>
      <c r="V363" s="9">
        <f>ROUND(P363 / 1.2, 2)</f>
        <v>56.9</v>
      </c>
      <c r="W363" s="9">
        <f>ROUND(Q363 / 1.2, 2)</f>
        <v>356.67</v>
      </c>
      <c r="X363" s="9">
        <f>ROUND(R363 / 1.2, 2)</f>
        <v>413.57</v>
      </c>
      <c r="Y363" s="9">
        <f t="shared" si="48"/>
        <v>307488.17</v>
      </c>
      <c r="Z363" s="9">
        <f>ROUND(T363 / 1.2, 2)</f>
        <v>1927430.23</v>
      </c>
      <c r="AA363" s="9">
        <f>Y363+Z363</f>
        <v>2234918.4</v>
      </c>
      <c r="AD363" s="4">
        <v>298925318</v>
      </c>
      <c r="AE363" s="4">
        <v>19990349</v>
      </c>
      <c r="AG363" s="4" t="s">
        <v>1173</v>
      </c>
      <c r="AH363" s="4" t="s">
        <v>1174</v>
      </c>
      <c r="AI363" s="4" t="s">
        <v>67</v>
      </c>
    </row>
    <row r="364" spans="1:35" ht="108" x14ac:dyDescent="0.3">
      <c r="A364" s="25" t="s">
        <v>1175</v>
      </c>
      <c r="B364" s="25"/>
      <c r="C364" s="30" t="s">
        <v>1176</v>
      </c>
      <c r="D364" s="27"/>
      <c r="E364" s="27" t="s">
        <v>1177</v>
      </c>
      <c r="F364" s="31" t="s">
        <v>70</v>
      </c>
      <c r="G364" s="32">
        <v>0.3</v>
      </c>
      <c r="H364" s="27"/>
      <c r="I364" s="32">
        <v>1621.203</v>
      </c>
      <c r="J364" s="34">
        <v>0</v>
      </c>
      <c r="K364" s="35"/>
      <c r="L364" s="35"/>
      <c r="M364" s="34">
        <f>ROUND(ROUND(J364, 2)*I364, 2)</f>
        <v>0</v>
      </c>
      <c r="N364" s="35"/>
      <c r="O364" s="35"/>
      <c r="P364" s="34">
        <v>183.2</v>
      </c>
      <c r="Q364" s="35"/>
      <c r="R364" s="35"/>
      <c r="S364" s="34">
        <f>ROUND(ROUND(P364, 2)*I364, 2)</f>
        <v>297004.39</v>
      </c>
      <c r="T364" s="35"/>
      <c r="U364" s="36"/>
      <c r="V364" s="9">
        <f>ROUND(ROUND(P364, 2)/1.2, 2)</f>
        <v>152.66999999999999</v>
      </c>
      <c r="Y364" s="9">
        <f t="shared" si="48"/>
        <v>247503.66</v>
      </c>
      <c r="AD364" s="4" t="s">
        <v>1178</v>
      </c>
      <c r="AE364" s="4" t="s">
        <v>1179</v>
      </c>
      <c r="AF364" s="4" t="s">
        <v>1180</v>
      </c>
    </row>
    <row r="365" spans="1:35" ht="36" x14ac:dyDescent="0.3">
      <c r="A365" s="25" t="s">
        <v>1181</v>
      </c>
      <c r="B365" s="25"/>
      <c r="C365" s="30" t="s">
        <v>433</v>
      </c>
      <c r="D365" s="27"/>
      <c r="E365" s="27"/>
      <c r="F365" s="31" t="s">
        <v>70</v>
      </c>
      <c r="G365" s="32">
        <v>0.15</v>
      </c>
      <c r="H365" s="27"/>
      <c r="I365" s="32">
        <v>810.60199999999998</v>
      </c>
      <c r="J365" s="34">
        <v>88.8</v>
      </c>
      <c r="K365" s="35"/>
      <c r="L365" s="35"/>
      <c r="M365" s="34">
        <f>ROUND(ROUND(J365, 2)*I365, 2)</f>
        <v>71981.460000000006</v>
      </c>
      <c r="N365" s="35"/>
      <c r="O365" s="35"/>
      <c r="P365" s="34">
        <v>88.8</v>
      </c>
      <c r="Q365" s="35"/>
      <c r="R365" s="35"/>
      <c r="S365" s="34">
        <f>ROUND(ROUND(P365, 2)*I365, 2)</f>
        <v>71981.460000000006</v>
      </c>
      <c r="T365" s="35"/>
      <c r="U365" s="36"/>
      <c r="V365" s="9">
        <f>ROUND(ROUND(P365, 2)/1.2, 2)</f>
        <v>74</v>
      </c>
      <c r="Y365" s="9">
        <f t="shared" si="48"/>
        <v>59984.55</v>
      </c>
      <c r="AD365" s="4" t="s">
        <v>1182</v>
      </c>
      <c r="AE365" s="4" t="s">
        <v>1183</v>
      </c>
      <c r="AF365" s="4" t="s">
        <v>436</v>
      </c>
    </row>
    <row r="366" spans="1:35" ht="36" x14ac:dyDescent="0.3">
      <c r="A366" s="25" t="s">
        <v>1184</v>
      </c>
      <c r="B366" s="25" t="s">
        <v>1170</v>
      </c>
      <c r="C366" s="26" t="s">
        <v>1171</v>
      </c>
      <c r="D366" s="27"/>
      <c r="E366" s="27" t="s">
        <v>1185</v>
      </c>
      <c r="F366" s="27" t="s">
        <v>64</v>
      </c>
      <c r="G366" s="28">
        <v>1</v>
      </c>
      <c r="H366" s="27"/>
      <c r="I366" s="28">
        <v>8.4</v>
      </c>
      <c r="J366" s="29">
        <f>IFERROR(ROUND(SUM(M367,M368)/I366, 2),0)</f>
        <v>13.32</v>
      </c>
      <c r="K366" s="29">
        <v>428</v>
      </c>
      <c r="L366" s="29">
        <f>J366+ROUND(K366, 2)</f>
        <v>441.32</v>
      </c>
      <c r="M366" s="29">
        <f>ROUND(J366*I366, 2)</f>
        <v>111.89</v>
      </c>
      <c r="N366" s="29">
        <f>ROUND(I366*ROUND(K366, 2), 2)</f>
        <v>3595.2</v>
      </c>
      <c r="O366" s="29">
        <f>M366+N366</f>
        <v>3707.0899999999997</v>
      </c>
      <c r="P366" s="29">
        <f>IFERROR(ROUND(SUM(S367,S368)/I366, 2),0)</f>
        <v>75.27</v>
      </c>
      <c r="Q366" s="29">
        <v>428</v>
      </c>
      <c r="R366" s="29">
        <f>P366+ROUND(Q366, 2)</f>
        <v>503.27</v>
      </c>
      <c r="S366" s="29">
        <f>ROUND(P366*I366, 2)</f>
        <v>632.27</v>
      </c>
      <c r="T366" s="29">
        <f>ROUND(I366*ROUND(Q366, 2), 2)</f>
        <v>3595.2</v>
      </c>
      <c r="U366" s="29">
        <f>S366+T366</f>
        <v>4227.4699999999993</v>
      </c>
      <c r="V366" s="9">
        <f>ROUND(P366 / 1.2, 2)</f>
        <v>62.73</v>
      </c>
      <c r="W366" s="9">
        <f>ROUND(Q366 / 1.2, 2)</f>
        <v>356.67</v>
      </c>
      <c r="X366" s="9">
        <f>ROUND(R366 / 1.2, 2)</f>
        <v>419.39</v>
      </c>
      <c r="Y366" s="9">
        <f t="shared" si="48"/>
        <v>526.89</v>
      </c>
      <c r="Z366" s="9">
        <f>ROUND(T366 / 1.2, 2)</f>
        <v>2996</v>
      </c>
      <c r="AA366" s="9">
        <f>Y366+Z366</f>
        <v>3522.89</v>
      </c>
      <c r="AD366" s="4">
        <v>298925400</v>
      </c>
      <c r="AE366" s="4">
        <v>19990351</v>
      </c>
      <c r="AG366" s="4" t="s">
        <v>1173</v>
      </c>
      <c r="AH366" s="4" t="s">
        <v>1174</v>
      </c>
      <c r="AI366" s="4" t="s">
        <v>67</v>
      </c>
    </row>
    <row r="367" spans="1:35" ht="36" x14ac:dyDescent="0.3">
      <c r="A367" s="25" t="s">
        <v>1186</v>
      </c>
      <c r="B367" s="25"/>
      <c r="C367" s="30" t="s">
        <v>433</v>
      </c>
      <c r="D367" s="27"/>
      <c r="E367" s="27"/>
      <c r="F367" s="31" t="s">
        <v>70</v>
      </c>
      <c r="G367" s="32">
        <v>0.15</v>
      </c>
      <c r="H367" s="27"/>
      <c r="I367" s="32">
        <v>1.26</v>
      </c>
      <c r="J367" s="34">
        <v>88.8</v>
      </c>
      <c r="K367" s="35"/>
      <c r="L367" s="35"/>
      <c r="M367" s="34">
        <f>ROUND(ROUND(J367, 2)*I367, 2)</f>
        <v>111.89</v>
      </c>
      <c r="N367" s="35"/>
      <c r="O367" s="35"/>
      <c r="P367" s="34">
        <v>88.8</v>
      </c>
      <c r="Q367" s="35"/>
      <c r="R367" s="35"/>
      <c r="S367" s="34">
        <f>ROUND(ROUND(P367, 2)*I367, 2)</f>
        <v>111.89</v>
      </c>
      <c r="T367" s="35"/>
      <c r="U367" s="36"/>
      <c r="V367" s="9">
        <f>ROUND(ROUND(P367, 2)/1.2, 2)</f>
        <v>74</v>
      </c>
      <c r="Y367" s="9">
        <f t="shared" si="48"/>
        <v>93.24</v>
      </c>
      <c r="AD367" s="4" t="s">
        <v>1187</v>
      </c>
      <c r="AE367" s="4" t="s">
        <v>1188</v>
      </c>
      <c r="AF367" s="4" t="s">
        <v>436</v>
      </c>
    </row>
    <row r="368" spans="1:35" ht="108" x14ac:dyDescent="0.3">
      <c r="A368" s="25" t="s">
        <v>1189</v>
      </c>
      <c r="B368" s="25"/>
      <c r="C368" s="30" t="s">
        <v>1091</v>
      </c>
      <c r="D368" s="27"/>
      <c r="E368" s="27" t="s">
        <v>1190</v>
      </c>
      <c r="F368" s="31" t="s">
        <v>70</v>
      </c>
      <c r="G368" s="32">
        <v>0.3</v>
      </c>
      <c r="H368" s="27"/>
      <c r="I368" s="32">
        <v>2.52</v>
      </c>
      <c r="J368" s="34">
        <v>0</v>
      </c>
      <c r="K368" s="35"/>
      <c r="L368" s="35"/>
      <c r="M368" s="34">
        <f>ROUND(ROUND(J368, 2)*I368, 2)</f>
        <v>0</v>
      </c>
      <c r="N368" s="35"/>
      <c r="O368" s="35"/>
      <c r="P368" s="34">
        <v>206.5</v>
      </c>
      <c r="Q368" s="35"/>
      <c r="R368" s="35"/>
      <c r="S368" s="34">
        <f>ROUND(ROUND(P368, 2)*I368, 2)</f>
        <v>520.38</v>
      </c>
      <c r="T368" s="35"/>
      <c r="U368" s="36"/>
      <c r="V368" s="9">
        <f>ROUND(ROUND(P368, 2)/1.2, 2)</f>
        <v>172.08</v>
      </c>
      <c r="Y368" s="9">
        <f t="shared" si="48"/>
        <v>433.65</v>
      </c>
      <c r="AD368" s="4" t="s">
        <v>1191</v>
      </c>
      <c r="AE368" s="4" t="s">
        <v>1192</v>
      </c>
      <c r="AF368" s="4" t="s">
        <v>1095</v>
      </c>
    </row>
    <row r="369" spans="1:35" ht="36" x14ac:dyDescent="0.3">
      <c r="A369" s="25" t="s">
        <v>1193</v>
      </c>
      <c r="B369" s="25" t="s">
        <v>1170</v>
      </c>
      <c r="C369" s="26" t="s">
        <v>1171</v>
      </c>
      <c r="D369" s="27"/>
      <c r="E369" s="27" t="s">
        <v>1194</v>
      </c>
      <c r="F369" s="27" t="s">
        <v>64</v>
      </c>
      <c r="G369" s="28">
        <v>1</v>
      </c>
      <c r="H369" s="27"/>
      <c r="I369" s="28">
        <v>20.66</v>
      </c>
      <c r="J369" s="29">
        <f>IFERROR(ROUND(SUM(M370,M371)/I369, 2),0)</f>
        <v>13.32</v>
      </c>
      <c r="K369" s="29">
        <v>428</v>
      </c>
      <c r="L369" s="29">
        <f>J369+ROUND(K369, 2)</f>
        <v>441.32</v>
      </c>
      <c r="M369" s="29">
        <f>ROUND(J369*I369, 2)</f>
        <v>275.19</v>
      </c>
      <c r="N369" s="29">
        <f>ROUND(I369*ROUND(K369, 2), 2)</f>
        <v>8842.48</v>
      </c>
      <c r="O369" s="29">
        <f>M369+N369</f>
        <v>9117.67</v>
      </c>
      <c r="P369" s="29">
        <f>IFERROR(ROUND(SUM(S370,S371)/I369, 2),0)</f>
        <v>75.27</v>
      </c>
      <c r="Q369" s="29">
        <v>428</v>
      </c>
      <c r="R369" s="29">
        <f>P369+ROUND(Q369, 2)</f>
        <v>503.27</v>
      </c>
      <c r="S369" s="29">
        <f>ROUND(P369*I369, 2)</f>
        <v>1555.08</v>
      </c>
      <c r="T369" s="29">
        <f>ROUND(I369*ROUND(Q369, 2), 2)</f>
        <v>8842.48</v>
      </c>
      <c r="U369" s="29">
        <f>S369+T369</f>
        <v>10397.56</v>
      </c>
      <c r="V369" s="9">
        <f>ROUND(P369 / 1.2, 2)</f>
        <v>62.73</v>
      </c>
      <c r="W369" s="9">
        <f>ROUND(Q369 / 1.2, 2)</f>
        <v>356.67</v>
      </c>
      <c r="X369" s="9">
        <f>ROUND(R369 / 1.2, 2)</f>
        <v>419.39</v>
      </c>
      <c r="Y369" s="9">
        <f t="shared" si="48"/>
        <v>1295.9000000000001</v>
      </c>
      <c r="Z369" s="9">
        <f>ROUND(T369 / 1.2, 2)</f>
        <v>7368.73</v>
      </c>
      <c r="AA369" s="9">
        <f>Y369+Z369</f>
        <v>8664.6299999999992</v>
      </c>
      <c r="AD369" s="4">
        <v>298925401</v>
      </c>
      <c r="AE369" s="4">
        <v>19990352</v>
      </c>
      <c r="AG369" s="4" t="s">
        <v>1173</v>
      </c>
      <c r="AH369" s="4" t="s">
        <v>1174</v>
      </c>
      <c r="AI369" s="4" t="s">
        <v>67</v>
      </c>
    </row>
    <row r="370" spans="1:35" ht="108" x14ac:dyDescent="0.3">
      <c r="A370" s="25" t="s">
        <v>1195</v>
      </c>
      <c r="B370" s="25"/>
      <c r="C370" s="30" t="s">
        <v>1091</v>
      </c>
      <c r="D370" s="27"/>
      <c r="E370" s="27" t="s">
        <v>1196</v>
      </c>
      <c r="F370" s="31" t="s">
        <v>70</v>
      </c>
      <c r="G370" s="32">
        <v>0.3</v>
      </c>
      <c r="H370" s="27"/>
      <c r="I370" s="32">
        <v>6.1980000000000004</v>
      </c>
      <c r="J370" s="34">
        <v>0</v>
      </c>
      <c r="K370" s="35"/>
      <c r="L370" s="35"/>
      <c r="M370" s="34">
        <f>ROUND(ROUND(J370, 2)*I370, 2)</f>
        <v>0</v>
      </c>
      <c r="N370" s="35"/>
      <c r="O370" s="35"/>
      <c r="P370" s="34">
        <v>206.5</v>
      </c>
      <c r="Q370" s="35"/>
      <c r="R370" s="35"/>
      <c r="S370" s="34">
        <f>ROUND(ROUND(P370, 2)*I370, 2)</f>
        <v>1279.8900000000001</v>
      </c>
      <c r="T370" s="35"/>
      <c r="U370" s="36"/>
      <c r="V370" s="9">
        <f>ROUND(ROUND(P370, 2)/1.2, 2)</f>
        <v>172.08</v>
      </c>
      <c r="Y370" s="9">
        <f t="shared" si="48"/>
        <v>1066.58</v>
      </c>
      <c r="AD370" s="4" t="s">
        <v>1197</v>
      </c>
      <c r="AE370" s="4" t="s">
        <v>1198</v>
      </c>
      <c r="AF370" s="4" t="s">
        <v>1095</v>
      </c>
    </row>
    <row r="371" spans="1:35" ht="36" x14ac:dyDescent="0.3">
      <c r="A371" s="25" t="s">
        <v>1199</v>
      </c>
      <c r="B371" s="25"/>
      <c r="C371" s="30" t="s">
        <v>433</v>
      </c>
      <c r="D371" s="27"/>
      <c r="E371" s="27"/>
      <c r="F371" s="31" t="s">
        <v>70</v>
      </c>
      <c r="G371" s="32">
        <v>0.15</v>
      </c>
      <c r="H371" s="27"/>
      <c r="I371" s="32">
        <v>3.0990000000000002</v>
      </c>
      <c r="J371" s="34">
        <v>88.8</v>
      </c>
      <c r="K371" s="35"/>
      <c r="L371" s="35"/>
      <c r="M371" s="34">
        <f>ROUND(ROUND(J371, 2)*I371, 2)</f>
        <v>275.19</v>
      </c>
      <c r="N371" s="35"/>
      <c r="O371" s="35"/>
      <c r="P371" s="34">
        <v>88.8</v>
      </c>
      <c r="Q371" s="35"/>
      <c r="R371" s="35"/>
      <c r="S371" s="34">
        <f>ROUND(ROUND(P371, 2)*I371, 2)</f>
        <v>275.19</v>
      </c>
      <c r="T371" s="35"/>
      <c r="U371" s="36"/>
      <c r="V371" s="9">
        <f>ROUND(ROUND(P371, 2)/1.2, 2)</f>
        <v>74</v>
      </c>
      <c r="Y371" s="9">
        <f t="shared" si="48"/>
        <v>229.33</v>
      </c>
      <c r="AD371" s="4" t="s">
        <v>1200</v>
      </c>
      <c r="AE371" s="4" t="s">
        <v>1201</v>
      </c>
      <c r="AF371" s="4" t="s">
        <v>436</v>
      </c>
    </row>
    <row r="372" spans="1:35" ht="36" x14ac:dyDescent="0.3">
      <c r="A372" s="25" t="s">
        <v>1202</v>
      </c>
      <c r="B372" s="25" t="s">
        <v>1170</v>
      </c>
      <c r="C372" s="26" t="s">
        <v>1171</v>
      </c>
      <c r="D372" s="27"/>
      <c r="E372" s="27" t="s">
        <v>1203</v>
      </c>
      <c r="F372" s="27" t="s">
        <v>64</v>
      </c>
      <c r="G372" s="28">
        <v>1</v>
      </c>
      <c r="H372" s="27"/>
      <c r="I372" s="28">
        <v>10.39</v>
      </c>
      <c r="J372" s="29">
        <f>IFERROR(ROUND(SUM(M373,M374)/I372, 2),0)</f>
        <v>13.32</v>
      </c>
      <c r="K372" s="29">
        <v>428</v>
      </c>
      <c r="L372" s="29">
        <f>J372+ROUND(K372, 2)</f>
        <v>441.32</v>
      </c>
      <c r="M372" s="29">
        <f>ROUND(J372*I372, 2)</f>
        <v>138.38999999999999</v>
      </c>
      <c r="N372" s="29">
        <f>ROUND(I372*ROUND(K372, 2), 2)</f>
        <v>4446.92</v>
      </c>
      <c r="O372" s="29">
        <f>M372+N372</f>
        <v>4585.3100000000004</v>
      </c>
      <c r="P372" s="29">
        <f>IFERROR(ROUND(SUM(S373,S374)/I372, 2),0)</f>
        <v>75.27</v>
      </c>
      <c r="Q372" s="29">
        <v>428</v>
      </c>
      <c r="R372" s="29">
        <f>P372+ROUND(Q372, 2)</f>
        <v>503.27</v>
      </c>
      <c r="S372" s="29">
        <f>ROUND(P372*I372, 2)</f>
        <v>782.06</v>
      </c>
      <c r="T372" s="29">
        <f>ROUND(I372*ROUND(Q372, 2), 2)</f>
        <v>4446.92</v>
      </c>
      <c r="U372" s="29">
        <f>S372+T372</f>
        <v>5228.9799999999996</v>
      </c>
      <c r="V372" s="9">
        <f>ROUND(P372 / 1.2, 2)</f>
        <v>62.73</v>
      </c>
      <c r="W372" s="9">
        <f>ROUND(Q372 / 1.2, 2)</f>
        <v>356.67</v>
      </c>
      <c r="X372" s="9">
        <f>ROUND(R372 / 1.2, 2)</f>
        <v>419.39</v>
      </c>
      <c r="Y372" s="9">
        <f t="shared" si="48"/>
        <v>651.72</v>
      </c>
      <c r="Z372" s="9">
        <f>ROUND(T372 / 1.2, 2)</f>
        <v>3705.77</v>
      </c>
      <c r="AA372" s="9">
        <f>Y372+Z372</f>
        <v>4357.49</v>
      </c>
      <c r="AD372" s="4">
        <v>298925402</v>
      </c>
      <c r="AE372" s="4">
        <v>19990353</v>
      </c>
      <c r="AG372" s="4" t="s">
        <v>1173</v>
      </c>
      <c r="AH372" s="4" t="s">
        <v>1174</v>
      </c>
      <c r="AI372" s="4" t="s">
        <v>67</v>
      </c>
    </row>
    <row r="373" spans="1:35" ht="36" x14ac:dyDescent="0.3">
      <c r="A373" s="25" t="s">
        <v>1204</v>
      </c>
      <c r="B373" s="25"/>
      <c r="C373" s="30" t="s">
        <v>433</v>
      </c>
      <c r="D373" s="27"/>
      <c r="E373" s="27"/>
      <c r="F373" s="31" t="s">
        <v>70</v>
      </c>
      <c r="G373" s="32">
        <v>0.15</v>
      </c>
      <c r="H373" s="27"/>
      <c r="I373" s="32">
        <v>1.5589999999999999</v>
      </c>
      <c r="J373" s="34">
        <v>88.8</v>
      </c>
      <c r="K373" s="35"/>
      <c r="L373" s="35"/>
      <c r="M373" s="34">
        <f>ROUND(ROUND(J373, 2)*I373, 2)</f>
        <v>138.44</v>
      </c>
      <c r="N373" s="35"/>
      <c r="O373" s="35"/>
      <c r="P373" s="34">
        <v>88.8</v>
      </c>
      <c r="Q373" s="35"/>
      <c r="R373" s="35"/>
      <c r="S373" s="34">
        <f>ROUND(ROUND(P373, 2)*I373, 2)</f>
        <v>138.44</v>
      </c>
      <c r="T373" s="35"/>
      <c r="U373" s="36"/>
      <c r="V373" s="9">
        <f>ROUND(ROUND(P373, 2)/1.2, 2)</f>
        <v>74</v>
      </c>
      <c r="Y373" s="9">
        <f t="shared" si="48"/>
        <v>115.37</v>
      </c>
      <c r="AD373" s="4" t="s">
        <v>1205</v>
      </c>
      <c r="AE373" s="4" t="s">
        <v>1206</v>
      </c>
      <c r="AF373" s="4" t="s">
        <v>436</v>
      </c>
    </row>
    <row r="374" spans="1:35" ht="108" x14ac:dyDescent="0.3">
      <c r="A374" s="25" t="s">
        <v>1207</v>
      </c>
      <c r="B374" s="25"/>
      <c r="C374" s="30" t="s">
        <v>1091</v>
      </c>
      <c r="D374" s="27"/>
      <c r="E374" s="27" t="s">
        <v>1208</v>
      </c>
      <c r="F374" s="31" t="s">
        <v>70</v>
      </c>
      <c r="G374" s="32">
        <v>0.3</v>
      </c>
      <c r="H374" s="27"/>
      <c r="I374" s="32">
        <v>3.117</v>
      </c>
      <c r="J374" s="34">
        <v>0</v>
      </c>
      <c r="K374" s="35"/>
      <c r="L374" s="35"/>
      <c r="M374" s="34">
        <f>ROUND(ROUND(J374, 2)*I374, 2)</f>
        <v>0</v>
      </c>
      <c r="N374" s="35"/>
      <c r="O374" s="35"/>
      <c r="P374" s="34">
        <v>206.5</v>
      </c>
      <c r="Q374" s="35"/>
      <c r="R374" s="35"/>
      <c r="S374" s="34">
        <f>ROUND(ROUND(P374, 2)*I374, 2)</f>
        <v>643.66</v>
      </c>
      <c r="T374" s="35"/>
      <c r="U374" s="36"/>
      <c r="V374" s="9">
        <f>ROUND(ROUND(P374, 2)/1.2, 2)</f>
        <v>172.08</v>
      </c>
      <c r="Y374" s="9">
        <f t="shared" si="48"/>
        <v>536.38</v>
      </c>
      <c r="AD374" s="4" t="s">
        <v>1209</v>
      </c>
      <c r="AE374" s="4" t="s">
        <v>1210</v>
      </c>
      <c r="AF374" s="4" t="s">
        <v>1095</v>
      </c>
    </row>
    <row r="375" spans="1:35" ht="36" x14ac:dyDescent="0.3">
      <c r="A375" s="25" t="s">
        <v>1211</v>
      </c>
      <c r="B375" s="25" t="s">
        <v>1170</v>
      </c>
      <c r="C375" s="26" t="s">
        <v>1171</v>
      </c>
      <c r="D375" s="27"/>
      <c r="E375" s="27" t="s">
        <v>1212</v>
      </c>
      <c r="F375" s="27" t="s">
        <v>64</v>
      </c>
      <c r="G375" s="28">
        <v>1</v>
      </c>
      <c r="H375" s="27"/>
      <c r="I375" s="28">
        <v>5.0999999999999996</v>
      </c>
      <c r="J375" s="29">
        <f>IFERROR(ROUND(SUM(M376,M377)/I375, 2),0)</f>
        <v>13.32</v>
      </c>
      <c r="K375" s="29">
        <v>428</v>
      </c>
      <c r="L375" s="29">
        <f>J375+ROUND(K375, 2)</f>
        <v>441.32</v>
      </c>
      <c r="M375" s="29">
        <f>ROUND(J375*I375, 2)</f>
        <v>67.930000000000007</v>
      </c>
      <c r="N375" s="29">
        <f>ROUND(I375*ROUND(K375, 2), 2)</f>
        <v>2182.8000000000002</v>
      </c>
      <c r="O375" s="29">
        <f>M375+N375</f>
        <v>2250.73</v>
      </c>
      <c r="P375" s="29">
        <f>IFERROR(ROUND(SUM(S376,S377)/I375, 2),0)</f>
        <v>75.27</v>
      </c>
      <c r="Q375" s="29">
        <v>428</v>
      </c>
      <c r="R375" s="29">
        <f>P375+ROUND(Q375, 2)</f>
        <v>503.27</v>
      </c>
      <c r="S375" s="29">
        <f>ROUND(P375*I375, 2)</f>
        <v>383.88</v>
      </c>
      <c r="T375" s="29">
        <f>ROUND(I375*ROUND(Q375, 2), 2)</f>
        <v>2182.8000000000002</v>
      </c>
      <c r="U375" s="29">
        <f>S375+T375</f>
        <v>2566.6800000000003</v>
      </c>
      <c r="V375" s="9">
        <f>ROUND(P375 / 1.2, 2)</f>
        <v>62.73</v>
      </c>
      <c r="W375" s="9">
        <f>ROUND(Q375 / 1.2, 2)</f>
        <v>356.67</v>
      </c>
      <c r="X375" s="9">
        <f>ROUND(R375 / 1.2, 2)</f>
        <v>419.39</v>
      </c>
      <c r="Y375" s="9">
        <f t="shared" si="48"/>
        <v>319.89999999999998</v>
      </c>
      <c r="Z375" s="9">
        <f>ROUND(T375 / 1.2, 2)</f>
        <v>1819</v>
      </c>
      <c r="AA375" s="9">
        <f>Y375+Z375</f>
        <v>2138.9</v>
      </c>
      <c r="AD375" s="4">
        <v>298925403</v>
      </c>
      <c r="AE375" s="4">
        <v>19990354</v>
      </c>
      <c r="AG375" s="4" t="s">
        <v>1173</v>
      </c>
      <c r="AH375" s="4" t="s">
        <v>1174</v>
      </c>
      <c r="AI375" s="4" t="s">
        <v>67</v>
      </c>
    </row>
    <row r="376" spans="1:35" ht="108" x14ac:dyDescent="0.3">
      <c r="A376" s="25" t="s">
        <v>1213</v>
      </c>
      <c r="B376" s="25"/>
      <c r="C376" s="30" t="s">
        <v>1091</v>
      </c>
      <c r="D376" s="27"/>
      <c r="E376" s="27" t="s">
        <v>1214</v>
      </c>
      <c r="F376" s="31" t="s">
        <v>70</v>
      </c>
      <c r="G376" s="32">
        <v>0.3</v>
      </c>
      <c r="H376" s="27"/>
      <c r="I376" s="32">
        <v>1.53</v>
      </c>
      <c r="J376" s="34">
        <v>0</v>
      </c>
      <c r="K376" s="35"/>
      <c r="L376" s="35"/>
      <c r="M376" s="34">
        <f>ROUND(ROUND(J376, 2)*I376, 2)</f>
        <v>0</v>
      </c>
      <c r="N376" s="35"/>
      <c r="O376" s="35"/>
      <c r="P376" s="34">
        <v>206.5</v>
      </c>
      <c r="Q376" s="35"/>
      <c r="R376" s="35"/>
      <c r="S376" s="34">
        <f>ROUND(ROUND(P376, 2)*I376, 2)</f>
        <v>315.95</v>
      </c>
      <c r="T376" s="35"/>
      <c r="U376" s="36"/>
      <c r="V376" s="9">
        <f>ROUND(ROUND(P376, 2)/1.2, 2)</f>
        <v>172.08</v>
      </c>
      <c r="Y376" s="9">
        <f t="shared" si="48"/>
        <v>263.29000000000002</v>
      </c>
      <c r="AD376" s="4" t="s">
        <v>1215</v>
      </c>
      <c r="AE376" s="4" t="s">
        <v>1216</v>
      </c>
      <c r="AF376" s="4" t="s">
        <v>1095</v>
      </c>
    </row>
    <row r="377" spans="1:35" ht="36" x14ac:dyDescent="0.3">
      <c r="A377" s="25" t="s">
        <v>1217</v>
      </c>
      <c r="B377" s="25"/>
      <c r="C377" s="30" t="s">
        <v>433</v>
      </c>
      <c r="D377" s="27"/>
      <c r="E377" s="27"/>
      <c r="F377" s="31" t="s">
        <v>70</v>
      </c>
      <c r="G377" s="32">
        <v>0.15</v>
      </c>
      <c r="H377" s="27"/>
      <c r="I377" s="32">
        <v>0.76500000000000001</v>
      </c>
      <c r="J377" s="34">
        <v>88.8</v>
      </c>
      <c r="K377" s="35"/>
      <c r="L377" s="35"/>
      <c r="M377" s="34">
        <f>ROUND(ROUND(J377, 2)*I377, 2)</f>
        <v>67.930000000000007</v>
      </c>
      <c r="N377" s="35"/>
      <c r="O377" s="35"/>
      <c r="P377" s="34">
        <v>88.8</v>
      </c>
      <c r="Q377" s="35"/>
      <c r="R377" s="35"/>
      <c r="S377" s="34">
        <f>ROUND(ROUND(P377, 2)*I377, 2)</f>
        <v>67.930000000000007</v>
      </c>
      <c r="T377" s="35"/>
      <c r="U377" s="36"/>
      <c r="V377" s="9">
        <f>ROUND(ROUND(P377, 2)/1.2, 2)</f>
        <v>74</v>
      </c>
      <c r="Y377" s="9">
        <f t="shared" si="48"/>
        <v>56.61</v>
      </c>
      <c r="AD377" s="4" t="s">
        <v>1218</v>
      </c>
      <c r="AE377" s="4" t="s">
        <v>1219</v>
      </c>
      <c r="AF377" s="4" t="s">
        <v>436</v>
      </c>
    </row>
    <row r="378" spans="1:35" ht="36" x14ac:dyDescent="0.3">
      <c r="A378" s="25" t="s">
        <v>1220</v>
      </c>
      <c r="B378" s="25" t="s">
        <v>1170</v>
      </c>
      <c r="C378" s="26" t="s">
        <v>1171</v>
      </c>
      <c r="D378" s="27"/>
      <c r="E378" s="27" t="s">
        <v>1221</v>
      </c>
      <c r="F378" s="27" t="s">
        <v>64</v>
      </c>
      <c r="G378" s="28">
        <v>1</v>
      </c>
      <c r="H378" s="27"/>
      <c r="I378" s="28">
        <v>11.75</v>
      </c>
      <c r="J378" s="29">
        <f>IFERROR(ROUND(SUM(M379,M380)/I378, 2),0)</f>
        <v>13.32</v>
      </c>
      <c r="K378" s="29">
        <v>428</v>
      </c>
      <c r="L378" s="29">
        <f>J378+ROUND(K378, 2)</f>
        <v>441.32</v>
      </c>
      <c r="M378" s="29">
        <f>ROUND(J378*I378, 2)</f>
        <v>156.51</v>
      </c>
      <c r="N378" s="29">
        <f>ROUND(I378*ROUND(K378, 2), 2)</f>
        <v>5029</v>
      </c>
      <c r="O378" s="29">
        <f>M378+N378</f>
        <v>5185.51</v>
      </c>
      <c r="P378" s="29">
        <f>IFERROR(ROUND(SUM(S379,S380)/I378, 2),0)</f>
        <v>75.27</v>
      </c>
      <c r="Q378" s="29">
        <v>428</v>
      </c>
      <c r="R378" s="29">
        <f>P378+ROUND(Q378, 2)</f>
        <v>503.27</v>
      </c>
      <c r="S378" s="29">
        <f>ROUND(P378*I378, 2)</f>
        <v>884.42</v>
      </c>
      <c r="T378" s="29">
        <f>ROUND(I378*ROUND(Q378, 2), 2)</f>
        <v>5029</v>
      </c>
      <c r="U378" s="29">
        <f>S378+T378</f>
        <v>5913.42</v>
      </c>
      <c r="V378" s="9">
        <f>ROUND(P378 / 1.2, 2)</f>
        <v>62.73</v>
      </c>
      <c r="W378" s="9">
        <f>ROUND(Q378 / 1.2, 2)</f>
        <v>356.67</v>
      </c>
      <c r="X378" s="9">
        <f>ROUND(R378 / 1.2, 2)</f>
        <v>419.39</v>
      </c>
      <c r="Y378" s="9">
        <f t="shared" si="48"/>
        <v>737.02</v>
      </c>
      <c r="Z378" s="9">
        <f>ROUND(T378 / 1.2, 2)</f>
        <v>4190.83</v>
      </c>
      <c r="AA378" s="9">
        <f>Y378+Z378</f>
        <v>4927.8500000000004</v>
      </c>
      <c r="AD378" s="4">
        <v>298925404</v>
      </c>
      <c r="AE378" s="4">
        <v>19990355</v>
      </c>
      <c r="AG378" s="4" t="s">
        <v>1173</v>
      </c>
      <c r="AH378" s="4" t="s">
        <v>1174</v>
      </c>
      <c r="AI378" s="4" t="s">
        <v>67</v>
      </c>
    </row>
    <row r="379" spans="1:35" ht="36" x14ac:dyDescent="0.3">
      <c r="A379" s="25" t="s">
        <v>1222</v>
      </c>
      <c r="B379" s="25"/>
      <c r="C379" s="30" t="s">
        <v>433</v>
      </c>
      <c r="D379" s="27"/>
      <c r="E379" s="27"/>
      <c r="F379" s="31" t="s">
        <v>70</v>
      </c>
      <c r="G379" s="32">
        <v>0.15</v>
      </c>
      <c r="H379" s="27"/>
      <c r="I379" s="32">
        <v>1.7629999999999999</v>
      </c>
      <c r="J379" s="34">
        <v>88.8</v>
      </c>
      <c r="K379" s="35"/>
      <c r="L379" s="35"/>
      <c r="M379" s="34">
        <f>ROUND(ROUND(J379, 2)*I379, 2)</f>
        <v>156.55000000000001</v>
      </c>
      <c r="N379" s="35"/>
      <c r="O379" s="35"/>
      <c r="P379" s="34">
        <v>88.8</v>
      </c>
      <c r="Q379" s="35"/>
      <c r="R379" s="35"/>
      <c r="S379" s="34">
        <f>ROUND(ROUND(P379, 2)*I379, 2)</f>
        <v>156.55000000000001</v>
      </c>
      <c r="T379" s="35"/>
      <c r="U379" s="36"/>
      <c r="V379" s="9">
        <f>ROUND(ROUND(P379, 2)/1.2, 2)</f>
        <v>74</v>
      </c>
      <c r="Y379" s="9">
        <f t="shared" si="48"/>
        <v>130.46</v>
      </c>
      <c r="AD379" s="4" t="s">
        <v>1223</v>
      </c>
      <c r="AE379" s="4" t="s">
        <v>1224</v>
      </c>
      <c r="AF379" s="4" t="s">
        <v>436</v>
      </c>
    </row>
    <row r="380" spans="1:35" ht="108" x14ac:dyDescent="0.3">
      <c r="A380" s="25" t="s">
        <v>1225</v>
      </c>
      <c r="B380" s="25"/>
      <c r="C380" s="30" t="s">
        <v>1091</v>
      </c>
      <c r="D380" s="27"/>
      <c r="E380" s="27" t="s">
        <v>1226</v>
      </c>
      <c r="F380" s="31" t="s">
        <v>70</v>
      </c>
      <c r="G380" s="32">
        <v>0.3</v>
      </c>
      <c r="H380" s="27"/>
      <c r="I380" s="32">
        <v>3.5249999999999999</v>
      </c>
      <c r="J380" s="34">
        <v>0</v>
      </c>
      <c r="K380" s="35"/>
      <c r="L380" s="35"/>
      <c r="M380" s="34">
        <f>ROUND(ROUND(J380, 2)*I380, 2)</f>
        <v>0</v>
      </c>
      <c r="N380" s="35"/>
      <c r="O380" s="35"/>
      <c r="P380" s="34">
        <v>206.5</v>
      </c>
      <c r="Q380" s="35"/>
      <c r="R380" s="35"/>
      <c r="S380" s="34">
        <f>ROUND(ROUND(P380, 2)*I380, 2)</f>
        <v>727.91</v>
      </c>
      <c r="T380" s="35"/>
      <c r="U380" s="36"/>
      <c r="V380" s="9">
        <f>ROUND(ROUND(P380, 2)/1.2, 2)</f>
        <v>172.08</v>
      </c>
      <c r="Y380" s="9">
        <f t="shared" si="48"/>
        <v>606.59</v>
      </c>
      <c r="AD380" s="4" t="s">
        <v>1227</v>
      </c>
      <c r="AE380" s="4" t="s">
        <v>1228</v>
      </c>
      <c r="AF380" s="4" t="s">
        <v>1095</v>
      </c>
    </row>
    <row r="381" spans="1:35" ht="36" x14ac:dyDescent="0.3">
      <c r="A381" s="25" t="s">
        <v>1229</v>
      </c>
      <c r="B381" s="25" t="s">
        <v>1170</v>
      </c>
      <c r="C381" s="26" t="s">
        <v>1171</v>
      </c>
      <c r="D381" s="27"/>
      <c r="E381" s="27" t="s">
        <v>1230</v>
      </c>
      <c r="F381" s="27" t="s">
        <v>64</v>
      </c>
      <c r="G381" s="28">
        <v>1</v>
      </c>
      <c r="H381" s="27"/>
      <c r="I381" s="28">
        <v>78.400000000000006</v>
      </c>
      <c r="J381" s="29">
        <f>IFERROR(ROUND(SUM(M382,M383)/I381, 2),0)</f>
        <v>13.32</v>
      </c>
      <c r="K381" s="29">
        <v>428</v>
      </c>
      <c r="L381" s="29">
        <f>J381+ROUND(K381, 2)</f>
        <v>441.32</v>
      </c>
      <c r="M381" s="29">
        <f>ROUND(J381*I381, 2)</f>
        <v>1044.29</v>
      </c>
      <c r="N381" s="29">
        <f>ROUND(I381*ROUND(K381, 2), 2)</f>
        <v>33555.199999999997</v>
      </c>
      <c r="O381" s="29">
        <f>M381+N381</f>
        <v>34599.49</v>
      </c>
      <c r="P381" s="29">
        <f>IFERROR(ROUND(SUM(S382,S383)/I381, 2),0)</f>
        <v>75.27</v>
      </c>
      <c r="Q381" s="29">
        <v>428</v>
      </c>
      <c r="R381" s="29">
        <f>P381+ROUND(Q381, 2)</f>
        <v>503.27</v>
      </c>
      <c r="S381" s="29">
        <f>ROUND(P381*I381, 2)</f>
        <v>5901.17</v>
      </c>
      <c r="T381" s="29">
        <f>ROUND(I381*ROUND(Q381, 2), 2)</f>
        <v>33555.199999999997</v>
      </c>
      <c r="U381" s="29">
        <f>S381+T381</f>
        <v>39456.369999999995</v>
      </c>
      <c r="V381" s="9">
        <f>ROUND(P381 / 1.2, 2)</f>
        <v>62.73</v>
      </c>
      <c r="W381" s="9">
        <f>ROUND(Q381 / 1.2, 2)</f>
        <v>356.67</v>
      </c>
      <c r="X381" s="9">
        <f>ROUND(R381 / 1.2, 2)</f>
        <v>419.39</v>
      </c>
      <c r="Y381" s="9">
        <f t="shared" si="48"/>
        <v>4917.6400000000003</v>
      </c>
      <c r="Z381" s="9">
        <f>ROUND(T381 / 1.2, 2)</f>
        <v>27962.67</v>
      </c>
      <c r="AA381" s="9">
        <f>Y381+Z381</f>
        <v>32880.31</v>
      </c>
      <c r="AD381" s="4">
        <v>298925405</v>
      </c>
      <c r="AE381" s="4">
        <v>19990350</v>
      </c>
      <c r="AG381" s="4" t="s">
        <v>1173</v>
      </c>
      <c r="AH381" s="4" t="s">
        <v>1174</v>
      </c>
      <c r="AI381" s="4" t="s">
        <v>67</v>
      </c>
    </row>
    <row r="382" spans="1:35" ht="108" x14ac:dyDescent="0.3">
      <c r="A382" s="25" t="s">
        <v>1231</v>
      </c>
      <c r="B382" s="25"/>
      <c r="C382" s="30" t="s">
        <v>1091</v>
      </c>
      <c r="D382" s="27"/>
      <c r="E382" s="27" t="s">
        <v>1232</v>
      </c>
      <c r="F382" s="31" t="s">
        <v>70</v>
      </c>
      <c r="G382" s="32">
        <v>0.3</v>
      </c>
      <c r="H382" s="27"/>
      <c r="I382" s="32">
        <v>23.52</v>
      </c>
      <c r="J382" s="34">
        <v>0</v>
      </c>
      <c r="K382" s="35"/>
      <c r="L382" s="35"/>
      <c r="M382" s="34">
        <f>ROUND(ROUND(J382, 2)*I382, 2)</f>
        <v>0</v>
      </c>
      <c r="N382" s="35"/>
      <c r="O382" s="35"/>
      <c r="P382" s="34">
        <v>206.5</v>
      </c>
      <c r="Q382" s="35"/>
      <c r="R382" s="35"/>
      <c r="S382" s="34">
        <f>ROUND(ROUND(P382, 2)*I382, 2)</f>
        <v>4856.88</v>
      </c>
      <c r="T382" s="35"/>
      <c r="U382" s="36"/>
      <c r="V382" s="9">
        <f>ROUND(ROUND(P382, 2)/1.2, 2)</f>
        <v>172.08</v>
      </c>
      <c r="Y382" s="9">
        <f t="shared" si="48"/>
        <v>4047.4</v>
      </c>
      <c r="AD382" s="4" t="s">
        <v>1233</v>
      </c>
      <c r="AE382" s="4" t="s">
        <v>1234</v>
      </c>
      <c r="AF382" s="4" t="s">
        <v>1095</v>
      </c>
    </row>
    <row r="383" spans="1:35" ht="36" x14ac:dyDescent="0.3">
      <c r="A383" s="25" t="s">
        <v>1235</v>
      </c>
      <c r="B383" s="25"/>
      <c r="C383" s="30" t="s">
        <v>433</v>
      </c>
      <c r="D383" s="27"/>
      <c r="E383" s="27"/>
      <c r="F383" s="31" t="s">
        <v>70</v>
      </c>
      <c r="G383" s="32">
        <v>0.15</v>
      </c>
      <c r="H383" s="27"/>
      <c r="I383" s="32">
        <v>11.76</v>
      </c>
      <c r="J383" s="34">
        <v>88.8</v>
      </c>
      <c r="K383" s="35"/>
      <c r="L383" s="35"/>
      <c r="M383" s="34">
        <f>ROUND(ROUND(J383, 2)*I383, 2)</f>
        <v>1044.29</v>
      </c>
      <c r="N383" s="35"/>
      <c r="O383" s="35"/>
      <c r="P383" s="34">
        <v>88.8</v>
      </c>
      <c r="Q383" s="35"/>
      <c r="R383" s="35"/>
      <c r="S383" s="34">
        <f>ROUND(ROUND(P383, 2)*I383, 2)</f>
        <v>1044.29</v>
      </c>
      <c r="T383" s="35"/>
      <c r="U383" s="36"/>
      <c r="V383" s="9">
        <f>ROUND(ROUND(P383, 2)/1.2, 2)</f>
        <v>74</v>
      </c>
      <c r="Y383" s="9">
        <f t="shared" si="48"/>
        <v>870.24</v>
      </c>
      <c r="AD383" s="4" t="s">
        <v>1236</v>
      </c>
      <c r="AE383" s="4" t="s">
        <v>1237</v>
      </c>
      <c r="AF383" s="4" t="s">
        <v>436</v>
      </c>
    </row>
    <row r="384" spans="1:35" ht="36" x14ac:dyDescent="0.3">
      <c r="A384" s="25" t="s">
        <v>1238</v>
      </c>
      <c r="B384" s="25" t="s">
        <v>1170</v>
      </c>
      <c r="C384" s="26" t="s">
        <v>1171</v>
      </c>
      <c r="D384" s="27"/>
      <c r="E384" s="27" t="s">
        <v>1239</v>
      </c>
      <c r="F384" s="27" t="s">
        <v>64</v>
      </c>
      <c r="G384" s="28">
        <v>1</v>
      </c>
      <c r="H384" s="27"/>
      <c r="I384" s="28">
        <v>351.8</v>
      </c>
      <c r="J384" s="29">
        <f>IFERROR(ROUND(SUM(M385,M386)/I384, 2),0)</f>
        <v>13.32</v>
      </c>
      <c r="K384" s="29">
        <v>428</v>
      </c>
      <c r="L384" s="29">
        <f>J384+ROUND(K384, 2)</f>
        <v>441.32</v>
      </c>
      <c r="M384" s="29">
        <f>ROUND(J384*I384, 2)</f>
        <v>4685.9799999999996</v>
      </c>
      <c r="N384" s="29">
        <f>ROUND(I384*ROUND(K384, 2), 2)</f>
        <v>150570.4</v>
      </c>
      <c r="O384" s="29">
        <f>M384+N384</f>
        <v>155256.38</v>
      </c>
      <c r="P384" s="29">
        <f>IFERROR(ROUND(SUM(S385,S386)/I384, 2),0)</f>
        <v>75.27</v>
      </c>
      <c r="Q384" s="29">
        <v>428</v>
      </c>
      <c r="R384" s="29">
        <f>P384+ROUND(Q384, 2)</f>
        <v>503.27</v>
      </c>
      <c r="S384" s="29">
        <f>ROUND(P384*I384, 2)</f>
        <v>26479.99</v>
      </c>
      <c r="T384" s="29">
        <f>ROUND(I384*ROUND(Q384, 2), 2)</f>
        <v>150570.4</v>
      </c>
      <c r="U384" s="29">
        <f>S384+T384</f>
        <v>177050.38999999998</v>
      </c>
      <c r="V384" s="9">
        <f>ROUND(P384 / 1.2, 2)</f>
        <v>62.73</v>
      </c>
      <c r="W384" s="9">
        <f>ROUND(Q384 / 1.2, 2)</f>
        <v>356.67</v>
      </c>
      <c r="X384" s="9">
        <f>ROUND(R384 / 1.2, 2)</f>
        <v>419.39</v>
      </c>
      <c r="Y384" s="9">
        <f t="shared" si="48"/>
        <v>22066.66</v>
      </c>
      <c r="Z384" s="9">
        <f>ROUND(T384 / 1.2, 2)</f>
        <v>125475.33</v>
      </c>
      <c r="AA384" s="9">
        <f>Y384+Z384</f>
        <v>147541.99</v>
      </c>
      <c r="AD384" s="4">
        <v>298925406</v>
      </c>
      <c r="AE384" s="4">
        <v>19990914</v>
      </c>
      <c r="AG384" s="4" t="s">
        <v>1173</v>
      </c>
      <c r="AH384" s="4" t="s">
        <v>1174</v>
      </c>
      <c r="AI384" s="4" t="s">
        <v>67</v>
      </c>
    </row>
    <row r="385" spans="1:35" ht="36" x14ac:dyDescent="0.3">
      <c r="A385" s="25" t="s">
        <v>1240</v>
      </c>
      <c r="B385" s="25"/>
      <c r="C385" s="30" t="s">
        <v>433</v>
      </c>
      <c r="D385" s="27"/>
      <c r="E385" s="27"/>
      <c r="F385" s="31" t="s">
        <v>70</v>
      </c>
      <c r="G385" s="32">
        <v>0.15</v>
      </c>
      <c r="H385" s="27"/>
      <c r="I385" s="32">
        <v>52.77</v>
      </c>
      <c r="J385" s="34">
        <v>88.8</v>
      </c>
      <c r="K385" s="35"/>
      <c r="L385" s="35"/>
      <c r="M385" s="34">
        <f>ROUND(ROUND(J385, 2)*I385, 2)</f>
        <v>4685.9799999999996</v>
      </c>
      <c r="N385" s="35"/>
      <c r="O385" s="35"/>
      <c r="P385" s="34">
        <v>88.8</v>
      </c>
      <c r="Q385" s="35"/>
      <c r="R385" s="35"/>
      <c r="S385" s="34">
        <f>ROUND(ROUND(P385, 2)*I385, 2)</f>
        <v>4685.9799999999996</v>
      </c>
      <c r="T385" s="35"/>
      <c r="U385" s="36"/>
      <c r="V385" s="9">
        <f>ROUND(ROUND(P385, 2)/1.2, 2)</f>
        <v>74</v>
      </c>
      <c r="Y385" s="9">
        <f t="shared" si="48"/>
        <v>3904.98</v>
      </c>
      <c r="AD385" s="4" t="s">
        <v>1241</v>
      </c>
      <c r="AE385" s="4" t="s">
        <v>1242</v>
      </c>
      <c r="AF385" s="4" t="s">
        <v>436</v>
      </c>
    </row>
    <row r="386" spans="1:35" ht="108" x14ac:dyDescent="0.3">
      <c r="A386" s="25" t="s">
        <v>1243</v>
      </c>
      <c r="B386" s="25"/>
      <c r="C386" s="30" t="s">
        <v>1091</v>
      </c>
      <c r="D386" s="27"/>
      <c r="E386" s="27" t="s">
        <v>1244</v>
      </c>
      <c r="F386" s="31" t="s">
        <v>70</v>
      </c>
      <c r="G386" s="32">
        <v>0.3</v>
      </c>
      <c r="H386" s="27"/>
      <c r="I386" s="32">
        <v>105.54</v>
      </c>
      <c r="J386" s="34">
        <v>0</v>
      </c>
      <c r="K386" s="35"/>
      <c r="L386" s="35"/>
      <c r="M386" s="34">
        <f>ROUND(ROUND(J386, 2)*I386, 2)</f>
        <v>0</v>
      </c>
      <c r="N386" s="35"/>
      <c r="O386" s="35"/>
      <c r="P386" s="34">
        <v>206.5</v>
      </c>
      <c r="Q386" s="35"/>
      <c r="R386" s="35"/>
      <c r="S386" s="34">
        <f>ROUND(ROUND(P386, 2)*I386, 2)</f>
        <v>21794.01</v>
      </c>
      <c r="T386" s="35"/>
      <c r="U386" s="36"/>
      <c r="V386" s="9">
        <f>ROUND(ROUND(P386, 2)/1.2, 2)</f>
        <v>172.08</v>
      </c>
      <c r="Y386" s="9">
        <f t="shared" si="48"/>
        <v>18161.68</v>
      </c>
      <c r="AD386" s="4" t="s">
        <v>1245</v>
      </c>
      <c r="AE386" s="4" t="s">
        <v>1246</v>
      </c>
      <c r="AF386" s="4" t="s">
        <v>1095</v>
      </c>
    </row>
    <row r="387" spans="1:35" ht="36" x14ac:dyDescent="0.3">
      <c r="A387" s="25" t="s">
        <v>1247</v>
      </c>
      <c r="B387" s="25" t="s">
        <v>1170</v>
      </c>
      <c r="C387" s="26" t="s">
        <v>1171</v>
      </c>
      <c r="D387" s="27"/>
      <c r="E387" s="27" t="s">
        <v>1248</v>
      </c>
      <c r="F387" s="27" t="s">
        <v>64</v>
      </c>
      <c r="G387" s="28">
        <v>1</v>
      </c>
      <c r="H387" s="27"/>
      <c r="I387" s="28">
        <v>2020.16</v>
      </c>
      <c r="J387" s="29">
        <f>IFERROR(ROUND(SUM(M388,M389)/I387, 2),0)</f>
        <v>13.32</v>
      </c>
      <c r="K387" s="29">
        <v>428</v>
      </c>
      <c r="L387" s="29">
        <f>J387+ROUND(K387, 2)</f>
        <v>441.32</v>
      </c>
      <c r="M387" s="29">
        <f>ROUND(J387*I387, 2)</f>
        <v>26908.53</v>
      </c>
      <c r="N387" s="29">
        <f>ROUND(I387*ROUND(K387, 2), 2)</f>
        <v>864628.48</v>
      </c>
      <c r="O387" s="29">
        <f>M387+N387</f>
        <v>891537.01</v>
      </c>
      <c r="P387" s="29">
        <f>IFERROR(ROUND(SUM(S388,S389)/I387, 2),0)</f>
        <v>68.28</v>
      </c>
      <c r="Q387" s="29">
        <v>428</v>
      </c>
      <c r="R387" s="29">
        <f>P387+ROUND(Q387, 2)</f>
        <v>496.28</v>
      </c>
      <c r="S387" s="29">
        <f>ROUND(P387*I387, 2)</f>
        <v>137936.51999999999</v>
      </c>
      <c r="T387" s="29">
        <f>ROUND(I387*ROUND(Q387, 2), 2)</f>
        <v>864628.48</v>
      </c>
      <c r="U387" s="29">
        <f>S387+T387</f>
        <v>1002565</v>
      </c>
      <c r="V387" s="9">
        <f>ROUND(P387 / 1.2, 2)</f>
        <v>56.9</v>
      </c>
      <c r="W387" s="9">
        <f>ROUND(Q387 / 1.2, 2)</f>
        <v>356.67</v>
      </c>
      <c r="X387" s="9">
        <f>ROUND(R387 / 1.2, 2)</f>
        <v>413.57</v>
      </c>
      <c r="Y387" s="9">
        <f t="shared" si="48"/>
        <v>114947.1</v>
      </c>
      <c r="Z387" s="9">
        <f>ROUND(T387 / 1.2, 2)</f>
        <v>720523.73</v>
      </c>
      <c r="AA387" s="9">
        <f>Y387+Z387</f>
        <v>835470.83</v>
      </c>
      <c r="AD387" s="4">
        <v>298925407</v>
      </c>
      <c r="AE387" s="4">
        <v>19990916</v>
      </c>
      <c r="AG387" s="4" t="s">
        <v>1173</v>
      </c>
      <c r="AH387" s="4" t="s">
        <v>1174</v>
      </c>
      <c r="AI387" s="4" t="s">
        <v>67</v>
      </c>
    </row>
    <row r="388" spans="1:35" ht="126" x14ac:dyDescent="0.3">
      <c r="A388" s="25" t="s">
        <v>1249</v>
      </c>
      <c r="B388" s="25"/>
      <c r="C388" s="30" t="s">
        <v>1111</v>
      </c>
      <c r="D388" s="27"/>
      <c r="E388" s="27" t="s">
        <v>1250</v>
      </c>
      <c r="F388" s="31" t="s">
        <v>70</v>
      </c>
      <c r="G388" s="32">
        <v>0.3</v>
      </c>
      <c r="H388" s="27"/>
      <c r="I388" s="32">
        <v>606.048</v>
      </c>
      <c r="J388" s="34">
        <v>0</v>
      </c>
      <c r="K388" s="35"/>
      <c r="L388" s="35"/>
      <c r="M388" s="34">
        <f>ROUND(ROUND(J388, 2)*I388, 2)</f>
        <v>0</v>
      </c>
      <c r="N388" s="35"/>
      <c r="O388" s="35"/>
      <c r="P388" s="34">
        <v>183.2</v>
      </c>
      <c r="Q388" s="35"/>
      <c r="R388" s="35"/>
      <c r="S388" s="34">
        <f>ROUND(ROUND(P388, 2)*I388, 2)</f>
        <v>111027.99</v>
      </c>
      <c r="T388" s="35"/>
      <c r="U388" s="36"/>
      <c r="V388" s="9">
        <f>ROUND(ROUND(P388, 2)/1.2, 2)</f>
        <v>152.66999999999999</v>
      </c>
      <c r="Y388" s="9">
        <f t="shared" si="48"/>
        <v>92523.33</v>
      </c>
      <c r="AD388" s="4" t="s">
        <v>1251</v>
      </c>
      <c r="AE388" s="4" t="s">
        <v>1252</v>
      </c>
      <c r="AF388" s="4" t="s">
        <v>1115</v>
      </c>
    </row>
    <row r="389" spans="1:35" ht="36" x14ac:dyDescent="0.3">
      <c r="A389" s="25" t="s">
        <v>1253</v>
      </c>
      <c r="B389" s="25"/>
      <c r="C389" s="30" t="s">
        <v>433</v>
      </c>
      <c r="D389" s="27"/>
      <c r="E389" s="27"/>
      <c r="F389" s="31" t="s">
        <v>70</v>
      </c>
      <c r="G389" s="32">
        <v>0.15</v>
      </c>
      <c r="H389" s="27"/>
      <c r="I389" s="32">
        <v>303.024</v>
      </c>
      <c r="J389" s="34">
        <v>88.8</v>
      </c>
      <c r="K389" s="35"/>
      <c r="L389" s="35"/>
      <c r="M389" s="34">
        <f>ROUND(ROUND(J389, 2)*I389, 2)</f>
        <v>26908.53</v>
      </c>
      <c r="N389" s="35"/>
      <c r="O389" s="35"/>
      <c r="P389" s="34">
        <v>88.8</v>
      </c>
      <c r="Q389" s="35"/>
      <c r="R389" s="35"/>
      <c r="S389" s="34">
        <f>ROUND(ROUND(P389, 2)*I389, 2)</f>
        <v>26908.53</v>
      </c>
      <c r="T389" s="35"/>
      <c r="U389" s="36"/>
      <c r="V389" s="9">
        <f>ROUND(ROUND(P389, 2)/1.2, 2)</f>
        <v>74</v>
      </c>
      <c r="Y389" s="9">
        <f t="shared" si="48"/>
        <v>22423.78</v>
      </c>
      <c r="AD389" s="4" t="s">
        <v>1254</v>
      </c>
      <c r="AE389" s="4" t="s">
        <v>1255</v>
      </c>
      <c r="AF389" s="4" t="s">
        <v>436</v>
      </c>
    </row>
    <row r="390" spans="1:35" ht="36" x14ac:dyDescent="0.3">
      <c r="A390" s="25" t="s">
        <v>1256</v>
      </c>
      <c r="B390" s="25" t="s">
        <v>1170</v>
      </c>
      <c r="C390" s="26" t="s">
        <v>1171</v>
      </c>
      <c r="D390" s="27"/>
      <c r="E390" s="27" t="s">
        <v>1257</v>
      </c>
      <c r="F390" s="27" t="s">
        <v>64</v>
      </c>
      <c r="G390" s="28">
        <v>1</v>
      </c>
      <c r="H390" s="27"/>
      <c r="I390" s="28">
        <v>141.44999999999999</v>
      </c>
      <c r="J390" s="29">
        <f>IFERROR(ROUND(SUM(M391,M392)/I390, 2),0)</f>
        <v>13.32</v>
      </c>
      <c r="K390" s="29">
        <v>428</v>
      </c>
      <c r="L390" s="29">
        <f>J390+ROUND(K390, 2)</f>
        <v>441.32</v>
      </c>
      <c r="M390" s="29">
        <f>ROUND(J390*I390, 2)</f>
        <v>1884.11</v>
      </c>
      <c r="N390" s="29">
        <f>ROUND(I390*ROUND(K390, 2), 2)</f>
        <v>60540.6</v>
      </c>
      <c r="O390" s="29">
        <f>M390+N390</f>
        <v>62424.71</v>
      </c>
      <c r="P390" s="29">
        <f>IFERROR(ROUND(SUM(S391,S392)/I390, 2),0)</f>
        <v>75.27</v>
      </c>
      <c r="Q390" s="29">
        <v>428</v>
      </c>
      <c r="R390" s="29">
        <f>P390+ROUND(Q390, 2)</f>
        <v>503.27</v>
      </c>
      <c r="S390" s="29">
        <f>ROUND(P390*I390, 2)</f>
        <v>10646.94</v>
      </c>
      <c r="T390" s="29">
        <f>ROUND(I390*ROUND(Q390, 2), 2)</f>
        <v>60540.6</v>
      </c>
      <c r="U390" s="29">
        <f>S390+T390</f>
        <v>71187.539999999994</v>
      </c>
      <c r="V390" s="9">
        <f>ROUND(P390 / 1.2, 2)</f>
        <v>62.73</v>
      </c>
      <c r="W390" s="9">
        <f>ROUND(Q390 / 1.2, 2)</f>
        <v>356.67</v>
      </c>
      <c r="X390" s="9">
        <f>ROUND(R390 / 1.2, 2)</f>
        <v>419.39</v>
      </c>
      <c r="Y390" s="9">
        <f t="shared" si="48"/>
        <v>8872.4500000000007</v>
      </c>
      <c r="Z390" s="9">
        <f>ROUND(T390 / 1.2, 2)</f>
        <v>50450.5</v>
      </c>
      <c r="AA390" s="9">
        <f>Y390+Z390</f>
        <v>59322.95</v>
      </c>
      <c r="AD390" s="4">
        <v>298925408</v>
      </c>
      <c r="AE390" s="4">
        <v>19990917</v>
      </c>
      <c r="AG390" s="4" t="s">
        <v>1173</v>
      </c>
      <c r="AH390" s="4" t="s">
        <v>1174</v>
      </c>
      <c r="AI390" s="4" t="s">
        <v>67</v>
      </c>
    </row>
    <row r="391" spans="1:35" ht="36" x14ac:dyDescent="0.3">
      <c r="A391" s="25" t="s">
        <v>1258</v>
      </c>
      <c r="B391" s="25"/>
      <c r="C391" s="30" t="s">
        <v>433</v>
      </c>
      <c r="D391" s="27"/>
      <c r="E391" s="27"/>
      <c r="F391" s="31" t="s">
        <v>70</v>
      </c>
      <c r="G391" s="32">
        <v>0.15</v>
      </c>
      <c r="H391" s="27"/>
      <c r="I391" s="32">
        <v>21.218</v>
      </c>
      <c r="J391" s="34">
        <v>88.8</v>
      </c>
      <c r="K391" s="35"/>
      <c r="L391" s="35"/>
      <c r="M391" s="34">
        <f>ROUND(ROUND(J391, 2)*I391, 2)</f>
        <v>1884.16</v>
      </c>
      <c r="N391" s="35"/>
      <c r="O391" s="35"/>
      <c r="P391" s="34">
        <v>88.8</v>
      </c>
      <c r="Q391" s="35"/>
      <c r="R391" s="35"/>
      <c r="S391" s="34">
        <f>ROUND(ROUND(P391, 2)*I391, 2)</f>
        <v>1884.16</v>
      </c>
      <c r="T391" s="35"/>
      <c r="U391" s="36"/>
      <c r="V391" s="9">
        <f>ROUND(ROUND(P391, 2)/1.2, 2)</f>
        <v>74</v>
      </c>
      <c r="Y391" s="9">
        <f t="shared" ref="Y391:Y422" si="49">ROUND(S391 / 1.2, 2)</f>
        <v>1570.13</v>
      </c>
      <c r="AD391" s="4" t="s">
        <v>1259</v>
      </c>
      <c r="AE391" s="4" t="s">
        <v>1260</v>
      </c>
      <c r="AF391" s="4" t="s">
        <v>436</v>
      </c>
    </row>
    <row r="392" spans="1:35" ht="108" x14ac:dyDescent="0.3">
      <c r="A392" s="25" t="s">
        <v>1261</v>
      </c>
      <c r="B392" s="25"/>
      <c r="C392" s="30" t="s">
        <v>1091</v>
      </c>
      <c r="D392" s="27"/>
      <c r="E392" s="27" t="s">
        <v>1262</v>
      </c>
      <c r="F392" s="31" t="s">
        <v>70</v>
      </c>
      <c r="G392" s="32">
        <v>0.3</v>
      </c>
      <c r="H392" s="27"/>
      <c r="I392" s="32">
        <v>42.435000000000002</v>
      </c>
      <c r="J392" s="34">
        <v>0</v>
      </c>
      <c r="K392" s="35"/>
      <c r="L392" s="35"/>
      <c r="M392" s="34">
        <f>ROUND(ROUND(J392, 2)*I392, 2)</f>
        <v>0</v>
      </c>
      <c r="N392" s="35"/>
      <c r="O392" s="35"/>
      <c r="P392" s="34">
        <v>206.5</v>
      </c>
      <c r="Q392" s="35"/>
      <c r="R392" s="35"/>
      <c r="S392" s="34">
        <f>ROUND(ROUND(P392, 2)*I392, 2)</f>
        <v>8762.83</v>
      </c>
      <c r="T392" s="35"/>
      <c r="U392" s="36"/>
      <c r="V392" s="9">
        <f>ROUND(ROUND(P392, 2)/1.2, 2)</f>
        <v>172.08</v>
      </c>
      <c r="Y392" s="9">
        <f t="shared" si="49"/>
        <v>7302.36</v>
      </c>
      <c r="AD392" s="4" t="s">
        <v>1263</v>
      </c>
      <c r="AE392" s="4" t="s">
        <v>1264</v>
      </c>
      <c r="AF392" s="4" t="s">
        <v>1095</v>
      </c>
    </row>
    <row r="393" spans="1:35" ht="36" x14ac:dyDescent="0.3">
      <c r="A393" s="25" t="s">
        <v>1265</v>
      </c>
      <c r="B393" s="25" t="s">
        <v>1170</v>
      </c>
      <c r="C393" s="26" t="s">
        <v>1171</v>
      </c>
      <c r="D393" s="27"/>
      <c r="E393" s="27" t="s">
        <v>1266</v>
      </c>
      <c r="F393" s="27" t="s">
        <v>64</v>
      </c>
      <c r="G393" s="28">
        <v>1</v>
      </c>
      <c r="H393" s="27"/>
      <c r="I393" s="28">
        <v>25.11</v>
      </c>
      <c r="J393" s="29">
        <f>IFERROR(ROUND(SUM(M394,M395)/I393, 2),0)</f>
        <v>13.32</v>
      </c>
      <c r="K393" s="29">
        <v>428</v>
      </c>
      <c r="L393" s="29">
        <f>J393+ROUND(K393, 2)</f>
        <v>441.32</v>
      </c>
      <c r="M393" s="29">
        <f>ROUND(J393*I393, 2)</f>
        <v>334.47</v>
      </c>
      <c r="N393" s="29">
        <f>ROUND(I393*ROUND(K393, 2), 2)</f>
        <v>10747.08</v>
      </c>
      <c r="O393" s="29">
        <f>M393+N393</f>
        <v>11081.55</v>
      </c>
      <c r="P393" s="29">
        <f>IFERROR(ROUND(SUM(S394,S395)/I393, 2),0)</f>
        <v>75.27</v>
      </c>
      <c r="Q393" s="29">
        <v>428</v>
      </c>
      <c r="R393" s="29">
        <f>P393+ROUND(Q393, 2)</f>
        <v>503.27</v>
      </c>
      <c r="S393" s="29">
        <f>ROUND(P393*I393, 2)</f>
        <v>1890.03</v>
      </c>
      <c r="T393" s="29">
        <f>ROUND(I393*ROUND(Q393, 2), 2)</f>
        <v>10747.08</v>
      </c>
      <c r="U393" s="29">
        <f>S393+T393</f>
        <v>12637.11</v>
      </c>
      <c r="V393" s="9">
        <f>ROUND(P393 / 1.2, 2)</f>
        <v>62.73</v>
      </c>
      <c r="W393" s="9">
        <f>ROUND(Q393 / 1.2, 2)</f>
        <v>356.67</v>
      </c>
      <c r="X393" s="9">
        <f>ROUND(R393 / 1.2, 2)</f>
        <v>419.39</v>
      </c>
      <c r="Y393" s="9">
        <f t="shared" si="49"/>
        <v>1575.03</v>
      </c>
      <c r="Z393" s="9">
        <f>ROUND(T393 / 1.2, 2)</f>
        <v>8955.9</v>
      </c>
      <c r="AA393" s="9">
        <f>Y393+Z393</f>
        <v>10530.93</v>
      </c>
      <c r="AD393" s="4">
        <v>298925409</v>
      </c>
      <c r="AE393" s="4">
        <v>19990915</v>
      </c>
      <c r="AG393" s="4" t="s">
        <v>1173</v>
      </c>
      <c r="AH393" s="4" t="s">
        <v>1174</v>
      </c>
      <c r="AI393" s="4" t="s">
        <v>67</v>
      </c>
    </row>
    <row r="394" spans="1:35" ht="108" x14ac:dyDescent="0.3">
      <c r="A394" s="25" t="s">
        <v>1267</v>
      </c>
      <c r="B394" s="25"/>
      <c r="C394" s="30" t="s">
        <v>1091</v>
      </c>
      <c r="D394" s="27"/>
      <c r="E394" s="27" t="s">
        <v>1268</v>
      </c>
      <c r="F394" s="31" t="s">
        <v>70</v>
      </c>
      <c r="G394" s="32">
        <v>0.3</v>
      </c>
      <c r="H394" s="27"/>
      <c r="I394" s="32">
        <v>7.5330000000000004</v>
      </c>
      <c r="J394" s="34">
        <v>0</v>
      </c>
      <c r="K394" s="35"/>
      <c r="L394" s="35"/>
      <c r="M394" s="34">
        <f>ROUND(ROUND(J394, 2)*I394, 2)</f>
        <v>0</v>
      </c>
      <c r="N394" s="35"/>
      <c r="O394" s="35"/>
      <c r="P394" s="34">
        <v>206.5</v>
      </c>
      <c r="Q394" s="35"/>
      <c r="R394" s="35"/>
      <c r="S394" s="34">
        <f>ROUND(ROUND(P394, 2)*I394, 2)</f>
        <v>1555.56</v>
      </c>
      <c r="T394" s="35"/>
      <c r="U394" s="36"/>
      <c r="V394" s="9">
        <f>ROUND(ROUND(P394, 2)/1.2, 2)</f>
        <v>172.08</v>
      </c>
      <c r="Y394" s="9">
        <f t="shared" si="49"/>
        <v>1296.3</v>
      </c>
      <c r="AD394" s="4" t="s">
        <v>1269</v>
      </c>
      <c r="AE394" s="4" t="s">
        <v>1270</v>
      </c>
      <c r="AF394" s="4" t="s">
        <v>1095</v>
      </c>
    </row>
    <row r="395" spans="1:35" ht="36" x14ac:dyDescent="0.3">
      <c r="A395" s="25" t="s">
        <v>1271</v>
      </c>
      <c r="B395" s="25"/>
      <c r="C395" s="30" t="s">
        <v>433</v>
      </c>
      <c r="D395" s="27"/>
      <c r="E395" s="27"/>
      <c r="F395" s="31" t="s">
        <v>70</v>
      </c>
      <c r="G395" s="32">
        <v>0.15</v>
      </c>
      <c r="H395" s="27"/>
      <c r="I395" s="32">
        <v>3.7669999999999999</v>
      </c>
      <c r="J395" s="34">
        <v>88.8</v>
      </c>
      <c r="K395" s="35"/>
      <c r="L395" s="35"/>
      <c r="M395" s="34">
        <f>ROUND(ROUND(J395, 2)*I395, 2)</f>
        <v>334.51</v>
      </c>
      <c r="N395" s="35"/>
      <c r="O395" s="35"/>
      <c r="P395" s="34">
        <v>88.8</v>
      </c>
      <c r="Q395" s="35"/>
      <c r="R395" s="35"/>
      <c r="S395" s="34">
        <f>ROUND(ROUND(P395, 2)*I395, 2)</f>
        <v>334.51</v>
      </c>
      <c r="T395" s="35"/>
      <c r="U395" s="36"/>
      <c r="V395" s="9">
        <f>ROUND(ROUND(P395, 2)/1.2, 2)</f>
        <v>74</v>
      </c>
      <c r="Y395" s="9">
        <f t="shared" si="49"/>
        <v>278.76</v>
      </c>
      <c r="AD395" s="4" t="s">
        <v>1272</v>
      </c>
      <c r="AE395" s="4" t="s">
        <v>1273</v>
      </c>
      <c r="AF395" s="4" t="s">
        <v>436</v>
      </c>
    </row>
    <row r="396" spans="1:35" ht="36" x14ac:dyDescent="0.3">
      <c r="A396" s="25" t="s">
        <v>1274</v>
      </c>
      <c r="B396" s="25" t="s">
        <v>1170</v>
      </c>
      <c r="C396" s="26" t="s">
        <v>1171</v>
      </c>
      <c r="D396" s="27"/>
      <c r="E396" s="27" t="s">
        <v>1275</v>
      </c>
      <c r="F396" s="27" t="s">
        <v>64</v>
      </c>
      <c r="G396" s="28">
        <v>1</v>
      </c>
      <c r="H396" s="27"/>
      <c r="I396" s="28">
        <v>4509.45</v>
      </c>
      <c r="J396" s="29">
        <f>IFERROR(ROUND(SUM(M397,M398)/I396, 2),0)</f>
        <v>13.32</v>
      </c>
      <c r="K396" s="29">
        <v>428</v>
      </c>
      <c r="L396" s="29">
        <f>J396+ROUND(K396, 2)</f>
        <v>441.32</v>
      </c>
      <c r="M396" s="29">
        <f>ROUND(J396*I396, 2)</f>
        <v>60065.87</v>
      </c>
      <c r="N396" s="29">
        <f>ROUND(I396*ROUND(K396, 2), 2)</f>
        <v>1930044.6</v>
      </c>
      <c r="O396" s="29">
        <f>M396+N396</f>
        <v>1990110.4700000002</v>
      </c>
      <c r="P396" s="29">
        <f>IFERROR(ROUND(SUM(S397,S398)/I396, 2),0)</f>
        <v>68.28</v>
      </c>
      <c r="Q396" s="29">
        <v>428</v>
      </c>
      <c r="R396" s="29">
        <f>P396+ROUND(Q396, 2)</f>
        <v>496.28</v>
      </c>
      <c r="S396" s="29">
        <f>ROUND(P396*I396, 2)</f>
        <v>307905.25</v>
      </c>
      <c r="T396" s="29">
        <f>ROUND(I396*ROUND(Q396, 2), 2)</f>
        <v>1930044.6</v>
      </c>
      <c r="U396" s="29">
        <f>S396+T396</f>
        <v>2237949.85</v>
      </c>
      <c r="V396" s="9">
        <f>ROUND(P396 / 1.2, 2)</f>
        <v>56.9</v>
      </c>
      <c r="W396" s="9">
        <f>ROUND(Q396 / 1.2, 2)</f>
        <v>356.67</v>
      </c>
      <c r="X396" s="9">
        <f>ROUND(R396 / 1.2, 2)</f>
        <v>413.57</v>
      </c>
      <c r="Y396" s="9">
        <f t="shared" si="49"/>
        <v>256587.71</v>
      </c>
      <c r="Z396" s="9">
        <f>ROUND(T396 / 1.2, 2)</f>
        <v>1608370.5</v>
      </c>
      <c r="AA396" s="9">
        <f>Y396+Z396</f>
        <v>1864958.21</v>
      </c>
      <c r="AD396" s="4">
        <v>298925410</v>
      </c>
      <c r="AE396" s="4">
        <v>19991512</v>
      </c>
      <c r="AG396" s="4" t="s">
        <v>1173</v>
      </c>
      <c r="AH396" s="4" t="s">
        <v>1174</v>
      </c>
      <c r="AI396" s="4" t="s">
        <v>67</v>
      </c>
    </row>
    <row r="397" spans="1:35" ht="36" x14ac:dyDescent="0.3">
      <c r="A397" s="25" t="s">
        <v>1276</v>
      </c>
      <c r="B397" s="25"/>
      <c r="C397" s="30" t="s">
        <v>433</v>
      </c>
      <c r="D397" s="27"/>
      <c r="E397" s="27"/>
      <c r="F397" s="31" t="s">
        <v>70</v>
      </c>
      <c r="G397" s="32">
        <v>0.15</v>
      </c>
      <c r="H397" s="27"/>
      <c r="I397" s="32">
        <v>676.41800000000001</v>
      </c>
      <c r="J397" s="34">
        <v>88.8</v>
      </c>
      <c r="K397" s="35"/>
      <c r="L397" s="35"/>
      <c r="M397" s="34">
        <f>ROUND(ROUND(J397, 2)*I397, 2)</f>
        <v>60065.919999999998</v>
      </c>
      <c r="N397" s="35"/>
      <c r="O397" s="35"/>
      <c r="P397" s="34">
        <v>88.8</v>
      </c>
      <c r="Q397" s="35"/>
      <c r="R397" s="35"/>
      <c r="S397" s="34">
        <f>ROUND(ROUND(P397, 2)*I397, 2)</f>
        <v>60065.919999999998</v>
      </c>
      <c r="T397" s="35"/>
      <c r="U397" s="36"/>
      <c r="V397" s="9">
        <f>ROUND(ROUND(P397, 2)/1.2, 2)</f>
        <v>74</v>
      </c>
      <c r="Y397" s="9">
        <f t="shared" si="49"/>
        <v>50054.93</v>
      </c>
      <c r="AD397" s="4" t="s">
        <v>1277</v>
      </c>
      <c r="AE397" s="4" t="s">
        <v>1278</v>
      </c>
      <c r="AF397" s="4" t="s">
        <v>436</v>
      </c>
    </row>
    <row r="398" spans="1:35" ht="108" x14ac:dyDescent="0.3">
      <c r="A398" s="25" t="s">
        <v>1279</v>
      </c>
      <c r="B398" s="25"/>
      <c r="C398" s="30" t="s">
        <v>1176</v>
      </c>
      <c r="D398" s="27"/>
      <c r="E398" s="27" t="s">
        <v>1177</v>
      </c>
      <c r="F398" s="31" t="s">
        <v>70</v>
      </c>
      <c r="G398" s="32">
        <v>0.3</v>
      </c>
      <c r="H398" s="27"/>
      <c r="I398" s="32">
        <v>1352.835</v>
      </c>
      <c r="J398" s="34">
        <v>0</v>
      </c>
      <c r="K398" s="35"/>
      <c r="L398" s="35"/>
      <c r="M398" s="34">
        <f>ROUND(ROUND(J398, 2)*I398, 2)</f>
        <v>0</v>
      </c>
      <c r="N398" s="35"/>
      <c r="O398" s="35"/>
      <c r="P398" s="34">
        <v>183.2</v>
      </c>
      <c r="Q398" s="35"/>
      <c r="R398" s="35"/>
      <c r="S398" s="34">
        <f>ROUND(ROUND(P398, 2)*I398, 2)</f>
        <v>247839.37</v>
      </c>
      <c r="T398" s="35"/>
      <c r="U398" s="36"/>
      <c r="V398" s="9">
        <f>ROUND(ROUND(P398, 2)/1.2, 2)</f>
        <v>152.66999999999999</v>
      </c>
      <c r="Y398" s="9">
        <f t="shared" si="49"/>
        <v>206532.81</v>
      </c>
      <c r="AD398" s="4" t="s">
        <v>1280</v>
      </c>
      <c r="AE398" s="4" t="s">
        <v>1281</v>
      </c>
      <c r="AF398" s="4" t="s">
        <v>1180</v>
      </c>
    </row>
    <row r="399" spans="1:35" ht="36" x14ac:dyDescent="0.3">
      <c r="A399" s="25" t="s">
        <v>1282</v>
      </c>
      <c r="B399" s="25" t="s">
        <v>1170</v>
      </c>
      <c r="C399" s="26" t="s">
        <v>1171</v>
      </c>
      <c r="D399" s="27"/>
      <c r="E399" s="27" t="s">
        <v>1283</v>
      </c>
      <c r="F399" s="27" t="s">
        <v>64</v>
      </c>
      <c r="G399" s="28">
        <v>1</v>
      </c>
      <c r="H399" s="27"/>
      <c r="I399" s="28">
        <v>8.64</v>
      </c>
      <c r="J399" s="29">
        <f>IFERROR(ROUND(SUM(M400,M401)/I399, 2),0)</f>
        <v>13.32</v>
      </c>
      <c r="K399" s="29">
        <v>428</v>
      </c>
      <c r="L399" s="29">
        <f>J399+ROUND(K399, 2)</f>
        <v>441.32</v>
      </c>
      <c r="M399" s="29">
        <f>ROUND(J399*I399, 2)</f>
        <v>115.08</v>
      </c>
      <c r="N399" s="29">
        <f>ROUND(I399*ROUND(K399, 2), 2)</f>
        <v>3697.92</v>
      </c>
      <c r="O399" s="29">
        <f>M399+N399</f>
        <v>3813</v>
      </c>
      <c r="P399" s="29">
        <f>IFERROR(ROUND(SUM(S400,S401)/I399, 2),0)</f>
        <v>75.27</v>
      </c>
      <c r="Q399" s="29">
        <v>428</v>
      </c>
      <c r="R399" s="29">
        <f>P399+ROUND(Q399, 2)</f>
        <v>503.27</v>
      </c>
      <c r="S399" s="29">
        <f>ROUND(P399*I399, 2)</f>
        <v>650.33000000000004</v>
      </c>
      <c r="T399" s="29">
        <f>ROUND(I399*ROUND(Q399, 2), 2)</f>
        <v>3697.92</v>
      </c>
      <c r="U399" s="29">
        <f>S399+T399</f>
        <v>4348.25</v>
      </c>
      <c r="V399" s="9">
        <f>ROUND(P399 / 1.2, 2)</f>
        <v>62.73</v>
      </c>
      <c r="W399" s="9">
        <f>ROUND(Q399 / 1.2, 2)</f>
        <v>356.67</v>
      </c>
      <c r="X399" s="9">
        <f>ROUND(R399 / 1.2, 2)</f>
        <v>419.39</v>
      </c>
      <c r="Y399" s="9">
        <f t="shared" si="49"/>
        <v>541.94000000000005</v>
      </c>
      <c r="Z399" s="9">
        <f>ROUND(T399 / 1.2, 2)</f>
        <v>3081.6</v>
      </c>
      <c r="AA399" s="9">
        <f>Y399+Z399</f>
        <v>3623.54</v>
      </c>
      <c r="AD399" s="4">
        <v>298925411</v>
      </c>
      <c r="AE399" s="4">
        <v>19991513</v>
      </c>
      <c r="AG399" s="4" t="s">
        <v>1173</v>
      </c>
      <c r="AH399" s="4" t="s">
        <v>1174</v>
      </c>
      <c r="AI399" s="4" t="s">
        <v>67</v>
      </c>
    </row>
    <row r="400" spans="1:35" ht="108" x14ac:dyDescent="0.3">
      <c r="A400" s="25" t="s">
        <v>1284</v>
      </c>
      <c r="B400" s="25"/>
      <c r="C400" s="30" t="s">
        <v>1091</v>
      </c>
      <c r="D400" s="27"/>
      <c r="E400" s="27" t="s">
        <v>1190</v>
      </c>
      <c r="F400" s="31" t="s">
        <v>70</v>
      </c>
      <c r="G400" s="32">
        <v>0.3</v>
      </c>
      <c r="H400" s="27"/>
      <c r="I400" s="32">
        <v>2.5920000000000001</v>
      </c>
      <c r="J400" s="34">
        <v>0</v>
      </c>
      <c r="K400" s="35"/>
      <c r="L400" s="35"/>
      <c r="M400" s="34">
        <f>ROUND(ROUND(J400, 2)*I400, 2)</f>
        <v>0</v>
      </c>
      <c r="N400" s="35"/>
      <c r="O400" s="35"/>
      <c r="P400" s="34">
        <v>206.5</v>
      </c>
      <c r="Q400" s="35"/>
      <c r="R400" s="35"/>
      <c r="S400" s="34">
        <f>ROUND(ROUND(P400, 2)*I400, 2)</f>
        <v>535.25</v>
      </c>
      <c r="T400" s="35"/>
      <c r="U400" s="36"/>
      <c r="V400" s="9">
        <f>ROUND(ROUND(P400, 2)/1.2, 2)</f>
        <v>172.08</v>
      </c>
      <c r="Y400" s="9">
        <f t="shared" si="49"/>
        <v>446.04</v>
      </c>
      <c r="AD400" s="4" t="s">
        <v>1285</v>
      </c>
      <c r="AE400" s="4" t="s">
        <v>1286</v>
      </c>
      <c r="AF400" s="4" t="s">
        <v>1095</v>
      </c>
    </row>
    <row r="401" spans="1:35" ht="36" x14ac:dyDescent="0.3">
      <c r="A401" s="25" t="s">
        <v>1287</v>
      </c>
      <c r="B401" s="25"/>
      <c r="C401" s="30" t="s">
        <v>433</v>
      </c>
      <c r="D401" s="27"/>
      <c r="E401" s="27"/>
      <c r="F401" s="31" t="s">
        <v>70</v>
      </c>
      <c r="G401" s="32">
        <v>0.15</v>
      </c>
      <c r="H401" s="27"/>
      <c r="I401" s="32">
        <v>1.296</v>
      </c>
      <c r="J401" s="34">
        <v>88.8</v>
      </c>
      <c r="K401" s="35"/>
      <c r="L401" s="35"/>
      <c r="M401" s="34">
        <f>ROUND(ROUND(J401, 2)*I401, 2)</f>
        <v>115.08</v>
      </c>
      <c r="N401" s="35"/>
      <c r="O401" s="35"/>
      <c r="P401" s="34">
        <v>88.8</v>
      </c>
      <c r="Q401" s="35"/>
      <c r="R401" s="35"/>
      <c r="S401" s="34">
        <f>ROUND(ROUND(P401, 2)*I401, 2)</f>
        <v>115.08</v>
      </c>
      <c r="T401" s="35"/>
      <c r="U401" s="36"/>
      <c r="V401" s="9">
        <f>ROUND(ROUND(P401, 2)/1.2, 2)</f>
        <v>74</v>
      </c>
      <c r="Y401" s="9">
        <f t="shared" si="49"/>
        <v>95.9</v>
      </c>
      <c r="AD401" s="4" t="s">
        <v>1288</v>
      </c>
      <c r="AE401" s="4" t="s">
        <v>1289</v>
      </c>
      <c r="AF401" s="4" t="s">
        <v>436</v>
      </c>
    </row>
    <row r="402" spans="1:35" ht="36" x14ac:dyDescent="0.3">
      <c r="A402" s="25" t="s">
        <v>1290</v>
      </c>
      <c r="B402" s="25" t="s">
        <v>1170</v>
      </c>
      <c r="C402" s="26" t="s">
        <v>1171</v>
      </c>
      <c r="D402" s="27"/>
      <c r="E402" s="27" t="s">
        <v>1291</v>
      </c>
      <c r="F402" s="27" t="s">
        <v>64</v>
      </c>
      <c r="G402" s="28">
        <v>1</v>
      </c>
      <c r="H402" s="27"/>
      <c r="I402" s="28">
        <v>34.68</v>
      </c>
      <c r="J402" s="29">
        <f>IFERROR(ROUND(SUM(M403,M404)/I402, 2),0)</f>
        <v>13.32</v>
      </c>
      <c r="K402" s="29">
        <v>428</v>
      </c>
      <c r="L402" s="29">
        <f>J402+ROUND(K402, 2)</f>
        <v>441.32</v>
      </c>
      <c r="M402" s="29">
        <f>ROUND(J402*I402, 2)</f>
        <v>461.94</v>
      </c>
      <c r="N402" s="29">
        <f>ROUND(I402*ROUND(K402, 2), 2)</f>
        <v>14843.04</v>
      </c>
      <c r="O402" s="29">
        <f>M402+N402</f>
        <v>15304.980000000001</v>
      </c>
      <c r="P402" s="29">
        <f>IFERROR(ROUND(SUM(S403,S404)/I402, 2),0)</f>
        <v>75.27</v>
      </c>
      <c r="Q402" s="29">
        <v>428</v>
      </c>
      <c r="R402" s="29">
        <f>P402+ROUND(Q402, 2)</f>
        <v>503.27</v>
      </c>
      <c r="S402" s="29">
        <f>ROUND(P402*I402, 2)</f>
        <v>2610.36</v>
      </c>
      <c r="T402" s="29">
        <f>ROUND(I402*ROUND(Q402, 2), 2)</f>
        <v>14843.04</v>
      </c>
      <c r="U402" s="29">
        <f>S402+T402</f>
        <v>17453.400000000001</v>
      </c>
      <c r="V402" s="9">
        <f>ROUND(P402 / 1.2, 2)</f>
        <v>62.73</v>
      </c>
      <c r="W402" s="9">
        <f>ROUND(Q402 / 1.2, 2)</f>
        <v>356.67</v>
      </c>
      <c r="X402" s="9">
        <f>ROUND(R402 / 1.2, 2)</f>
        <v>419.39</v>
      </c>
      <c r="Y402" s="9">
        <f t="shared" si="49"/>
        <v>2175.3000000000002</v>
      </c>
      <c r="Z402" s="9">
        <f>ROUND(T402 / 1.2, 2)</f>
        <v>12369.2</v>
      </c>
      <c r="AA402" s="9">
        <f>Y402+Z402</f>
        <v>14544.5</v>
      </c>
      <c r="AD402" s="4">
        <v>298925412</v>
      </c>
      <c r="AE402" s="4">
        <v>19991514</v>
      </c>
      <c r="AG402" s="4" t="s">
        <v>1173</v>
      </c>
      <c r="AH402" s="4" t="s">
        <v>1174</v>
      </c>
      <c r="AI402" s="4" t="s">
        <v>67</v>
      </c>
    </row>
    <row r="403" spans="1:35" ht="36" x14ac:dyDescent="0.3">
      <c r="A403" s="25" t="s">
        <v>1292</v>
      </c>
      <c r="B403" s="25"/>
      <c r="C403" s="30" t="s">
        <v>433</v>
      </c>
      <c r="D403" s="27"/>
      <c r="E403" s="27"/>
      <c r="F403" s="31" t="s">
        <v>70</v>
      </c>
      <c r="G403" s="32">
        <v>0.15</v>
      </c>
      <c r="H403" s="27"/>
      <c r="I403" s="32">
        <v>5.202</v>
      </c>
      <c r="J403" s="34">
        <v>88.8</v>
      </c>
      <c r="K403" s="35"/>
      <c r="L403" s="35"/>
      <c r="M403" s="34">
        <f>ROUND(ROUND(J403, 2)*I403, 2)</f>
        <v>461.94</v>
      </c>
      <c r="N403" s="35"/>
      <c r="O403" s="35"/>
      <c r="P403" s="34">
        <v>88.8</v>
      </c>
      <c r="Q403" s="35"/>
      <c r="R403" s="35"/>
      <c r="S403" s="34">
        <f>ROUND(ROUND(P403, 2)*I403, 2)</f>
        <v>461.94</v>
      </c>
      <c r="T403" s="35"/>
      <c r="U403" s="36"/>
      <c r="V403" s="9">
        <f>ROUND(ROUND(P403, 2)/1.2, 2)</f>
        <v>74</v>
      </c>
      <c r="Y403" s="9">
        <f t="shared" si="49"/>
        <v>384.95</v>
      </c>
      <c r="AD403" s="4" t="s">
        <v>1293</v>
      </c>
      <c r="AE403" s="4" t="s">
        <v>1294</v>
      </c>
      <c r="AF403" s="4" t="s">
        <v>436</v>
      </c>
    </row>
    <row r="404" spans="1:35" ht="108" x14ac:dyDescent="0.3">
      <c r="A404" s="25" t="s">
        <v>1295</v>
      </c>
      <c r="B404" s="25"/>
      <c r="C404" s="30" t="s">
        <v>1091</v>
      </c>
      <c r="D404" s="27"/>
      <c r="E404" s="27" t="s">
        <v>1196</v>
      </c>
      <c r="F404" s="31" t="s">
        <v>70</v>
      </c>
      <c r="G404" s="32">
        <v>0.3</v>
      </c>
      <c r="H404" s="27"/>
      <c r="I404" s="32">
        <v>10.404</v>
      </c>
      <c r="J404" s="34">
        <v>0</v>
      </c>
      <c r="K404" s="35"/>
      <c r="L404" s="35"/>
      <c r="M404" s="34">
        <f>ROUND(ROUND(J404, 2)*I404, 2)</f>
        <v>0</v>
      </c>
      <c r="N404" s="35"/>
      <c r="O404" s="35"/>
      <c r="P404" s="34">
        <v>206.5</v>
      </c>
      <c r="Q404" s="35"/>
      <c r="R404" s="35"/>
      <c r="S404" s="34">
        <f>ROUND(ROUND(P404, 2)*I404, 2)</f>
        <v>2148.4299999999998</v>
      </c>
      <c r="T404" s="35"/>
      <c r="U404" s="36"/>
      <c r="V404" s="9">
        <f>ROUND(ROUND(P404, 2)/1.2, 2)</f>
        <v>172.08</v>
      </c>
      <c r="Y404" s="9">
        <f t="shared" si="49"/>
        <v>1790.36</v>
      </c>
      <c r="AD404" s="4" t="s">
        <v>1296</v>
      </c>
      <c r="AE404" s="4" t="s">
        <v>1297</v>
      </c>
      <c r="AF404" s="4" t="s">
        <v>1095</v>
      </c>
    </row>
    <row r="405" spans="1:35" ht="36" x14ac:dyDescent="0.3">
      <c r="A405" s="25" t="s">
        <v>1298</v>
      </c>
      <c r="B405" s="25" t="s">
        <v>1170</v>
      </c>
      <c r="C405" s="26" t="s">
        <v>1171</v>
      </c>
      <c r="D405" s="27"/>
      <c r="E405" s="27" t="s">
        <v>1299</v>
      </c>
      <c r="F405" s="27" t="s">
        <v>64</v>
      </c>
      <c r="G405" s="28">
        <v>1</v>
      </c>
      <c r="H405" s="27"/>
      <c r="I405" s="28">
        <v>24.37</v>
      </c>
      <c r="J405" s="29">
        <f>IFERROR(ROUND(SUM(M406,M407)/I405, 2),0)</f>
        <v>13.32</v>
      </c>
      <c r="K405" s="29">
        <v>428</v>
      </c>
      <c r="L405" s="29">
        <f>J405+ROUND(K405, 2)</f>
        <v>441.32</v>
      </c>
      <c r="M405" s="29">
        <f>ROUND(J405*I405, 2)</f>
        <v>324.61</v>
      </c>
      <c r="N405" s="29">
        <f>ROUND(I405*ROUND(K405, 2), 2)</f>
        <v>10430.36</v>
      </c>
      <c r="O405" s="29">
        <f>M405+N405</f>
        <v>10754.970000000001</v>
      </c>
      <c r="P405" s="29">
        <f>IFERROR(ROUND(SUM(S406,S407)/I405, 2),0)</f>
        <v>75.27</v>
      </c>
      <c r="Q405" s="29">
        <v>428</v>
      </c>
      <c r="R405" s="29">
        <f>P405+ROUND(Q405, 2)</f>
        <v>503.27</v>
      </c>
      <c r="S405" s="29">
        <f>ROUND(P405*I405, 2)</f>
        <v>1834.33</v>
      </c>
      <c r="T405" s="29">
        <f>ROUND(I405*ROUND(Q405, 2), 2)</f>
        <v>10430.36</v>
      </c>
      <c r="U405" s="29">
        <f>S405+T405</f>
        <v>12264.69</v>
      </c>
      <c r="V405" s="9">
        <f>ROUND(P405 / 1.2, 2)</f>
        <v>62.73</v>
      </c>
      <c r="W405" s="9">
        <f>ROUND(Q405 / 1.2, 2)</f>
        <v>356.67</v>
      </c>
      <c r="X405" s="9">
        <f>ROUND(R405 / 1.2, 2)</f>
        <v>419.39</v>
      </c>
      <c r="Y405" s="9">
        <f t="shared" si="49"/>
        <v>1528.61</v>
      </c>
      <c r="Z405" s="9">
        <f>ROUND(T405 / 1.2, 2)</f>
        <v>8691.9699999999993</v>
      </c>
      <c r="AA405" s="9">
        <f>Y405+Z405</f>
        <v>10220.58</v>
      </c>
      <c r="AD405" s="4">
        <v>298925413</v>
      </c>
      <c r="AE405" s="4">
        <v>19991515</v>
      </c>
      <c r="AG405" s="4" t="s">
        <v>1173</v>
      </c>
      <c r="AH405" s="4" t="s">
        <v>1174</v>
      </c>
      <c r="AI405" s="4" t="s">
        <v>67</v>
      </c>
    </row>
    <row r="406" spans="1:35" ht="108" x14ac:dyDescent="0.3">
      <c r="A406" s="25" t="s">
        <v>1300</v>
      </c>
      <c r="B406" s="25"/>
      <c r="C406" s="30" t="s">
        <v>1091</v>
      </c>
      <c r="D406" s="27"/>
      <c r="E406" s="27" t="s">
        <v>1208</v>
      </c>
      <c r="F406" s="31" t="s">
        <v>70</v>
      </c>
      <c r="G406" s="32">
        <v>0.3</v>
      </c>
      <c r="H406" s="27"/>
      <c r="I406" s="32">
        <v>7.3109999999999999</v>
      </c>
      <c r="J406" s="34">
        <v>0</v>
      </c>
      <c r="K406" s="35"/>
      <c r="L406" s="35"/>
      <c r="M406" s="34">
        <f>ROUND(ROUND(J406, 2)*I406, 2)</f>
        <v>0</v>
      </c>
      <c r="N406" s="35"/>
      <c r="O406" s="35"/>
      <c r="P406" s="34">
        <v>206.5</v>
      </c>
      <c r="Q406" s="35"/>
      <c r="R406" s="35"/>
      <c r="S406" s="34">
        <f>ROUND(ROUND(P406, 2)*I406, 2)</f>
        <v>1509.72</v>
      </c>
      <c r="T406" s="35"/>
      <c r="U406" s="36"/>
      <c r="V406" s="9">
        <f>ROUND(ROUND(P406, 2)/1.2, 2)</f>
        <v>172.08</v>
      </c>
      <c r="Y406" s="9">
        <f t="shared" si="49"/>
        <v>1258.0999999999999</v>
      </c>
      <c r="AD406" s="4" t="s">
        <v>1301</v>
      </c>
      <c r="AE406" s="4" t="s">
        <v>1302</v>
      </c>
      <c r="AF406" s="4" t="s">
        <v>1095</v>
      </c>
    </row>
    <row r="407" spans="1:35" ht="36" x14ac:dyDescent="0.3">
      <c r="A407" s="25" t="s">
        <v>1303</v>
      </c>
      <c r="B407" s="25"/>
      <c r="C407" s="30" t="s">
        <v>433</v>
      </c>
      <c r="D407" s="27"/>
      <c r="E407" s="27"/>
      <c r="F407" s="31" t="s">
        <v>70</v>
      </c>
      <c r="G407" s="32">
        <v>0.15</v>
      </c>
      <c r="H407" s="27"/>
      <c r="I407" s="32">
        <v>3.6560000000000001</v>
      </c>
      <c r="J407" s="34">
        <v>88.8</v>
      </c>
      <c r="K407" s="35"/>
      <c r="L407" s="35"/>
      <c r="M407" s="34">
        <f>ROUND(ROUND(J407, 2)*I407, 2)</f>
        <v>324.64999999999998</v>
      </c>
      <c r="N407" s="35"/>
      <c r="O407" s="35"/>
      <c r="P407" s="34">
        <v>88.8</v>
      </c>
      <c r="Q407" s="35"/>
      <c r="R407" s="35"/>
      <c r="S407" s="34">
        <f>ROUND(ROUND(P407, 2)*I407, 2)</f>
        <v>324.64999999999998</v>
      </c>
      <c r="T407" s="35"/>
      <c r="U407" s="36"/>
      <c r="V407" s="9">
        <f>ROUND(ROUND(P407, 2)/1.2, 2)</f>
        <v>74</v>
      </c>
      <c r="Y407" s="9">
        <f t="shared" si="49"/>
        <v>270.54000000000002</v>
      </c>
      <c r="AD407" s="4" t="s">
        <v>1304</v>
      </c>
      <c r="AE407" s="4" t="s">
        <v>1305</v>
      </c>
      <c r="AF407" s="4" t="s">
        <v>436</v>
      </c>
    </row>
    <row r="408" spans="1:35" ht="36" x14ac:dyDescent="0.3">
      <c r="A408" s="25" t="s">
        <v>1306</v>
      </c>
      <c r="B408" s="25" t="s">
        <v>1170</v>
      </c>
      <c r="C408" s="26" t="s">
        <v>1171</v>
      </c>
      <c r="D408" s="27"/>
      <c r="E408" s="27" t="s">
        <v>1307</v>
      </c>
      <c r="F408" s="27" t="s">
        <v>64</v>
      </c>
      <c r="G408" s="28">
        <v>1</v>
      </c>
      <c r="H408" s="27"/>
      <c r="I408" s="28">
        <v>4.95</v>
      </c>
      <c r="J408" s="29">
        <f>IFERROR(ROUND(SUM(M409,M410)/I408, 2),0)</f>
        <v>13.33</v>
      </c>
      <c r="K408" s="29">
        <v>428</v>
      </c>
      <c r="L408" s="29">
        <f>J408+ROUND(K408, 2)</f>
        <v>441.33</v>
      </c>
      <c r="M408" s="29">
        <f>ROUND(J408*I408, 2)</f>
        <v>65.98</v>
      </c>
      <c r="N408" s="29">
        <f>ROUND(I408*ROUND(K408, 2), 2)</f>
        <v>2118.6</v>
      </c>
      <c r="O408" s="29">
        <f>M408+N408</f>
        <v>2184.58</v>
      </c>
      <c r="P408" s="29">
        <f>IFERROR(ROUND(SUM(S409,S410)/I408, 2),0)</f>
        <v>75.28</v>
      </c>
      <c r="Q408" s="29">
        <v>428</v>
      </c>
      <c r="R408" s="29">
        <f>P408+ROUND(Q408, 2)</f>
        <v>503.28</v>
      </c>
      <c r="S408" s="29">
        <f>ROUND(P408*I408, 2)</f>
        <v>372.64</v>
      </c>
      <c r="T408" s="29">
        <f>ROUND(I408*ROUND(Q408, 2), 2)</f>
        <v>2118.6</v>
      </c>
      <c r="U408" s="29">
        <f>S408+T408</f>
        <v>2491.2399999999998</v>
      </c>
      <c r="V408" s="9">
        <f>ROUND(P408 / 1.2, 2)</f>
        <v>62.73</v>
      </c>
      <c r="W408" s="9">
        <f>ROUND(Q408 / 1.2, 2)</f>
        <v>356.67</v>
      </c>
      <c r="X408" s="9">
        <f>ROUND(R408 / 1.2, 2)</f>
        <v>419.4</v>
      </c>
      <c r="Y408" s="9">
        <f t="shared" si="49"/>
        <v>310.52999999999997</v>
      </c>
      <c r="Z408" s="9">
        <f>ROUND(T408 / 1.2, 2)</f>
        <v>1765.5</v>
      </c>
      <c r="AA408" s="9">
        <f>Y408+Z408</f>
        <v>2076.0299999999997</v>
      </c>
      <c r="AD408" s="4">
        <v>298925414</v>
      </c>
      <c r="AE408" s="4">
        <v>19992002</v>
      </c>
      <c r="AG408" s="4" t="s">
        <v>1173</v>
      </c>
      <c r="AH408" s="4" t="s">
        <v>1174</v>
      </c>
      <c r="AI408" s="4" t="s">
        <v>67</v>
      </c>
    </row>
    <row r="409" spans="1:35" ht="36" x14ac:dyDescent="0.3">
      <c r="A409" s="25" t="s">
        <v>1308</v>
      </c>
      <c r="B409" s="25"/>
      <c r="C409" s="30" t="s">
        <v>433</v>
      </c>
      <c r="D409" s="27"/>
      <c r="E409" s="27"/>
      <c r="F409" s="31" t="s">
        <v>70</v>
      </c>
      <c r="G409" s="32">
        <v>0.15</v>
      </c>
      <c r="H409" s="27"/>
      <c r="I409" s="32">
        <v>0.74299999999999999</v>
      </c>
      <c r="J409" s="34">
        <v>88.8</v>
      </c>
      <c r="K409" s="35"/>
      <c r="L409" s="35"/>
      <c r="M409" s="34">
        <f>ROUND(ROUND(J409, 2)*I409, 2)</f>
        <v>65.98</v>
      </c>
      <c r="N409" s="35"/>
      <c r="O409" s="35"/>
      <c r="P409" s="34">
        <v>88.8</v>
      </c>
      <c r="Q409" s="35"/>
      <c r="R409" s="35"/>
      <c r="S409" s="34">
        <f>ROUND(ROUND(P409, 2)*I409, 2)</f>
        <v>65.98</v>
      </c>
      <c r="T409" s="35"/>
      <c r="U409" s="36"/>
      <c r="V409" s="9">
        <f>ROUND(ROUND(P409, 2)/1.2, 2)</f>
        <v>74</v>
      </c>
      <c r="Y409" s="9">
        <f t="shared" si="49"/>
        <v>54.98</v>
      </c>
      <c r="AD409" s="4" t="s">
        <v>1309</v>
      </c>
      <c r="AE409" s="4" t="s">
        <v>1310</v>
      </c>
      <c r="AF409" s="4" t="s">
        <v>436</v>
      </c>
    </row>
    <row r="410" spans="1:35" ht="108" x14ac:dyDescent="0.3">
      <c r="A410" s="25" t="s">
        <v>1311</v>
      </c>
      <c r="B410" s="25"/>
      <c r="C410" s="30" t="s">
        <v>1091</v>
      </c>
      <c r="D410" s="27"/>
      <c r="E410" s="27" t="s">
        <v>1214</v>
      </c>
      <c r="F410" s="31" t="s">
        <v>70</v>
      </c>
      <c r="G410" s="32">
        <v>0.3</v>
      </c>
      <c r="H410" s="27"/>
      <c r="I410" s="32">
        <v>1.4850000000000001</v>
      </c>
      <c r="J410" s="34">
        <v>0</v>
      </c>
      <c r="K410" s="35"/>
      <c r="L410" s="35"/>
      <c r="M410" s="34">
        <f>ROUND(ROUND(J410, 2)*I410, 2)</f>
        <v>0</v>
      </c>
      <c r="N410" s="35"/>
      <c r="O410" s="35"/>
      <c r="P410" s="34">
        <v>206.5</v>
      </c>
      <c r="Q410" s="35"/>
      <c r="R410" s="35"/>
      <c r="S410" s="34">
        <f>ROUND(ROUND(P410, 2)*I410, 2)</f>
        <v>306.64999999999998</v>
      </c>
      <c r="T410" s="35"/>
      <c r="U410" s="36"/>
      <c r="V410" s="9">
        <f>ROUND(ROUND(P410, 2)/1.2, 2)</f>
        <v>172.08</v>
      </c>
      <c r="Y410" s="9">
        <f t="shared" si="49"/>
        <v>255.54</v>
      </c>
      <c r="AD410" s="4" t="s">
        <v>1312</v>
      </c>
      <c r="AE410" s="4" t="s">
        <v>1313</v>
      </c>
      <c r="AF410" s="4" t="s">
        <v>1095</v>
      </c>
    </row>
    <row r="411" spans="1:35" ht="36" x14ac:dyDescent="0.3">
      <c r="A411" s="25" t="s">
        <v>1314</v>
      </c>
      <c r="B411" s="25" t="s">
        <v>1170</v>
      </c>
      <c r="C411" s="26" t="s">
        <v>1171</v>
      </c>
      <c r="D411" s="27"/>
      <c r="E411" s="27" t="s">
        <v>1315</v>
      </c>
      <c r="F411" s="27" t="s">
        <v>64</v>
      </c>
      <c r="G411" s="28">
        <v>1</v>
      </c>
      <c r="H411" s="27"/>
      <c r="I411" s="28">
        <v>11.73</v>
      </c>
      <c r="J411" s="29">
        <f>IFERROR(ROUND(SUM(M412,M413)/I411, 2),0)</f>
        <v>13.32</v>
      </c>
      <c r="K411" s="29">
        <v>428</v>
      </c>
      <c r="L411" s="29">
        <f>J411+ROUND(K411, 2)</f>
        <v>441.32</v>
      </c>
      <c r="M411" s="29">
        <f>ROUND(J411*I411, 2)</f>
        <v>156.24</v>
      </c>
      <c r="N411" s="29">
        <f>ROUND(I411*ROUND(K411, 2), 2)</f>
        <v>5020.4399999999996</v>
      </c>
      <c r="O411" s="29">
        <f>M411+N411</f>
        <v>5176.6799999999994</v>
      </c>
      <c r="P411" s="29">
        <f>IFERROR(ROUND(SUM(S412,S413)/I411, 2),0)</f>
        <v>75.27</v>
      </c>
      <c r="Q411" s="29">
        <v>428</v>
      </c>
      <c r="R411" s="29">
        <f>P411+ROUND(Q411, 2)</f>
        <v>503.27</v>
      </c>
      <c r="S411" s="29">
        <f>ROUND(P411*I411, 2)</f>
        <v>882.92</v>
      </c>
      <c r="T411" s="29">
        <f>ROUND(I411*ROUND(Q411, 2), 2)</f>
        <v>5020.4399999999996</v>
      </c>
      <c r="U411" s="29">
        <f>S411+T411</f>
        <v>5903.36</v>
      </c>
      <c r="V411" s="9">
        <f>ROUND(P411 / 1.2, 2)</f>
        <v>62.73</v>
      </c>
      <c r="W411" s="9">
        <f>ROUND(Q411 / 1.2, 2)</f>
        <v>356.67</v>
      </c>
      <c r="X411" s="9">
        <f>ROUND(R411 / 1.2, 2)</f>
        <v>419.39</v>
      </c>
      <c r="Y411" s="9">
        <f t="shared" si="49"/>
        <v>735.77</v>
      </c>
      <c r="Z411" s="9">
        <f>ROUND(T411 / 1.2, 2)</f>
        <v>4183.7</v>
      </c>
      <c r="AA411" s="9">
        <f>Y411+Z411</f>
        <v>4919.4699999999993</v>
      </c>
      <c r="AD411" s="4">
        <v>298925415</v>
      </c>
      <c r="AE411" s="4">
        <v>19992003</v>
      </c>
      <c r="AG411" s="4" t="s">
        <v>1173</v>
      </c>
      <c r="AH411" s="4" t="s">
        <v>1174</v>
      </c>
      <c r="AI411" s="4" t="s">
        <v>67</v>
      </c>
    </row>
    <row r="412" spans="1:35" ht="108" x14ac:dyDescent="0.3">
      <c r="A412" s="25" t="s">
        <v>1316</v>
      </c>
      <c r="B412" s="25"/>
      <c r="C412" s="30" t="s">
        <v>1091</v>
      </c>
      <c r="D412" s="27"/>
      <c r="E412" s="27" t="s">
        <v>1226</v>
      </c>
      <c r="F412" s="31" t="s">
        <v>70</v>
      </c>
      <c r="G412" s="32">
        <v>0.3</v>
      </c>
      <c r="H412" s="27"/>
      <c r="I412" s="32">
        <v>3.5190000000000001</v>
      </c>
      <c r="J412" s="34">
        <v>0</v>
      </c>
      <c r="K412" s="35"/>
      <c r="L412" s="35"/>
      <c r="M412" s="34">
        <f>ROUND(ROUND(J412, 2)*I412, 2)</f>
        <v>0</v>
      </c>
      <c r="N412" s="35"/>
      <c r="O412" s="35"/>
      <c r="P412" s="34">
        <v>206.5</v>
      </c>
      <c r="Q412" s="35"/>
      <c r="R412" s="35"/>
      <c r="S412" s="34">
        <f>ROUND(ROUND(P412, 2)*I412, 2)</f>
        <v>726.67</v>
      </c>
      <c r="T412" s="35"/>
      <c r="U412" s="36"/>
      <c r="V412" s="9">
        <f>ROUND(ROUND(P412, 2)/1.2, 2)</f>
        <v>172.08</v>
      </c>
      <c r="Y412" s="9">
        <f t="shared" si="49"/>
        <v>605.55999999999995</v>
      </c>
      <c r="AD412" s="4" t="s">
        <v>1317</v>
      </c>
      <c r="AE412" s="4" t="s">
        <v>1318</v>
      </c>
      <c r="AF412" s="4" t="s">
        <v>1095</v>
      </c>
    </row>
    <row r="413" spans="1:35" ht="36" x14ac:dyDescent="0.3">
      <c r="A413" s="25" t="s">
        <v>1319</v>
      </c>
      <c r="B413" s="25"/>
      <c r="C413" s="30" t="s">
        <v>433</v>
      </c>
      <c r="D413" s="27"/>
      <c r="E413" s="27"/>
      <c r="F413" s="31" t="s">
        <v>70</v>
      </c>
      <c r="G413" s="32">
        <v>0.15</v>
      </c>
      <c r="H413" s="27"/>
      <c r="I413" s="32">
        <v>1.76</v>
      </c>
      <c r="J413" s="34">
        <v>88.8</v>
      </c>
      <c r="K413" s="35"/>
      <c r="L413" s="35"/>
      <c r="M413" s="34">
        <f>ROUND(ROUND(J413, 2)*I413, 2)</f>
        <v>156.29</v>
      </c>
      <c r="N413" s="35"/>
      <c r="O413" s="35"/>
      <c r="P413" s="34">
        <v>88.8</v>
      </c>
      <c r="Q413" s="35"/>
      <c r="R413" s="35"/>
      <c r="S413" s="34">
        <f>ROUND(ROUND(P413, 2)*I413, 2)</f>
        <v>156.29</v>
      </c>
      <c r="T413" s="35"/>
      <c r="U413" s="36"/>
      <c r="V413" s="9">
        <f>ROUND(ROUND(P413, 2)/1.2, 2)</f>
        <v>74</v>
      </c>
      <c r="Y413" s="9">
        <f t="shared" si="49"/>
        <v>130.24</v>
      </c>
      <c r="AD413" s="4" t="s">
        <v>1320</v>
      </c>
      <c r="AE413" s="4" t="s">
        <v>1321</v>
      </c>
      <c r="AF413" s="4" t="s">
        <v>436</v>
      </c>
    </row>
    <row r="414" spans="1:35" ht="36" x14ac:dyDescent="0.3">
      <c r="A414" s="25" t="s">
        <v>1322</v>
      </c>
      <c r="B414" s="25" t="s">
        <v>1170</v>
      </c>
      <c r="C414" s="26" t="s">
        <v>1171</v>
      </c>
      <c r="D414" s="27"/>
      <c r="E414" s="27" t="s">
        <v>1323</v>
      </c>
      <c r="F414" s="27" t="s">
        <v>64</v>
      </c>
      <c r="G414" s="28">
        <v>1</v>
      </c>
      <c r="H414" s="27"/>
      <c r="I414" s="28">
        <v>18.63</v>
      </c>
      <c r="J414" s="29">
        <f>IFERROR(ROUND(SUM(M415,M416)/I414, 2),0)</f>
        <v>13.32</v>
      </c>
      <c r="K414" s="29">
        <v>428</v>
      </c>
      <c r="L414" s="29">
        <f>J414+ROUND(K414, 2)</f>
        <v>441.32</v>
      </c>
      <c r="M414" s="29">
        <f>ROUND(J414*I414, 2)</f>
        <v>248.15</v>
      </c>
      <c r="N414" s="29">
        <f>ROUND(I414*ROUND(K414, 2), 2)</f>
        <v>7973.64</v>
      </c>
      <c r="O414" s="29">
        <f>M414+N414</f>
        <v>8221.7900000000009</v>
      </c>
      <c r="P414" s="29">
        <f>IFERROR(ROUND(SUM(S415,S416)/I414, 2),0)</f>
        <v>75.27</v>
      </c>
      <c r="Q414" s="29">
        <v>428</v>
      </c>
      <c r="R414" s="29">
        <f>P414+ROUND(Q414, 2)</f>
        <v>503.27</v>
      </c>
      <c r="S414" s="29">
        <f>ROUND(P414*I414, 2)</f>
        <v>1402.28</v>
      </c>
      <c r="T414" s="29">
        <f>ROUND(I414*ROUND(Q414, 2), 2)</f>
        <v>7973.64</v>
      </c>
      <c r="U414" s="29">
        <f>S414+T414</f>
        <v>9375.92</v>
      </c>
      <c r="V414" s="9">
        <f>ROUND(P414 / 1.2, 2)</f>
        <v>62.73</v>
      </c>
      <c r="W414" s="9">
        <f>ROUND(Q414 / 1.2, 2)</f>
        <v>356.67</v>
      </c>
      <c r="X414" s="9">
        <f>ROUND(R414 / 1.2, 2)</f>
        <v>419.39</v>
      </c>
      <c r="Y414" s="9">
        <f t="shared" si="49"/>
        <v>1168.57</v>
      </c>
      <c r="Z414" s="9">
        <f>ROUND(T414 / 1.2, 2)</f>
        <v>6644.7</v>
      </c>
      <c r="AA414" s="9">
        <f>Y414+Z414</f>
        <v>7813.2699999999995</v>
      </c>
      <c r="AD414" s="4">
        <v>298925416</v>
      </c>
      <c r="AE414" s="4">
        <v>19992004</v>
      </c>
      <c r="AG414" s="4" t="s">
        <v>1173</v>
      </c>
      <c r="AH414" s="4" t="s">
        <v>1174</v>
      </c>
      <c r="AI414" s="4" t="s">
        <v>67</v>
      </c>
    </row>
    <row r="415" spans="1:35" ht="36" x14ac:dyDescent="0.3">
      <c r="A415" s="25" t="s">
        <v>1324</v>
      </c>
      <c r="B415" s="25"/>
      <c r="C415" s="30" t="s">
        <v>433</v>
      </c>
      <c r="D415" s="27"/>
      <c r="E415" s="27"/>
      <c r="F415" s="31" t="s">
        <v>70</v>
      </c>
      <c r="G415" s="32">
        <v>0.15</v>
      </c>
      <c r="H415" s="27"/>
      <c r="I415" s="32">
        <v>2.7949999999999999</v>
      </c>
      <c r="J415" s="34">
        <v>88.8</v>
      </c>
      <c r="K415" s="35"/>
      <c r="L415" s="35"/>
      <c r="M415" s="34">
        <f>ROUND(ROUND(J415, 2)*I415, 2)</f>
        <v>248.2</v>
      </c>
      <c r="N415" s="35"/>
      <c r="O415" s="35"/>
      <c r="P415" s="34">
        <v>88.8</v>
      </c>
      <c r="Q415" s="35"/>
      <c r="R415" s="35"/>
      <c r="S415" s="34">
        <f>ROUND(ROUND(P415, 2)*I415, 2)</f>
        <v>248.2</v>
      </c>
      <c r="T415" s="35"/>
      <c r="U415" s="36"/>
      <c r="V415" s="9">
        <f>ROUND(ROUND(P415, 2)/1.2, 2)</f>
        <v>74</v>
      </c>
      <c r="Y415" s="9">
        <f t="shared" si="49"/>
        <v>206.83</v>
      </c>
      <c r="AD415" s="4" t="s">
        <v>1325</v>
      </c>
      <c r="AE415" s="4" t="s">
        <v>1326</v>
      </c>
      <c r="AF415" s="4" t="s">
        <v>436</v>
      </c>
    </row>
    <row r="416" spans="1:35" ht="108" x14ac:dyDescent="0.3">
      <c r="A416" s="25" t="s">
        <v>1327</v>
      </c>
      <c r="B416" s="25"/>
      <c r="C416" s="30" t="s">
        <v>1091</v>
      </c>
      <c r="D416" s="27"/>
      <c r="E416" s="27" t="s">
        <v>1268</v>
      </c>
      <c r="F416" s="31" t="s">
        <v>70</v>
      </c>
      <c r="G416" s="32">
        <v>0.3</v>
      </c>
      <c r="H416" s="27"/>
      <c r="I416" s="32">
        <v>5.5890000000000004</v>
      </c>
      <c r="J416" s="34">
        <v>0</v>
      </c>
      <c r="K416" s="35"/>
      <c r="L416" s="35"/>
      <c r="M416" s="34">
        <f>ROUND(ROUND(J416, 2)*I416, 2)</f>
        <v>0</v>
      </c>
      <c r="N416" s="35"/>
      <c r="O416" s="35"/>
      <c r="P416" s="34">
        <v>206.5</v>
      </c>
      <c r="Q416" s="35"/>
      <c r="R416" s="35"/>
      <c r="S416" s="34">
        <f>ROUND(ROUND(P416, 2)*I416, 2)</f>
        <v>1154.1300000000001</v>
      </c>
      <c r="T416" s="35"/>
      <c r="U416" s="36"/>
      <c r="V416" s="9">
        <f>ROUND(ROUND(P416, 2)/1.2, 2)</f>
        <v>172.08</v>
      </c>
      <c r="Y416" s="9">
        <f t="shared" si="49"/>
        <v>961.78</v>
      </c>
      <c r="AD416" s="4" t="s">
        <v>1328</v>
      </c>
      <c r="AE416" s="4" t="s">
        <v>1329</v>
      </c>
      <c r="AF416" s="4" t="s">
        <v>1095</v>
      </c>
    </row>
    <row r="417" spans="1:35" ht="36" x14ac:dyDescent="0.3">
      <c r="A417" s="25" t="s">
        <v>1330</v>
      </c>
      <c r="B417" s="25" t="s">
        <v>1170</v>
      </c>
      <c r="C417" s="26" t="s">
        <v>1171</v>
      </c>
      <c r="D417" s="27"/>
      <c r="E417" s="27" t="s">
        <v>1331</v>
      </c>
      <c r="F417" s="27" t="s">
        <v>64</v>
      </c>
      <c r="G417" s="28">
        <v>1</v>
      </c>
      <c r="H417" s="27"/>
      <c r="I417" s="28">
        <v>390.43</v>
      </c>
      <c r="J417" s="29">
        <f>IFERROR(ROUND(SUM(M418,M419)/I417, 2),0)</f>
        <v>13.32</v>
      </c>
      <c r="K417" s="29">
        <v>428</v>
      </c>
      <c r="L417" s="29">
        <f>J417+ROUND(K417, 2)</f>
        <v>441.32</v>
      </c>
      <c r="M417" s="29">
        <f>ROUND(J417*I417, 2)</f>
        <v>5200.53</v>
      </c>
      <c r="N417" s="29">
        <f>ROUND(I417*ROUND(K417, 2), 2)</f>
        <v>167104.04</v>
      </c>
      <c r="O417" s="29">
        <f>M417+N417</f>
        <v>172304.57</v>
      </c>
      <c r="P417" s="29">
        <f>IFERROR(ROUND(SUM(S418,S419)/I417, 2),0)</f>
        <v>75.27</v>
      </c>
      <c r="Q417" s="29">
        <v>428</v>
      </c>
      <c r="R417" s="29">
        <f>P417+ROUND(Q417, 2)</f>
        <v>503.27</v>
      </c>
      <c r="S417" s="29">
        <f>ROUND(P417*I417, 2)</f>
        <v>29387.67</v>
      </c>
      <c r="T417" s="29">
        <f>ROUND(I417*ROUND(Q417, 2), 2)</f>
        <v>167104.04</v>
      </c>
      <c r="U417" s="29">
        <f>S417+T417</f>
        <v>196491.71000000002</v>
      </c>
      <c r="V417" s="9">
        <f>ROUND(P417 / 1.2, 2)</f>
        <v>62.73</v>
      </c>
      <c r="W417" s="9">
        <f>ROUND(Q417 / 1.2, 2)</f>
        <v>356.67</v>
      </c>
      <c r="X417" s="9">
        <f>ROUND(R417 / 1.2, 2)</f>
        <v>419.39</v>
      </c>
      <c r="Y417" s="9">
        <f t="shared" si="49"/>
        <v>24489.73</v>
      </c>
      <c r="Z417" s="9">
        <f>ROUND(T417 / 1.2, 2)</f>
        <v>139253.37</v>
      </c>
      <c r="AA417" s="9">
        <f>Y417+Z417</f>
        <v>163743.1</v>
      </c>
      <c r="AD417" s="4">
        <v>298925417</v>
      </c>
      <c r="AE417" s="4">
        <v>19992001</v>
      </c>
      <c r="AG417" s="4" t="s">
        <v>1173</v>
      </c>
      <c r="AH417" s="4" t="s">
        <v>1174</v>
      </c>
      <c r="AI417" s="4" t="s">
        <v>67</v>
      </c>
    </row>
    <row r="418" spans="1:35" ht="108" x14ac:dyDescent="0.3">
      <c r="A418" s="25" t="s">
        <v>1332</v>
      </c>
      <c r="B418" s="25"/>
      <c r="C418" s="30" t="s">
        <v>1091</v>
      </c>
      <c r="D418" s="27"/>
      <c r="E418" s="27" t="s">
        <v>1244</v>
      </c>
      <c r="F418" s="31" t="s">
        <v>70</v>
      </c>
      <c r="G418" s="32">
        <v>0.3</v>
      </c>
      <c r="H418" s="27"/>
      <c r="I418" s="32">
        <v>117.129</v>
      </c>
      <c r="J418" s="34">
        <v>0</v>
      </c>
      <c r="K418" s="35"/>
      <c r="L418" s="35"/>
      <c r="M418" s="34">
        <f>ROUND(ROUND(J418, 2)*I418, 2)</f>
        <v>0</v>
      </c>
      <c r="N418" s="35"/>
      <c r="O418" s="35"/>
      <c r="P418" s="34">
        <v>206.5</v>
      </c>
      <c r="Q418" s="35"/>
      <c r="R418" s="35"/>
      <c r="S418" s="34">
        <f>ROUND(ROUND(P418, 2)*I418, 2)</f>
        <v>24187.14</v>
      </c>
      <c r="T418" s="35"/>
      <c r="U418" s="36"/>
      <c r="V418" s="9">
        <f>ROUND(ROUND(P418, 2)/1.2, 2)</f>
        <v>172.08</v>
      </c>
      <c r="Y418" s="9">
        <f t="shared" si="49"/>
        <v>20155.95</v>
      </c>
      <c r="AD418" s="4" t="s">
        <v>1333</v>
      </c>
      <c r="AE418" s="4" t="s">
        <v>1334</v>
      </c>
      <c r="AF418" s="4" t="s">
        <v>1095</v>
      </c>
    </row>
    <row r="419" spans="1:35" ht="36" x14ac:dyDescent="0.3">
      <c r="A419" s="25" t="s">
        <v>1335</v>
      </c>
      <c r="B419" s="25"/>
      <c r="C419" s="30" t="s">
        <v>433</v>
      </c>
      <c r="D419" s="27"/>
      <c r="E419" s="27"/>
      <c r="F419" s="31" t="s">
        <v>70</v>
      </c>
      <c r="G419" s="32">
        <v>0.15</v>
      </c>
      <c r="H419" s="27"/>
      <c r="I419" s="32">
        <v>58.564999999999998</v>
      </c>
      <c r="J419" s="34">
        <v>88.8</v>
      </c>
      <c r="K419" s="35"/>
      <c r="L419" s="35"/>
      <c r="M419" s="34">
        <f>ROUND(ROUND(J419, 2)*I419, 2)</f>
        <v>5200.57</v>
      </c>
      <c r="N419" s="35"/>
      <c r="O419" s="35"/>
      <c r="P419" s="34">
        <v>88.8</v>
      </c>
      <c r="Q419" s="35"/>
      <c r="R419" s="35"/>
      <c r="S419" s="34">
        <f>ROUND(ROUND(P419, 2)*I419, 2)</f>
        <v>5200.57</v>
      </c>
      <c r="T419" s="35"/>
      <c r="U419" s="36"/>
      <c r="V419" s="9">
        <f>ROUND(ROUND(P419, 2)/1.2, 2)</f>
        <v>74</v>
      </c>
      <c r="Y419" s="9">
        <f t="shared" si="49"/>
        <v>4333.8100000000004</v>
      </c>
      <c r="AD419" s="4" t="s">
        <v>1336</v>
      </c>
      <c r="AE419" s="4" t="s">
        <v>1337</v>
      </c>
      <c r="AF419" s="4" t="s">
        <v>436</v>
      </c>
    </row>
    <row r="420" spans="1:35" ht="36" x14ac:dyDescent="0.3">
      <c r="A420" s="25" t="s">
        <v>1338</v>
      </c>
      <c r="B420" s="25" t="s">
        <v>1170</v>
      </c>
      <c r="C420" s="26" t="s">
        <v>1171</v>
      </c>
      <c r="D420" s="27"/>
      <c r="E420" s="27" t="s">
        <v>1339</v>
      </c>
      <c r="F420" s="27" t="s">
        <v>64</v>
      </c>
      <c r="G420" s="28">
        <v>1</v>
      </c>
      <c r="H420" s="27"/>
      <c r="I420" s="28">
        <v>2002.74</v>
      </c>
      <c r="J420" s="29">
        <f>IFERROR(ROUND(SUM(M421,M422)/I420, 2),0)</f>
        <v>13.32</v>
      </c>
      <c r="K420" s="29">
        <v>428</v>
      </c>
      <c r="L420" s="29">
        <f>J420+ROUND(K420, 2)</f>
        <v>441.32</v>
      </c>
      <c r="M420" s="29">
        <f>ROUND(J420*I420, 2)</f>
        <v>26676.5</v>
      </c>
      <c r="N420" s="29">
        <f>ROUND(I420*ROUND(K420, 2), 2)</f>
        <v>857172.72</v>
      </c>
      <c r="O420" s="29">
        <f>M420+N420</f>
        <v>883849.22</v>
      </c>
      <c r="P420" s="29">
        <f>IFERROR(ROUND(SUM(S421,S422)/I420, 2),0)</f>
        <v>68.28</v>
      </c>
      <c r="Q420" s="29">
        <v>428</v>
      </c>
      <c r="R420" s="29">
        <f>P420+ROUND(Q420, 2)</f>
        <v>496.28</v>
      </c>
      <c r="S420" s="29">
        <f>ROUND(P420*I420, 2)</f>
        <v>136747.09</v>
      </c>
      <c r="T420" s="29">
        <f>ROUND(I420*ROUND(Q420, 2), 2)</f>
        <v>857172.72</v>
      </c>
      <c r="U420" s="29">
        <f>S420+T420</f>
        <v>993919.80999999994</v>
      </c>
      <c r="V420" s="9">
        <f>ROUND(P420 / 1.2, 2)</f>
        <v>56.9</v>
      </c>
      <c r="W420" s="9">
        <f>ROUND(Q420 / 1.2, 2)</f>
        <v>356.67</v>
      </c>
      <c r="X420" s="9">
        <f>ROUND(R420 / 1.2, 2)</f>
        <v>413.57</v>
      </c>
      <c r="Y420" s="9">
        <f t="shared" si="49"/>
        <v>113955.91</v>
      </c>
      <c r="Z420" s="9">
        <f>ROUND(T420 / 1.2, 2)</f>
        <v>714310.6</v>
      </c>
      <c r="AA420" s="9">
        <f>Y420+Z420</f>
        <v>828266.51</v>
      </c>
      <c r="AD420" s="4">
        <v>298925418</v>
      </c>
      <c r="AE420" s="4">
        <v>19992005</v>
      </c>
      <c r="AG420" s="4" t="s">
        <v>1173</v>
      </c>
      <c r="AH420" s="4" t="s">
        <v>1174</v>
      </c>
      <c r="AI420" s="4" t="s">
        <v>67</v>
      </c>
    </row>
    <row r="421" spans="1:35" ht="36" x14ac:dyDescent="0.3">
      <c r="A421" s="25" t="s">
        <v>1340</v>
      </c>
      <c r="B421" s="25"/>
      <c r="C421" s="30" t="s">
        <v>433</v>
      </c>
      <c r="D421" s="27"/>
      <c r="E421" s="27"/>
      <c r="F421" s="31" t="s">
        <v>70</v>
      </c>
      <c r="G421" s="32">
        <v>0.15</v>
      </c>
      <c r="H421" s="27"/>
      <c r="I421" s="32">
        <v>300.411</v>
      </c>
      <c r="J421" s="34">
        <v>88.8</v>
      </c>
      <c r="K421" s="35"/>
      <c r="L421" s="35"/>
      <c r="M421" s="34">
        <f>ROUND(ROUND(J421, 2)*I421, 2)</f>
        <v>26676.5</v>
      </c>
      <c r="N421" s="35"/>
      <c r="O421" s="35"/>
      <c r="P421" s="34">
        <v>88.8</v>
      </c>
      <c r="Q421" s="35"/>
      <c r="R421" s="35"/>
      <c r="S421" s="34">
        <f>ROUND(ROUND(P421, 2)*I421, 2)</f>
        <v>26676.5</v>
      </c>
      <c r="T421" s="35"/>
      <c r="U421" s="36"/>
      <c r="V421" s="9">
        <f>ROUND(ROUND(P421, 2)/1.2, 2)</f>
        <v>74</v>
      </c>
      <c r="Y421" s="9">
        <f t="shared" si="49"/>
        <v>22230.42</v>
      </c>
      <c r="AD421" s="4" t="s">
        <v>1341</v>
      </c>
      <c r="AE421" s="4" t="s">
        <v>1342</v>
      </c>
      <c r="AF421" s="4" t="s">
        <v>436</v>
      </c>
    </row>
    <row r="422" spans="1:35" ht="126" x14ac:dyDescent="0.3">
      <c r="A422" s="25" t="s">
        <v>1343</v>
      </c>
      <c r="B422" s="25"/>
      <c r="C422" s="30" t="s">
        <v>1111</v>
      </c>
      <c r="D422" s="27"/>
      <c r="E422" s="27" t="s">
        <v>1250</v>
      </c>
      <c r="F422" s="31" t="s">
        <v>70</v>
      </c>
      <c r="G422" s="32">
        <v>0.3</v>
      </c>
      <c r="H422" s="27"/>
      <c r="I422" s="32">
        <v>600.822</v>
      </c>
      <c r="J422" s="34">
        <v>0</v>
      </c>
      <c r="K422" s="35"/>
      <c r="L422" s="35"/>
      <c r="M422" s="34">
        <f>ROUND(ROUND(J422, 2)*I422, 2)</f>
        <v>0</v>
      </c>
      <c r="N422" s="35"/>
      <c r="O422" s="35"/>
      <c r="P422" s="34">
        <v>183.2</v>
      </c>
      <c r="Q422" s="35"/>
      <c r="R422" s="35"/>
      <c r="S422" s="34">
        <f>ROUND(ROUND(P422, 2)*I422, 2)</f>
        <v>110070.59</v>
      </c>
      <c r="T422" s="35"/>
      <c r="U422" s="36"/>
      <c r="V422" s="9">
        <f>ROUND(ROUND(P422, 2)/1.2, 2)</f>
        <v>152.66999999999999</v>
      </c>
      <c r="Y422" s="9">
        <f t="shared" si="49"/>
        <v>91725.49</v>
      </c>
      <c r="AD422" s="4" t="s">
        <v>1344</v>
      </c>
      <c r="AE422" s="4" t="s">
        <v>1345</v>
      </c>
      <c r="AF422" s="4" t="s">
        <v>1115</v>
      </c>
    </row>
    <row r="423" spans="1:35" ht="36" x14ac:dyDescent="0.3">
      <c r="A423" s="25" t="s">
        <v>1346</v>
      </c>
      <c r="B423" s="25" t="s">
        <v>1170</v>
      </c>
      <c r="C423" s="26" t="s">
        <v>1171</v>
      </c>
      <c r="D423" s="27"/>
      <c r="E423" s="27" t="s">
        <v>1347</v>
      </c>
      <c r="F423" s="27" t="s">
        <v>64</v>
      </c>
      <c r="G423" s="28">
        <v>1</v>
      </c>
      <c r="H423" s="27"/>
      <c r="I423" s="28">
        <v>23.23</v>
      </c>
      <c r="J423" s="29">
        <f>IFERROR(ROUND(SUM(M424,M425)/I423, 2),0)</f>
        <v>13.32</v>
      </c>
      <c r="K423" s="29">
        <v>428</v>
      </c>
      <c r="L423" s="29">
        <f>J423+ROUND(K423, 2)</f>
        <v>441.32</v>
      </c>
      <c r="M423" s="29">
        <f>ROUND(J423*I423, 2)</f>
        <v>309.42</v>
      </c>
      <c r="N423" s="29">
        <f>ROUND(I423*ROUND(K423, 2), 2)</f>
        <v>9942.44</v>
      </c>
      <c r="O423" s="29">
        <f>M423+N423</f>
        <v>10251.86</v>
      </c>
      <c r="P423" s="29">
        <f>IFERROR(ROUND(SUM(S424,S425)/I423, 2),0)</f>
        <v>75.27</v>
      </c>
      <c r="Q423" s="29">
        <v>428</v>
      </c>
      <c r="R423" s="29">
        <f>P423+ROUND(Q423, 2)</f>
        <v>503.27</v>
      </c>
      <c r="S423" s="29">
        <f>ROUND(P423*I423, 2)</f>
        <v>1748.52</v>
      </c>
      <c r="T423" s="29">
        <f>ROUND(I423*ROUND(Q423, 2), 2)</f>
        <v>9942.44</v>
      </c>
      <c r="U423" s="29">
        <f>S423+T423</f>
        <v>11690.960000000001</v>
      </c>
      <c r="V423" s="9">
        <f>ROUND(P423 / 1.2, 2)</f>
        <v>62.73</v>
      </c>
      <c r="W423" s="9">
        <f>ROUND(Q423 / 1.2, 2)</f>
        <v>356.67</v>
      </c>
      <c r="X423" s="9">
        <f>ROUND(R423 / 1.2, 2)</f>
        <v>419.39</v>
      </c>
      <c r="Y423" s="9">
        <f t="shared" ref="Y423:Y454" si="50">ROUND(S423 / 1.2, 2)</f>
        <v>1457.1</v>
      </c>
      <c r="Z423" s="9">
        <f>ROUND(T423 / 1.2, 2)</f>
        <v>8285.3700000000008</v>
      </c>
      <c r="AA423" s="9">
        <f>Y423+Z423</f>
        <v>9742.4700000000012</v>
      </c>
      <c r="AD423" s="4">
        <v>298925419</v>
      </c>
      <c r="AE423" s="4">
        <v>19992006</v>
      </c>
      <c r="AG423" s="4" t="s">
        <v>1173</v>
      </c>
      <c r="AH423" s="4" t="s">
        <v>1174</v>
      </c>
      <c r="AI423" s="4" t="s">
        <v>67</v>
      </c>
    </row>
    <row r="424" spans="1:35" ht="54" x14ac:dyDescent="0.3">
      <c r="A424" s="25" t="s">
        <v>1348</v>
      </c>
      <c r="B424" s="25"/>
      <c r="C424" s="30" t="s">
        <v>1349</v>
      </c>
      <c r="D424" s="27"/>
      <c r="E424" s="27" t="s">
        <v>1350</v>
      </c>
      <c r="F424" s="31" t="s">
        <v>70</v>
      </c>
      <c r="G424" s="32">
        <v>0.3</v>
      </c>
      <c r="H424" s="27"/>
      <c r="I424" s="32">
        <v>6.9690000000000003</v>
      </c>
      <c r="J424" s="34">
        <v>0</v>
      </c>
      <c r="K424" s="35"/>
      <c r="L424" s="35"/>
      <c r="M424" s="34">
        <f>ROUND(ROUND(J424, 2)*I424, 2)</f>
        <v>0</v>
      </c>
      <c r="N424" s="35"/>
      <c r="O424" s="35"/>
      <c r="P424" s="34">
        <v>206.5</v>
      </c>
      <c r="Q424" s="35"/>
      <c r="R424" s="35"/>
      <c r="S424" s="34">
        <f>ROUND(ROUND(P424, 2)*I424, 2)</f>
        <v>1439.1</v>
      </c>
      <c r="T424" s="35"/>
      <c r="U424" s="36"/>
      <c r="V424" s="9">
        <f>ROUND(ROUND(P424, 2)/1.2, 2)</f>
        <v>172.08</v>
      </c>
      <c r="Y424" s="9">
        <f t="shared" si="50"/>
        <v>1199.25</v>
      </c>
      <c r="AD424" s="4" t="s">
        <v>1351</v>
      </c>
      <c r="AE424" s="4" t="s">
        <v>1352</v>
      </c>
      <c r="AF424" s="4" t="s">
        <v>1353</v>
      </c>
    </row>
    <row r="425" spans="1:35" ht="36" x14ac:dyDescent="0.3">
      <c r="A425" s="25" t="s">
        <v>1354</v>
      </c>
      <c r="B425" s="25"/>
      <c r="C425" s="30" t="s">
        <v>433</v>
      </c>
      <c r="D425" s="27"/>
      <c r="E425" s="27"/>
      <c r="F425" s="31" t="s">
        <v>70</v>
      </c>
      <c r="G425" s="32">
        <v>0.15</v>
      </c>
      <c r="H425" s="27"/>
      <c r="I425" s="32">
        <v>3.4849999999999999</v>
      </c>
      <c r="J425" s="34">
        <v>88.8</v>
      </c>
      <c r="K425" s="35"/>
      <c r="L425" s="35"/>
      <c r="M425" s="34">
        <f>ROUND(ROUND(J425, 2)*I425, 2)</f>
        <v>309.47000000000003</v>
      </c>
      <c r="N425" s="35"/>
      <c r="O425" s="35"/>
      <c r="P425" s="34">
        <v>88.8</v>
      </c>
      <c r="Q425" s="35"/>
      <c r="R425" s="35"/>
      <c r="S425" s="34">
        <f>ROUND(ROUND(P425, 2)*I425, 2)</f>
        <v>309.47000000000003</v>
      </c>
      <c r="T425" s="35"/>
      <c r="U425" s="36"/>
      <c r="V425" s="9">
        <f>ROUND(ROUND(P425, 2)/1.2, 2)</f>
        <v>74</v>
      </c>
      <c r="Y425" s="9">
        <f t="shared" si="50"/>
        <v>257.89</v>
      </c>
      <c r="AD425" s="4" t="s">
        <v>1355</v>
      </c>
      <c r="AE425" s="4" t="s">
        <v>1356</v>
      </c>
      <c r="AF425" s="4" t="s">
        <v>436</v>
      </c>
    </row>
    <row r="426" spans="1:35" ht="36" x14ac:dyDescent="0.3">
      <c r="A426" s="25" t="s">
        <v>1357</v>
      </c>
      <c r="B426" s="25" t="s">
        <v>1170</v>
      </c>
      <c r="C426" s="26" t="s">
        <v>1171</v>
      </c>
      <c r="D426" s="27"/>
      <c r="E426" s="27" t="s">
        <v>1358</v>
      </c>
      <c r="F426" s="27" t="s">
        <v>64</v>
      </c>
      <c r="G426" s="28">
        <v>1</v>
      </c>
      <c r="H426" s="27"/>
      <c r="I426" s="28">
        <v>107.1</v>
      </c>
      <c r="J426" s="29">
        <f>IFERROR(ROUND(SUM(M427,M428)/I426, 2),0)</f>
        <v>13.32</v>
      </c>
      <c r="K426" s="29">
        <v>428</v>
      </c>
      <c r="L426" s="29">
        <f>J426+ROUND(K426, 2)</f>
        <v>441.32</v>
      </c>
      <c r="M426" s="29">
        <f>ROUND(J426*I426, 2)</f>
        <v>1426.57</v>
      </c>
      <c r="N426" s="29">
        <f>ROUND(I426*ROUND(K426, 2), 2)</f>
        <v>45838.8</v>
      </c>
      <c r="O426" s="29">
        <f>M426+N426</f>
        <v>47265.37</v>
      </c>
      <c r="P426" s="29">
        <f>IFERROR(ROUND(SUM(S427,S428)/I426, 2),0)</f>
        <v>75.27</v>
      </c>
      <c r="Q426" s="29">
        <v>428</v>
      </c>
      <c r="R426" s="29">
        <f>P426+ROUND(Q426, 2)</f>
        <v>503.27</v>
      </c>
      <c r="S426" s="29">
        <f>ROUND(P426*I426, 2)</f>
        <v>8061.42</v>
      </c>
      <c r="T426" s="29">
        <f>ROUND(I426*ROUND(Q426, 2), 2)</f>
        <v>45838.8</v>
      </c>
      <c r="U426" s="29">
        <f>S426+T426</f>
        <v>53900.22</v>
      </c>
      <c r="V426" s="9">
        <f>ROUND(P426 / 1.2, 2)</f>
        <v>62.73</v>
      </c>
      <c r="W426" s="9">
        <f>ROUND(Q426 / 1.2, 2)</f>
        <v>356.67</v>
      </c>
      <c r="X426" s="9">
        <f>ROUND(R426 / 1.2, 2)</f>
        <v>419.39</v>
      </c>
      <c r="Y426" s="9">
        <f t="shared" si="50"/>
        <v>6717.85</v>
      </c>
      <c r="Z426" s="9">
        <f>ROUND(T426 / 1.2, 2)</f>
        <v>38199</v>
      </c>
      <c r="AA426" s="9">
        <f>Y426+Z426</f>
        <v>44916.85</v>
      </c>
      <c r="AD426" s="4">
        <v>298925420</v>
      </c>
      <c r="AE426" s="4">
        <v>19992007</v>
      </c>
      <c r="AG426" s="4" t="s">
        <v>1173</v>
      </c>
      <c r="AH426" s="4" t="s">
        <v>1174</v>
      </c>
      <c r="AI426" s="4" t="s">
        <v>67</v>
      </c>
    </row>
    <row r="427" spans="1:35" ht="36" x14ac:dyDescent="0.3">
      <c r="A427" s="25" t="s">
        <v>1359</v>
      </c>
      <c r="B427" s="25"/>
      <c r="C427" s="30" t="s">
        <v>433</v>
      </c>
      <c r="D427" s="27"/>
      <c r="E427" s="27"/>
      <c r="F427" s="31" t="s">
        <v>70</v>
      </c>
      <c r="G427" s="32">
        <v>0.15</v>
      </c>
      <c r="H427" s="27"/>
      <c r="I427" s="32">
        <v>16.065000000000001</v>
      </c>
      <c r="J427" s="34">
        <v>88.8</v>
      </c>
      <c r="K427" s="35"/>
      <c r="L427" s="35"/>
      <c r="M427" s="34">
        <f>ROUND(ROUND(J427, 2)*I427, 2)</f>
        <v>1426.57</v>
      </c>
      <c r="N427" s="35"/>
      <c r="O427" s="35"/>
      <c r="P427" s="34">
        <v>88.8</v>
      </c>
      <c r="Q427" s="35"/>
      <c r="R427" s="35"/>
      <c r="S427" s="34">
        <f>ROUND(ROUND(P427, 2)*I427, 2)</f>
        <v>1426.57</v>
      </c>
      <c r="T427" s="35"/>
      <c r="U427" s="36"/>
      <c r="V427" s="9">
        <f>ROUND(ROUND(P427, 2)/1.2, 2)</f>
        <v>74</v>
      </c>
      <c r="Y427" s="9">
        <f t="shared" si="50"/>
        <v>1188.81</v>
      </c>
      <c r="AD427" s="4" t="s">
        <v>1360</v>
      </c>
      <c r="AE427" s="4" t="s">
        <v>1361</v>
      </c>
      <c r="AF427" s="4" t="s">
        <v>436</v>
      </c>
    </row>
    <row r="428" spans="1:35" ht="90" x14ac:dyDescent="0.3">
      <c r="A428" s="25" t="s">
        <v>1362</v>
      </c>
      <c r="B428" s="25"/>
      <c r="C428" s="30" t="s">
        <v>1091</v>
      </c>
      <c r="D428" s="27"/>
      <c r="E428" s="27" t="s">
        <v>1363</v>
      </c>
      <c r="F428" s="31" t="s">
        <v>70</v>
      </c>
      <c r="G428" s="32">
        <v>0.3</v>
      </c>
      <c r="H428" s="27"/>
      <c r="I428" s="32">
        <v>32.130000000000003</v>
      </c>
      <c r="J428" s="34">
        <v>0</v>
      </c>
      <c r="K428" s="35"/>
      <c r="L428" s="35"/>
      <c r="M428" s="34">
        <f>ROUND(ROUND(J428, 2)*I428, 2)</f>
        <v>0</v>
      </c>
      <c r="N428" s="35"/>
      <c r="O428" s="35"/>
      <c r="P428" s="34">
        <v>206.5</v>
      </c>
      <c r="Q428" s="35"/>
      <c r="R428" s="35"/>
      <c r="S428" s="34">
        <f>ROUND(ROUND(P428, 2)*I428, 2)</f>
        <v>6634.85</v>
      </c>
      <c r="T428" s="35"/>
      <c r="U428" s="36"/>
      <c r="V428" s="9">
        <f>ROUND(ROUND(P428, 2)/1.2, 2)</f>
        <v>172.08</v>
      </c>
      <c r="Y428" s="9">
        <f t="shared" si="50"/>
        <v>5529.04</v>
      </c>
      <c r="AD428" s="4" t="s">
        <v>1364</v>
      </c>
      <c r="AE428" s="4" t="s">
        <v>1365</v>
      </c>
      <c r="AF428" s="4" t="s">
        <v>1095</v>
      </c>
    </row>
    <row r="429" spans="1:35" ht="54" x14ac:dyDescent="0.3">
      <c r="A429" s="25" t="s">
        <v>1366</v>
      </c>
      <c r="B429" s="25" t="s">
        <v>1367</v>
      </c>
      <c r="C429" s="26" t="s">
        <v>1368</v>
      </c>
      <c r="D429" s="27"/>
      <c r="E429" s="27" t="s">
        <v>1369</v>
      </c>
      <c r="F429" s="27" t="s">
        <v>64</v>
      </c>
      <c r="G429" s="28">
        <v>1</v>
      </c>
      <c r="H429" s="27"/>
      <c r="I429" s="28">
        <v>205.88</v>
      </c>
      <c r="J429" s="29">
        <f>IFERROR(ROUND(SUM(M430,M431,M432,M433)/I429, 2),0)</f>
        <v>1070.1400000000001</v>
      </c>
      <c r="K429" s="29">
        <v>2364</v>
      </c>
      <c r="L429" s="29">
        <f>J429+ROUND(K429, 2)</f>
        <v>3434.1400000000003</v>
      </c>
      <c r="M429" s="29">
        <f>ROUND(J429*I429, 2)</f>
        <v>220320.42</v>
      </c>
      <c r="N429" s="29">
        <f>ROUND(I429*ROUND(K429, 2), 2)</f>
        <v>486700.32</v>
      </c>
      <c r="O429" s="29">
        <f>M429+N429</f>
        <v>707020.74</v>
      </c>
      <c r="P429" s="29">
        <f>IFERROR(ROUND(SUM(S430,S431,S432,S433)/I429, 2),0)</f>
        <v>749.14</v>
      </c>
      <c r="Q429" s="29">
        <v>2364</v>
      </c>
      <c r="R429" s="29">
        <f>P429+ROUND(Q429, 2)</f>
        <v>3113.14</v>
      </c>
      <c r="S429" s="29">
        <f>ROUND(P429*I429, 2)</f>
        <v>154232.94</v>
      </c>
      <c r="T429" s="29">
        <f>ROUND(I429*ROUND(Q429, 2), 2)</f>
        <v>486700.32</v>
      </c>
      <c r="U429" s="29">
        <f>S429+T429</f>
        <v>640933.26</v>
      </c>
      <c r="V429" s="9">
        <f>ROUND(P429 / 1.2, 2)</f>
        <v>624.28</v>
      </c>
      <c r="W429" s="9">
        <f>ROUND(Q429 / 1.2, 2)</f>
        <v>1970</v>
      </c>
      <c r="X429" s="9">
        <f>ROUND(R429 / 1.2, 2)</f>
        <v>2594.2800000000002</v>
      </c>
      <c r="Y429" s="9">
        <f t="shared" si="50"/>
        <v>128527.45</v>
      </c>
      <c r="Z429" s="9">
        <f>ROUND(T429 / 1.2, 2)</f>
        <v>405583.6</v>
      </c>
      <c r="AA429" s="9">
        <f>Y429+Z429</f>
        <v>534111.04999999993</v>
      </c>
      <c r="AD429" s="4">
        <v>298925320</v>
      </c>
      <c r="AE429" s="4">
        <v>19977048</v>
      </c>
      <c r="AG429" s="4" t="s">
        <v>1370</v>
      </c>
      <c r="AH429" s="4" t="s">
        <v>1371</v>
      </c>
      <c r="AI429" s="4" t="s">
        <v>67</v>
      </c>
    </row>
    <row r="430" spans="1:35" ht="36" x14ac:dyDescent="0.3">
      <c r="A430" s="25" t="s">
        <v>1372</v>
      </c>
      <c r="B430" s="25"/>
      <c r="C430" s="30" t="s">
        <v>426</v>
      </c>
      <c r="D430" s="27"/>
      <c r="E430" s="27"/>
      <c r="F430" s="31" t="s">
        <v>70</v>
      </c>
      <c r="G430" s="32">
        <v>0.25</v>
      </c>
      <c r="H430" s="27"/>
      <c r="I430" s="33">
        <v>51.47</v>
      </c>
      <c r="J430" s="34">
        <v>40.270000000000003</v>
      </c>
      <c r="K430" s="35"/>
      <c r="L430" s="35"/>
      <c r="M430" s="34">
        <f>ROUND(ROUND(J430, 2)*I430, 2)</f>
        <v>2072.6999999999998</v>
      </c>
      <c r="N430" s="35"/>
      <c r="O430" s="35"/>
      <c r="P430" s="34">
        <v>40.270000000000003</v>
      </c>
      <c r="Q430" s="35"/>
      <c r="R430" s="35"/>
      <c r="S430" s="34">
        <f>ROUND(ROUND(P430, 2)*I430, 2)</f>
        <v>2072.6999999999998</v>
      </c>
      <c r="T430" s="35"/>
      <c r="U430" s="36"/>
      <c r="V430" s="9">
        <f>ROUND(ROUND(P430, 2)/1.2, 2)</f>
        <v>33.56</v>
      </c>
      <c r="Y430" s="9">
        <f t="shared" si="50"/>
        <v>1727.25</v>
      </c>
      <c r="AD430" s="4" t="s">
        <v>1373</v>
      </c>
      <c r="AE430" s="4" t="s">
        <v>1374</v>
      </c>
      <c r="AF430" s="4" t="s">
        <v>429</v>
      </c>
    </row>
    <row r="431" spans="1:35" ht="36" x14ac:dyDescent="0.3">
      <c r="A431" s="25" t="s">
        <v>1375</v>
      </c>
      <c r="B431" s="25"/>
      <c r="C431" s="30" t="s">
        <v>452</v>
      </c>
      <c r="D431" s="27"/>
      <c r="E431" s="27"/>
      <c r="F431" s="31" t="s">
        <v>70</v>
      </c>
      <c r="G431" s="32">
        <v>0.15</v>
      </c>
      <c r="H431" s="27"/>
      <c r="I431" s="32">
        <v>30.882000000000001</v>
      </c>
      <c r="J431" s="34">
        <v>68.400000000000006</v>
      </c>
      <c r="K431" s="35"/>
      <c r="L431" s="35"/>
      <c r="M431" s="34">
        <f>ROUND(ROUND(J431, 2)*I431, 2)</f>
        <v>2112.33</v>
      </c>
      <c r="N431" s="35"/>
      <c r="O431" s="35"/>
      <c r="P431" s="34">
        <v>68.400000000000006</v>
      </c>
      <c r="Q431" s="35"/>
      <c r="R431" s="35"/>
      <c r="S431" s="34">
        <f>ROUND(ROUND(P431, 2)*I431, 2)</f>
        <v>2112.33</v>
      </c>
      <c r="T431" s="35"/>
      <c r="U431" s="36"/>
      <c r="V431" s="9">
        <f>ROUND(ROUND(P431, 2)/1.2, 2)</f>
        <v>57</v>
      </c>
      <c r="Y431" s="9">
        <f t="shared" si="50"/>
        <v>1760.28</v>
      </c>
      <c r="AD431" s="4" t="s">
        <v>1376</v>
      </c>
      <c r="AE431" s="4" t="s">
        <v>1377</v>
      </c>
      <c r="AF431" s="4" t="s">
        <v>456</v>
      </c>
    </row>
    <row r="432" spans="1:35" ht="54" x14ac:dyDescent="0.3">
      <c r="A432" s="25" t="s">
        <v>1378</v>
      </c>
      <c r="B432" s="25"/>
      <c r="C432" s="17" t="s">
        <v>693</v>
      </c>
      <c r="D432" s="27"/>
      <c r="E432" s="27" t="s">
        <v>402</v>
      </c>
      <c r="F432" s="31" t="s">
        <v>70</v>
      </c>
      <c r="G432" s="32">
        <v>1.2</v>
      </c>
      <c r="H432" s="27"/>
      <c r="I432" s="33">
        <v>494.11200000000002</v>
      </c>
      <c r="J432" s="34">
        <v>16.11</v>
      </c>
      <c r="K432" s="35"/>
      <c r="L432" s="35"/>
      <c r="M432" s="34">
        <f>ROUND(ROUND(J432, 2)*I432, 2)</f>
        <v>7960.14</v>
      </c>
      <c r="N432" s="35"/>
      <c r="O432" s="35"/>
      <c r="P432" s="34">
        <v>16.11</v>
      </c>
      <c r="Q432" s="35"/>
      <c r="R432" s="35"/>
      <c r="S432" s="34">
        <f>ROUND(ROUND(P432, 2)*I432, 2)</f>
        <v>7960.14</v>
      </c>
      <c r="T432" s="35"/>
      <c r="U432" s="36"/>
      <c r="V432" s="9">
        <f>ROUND(ROUND(P432, 2)/1.2, 2)</f>
        <v>13.43</v>
      </c>
      <c r="Y432" s="9">
        <f t="shared" si="50"/>
        <v>6633.45</v>
      </c>
      <c r="AD432" s="4" t="s">
        <v>1379</v>
      </c>
      <c r="AE432" s="4" t="s">
        <v>1380</v>
      </c>
      <c r="AF432" s="4" t="s">
        <v>696</v>
      </c>
    </row>
    <row r="433" spans="1:35" ht="36" x14ac:dyDescent="0.3">
      <c r="A433" s="25" t="s">
        <v>1381</v>
      </c>
      <c r="B433" s="25"/>
      <c r="C433" s="17" t="s">
        <v>1382</v>
      </c>
      <c r="D433" s="27"/>
      <c r="E433" s="27" t="s">
        <v>1383</v>
      </c>
      <c r="F433" s="31" t="s">
        <v>64</v>
      </c>
      <c r="G433" s="32">
        <v>1.07</v>
      </c>
      <c r="H433" s="27"/>
      <c r="I433" s="33">
        <v>220.292</v>
      </c>
      <c r="J433" s="34">
        <v>945</v>
      </c>
      <c r="K433" s="35"/>
      <c r="L433" s="35"/>
      <c r="M433" s="34">
        <f>ROUND(ROUND(J433, 2)*I433, 2)</f>
        <v>208175.94</v>
      </c>
      <c r="N433" s="35"/>
      <c r="O433" s="35"/>
      <c r="P433" s="34">
        <v>645</v>
      </c>
      <c r="Q433" s="35"/>
      <c r="R433" s="35"/>
      <c r="S433" s="34">
        <f>ROUND(ROUND(P433, 2)*I433, 2)</f>
        <v>142088.34</v>
      </c>
      <c r="T433" s="35"/>
      <c r="U433" s="36"/>
      <c r="V433" s="9">
        <f>ROUND(ROUND(P433, 2)/1.2, 2)</f>
        <v>537.5</v>
      </c>
      <c r="Y433" s="9">
        <f t="shared" si="50"/>
        <v>118406.95</v>
      </c>
      <c r="AD433" s="4" t="s">
        <v>1384</v>
      </c>
      <c r="AE433" s="4" t="s">
        <v>1385</v>
      </c>
      <c r="AF433" s="4" t="s">
        <v>1386</v>
      </c>
    </row>
    <row r="434" spans="1:35" ht="54" x14ac:dyDescent="0.3">
      <c r="A434" s="25" t="s">
        <v>1387</v>
      </c>
      <c r="B434" s="25" t="s">
        <v>1367</v>
      </c>
      <c r="C434" s="26" t="s">
        <v>1368</v>
      </c>
      <c r="D434" s="27"/>
      <c r="E434" s="27" t="s">
        <v>1388</v>
      </c>
      <c r="F434" s="27" t="s">
        <v>64</v>
      </c>
      <c r="G434" s="28">
        <v>1</v>
      </c>
      <c r="H434" s="27"/>
      <c r="I434" s="28">
        <v>33.03</v>
      </c>
      <c r="J434" s="29">
        <f>IFERROR(ROUND(SUM(M435,M436,M437,M438)/I434, 2),0)</f>
        <v>1540.89</v>
      </c>
      <c r="K434" s="29">
        <v>2364</v>
      </c>
      <c r="L434" s="29">
        <f>J434+ROUND(K434, 2)</f>
        <v>3904.8900000000003</v>
      </c>
      <c r="M434" s="29">
        <f>ROUND(J434*I434, 2)</f>
        <v>50895.6</v>
      </c>
      <c r="N434" s="29">
        <f>ROUND(I434*ROUND(K434, 2), 2)</f>
        <v>78082.92</v>
      </c>
      <c r="O434" s="29">
        <f>M434+N434</f>
        <v>128978.51999999999</v>
      </c>
      <c r="P434" s="29">
        <f>IFERROR(ROUND(SUM(S435,S436,S437,S438)/I434, 2),0)</f>
        <v>848.01</v>
      </c>
      <c r="Q434" s="29">
        <v>2364</v>
      </c>
      <c r="R434" s="29">
        <f>P434+ROUND(Q434, 2)</f>
        <v>3212.01</v>
      </c>
      <c r="S434" s="29">
        <f>ROUND(P434*I434, 2)</f>
        <v>28009.77</v>
      </c>
      <c r="T434" s="29">
        <f>ROUND(I434*ROUND(Q434, 2), 2)</f>
        <v>78082.92</v>
      </c>
      <c r="U434" s="29">
        <f>S434+T434</f>
        <v>106092.69</v>
      </c>
      <c r="V434" s="9">
        <f>ROUND(P434 / 1.2, 2)</f>
        <v>706.68</v>
      </c>
      <c r="W434" s="9">
        <f>ROUND(Q434 / 1.2, 2)</f>
        <v>1970</v>
      </c>
      <c r="X434" s="9">
        <f>ROUND(R434 / 1.2, 2)</f>
        <v>2676.68</v>
      </c>
      <c r="Y434" s="9">
        <f t="shared" si="50"/>
        <v>23341.48</v>
      </c>
      <c r="Z434" s="9">
        <f>ROUND(T434 / 1.2, 2)</f>
        <v>65069.1</v>
      </c>
      <c r="AA434" s="9">
        <f>Y434+Z434</f>
        <v>88410.58</v>
      </c>
      <c r="AD434" s="4">
        <v>298925421</v>
      </c>
      <c r="AE434" s="4">
        <v>19977049</v>
      </c>
      <c r="AG434" s="4" t="s">
        <v>1370</v>
      </c>
      <c r="AH434" s="4" t="s">
        <v>1371</v>
      </c>
      <c r="AI434" s="4" t="s">
        <v>67</v>
      </c>
    </row>
    <row r="435" spans="1:35" ht="54" x14ac:dyDescent="0.3">
      <c r="A435" s="25" t="s">
        <v>1389</v>
      </c>
      <c r="B435" s="25"/>
      <c r="C435" s="17" t="s">
        <v>1390</v>
      </c>
      <c r="D435" s="27"/>
      <c r="E435" s="27" t="s">
        <v>1391</v>
      </c>
      <c r="F435" s="31" t="s">
        <v>64</v>
      </c>
      <c r="G435" s="32">
        <v>1.07</v>
      </c>
      <c r="H435" s="27"/>
      <c r="I435" s="33">
        <v>35.341999999999999</v>
      </c>
      <c r="J435" s="34">
        <v>1384.95</v>
      </c>
      <c r="K435" s="35"/>
      <c r="L435" s="35"/>
      <c r="M435" s="34">
        <f>ROUND(ROUND(J435, 2)*I435, 2)</f>
        <v>48946.9</v>
      </c>
      <c r="N435" s="35"/>
      <c r="O435" s="35"/>
      <c r="P435" s="34">
        <v>737.4</v>
      </c>
      <c r="Q435" s="35"/>
      <c r="R435" s="35"/>
      <c r="S435" s="34">
        <f>ROUND(ROUND(P435, 2)*I435, 2)</f>
        <v>26061.19</v>
      </c>
      <c r="T435" s="35"/>
      <c r="U435" s="36"/>
      <c r="V435" s="9">
        <f>ROUND(ROUND(P435, 2)/1.2, 2)</f>
        <v>614.5</v>
      </c>
      <c r="Y435" s="9">
        <f t="shared" si="50"/>
        <v>21717.66</v>
      </c>
      <c r="AD435" s="4" t="s">
        <v>1392</v>
      </c>
      <c r="AE435" s="4" t="s">
        <v>1393</v>
      </c>
      <c r="AF435" s="4" t="s">
        <v>1394</v>
      </c>
    </row>
    <row r="436" spans="1:35" ht="54" x14ac:dyDescent="0.3">
      <c r="A436" s="25" t="s">
        <v>1395</v>
      </c>
      <c r="B436" s="25"/>
      <c r="C436" s="17" t="s">
        <v>693</v>
      </c>
      <c r="D436" s="27"/>
      <c r="E436" s="27" t="s">
        <v>402</v>
      </c>
      <c r="F436" s="31" t="s">
        <v>70</v>
      </c>
      <c r="G436" s="32">
        <v>1.2</v>
      </c>
      <c r="H436" s="27"/>
      <c r="I436" s="33">
        <v>79.272000000000006</v>
      </c>
      <c r="J436" s="34">
        <v>16.11</v>
      </c>
      <c r="K436" s="35"/>
      <c r="L436" s="35"/>
      <c r="M436" s="34">
        <f>ROUND(ROUND(J436, 2)*I436, 2)</f>
        <v>1277.07</v>
      </c>
      <c r="N436" s="35"/>
      <c r="O436" s="35"/>
      <c r="P436" s="34">
        <v>16.11</v>
      </c>
      <c r="Q436" s="35"/>
      <c r="R436" s="35"/>
      <c r="S436" s="34">
        <f>ROUND(ROUND(P436, 2)*I436, 2)</f>
        <v>1277.07</v>
      </c>
      <c r="T436" s="35"/>
      <c r="U436" s="36"/>
      <c r="V436" s="9">
        <f>ROUND(ROUND(P436, 2)/1.2, 2)</f>
        <v>13.43</v>
      </c>
      <c r="Y436" s="9">
        <f t="shared" si="50"/>
        <v>1064.23</v>
      </c>
      <c r="AD436" s="4" t="s">
        <v>1396</v>
      </c>
      <c r="AE436" s="4" t="s">
        <v>1397</v>
      </c>
      <c r="AF436" s="4" t="s">
        <v>696</v>
      </c>
    </row>
    <row r="437" spans="1:35" ht="36" x14ac:dyDescent="0.3">
      <c r="A437" s="25" t="s">
        <v>1398</v>
      </c>
      <c r="B437" s="25"/>
      <c r="C437" s="30" t="s">
        <v>452</v>
      </c>
      <c r="D437" s="27"/>
      <c r="E437" s="27"/>
      <c r="F437" s="31" t="s">
        <v>70</v>
      </c>
      <c r="G437" s="32">
        <v>0.15</v>
      </c>
      <c r="H437" s="27"/>
      <c r="I437" s="32">
        <v>4.9550000000000001</v>
      </c>
      <c r="J437" s="34">
        <v>68.400000000000006</v>
      </c>
      <c r="K437" s="35"/>
      <c r="L437" s="35"/>
      <c r="M437" s="34">
        <f>ROUND(ROUND(J437, 2)*I437, 2)</f>
        <v>338.92</v>
      </c>
      <c r="N437" s="35"/>
      <c r="O437" s="35"/>
      <c r="P437" s="34">
        <v>68.400000000000006</v>
      </c>
      <c r="Q437" s="35"/>
      <c r="R437" s="35"/>
      <c r="S437" s="34">
        <f>ROUND(ROUND(P437, 2)*I437, 2)</f>
        <v>338.92</v>
      </c>
      <c r="T437" s="35"/>
      <c r="U437" s="36"/>
      <c r="V437" s="9">
        <f>ROUND(ROUND(P437, 2)/1.2, 2)</f>
        <v>57</v>
      </c>
      <c r="Y437" s="9">
        <f t="shared" si="50"/>
        <v>282.43</v>
      </c>
      <c r="AD437" s="4" t="s">
        <v>1399</v>
      </c>
      <c r="AE437" s="4" t="s">
        <v>1400</v>
      </c>
      <c r="AF437" s="4" t="s">
        <v>456</v>
      </c>
    </row>
    <row r="438" spans="1:35" ht="36" x14ac:dyDescent="0.3">
      <c r="A438" s="25" t="s">
        <v>1401</v>
      </c>
      <c r="B438" s="25"/>
      <c r="C438" s="30" t="s">
        <v>426</v>
      </c>
      <c r="D438" s="27"/>
      <c r="E438" s="27"/>
      <c r="F438" s="31" t="s">
        <v>70</v>
      </c>
      <c r="G438" s="32">
        <v>0.25</v>
      </c>
      <c r="H438" s="27"/>
      <c r="I438" s="33">
        <v>8.2579999999999991</v>
      </c>
      <c r="J438" s="34">
        <v>40.270000000000003</v>
      </c>
      <c r="K438" s="35"/>
      <c r="L438" s="35"/>
      <c r="M438" s="34">
        <f>ROUND(ROUND(J438, 2)*I438, 2)</f>
        <v>332.55</v>
      </c>
      <c r="N438" s="35"/>
      <c r="O438" s="35"/>
      <c r="P438" s="34">
        <v>40.270000000000003</v>
      </c>
      <c r="Q438" s="35"/>
      <c r="R438" s="35"/>
      <c r="S438" s="34">
        <f>ROUND(ROUND(P438, 2)*I438, 2)</f>
        <v>332.55</v>
      </c>
      <c r="T438" s="35"/>
      <c r="U438" s="36"/>
      <c r="V438" s="9">
        <f>ROUND(ROUND(P438, 2)/1.2, 2)</f>
        <v>33.56</v>
      </c>
      <c r="Y438" s="9">
        <f t="shared" si="50"/>
        <v>277.13</v>
      </c>
      <c r="AD438" s="4" t="s">
        <v>1402</v>
      </c>
      <c r="AE438" s="4" t="s">
        <v>1403</v>
      </c>
      <c r="AF438" s="4" t="s">
        <v>429</v>
      </c>
    </row>
    <row r="439" spans="1:35" ht="54" x14ac:dyDescent="0.3">
      <c r="A439" s="25" t="s">
        <v>1404</v>
      </c>
      <c r="B439" s="25" t="s">
        <v>1367</v>
      </c>
      <c r="C439" s="26" t="s">
        <v>1368</v>
      </c>
      <c r="D439" s="27"/>
      <c r="E439" s="27" t="s">
        <v>1405</v>
      </c>
      <c r="F439" s="27" t="s">
        <v>64</v>
      </c>
      <c r="G439" s="28">
        <v>1</v>
      </c>
      <c r="H439" s="27"/>
      <c r="I439" s="28">
        <v>55.79</v>
      </c>
      <c r="J439" s="29">
        <f>IFERROR(ROUND(SUM(M440,M441,M442,M443)/I439, 2),0)</f>
        <v>1276.8599999999999</v>
      </c>
      <c r="K439" s="29">
        <v>2364</v>
      </c>
      <c r="L439" s="29">
        <f>J439+ROUND(K439, 2)</f>
        <v>3640.8599999999997</v>
      </c>
      <c r="M439" s="29">
        <f>ROUND(J439*I439, 2)</f>
        <v>71236.02</v>
      </c>
      <c r="N439" s="29">
        <f>ROUND(I439*ROUND(K439, 2), 2)</f>
        <v>131887.56</v>
      </c>
      <c r="O439" s="29">
        <f>M439+N439</f>
        <v>203123.58000000002</v>
      </c>
      <c r="P439" s="29">
        <f>IFERROR(ROUND(SUM(S440,S441,S442,S443)/I439, 2),0)</f>
        <v>870.05</v>
      </c>
      <c r="Q439" s="29">
        <v>2364</v>
      </c>
      <c r="R439" s="29">
        <f>P439+ROUND(Q439, 2)</f>
        <v>3234.05</v>
      </c>
      <c r="S439" s="29">
        <f>ROUND(P439*I439, 2)</f>
        <v>48540.09</v>
      </c>
      <c r="T439" s="29">
        <f>ROUND(I439*ROUND(Q439, 2), 2)</f>
        <v>131887.56</v>
      </c>
      <c r="U439" s="29">
        <f>S439+T439</f>
        <v>180427.65</v>
      </c>
      <c r="V439" s="9">
        <f>ROUND(P439 / 1.2, 2)</f>
        <v>725.04</v>
      </c>
      <c r="W439" s="9">
        <f>ROUND(Q439 / 1.2, 2)</f>
        <v>1970</v>
      </c>
      <c r="X439" s="9">
        <f>ROUND(R439 / 1.2, 2)</f>
        <v>2695.04</v>
      </c>
      <c r="Y439" s="9">
        <f t="shared" si="50"/>
        <v>40450.080000000002</v>
      </c>
      <c r="Z439" s="9">
        <f>ROUND(T439 / 1.2, 2)</f>
        <v>109906.3</v>
      </c>
      <c r="AA439" s="9">
        <f>Y439+Z439</f>
        <v>150356.38</v>
      </c>
      <c r="AD439" s="4">
        <v>298925422</v>
      </c>
      <c r="AE439" s="4">
        <v>19977050</v>
      </c>
      <c r="AG439" s="4" t="s">
        <v>1370</v>
      </c>
      <c r="AH439" s="4" t="s">
        <v>1371</v>
      </c>
      <c r="AI439" s="4" t="s">
        <v>67</v>
      </c>
    </row>
    <row r="440" spans="1:35" ht="36" x14ac:dyDescent="0.3">
      <c r="A440" s="25" t="s">
        <v>1406</v>
      </c>
      <c r="B440" s="25"/>
      <c r="C440" s="30" t="s">
        <v>426</v>
      </c>
      <c r="D440" s="27"/>
      <c r="E440" s="27"/>
      <c r="F440" s="31" t="s">
        <v>70</v>
      </c>
      <c r="G440" s="32">
        <v>0.25</v>
      </c>
      <c r="H440" s="27"/>
      <c r="I440" s="33">
        <v>13.948</v>
      </c>
      <c r="J440" s="34">
        <v>40.270000000000003</v>
      </c>
      <c r="K440" s="35"/>
      <c r="L440" s="35"/>
      <c r="M440" s="34">
        <f>ROUND(ROUND(J440, 2)*I440, 2)</f>
        <v>561.69000000000005</v>
      </c>
      <c r="N440" s="35"/>
      <c r="O440" s="35"/>
      <c r="P440" s="34">
        <v>40.270000000000003</v>
      </c>
      <c r="Q440" s="35"/>
      <c r="R440" s="35"/>
      <c r="S440" s="34">
        <f>ROUND(ROUND(P440, 2)*I440, 2)</f>
        <v>561.69000000000005</v>
      </c>
      <c r="T440" s="35"/>
      <c r="U440" s="36"/>
      <c r="V440" s="9">
        <f>ROUND(ROUND(P440, 2)/1.2, 2)</f>
        <v>33.56</v>
      </c>
      <c r="Y440" s="9">
        <f t="shared" si="50"/>
        <v>468.08</v>
      </c>
      <c r="AD440" s="4" t="s">
        <v>1407</v>
      </c>
      <c r="AE440" s="4" t="s">
        <v>1408</v>
      </c>
      <c r="AF440" s="4" t="s">
        <v>429</v>
      </c>
    </row>
    <row r="441" spans="1:35" ht="36" x14ac:dyDescent="0.3">
      <c r="A441" s="25" t="s">
        <v>1409</v>
      </c>
      <c r="B441" s="25"/>
      <c r="C441" s="30" t="s">
        <v>452</v>
      </c>
      <c r="D441" s="27"/>
      <c r="E441" s="27"/>
      <c r="F441" s="31" t="s">
        <v>70</v>
      </c>
      <c r="G441" s="32">
        <v>0.15</v>
      </c>
      <c r="H441" s="27"/>
      <c r="I441" s="32">
        <v>8.3689999999999998</v>
      </c>
      <c r="J441" s="34">
        <v>68.400000000000006</v>
      </c>
      <c r="K441" s="35"/>
      <c r="L441" s="35"/>
      <c r="M441" s="34">
        <f>ROUND(ROUND(J441, 2)*I441, 2)</f>
        <v>572.44000000000005</v>
      </c>
      <c r="N441" s="35"/>
      <c r="O441" s="35"/>
      <c r="P441" s="34">
        <v>68.400000000000006</v>
      </c>
      <c r="Q441" s="35"/>
      <c r="R441" s="35"/>
      <c r="S441" s="34">
        <f>ROUND(ROUND(P441, 2)*I441, 2)</f>
        <v>572.44000000000005</v>
      </c>
      <c r="T441" s="35"/>
      <c r="U441" s="36"/>
      <c r="V441" s="9">
        <f>ROUND(ROUND(P441, 2)/1.2, 2)</f>
        <v>57</v>
      </c>
      <c r="Y441" s="9">
        <f t="shared" si="50"/>
        <v>477.03</v>
      </c>
      <c r="AD441" s="4" t="s">
        <v>1410</v>
      </c>
      <c r="AE441" s="4" t="s">
        <v>1411</v>
      </c>
      <c r="AF441" s="4" t="s">
        <v>456</v>
      </c>
    </row>
    <row r="442" spans="1:35" ht="54" x14ac:dyDescent="0.3">
      <c r="A442" s="25" t="s">
        <v>1412</v>
      </c>
      <c r="B442" s="25"/>
      <c r="C442" s="17" t="s">
        <v>693</v>
      </c>
      <c r="D442" s="27"/>
      <c r="E442" s="27" t="s">
        <v>402</v>
      </c>
      <c r="F442" s="31" t="s">
        <v>70</v>
      </c>
      <c r="G442" s="32">
        <v>1.2</v>
      </c>
      <c r="H442" s="27"/>
      <c r="I442" s="33">
        <v>133.89599999999999</v>
      </c>
      <c r="J442" s="34">
        <v>16.11</v>
      </c>
      <c r="K442" s="35"/>
      <c r="L442" s="35"/>
      <c r="M442" s="34">
        <f>ROUND(ROUND(J442, 2)*I442, 2)</f>
        <v>2157.06</v>
      </c>
      <c r="N442" s="35"/>
      <c r="O442" s="35"/>
      <c r="P442" s="34">
        <v>16.11</v>
      </c>
      <c r="Q442" s="35"/>
      <c r="R442" s="35"/>
      <c r="S442" s="34">
        <f>ROUND(ROUND(P442, 2)*I442, 2)</f>
        <v>2157.06</v>
      </c>
      <c r="T442" s="35"/>
      <c r="U442" s="36"/>
      <c r="V442" s="9">
        <f>ROUND(ROUND(P442, 2)/1.2, 2)</f>
        <v>13.43</v>
      </c>
      <c r="Y442" s="9">
        <f t="shared" si="50"/>
        <v>1797.55</v>
      </c>
      <c r="AD442" s="4" t="s">
        <v>1413</v>
      </c>
      <c r="AE442" s="4" t="s">
        <v>1414</v>
      </c>
      <c r="AF442" s="4" t="s">
        <v>696</v>
      </c>
    </row>
    <row r="443" spans="1:35" ht="36" x14ac:dyDescent="0.3">
      <c r="A443" s="25" t="s">
        <v>1415</v>
      </c>
      <c r="B443" s="25"/>
      <c r="C443" s="17" t="s">
        <v>1416</v>
      </c>
      <c r="D443" s="27"/>
      <c r="E443" s="27" t="s">
        <v>1417</v>
      </c>
      <c r="F443" s="31" t="s">
        <v>64</v>
      </c>
      <c r="G443" s="32">
        <v>1.07</v>
      </c>
      <c r="H443" s="27"/>
      <c r="I443" s="33">
        <v>59.695</v>
      </c>
      <c r="J443" s="34">
        <v>1138.2</v>
      </c>
      <c r="K443" s="35"/>
      <c r="L443" s="35"/>
      <c r="M443" s="34">
        <f>ROUND(ROUND(J443, 2)*I443, 2)</f>
        <v>67944.850000000006</v>
      </c>
      <c r="N443" s="35"/>
      <c r="O443" s="35"/>
      <c r="P443" s="34">
        <v>758</v>
      </c>
      <c r="Q443" s="35"/>
      <c r="R443" s="35"/>
      <c r="S443" s="34">
        <f>ROUND(ROUND(P443, 2)*I443, 2)</f>
        <v>45248.81</v>
      </c>
      <c r="T443" s="35"/>
      <c r="U443" s="36"/>
      <c r="V443" s="9">
        <f>ROUND(ROUND(P443, 2)/1.2, 2)</f>
        <v>631.66999999999996</v>
      </c>
      <c r="Y443" s="9">
        <f t="shared" si="50"/>
        <v>37707.339999999997</v>
      </c>
      <c r="AD443" s="4" t="s">
        <v>1418</v>
      </c>
      <c r="AE443" s="4" t="s">
        <v>1419</v>
      </c>
      <c r="AF443" s="4" t="s">
        <v>1420</v>
      </c>
    </row>
    <row r="444" spans="1:35" ht="54" x14ac:dyDescent="0.3">
      <c r="A444" s="25" t="s">
        <v>1421</v>
      </c>
      <c r="B444" s="25" t="s">
        <v>1367</v>
      </c>
      <c r="C444" s="26" t="s">
        <v>1368</v>
      </c>
      <c r="D444" s="27"/>
      <c r="E444" s="27" t="s">
        <v>1422</v>
      </c>
      <c r="F444" s="27" t="s">
        <v>64</v>
      </c>
      <c r="G444" s="28">
        <v>1</v>
      </c>
      <c r="H444" s="27"/>
      <c r="I444" s="28">
        <v>5.65</v>
      </c>
      <c r="J444" s="29">
        <f>IFERROR(ROUND(SUM(M445,M446,M447)/I444, 2),0)</f>
        <v>1139.74</v>
      </c>
      <c r="K444" s="29">
        <v>2364</v>
      </c>
      <c r="L444" s="29">
        <f>J444+ROUND(K444, 2)</f>
        <v>3503.74</v>
      </c>
      <c r="M444" s="29">
        <f>ROUND(J444*I444, 2)</f>
        <v>6439.53</v>
      </c>
      <c r="N444" s="29">
        <f>ROUND(I444*ROUND(K444, 2), 2)</f>
        <v>13356.6</v>
      </c>
      <c r="O444" s="29">
        <f>M444+N444</f>
        <v>19796.13</v>
      </c>
      <c r="P444" s="29">
        <f>IFERROR(ROUND(SUM(S445,S446,S447)/I444, 2),0)</f>
        <v>810.64</v>
      </c>
      <c r="Q444" s="29">
        <v>2364</v>
      </c>
      <c r="R444" s="29">
        <f>P444+ROUND(Q444, 2)</f>
        <v>3174.64</v>
      </c>
      <c r="S444" s="29">
        <f>ROUND(P444*I444, 2)</f>
        <v>4580.12</v>
      </c>
      <c r="T444" s="29">
        <f>ROUND(I444*ROUND(Q444, 2), 2)</f>
        <v>13356.6</v>
      </c>
      <c r="U444" s="29">
        <f>S444+T444</f>
        <v>17936.72</v>
      </c>
      <c r="V444" s="9">
        <f>ROUND(P444 / 1.2, 2)</f>
        <v>675.53</v>
      </c>
      <c r="W444" s="9">
        <f>ROUND(Q444 / 1.2, 2)</f>
        <v>1970</v>
      </c>
      <c r="X444" s="9">
        <f>ROUND(R444 / 1.2, 2)</f>
        <v>2645.53</v>
      </c>
      <c r="Y444" s="9">
        <f t="shared" si="50"/>
        <v>3816.77</v>
      </c>
      <c r="Z444" s="9">
        <f>ROUND(T444 / 1.2, 2)</f>
        <v>11130.5</v>
      </c>
      <c r="AA444" s="9">
        <f>Y444+Z444</f>
        <v>14947.27</v>
      </c>
      <c r="AD444" s="4">
        <v>298925423</v>
      </c>
      <c r="AE444" s="4">
        <v>19977051</v>
      </c>
      <c r="AG444" s="4" t="s">
        <v>1370</v>
      </c>
      <c r="AH444" s="4" t="s">
        <v>1371</v>
      </c>
      <c r="AI444" s="4" t="s">
        <v>67</v>
      </c>
    </row>
    <row r="445" spans="1:35" ht="36" x14ac:dyDescent="0.3">
      <c r="A445" s="25" t="s">
        <v>1423</v>
      </c>
      <c r="B445" s="25"/>
      <c r="C445" s="17" t="s">
        <v>1424</v>
      </c>
      <c r="D445" s="27"/>
      <c r="E445" s="27" t="s">
        <v>1425</v>
      </c>
      <c r="F445" s="31" t="s">
        <v>64</v>
      </c>
      <c r="G445" s="32">
        <v>1.07</v>
      </c>
      <c r="H445" s="27"/>
      <c r="I445" s="33">
        <v>6.0460000000000003</v>
      </c>
      <c r="J445" s="34">
        <v>1019.55</v>
      </c>
      <c r="K445" s="35"/>
      <c r="L445" s="35"/>
      <c r="M445" s="34">
        <f>ROUND(ROUND(J445, 2)*I445, 2)</f>
        <v>6164.2</v>
      </c>
      <c r="N445" s="35"/>
      <c r="O445" s="35"/>
      <c r="P445" s="34">
        <v>712</v>
      </c>
      <c r="Q445" s="35"/>
      <c r="R445" s="35"/>
      <c r="S445" s="34">
        <f>ROUND(ROUND(P445, 2)*I445, 2)</f>
        <v>4304.75</v>
      </c>
      <c r="T445" s="35"/>
      <c r="U445" s="36"/>
      <c r="V445" s="9">
        <f>ROUND(ROUND(P445, 2)/1.2, 2)</f>
        <v>593.33000000000004</v>
      </c>
      <c r="Y445" s="9">
        <f t="shared" si="50"/>
        <v>3587.29</v>
      </c>
      <c r="AD445" s="4" t="s">
        <v>1426</v>
      </c>
      <c r="AE445" s="4" t="s">
        <v>1427</v>
      </c>
      <c r="AF445" s="4" t="s">
        <v>1428</v>
      </c>
    </row>
    <row r="446" spans="1:35" ht="54" x14ac:dyDescent="0.3">
      <c r="A446" s="25" t="s">
        <v>1429</v>
      </c>
      <c r="B446" s="25"/>
      <c r="C446" s="17" t="s">
        <v>693</v>
      </c>
      <c r="D446" s="27"/>
      <c r="E446" s="27" t="s">
        <v>402</v>
      </c>
      <c r="F446" s="31" t="s">
        <v>70</v>
      </c>
      <c r="G446" s="32">
        <v>1.2</v>
      </c>
      <c r="H446" s="27"/>
      <c r="I446" s="33">
        <v>13.56</v>
      </c>
      <c r="J446" s="34">
        <v>16.11</v>
      </c>
      <c r="K446" s="35"/>
      <c r="L446" s="35"/>
      <c r="M446" s="34">
        <f>ROUND(ROUND(J446, 2)*I446, 2)</f>
        <v>218.45</v>
      </c>
      <c r="N446" s="35"/>
      <c r="O446" s="35"/>
      <c r="P446" s="34">
        <v>16.11</v>
      </c>
      <c r="Q446" s="35"/>
      <c r="R446" s="35"/>
      <c r="S446" s="34">
        <f>ROUND(ROUND(P446, 2)*I446, 2)</f>
        <v>218.45</v>
      </c>
      <c r="T446" s="35"/>
      <c r="U446" s="36"/>
      <c r="V446" s="9">
        <f>ROUND(ROUND(P446, 2)/1.2, 2)</f>
        <v>13.43</v>
      </c>
      <c r="Y446" s="9">
        <f t="shared" si="50"/>
        <v>182.04</v>
      </c>
      <c r="AD446" s="4" t="s">
        <v>1430</v>
      </c>
      <c r="AE446" s="4" t="s">
        <v>1431</v>
      </c>
      <c r="AF446" s="4" t="s">
        <v>696</v>
      </c>
    </row>
    <row r="447" spans="1:35" ht="36" x14ac:dyDescent="0.3">
      <c r="A447" s="25" t="s">
        <v>1432</v>
      </c>
      <c r="B447" s="25"/>
      <c r="C447" s="30" t="s">
        <v>426</v>
      </c>
      <c r="D447" s="27"/>
      <c r="E447" s="27"/>
      <c r="F447" s="31" t="s">
        <v>70</v>
      </c>
      <c r="G447" s="32">
        <v>0.25</v>
      </c>
      <c r="H447" s="27"/>
      <c r="I447" s="33">
        <v>1.413</v>
      </c>
      <c r="J447" s="34">
        <v>40.270000000000003</v>
      </c>
      <c r="K447" s="35"/>
      <c r="L447" s="35"/>
      <c r="M447" s="34">
        <f>ROUND(ROUND(J447, 2)*I447, 2)</f>
        <v>56.9</v>
      </c>
      <c r="N447" s="35"/>
      <c r="O447" s="35"/>
      <c r="P447" s="34">
        <v>40.270000000000003</v>
      </c>
      <c r="Q447" s="35"/>
      <c r="R447" s="35"/>
      <c r="S447" s="34">
        <f>ROUND(ROUND(P447, 2)*I447, 2)</f>
        <v>56.9</v>
      </c>
      <c r="T447" s="35"/>
      <c r="U447" s="36"/>
      <c r="V447" s="9">
        <f>ROUND(ROUND(P447, 2)/1.2, 2)</f>
        <v>33.56</v>
      </c>
      <c r="Y447" s="9">
        <f t="shared" si="50"/>
        <v>47.42</v>
      </c>
      <c r="AD447" s="4" t="s">
        <v>1433</v>
      </c>
      <c r="AE447" s="4" t="s">
        <v>1434</v>
      </c>
      <c r="AF447" s="4" t="s">
        <v>429</v>
      </c>
    </row>
    <row r="448" spans="1:35" ht="54" x14ac:dyDescent="0.3">
      <c r="A448" s="25" t="s">
        <v>1435</v>
      </c>
      <c r="B448" s="25" t="s">
        <v>1367</v>
      </c>
      <c r="C448" s="26" t="s">
        <v>1368</v>
      </c>
      <c r="D448" s="27"/>
      <c r="E448" s="27" t="s">
        <v>1436</v>
      </c>
      <c r="F448" s="27" t="s">
        <v>64</v>
      </c>
      <c r="G448" s="28">
        <v>1</v>
      </c>
      <c r="H448" s="27"/>
      <c r="I448" s="28">
        <v>8.18</v>
      </c>
      <c r="J448" s="29">
        <f>IFERROR(ROUND(SUM(M449,M450,M451,M452)/I448, 2),0)</f>
        <v>1276.92</v>
      </c>
      <c r="K448" s="29">
        <v>2364</v>
      </c>
      <c r="L448" s="29">
        <f>J448+ROUND(K448, 2)</f>
        <v>3640.92</v>
      </c>
      <c r="M448" s="29">
        <f>ROUND(J448*I448, 2)</f>
        <v>10445.209999999999</v>
      </c>
      <c r="N448" s="29">
        <f>ROUND(I448*ROUND(K448, 2), 2)</f>
        <v>19337.52</v>
      </c>
      <c r="O448" s="29">
        <f>M448+N448</f>
        <v>29782.73</v>
      </c>
      <c r="P448" s="29">
        <f>IFERROR(ROUND(SUM(S449,S450,S451,S452)/I448, 2),0)</f>
        <v>790.9</v>
      </c>
      <c r="Q448" s="29">
        <v>2364</v>
      </c>
      <c r="R448" s="29">
        <f>P448+ROUND(Q448, 2)</f>
        <v>3154.9</v>
      </c>
      <c r="S448" s="29">
        <f>ROUND(P448*I448, 2)</f>
        <v>6469.56</v>
      </c>
      <c r="T448" s="29">
        <f>ROUND(I448*ROUND(Q448, 2), 2)</f>
        <v>19337.52</v>
      </c>
      <c r="U448" s="29">
        <f>S448+T448</f>
        <v>25807.08</v>
      </c>
      <c r="V448" s="9">
        <f>ROUND(P448 / 1.2, 2)</f>
        <v>659.08</v>
      </c>
      <c r="W448" s="9">
        <f>ROUND(Q448 / 1.2, 2)</f>
        <v>1970</v>
      </c>
      <c r="X448" s="9">
        <f>ROUND(R448 / 1.2, 2)</f>
        <v>2629.08</v>
      </c>
      <c r="Y448" s="9">
        <f t="shared" si="50"/>
        <v>5391.3</v>
      </c>
      <c r="Z448" s="9">
        <f>ROUND(T448 / 1.2, 2)</f>
        <v>16114.6</v>
      </c>
      <c r="AA448" s="9">
        <f>Y448+Z448</f>
        <v>21505.9</v>
      </c>
      <c r="AD448" s="4">
        <v>298925424</v>
      </c>
      <c r="AE448" s="4">
        <v>19977052</v>
      </c>
      <c r="AG448" s="4" t="s">
        <v>1370</v>
      </c>
      <c r="AH448" s="4" t="s">
        <v>1371</v>
      </c>
      <c r="AI448" s="4" t="s">
        <v>67</v>
      </c>
    </row>
    <row r="449" spans="1:35" ht="36" x14ac:dyDescent="0.3">
      <c r="A449" s="25" t="s">
        <v>1437</v>
      </c>
      <c r="B449" s="25"/>
      <c r="C449" s="30" t="s">
        <v>426</v>
      </c>
      <c r="D449" s="27"/>
      <c r="E449" s="27"/>
      <c r="F449" s="31" t="s">
        <v>70</v>
      </c>
      <c r="G449" s="32">
        <v>0.25</v>
      </c>
      <c r="H449" s="27"/>
      <c r="I449" s="33">
        <v>2.0449999999999999</v>
      </c>
      <c r="J449" s="34">
        <v>40.270000000000003</v>
      </c>
      <c r="K449" s="35"/>
      <c r="L449" s="35"/>
      <c r="M449" s="34">
        <f>ROUND(ROUND(J449, 2)*I449, 2)</f>
        <v>82.35</v>
      </c>
      <c r="N449" s="35"/>
      <c r="O449" s="35"/>
      <c r="P449" s="34">
        <v>40.270000000000003</v>
      </c>
      <c r="Q449" s="35"/>
      <c r="R449" s="35"/>
      <c r="S449" s="34">
        <f>ROUND(ROUND(P449, 2)*I449, 2)</f>
        <v>82.35</v>
      </c>
      <c r="T449" s="35"/>
      <c r="U449" s="36"/>
      <c r="V449" s="9">
        <f>ROUND(ROUND(P449, 2)/1.2, 2)</f>
        <v>33.56</v>
      </c>
      <c r="Y449" s="9">
        <f t="shared" si="50"/>
        <v>68.63</v>
      </c>
      <c r="AD449" s="4" t="s">
        <v>1438</v>
      </c>
      <c r="AE449" s="4" t="s">
        <v>1439</v>
      </c>
      <c r="AF449" s="4" t="s">
        <v>429</v>
      </c>
    </row>
    <row r="450" spans="1:35" ht="36" x14ac:dyDescent="0.3">
      <c r="A450" s="25" t="s">
        <v>1440</v>
      </c>
      <c r="B450" s="25"/>
      <c r="C450" s="30" t="s">
        <v>452</v>
      </c>
      <c r="D450" s="27"/>
      <c r="E450" s="27"/>
      <c r="F450" s="31" t="s">
        <v>70</v>
      </c>
      <c r="G450" s="32">
        <v>0.15</v>
      </c>
      <c r="H450" s="27"/>
      <c r="I450" s="32">
        <v>1.2270000000000001</v>
      </c>
      <c r="J450" s="34">
        <v>68.400000000000006</v>
      </c>
      <c r="K450" s="35"/>
      <c r="L450" s="35"/>
      <c r="M450" s="34">
        <f>ROUND(ROUND(J450, 2)*I450, 2)</f>
        <v>83.93</v>
      </c>
      <c r="N450" s="35"/>
      <c r="O450" s="35"/>
      <c r="P450" s="34">
        <v>68.400000000000006</v>
      </c>
      <c r="Q450" s="35"/>
      <c r="R450" s="35"/>
      <c r="S450" s="34">
        <f>ROUND(ROUND(P450, 2)*I450, 2)</f>
        <v>83.93</v>
      </c>
      <c r="T450" s="35"/>
      <c r="U450" s="36"/>
      <c r="V450" s="9">
        <f>ROUND(ROUND(P450, 2)/1.2, 2)</f>
        <v>57</v>
      </c>
      <c r="Y450" s="9">
        <f t="shared" si="50"/>
        <v>69.94</v>
      </c>
      <c r="AD450" s="4" t="s">
        <v>1441</v>
      </c>
      <c r="AE450" s="4" t="s">
        <v>1442</v>
      </c>
      <c r="AF450" s="4" t="s">
        <v>456</v>
      </c>
    </row>
    <row r="451" spans="1:35" ht="54" x14ac:dyDescent="0.3">
      <c r="A451" s="25" t="s">
        <v>1443</v>
      </c>
      <c r="B451" s="25"/>
      <c r="C451" s="17" t="s">
        <v>693</v>
      </c>
      <c r="D451" s="27"/>
      <c r="E451" s="27" t="s">
        <v>402</v>
      </c>
      <c r="F451" s="31" t="s">
        <v>70</v>
      </c>
      <c r="G451" s="32">
        <v>1.2</v>
      </c>
      <c r="H451" s="27"/>
      <c r="I451" s="33">
        <v>19.632000000000001</v>
      </c>
      <c r="J451" s="34">
        <v>16.11</v>
      </c>
      <c r="K451" s="35"/>
      <c r="L451" s="35"/>
      <c r="M451" s="34">
        <f>ROUND(ROUND(J451, 2)*I451, 2)</f>
        <v>316.27</v>
      </c>
      <c r="N451" s="35"/>
      <c r="O451" s="35"/>
      <c r="P451" s="34">
        <v>16.11</v>
      </c>
      <c r="Q451" s="35"/>
      <c r="R451" s="35"/>
      <c r="S451" s="34">
        <f>ROUND(ROUND(P451, 2)*I451, 2)</f>
        <v>316.27</v>
      </c>
      <c r="T451" s="35"/>
      <c r="U451" s="36"/>
      <c r="V451" s="9">
        <f>ROUND(ROUND(P451, 2)/1.2, 2)</f>
        <v>13.43</v>
      </c>
      <c r="Y451" s="9">
        <f t="shared" si="50"/>
        <v>263.56</v>
      </c>
      <c r="AD451" s="4" t="s">
        <v>1444</v>
      </c>
      <c r="AE451" s="4" t="s">
        <v>1445</v>
      </c>
      <c r="AF451" s="4" t="s">
        <v>696</v>
      </c>
    </row>
    <row r="452" spans="1:35" ht="54" x14ac:dyDescent="0.3">
      <c r="A452" s="25" t="s">
        <v>1446</v>
      </c>
      <c r="B452" s="25"/>
      <c r="C452" s="17" t="s">
        <v>1416</v>
      </c>
      <c r="D452" s="27"/>
      <c r="E452" s="27" t="s">
        <v>1447</v>
      </c>
      <c r="F452" s="31" t="s">
        <v>64</v>
      </c>
      <c r="G452" s="32">
        <v>1.07</v>
      </c>
      <c r="H452" s="27"/>
      <c r="I452" s="33">
        <v>8.7530000000000001</v>
      </c>
      <c r="J452" s="34">
        <v>1138.2</v>
      </c>
      <c r="K452" s="35"/>
      <c r="L452" s="35"/>
      <c r="M452" s="34">
        <f>ROUND(ROUND(J452, 2)*I452, 2)</f>
        <v>9962.66</v>
      </c>
      <c r="N452" s="35"/>
      <c r="O452" s="35"/>
      <c r="P452" s="34">
        <v>684</v>
      </c>
      <c r="Q452" s="35"/>
      <c r="R452" s="35"/>
      <c r="S452" s="34">
        <f>ROUND(ROUND(P452, 2)*I452, 2)</f>
        <v>5987.05</v>
      </c>
      <c r="T452" s="35"/>
      <c r="U452" s="36"/>
      <c r="V452" s="9">
        <f>ROUND(ROUND(P452, 2)/1.2, 2)</f>
        <v>570</v>
      </c>
      <c r="Y452" s="9">
        <f t="shared" si="50"/>
        <v>4989.21</v>
      </c>
      <c r="AD452" s="4" t="s">
        <v>1448</v>
      </c>
      <c r="AE452" s="4" t="s">
        <v>1449</v>
      </c>
      <c r="AF452" s="4" t="s">
        <v>1420</v>
      </c>
    </row>
    <row r="453" spans="1:35" ht="54" x14ac:dyDescent="0.3">
      <c r="A453" s="25" t="s">
        <v>1450</v>
      </c>
      <c r="B453" s="25" t="s">
        <v>1367</v>
      </c>
      <c r="C453" s="26" t="s">
        <v>1368</v>
      </c>
      <c r="D453" s="27"/>
      <c r="E453" s="27" t="s">
        <v>1451</v>
      </c>
      <c r="F453" s="27" t="s">
        <v>64</v>
      </c>
      <c r="G453" s="28">
        <v>1</v>
      </c>
      <c r="H453" s="27"/>
      <c r="I453" s="28">
        <v>175.58</v>
      </c>
      <c r="J453" s="29">
        <f>IFERROR(ROUND(SUM(M454,M455,M456)/I453, 2),0)</f>
        <v>1530.63</v>
      </c>
      <c r="K453" s="29">
        <v>2364</v>
      </c>
      <c r="L453" s="29">
        <f>J453+ROUND(K453, 2)</f>
        <v>3894.63</v>
      </c>
      <c r="M453" s="29">
        <f>ROUND(J453*I453, 2)</f>
        <v>268748.02</v>
      </c>
      <c r="N453" s="29">
        <f>ROUND(I453*ROUND(K453, 2), 2)</f>
        <v>415071.12</v>
      </c>
      <c r="O453" s="29">
        <f>M453+N453</f>
        <v>683819.14</v>
      </c>
      <c r="P453" s="29">
        <f>IFERROR(ROUND(SUM(S454,S455,S456)/I453, 2),0)</f>
        <v>412.53</v>
      </c>
      <c r="Q453" s="29">
        <v>2364</v>
      </c>
      <c r="R453" s="29">
        <f>P453+ROUND(Q453, 2)</f>
        <v>2776.5299999999997</v>
      </c>
      <c r="S453" s="29">
        <f>ROUND(P453*I453, 2)</f>
        <v>72432.02</v>
      </c>
      <c r="T453" s="29">
        <f>ROUND(I453*ROUND(Q453, 2), 2)</f>
        <v>415071.12</v>
      </c>
      <c r="U453" s="29">
        <f>S453+T453</f>
        <v>487503.14</v>
      </c>
      <c r="V453" s="9">
        <f>ROUND(P453 / 1.2, 2)</f>
        <v>343.78</v>
      </c>
      <c r="W453" s="9">
        <f>ROUND(Q453 / 1.2, 2)</f>
        <v>1970</v>
      </c>
      <c r="X453" s="9">
        <f>ROUND(R453 / 1.2, 2)</f>
        <v>2313.7800000000002</v>
      </c>
      <c r="Y453" s="9">
        <f t="shared" si="50"/>
        <v>60360.02</v>
      </c>
      <c r="Z453" s="9">
        <f>ROUND(T453 / 1.2, 2)</f>
        <v>345892.6</v>
      </c>
      <c r="AA453" s="9">
        <f>Y453+Z453</f>
        <v>406252.62</v>
      </c>
      <c r="AD453" s="4">
        <v>298925425</v>
      </c>
      <c r="AE453" s="4">
        <v>19977069</v>
      </c>
      <c r="AG453" s="4" t="s">
        <v>1370</v>
      </c>
      <c r="AH453" s="4" t="s">
        <v>1371</v>
      </c>
      <c r="AI453" s="4" t="s">
        <v>67</v>
      </c>
    </row>
    <row r="454" spans="1:35" ht="36" x14ac:dyDescent="0.3">
      <c r="A454" s="25" t="s">
        <v>1452</v>
      </c>
      <c r="B454" s="25"/>
      <c r="C454" s="17" t="s">
        <v>1390</v>
      </c>
      <c r="D454" s="27"/>
      <c r="E454" s="27" t="s">
        <v>1453</v>
      </c>
      <c r="F454" s="31" t="s">
        <v>64</v>
      </c>
      <c r="G454" s="32">
        <v>1.07</v>
      </c>
      <c r="H454" s="27"/>
      <c r="I454" s="33">
        <v>187.87100000000001</v>
      </c>
      <c r="J454" s="34">
        <v>1384.95</v>
      </c>
      <c r="K454" s="35"/>
      <c r="L454" s="35"/>
      <c r="M454" s="34">
        <f>ROUND(ROUND(J454, 2)*I454, 2)</f>
        <v>260191.94</v>
      </c>
      <c r="N454" s="35"/>
      <c r="O454" s="35"/>
      <c r="P454" s="34">
        <v>340</v>
      </c>
      <c r="Q454" s="35"/>
      <c r="R454" s="35"/>
      <c r="S454" s="34">
        <f>ROUND(ROUND(P454, 2)*I454, 2)</f>
        <v>63876.14</v>
      </c>
      <c r="T454" s="35"/>
      <c r="U454" s="36"/>
      <c r="V454" s="9">
        <f>ROUND(ROUND(P454, 2)/1.2, 2)</f>
        <v>283.33</v>
      </c>
      <c r="Y454" s="9">
        <f t="shared" si="50"/>
        <v>53230.12</v>
      </c>
      <c r="AD454" s="4" t="s">
        <v>1454</v>
      </c>
      <c r="AE454" s="4" t="s">
        <v>1455</v>
      </c>
      <c r="AF454" s="4" t="s">
        <v>1394</v>
      </c>
    </row>
    <row r="455" spans="1:35" ht="54" x14ac:dyDescent="0.3">
      <c r="A455" s="25" t="s">
        <v>1456</v>
      </c>
      <c r="B455" s="25"/>
      <c r="C455" s="17" t="s">
        <v>693</v>
      </c>
      <c r="D455" s="27"/>
      <c r="E455" s="27" t="s">
        <v>402</v>
      </c>
      <c r="F455" s="31" t="s">
        <v>70</v>
      </c>
      <c r="G455" s="32">
        <v>1.2</v>
      </c>
      <c r="H455" s="27"/>
      <c r="I455" s="33">
        <v>421.392</v>
      </c>
      <c r="J455" s="34">
        <v>16.11</v>
      </c>
      <c r="K455" s="35"/>
      <c r="L455" s="35"/>
      <c r="M455" s="34">
        <f>ROUND(ROUND(J455, 2)*I455, 2)</f>
        <v>6788.63</v>
      </c>
      <c r="N455" s="35"/>
      <c r="O455" s="35"/>
      <c r="P455" s="34">
        <v>16.11</v>
      </c>
      <c r="Q455" s="35"/>
      <c r="R455" s="35"/>
      <c r="S455" s="34">
        <f>ROUND(ROUND(P455, 2)*I455, 2)</f>
        <v>6788.63</v>
      </c>
      <c r="T455" s="35"/>
      <c r="U455" s="36"/>
      <c r="V455" s="9">
        <f>ROUND(ROUND(P455, 2)/1.2, 2)</f>
        <v>13.43</v>
      </c>
      <c r="Y455" s="9">
        <f t="shared" ref="Y455:Y486" si="51">ROUND(S455 / 1.2, 2)</f>
        <v>5657.19</v>
      </c>
      <c r="AD455" s="4" t="s">
        <v>1457</v>
      </c>
      <c r="AE455" s="4" t="s">
        <v>1458</v>
      </c>
      <c r="AF455" s="4" t="s">
        <v>696</v>
      </c>
    </row>
    <row r="456" spans="1:35" ht="36" x14ac:dyDescent="0.3">
      <c r="A456" s="25" t="s">
        <v>1459</v>
      </c>
      <c r="B456" s="25"/>
      <c r="C456" s="30" t="s">
        <v>426</v>
      </c>
      <c r="D456" s="27"/>
      <c r="E456" s="27"/>
      <c r="F456" s="31" t="s">
        <v>70</v>
      </c>
      <c r="G456" s="32">
        <v>0.25</v>
      </c>
      <c r="H456" s="27"/>
      <c r="I456" s="33">
        <v>43.895000000000003</v>
      </c>
      <c r="J456" s="34">
        <v>40.270000000000003</v>
      </c>
      <c r="K456" s="35"/>
      <c r="L456" s="35"/>
      <c r="M456" s="34">
        <f>ROUND(ROUND(J456, 2)*I456, 2)</f>
        <v>1767.65</v>
      </c>
      <c r="N456" s="35"/>
      <c r="O456" s="35"/>
      <c r="P456" s="34">
        <v>40.270000000000003</v>
      </c>
      <c r="Q456" s="35"/>
      <c r="R456" s="35"/>
      <c r="S456" s="34">
        <f>ROUND(ROUND(P456, 2)*I456, 2)</f>
        <v>1767.65</v>
      </c>
      <c r="T456" s="35"/>
      <c r="U456" s="36"/>
      <c r="V456" s="9">
        <f>ROUND(ROUND(P456, 2)/1.2, 2)</f>
        <v>33.56</v>
      </c>
      <c r="Y456" s="9">
        <f t="shared" si="51"/>
        <v>1473.04</v>
      </c>
      <c r="AD456" s="4" t="s">
        <v>1460</v>
      </c>
      <c r="AE456" s="4" t="s">
        <v>1461</v>
      </c>
      <c r="AF456" s="4" t="s">
        <v>429</v>
      </c>
    </row>
    <row r="457" spans="1:35" ht="54" x14ac:dyDescent="0.3">
      <c r="A457" s="25" t="s">
        <v>1462</v>
      </c>
      <c r="B457" s="25" t="s">
        <v>1367</v>
      </c>
      <c r="C457" s="26" t="s">
        <v>1368</v>
      </c>
      <c r="D457" s="27"/>
      <c r="E457" s="27" t="s">
        <v>1463</v>
      </c>
      <c r="F457" s="27" t="s">
        <v>64</v>
      </c>
      <c r="G457" s="28">
        <v>1</v>
      </c>
      <c r="H457" s="27"/>
      <c r="I457" s="28">
        <v>400.4</v>
      </c>
      <c r="J457" s="29">
        <f>IFERROR(ROUND(SUM(M458,M459,M460,M461,M462)/I457, 2),0)</f>
        <v>1536.92</v>
      </c>
      <c r="K457" s="29">
        <v>2364</v>
      </c>
      <c r="L457" s="29">
        <f>J457+ROUND(K457, 2)</f>
        <v>3900.92</v>
      </c>
      <c r="M457" s="29">
        <f>ROUND(J457*I457, 2)</f>
        <v>615382.77</v>
      </c>
      <c r="N457" s="29">
        <f>ROUND(I457*ROUND(K457, 2), 2)</f>
        <v>946545.6</v>
      </c>
      <c r="O457" s="29">
        <f>M457+N457</f>
        <v>1561928.37</v>
      </c>
      <c r="P457" s="29">
        <f>IFERROR(ROUND(SUM(S458,S459,S460,S461,S462)/I457, 2),0)</f>
        <v>953.83</v>
      </c>
      <c r="Q457" s="29">
        <v>2364</v>
      </c>
      <c r="R457" s="29">
        <f>P457+ROUND(Q457, 2)</f>
        <v>3317.83</v>
      </c>
      <c r="S457" s="29">
        <f>ROUND(P457*I457, 2)</f>
        <v>381913.53</v>
      </c>
      <c r="T457" s="29">
        <f>ROUND(I457*ROUND(Q457, 2), 2)</f>
        <v>946545.6</v>
      </c>
      <c r="U457" s="29">
        <f>S457+T457</f>
        <v>1328459.1299999999</v>
      </c>
      <c r="V457" s="9">
        <f>ROUND(P457 / 1.2, 2)</f>
        <v>794.86</v>
      </c>
      <c r="W457" s="9">
        <f>ROUND(Q457 / 1.2, 2)</f>
        <v>1970</v>
      </c>
      <c r="X457" s="9">
        <f>ROUND(R457 / 1.2, 2)</f>
        <v>2764.86</v>
      </c>
      <c r="Y457" s="9">
        <f t="shared" si="51"/>
        <v>318261.28000000003</v>
      </c>
      <c r="Z457" s="9">
        <f>ROUND(T457 / 1.2, 2)</f>
        <v>788788</v>
      </c>
      <c r="AA457" s="9">
        <f>Y457+Z457</f>
        <v>1107049.28</v>
      </c>
      <c r="AD457" s="4">
        <v>298925426</v>
      </c>
      <c r="AE457" s="4">
        <v>19977067</v>
      </c>
      <c r="AG457" s="4" t="s">
        <v>1370</v>
      </c>
      <c r="AH457" s="4" t="s">
        <v>1371</v>
      </c>
      <c r="AI457" s="4" t="s">
        <v>67</v>
      </c>
    </row>
    <row r="458" spans="1:35" ht="18" x14ac:dyDescent="0.3">
      <c r="A458" s="25" t="s">
        <v>1464</v>
      </c>
      <c r="B458" s="25"/>
      <c r="C458" s="30" t="s">
        <v>1044</v>
      </c>
      <c r="D458" s="27"/>
      <c r="E458" s="27" t="s">
        <v>1465</v>
      </c>
      <c r="F458" s="31" t="s">
        <v>70</v>
      </c>
      <c r="G458" s="32">
        <v>0.25</v>
      </c>
      <c r="H458" s="27"/>
      <c r="I458" s="33">
        <v>100.1</v>
      </c>
      <c r="J458" s="34">
        <v>40.270000000000003</v>
      </c>
      <c r="K458" s="35"/>
      <c r="L458" s="35"/>
      <c r="M458" s="34">
        <f>ROUND(ROUND(J458, 2)*I458, 2)</f>
        <v>4031.03</v>
      </c>
      <c r="N458" s="35"/>
      <c r="O458" s="35"/>
      <c r="P458" s="34">
        <v>40.270000000000003</v>
      </c>
      <c r="Q458" s="35"/>
      <c r="R458" s="35"/>
      <c r="S458" s="34">
        <f>ROUND(ROUND(P458, 2)*I458, 2)</f>
        <v>4031.03</v>
      </c>
      <c r="T458" s="35"/>
      <c r="U458" s="36"/>
      <c r="V458" s="9">
        <f>ROUND(ROUND(P458, 2)/1.2, 2)</f>
        <v>33.56</v>
      </c>
      <c r="Y458" s="9">
        <f t="shared" si="51"/>
        <v>3359.19</v>
      </c>
      <c r="AD458" s="4" t="s">
        <v>1466</v>
      </c>
      <c r="AE458" s="4" t="s">
        <v>1467</v>
      </c>
      <c r="AF458" s="4" t="s">
        <v>1048</v>
      </c>
    </row>
    <row r="459" spans="1:35" ht="54" x14ac:dyDescent="0.3">
      <c r="A459" s="25" t="s">
        <v>1468</v>
      </c>
      <c r="B459" s="25"/>
      <c r="C459" s="17" t="s">
        <v>693</v>
      </c>
      <c r="D459" s="27"/>
      <c r="E459" s="27" t="s">
        <v>402</v>
      </c>
      <c r="F459" s="31" t="s">
        <v>70</v>
      </c>
      <c r="G459" s="32">
        <v>1.2</v>
      </c>
      <c r="H459" s="27"/>
      <c r="I459" s="33">
        <v>960.96</v>
      </c>
      <c r="J459" s="34">
        <v>16.11</v>
      </c>
      <c r="K459" s="35"/>
      <c r="L459" s="35"/>
      <c r="M459" s="34">
        <f>ROUND(ROUND(J459, 2)*I459, 2)</f>
        <v>15481.07</v>
      </c>
      <c r="N459" s="35"/>
      <c r="O459" s="35"/>
      <c r="P459" s="34">
        <v>16.11</v>
      </c>
      <c r="Q459" s="35"/>
      <c r="R459" s="35"/>
      <c r="S459" s="34">
        <f>ROUND(ROUND(P459, 2)*I459, 2)</f>
        <v>15481.07</v>
      </c>
      <c r="T459" s="35"/>
      <c r="U459" s="36"/>
      <c r="V459" s="9">
        <f>ROUND(ROUND(P459, 2)/1.2, 2)</f>
        <v>13.43</v>
      </c>
      <c r="Y459" s="9">
        <f t="shared" si="51"/>
        <v>12900.89</v>
      </c>
      <c r="AD459" s="4" t="s">
        <v>1469</v>
      </c>
      <c r="AE459" s="4" t="s">
        <v>1470</v>
      </c>
      <c r="AF459" s="4" t="s">
        <v>696</v>
      </c>
    </row>
    <row r="460" spans="1:35" ht="54" x14ac:dyDescent="0.3">
      <c r="A460" s="25" t="s">
        <v>1471</v>
      </c>
      <c r="B460" s="25"/>
      <c r="C460" s="30" t="s">
        <v>1007</v>
      </c>
      <c r="D460" s="27"/>
      <c r="E460" s="27" t="s">
        <v>1472</v>
      </c>
      <c r="F460" s="31" t="s">
        <v>87</v>
      </c>
      <c r="G460" s="32">
        <v>0.23</v>
      </c>
      <c r="H460" s="27"/>
      <c r="I460" s="33">
        <v>13.444000000000001</v>
      </c>
      <c r="J460" s="34">
        <v>97.71</v>
      </c>
      <c r="K460" s="35"/>
      <c r="L460" s="35"/>
      <c r="M460" s="34">
        <f>ROUND(ROUND(J460, 2)*I460, 2)</f>
        <v>1313.61</v>
      </c>
      <c r="N460" s="35"/>
      <c r="O460" s="35"/>
      <c r="P460" s="34">
        <v>97.71</v>
      </c>
      <c r="Q460" s="35"/>
      <c r="R460" s="35"/>
      <c r="S460" s="34">
        <f>ROUND(ROUND(P460, 2)*I460, 2)</f>
        <v>1313.61</v>
      </c>
      <c r="T460" s="35"/>
      <c r="U460" s="36"/>
      <c r="V460" s="9">
        <f>ROUND(ROUND(P460, 2)/1.2, 2)</f>
        <v>81.430000000000007</v>
      </c>
      <c r="Y460" s="9">
        <f t="shared" si="51"/>
        <v>1094.68</v>
      </c>
      <c r="AD460" s="4" t="s">
        <v>1473</v>
      </c>
      <c r="AE460" s="4" t="s">
        <v>1474</v>
      </c>
      <c r="AF460" s="4" t="s">
        <v>1010</v>
      </c>
    </row>
    <row r="461" spans="1:35" ht="54" x14ac:dyDescent="0.3">
      <c r="A461" s="25" t="s">
        <v>1475</v>
      </c>
      <c r="B461" s="25"/>
      <c r="C461" s="17" t="s">
        <v>1476</v>
      </c>
      <c r="D461" s="27"/>
      <c r="E461" s="27" t="s">
        <v>1477</v>
      </c>
      <c r="F461" s="31" t="s">
        <v>87</v>
      </c>
      <c r="G461" s="32">
        <v>0.23</v>
      </c>
      <c r="H461" s="27"/>
      <c r="I461" s="33">
        <v>12.537000000000001</v>
      </c>
      <c r="J461" s="34">
        <v>96.24</v>
      </c>
      <c r="K461" s="35"/>
      <c r="L461" s="35"/>
      <c r="M461" s="34">
        <f>ROUND(ROUND(J461, 2)*I461, 2)</f>
        <v>1206.56</v>
      </c>
      <c r="N461" s="35"/>
      <c r="O461" s="35"/>
      <c r="P461" s="34">
        <v>96.24</v>
      </c>
      <c r="Q461" s="35"/>
      <c r="R461" s="35"/>
      <c r="S461" s="34">
        <f>ROUND(ROUND(P461, 2)*I461, 2)</f>
        <v>1206.56</v>
      </c>
      <c r="T461" s="35"/>
      <c r="U461" s="36"/>
      <c r="V461" s="9">
        <f>ROUND(ROUND(P461, 2)/1.2, 2)</f>
        <v>80.2</v>
      </c>
      <c r="Y461" s="9">
        <f t="shared" si="51"/>
        <v>1005.47</v>
      </c>
      <c r="AD461" s="4" t="s">
        <v>1478</v>
      </c>
      <c r="AE461" s="4" t="s">
        <v>1479</v>
      </c>
      <c r="AF461" s="4" t="s">
        <v>1480</v>
      </c>
    </row>
    <row r="462" spans="1:35" ht="54" x14ac:dyDescent="0.3">
      <c r="A462" s="25" t="s">
        <v>1481</v>
      </c>
      <c r="B462" s="25"/>
      <c r="C462" s="17" t="s">
        <v>1390</v>
      </c>
      <c r="D462" s="27"/>
      <c r="E462" s="27" t="s">
        <v>1482</v>
      </c>
      <c r="F462" s="31" t="s">
        <v>64</v>
      </c>
      <c r="G462" s="32">
        <v>1.07</v>
      </c>
      <c r="H462" s="27"/>
      <c r="I462" s="33">
        <v>428.428</v>
      </c>
      <c r="J462" s="34">
        <v>1384.95</v>
      </c>
      <c r="K462" s="35"/>
      <c r="L462" s="35"/>
      <c r="M462" s="34">
        <f>ROUND(ROUND(J462, 2)*I462, 2)</f>
        <v>593351.36</v>
      </c>
      <c r="N462" s="35"/>
      <c r="O462" s="35"/>
      <c r="P462" s="34">
        <v>840</v>
      </c>
      <c r="Q462" s="35"/>
      <c r="R462" s="35"/>
      <c r="S462" s="34">
        <f>ROUND(ROUND(P462, 2)*I462, 2)</f>
        <v>359879.52</v>
      </c>
      <c r="T462" s="35"/>
      <c r="U462" s="36"/>
      <c r="V462" s="9">
        <f>ROUND(ROUND(P462, 2)/1.2, 2)</f>
        <v>700</v>
      </c>
      <c r="Y462" s="9">
        <f t="shared" si="51"/>
        <v>299899.59999999998</v>
      </c>
      <c r="AD462" s="4" t="s">
        <v>1483</v>
      </c>
      <c r="AE462" s="4" t="s">
        <v>1484</v>
      </c>
      <c r="AF462" s="4" t="s">
        <v>1394</v>
      </c>
    </row>
    <row r="463" spans="1:35" ht="54" x14ac:dyDescent="0.3">
      <c r="A463" s="25" t="s">
        <v>1485</v>
      </c>
      <c r="B463" s="25" t="s">
        <v>1367</v>
      </c>
      <c r="C463" s="26" t="s">
        <v>1368</v>
      </c>
      <c r="D463" s="27"/>
      <c r="E463" s="27" t="s">
        <v>1486</v>
      </c>
      <c r="F463" s="27" t="s">
        <v>64</v>
      </c>
      <c r="G463" s="28">
        <v>1</v>
      </c>
      <c r="H463" s="27"/>
      <c r="I463" s="28">
        <v>158.19</v>
      </c>
      <c r="J463" s="29">
        <f>IFERROR(ROUND(SUM(M464,M465,M466,M467,M468)/I463, 2),0)</f>
        <v>1074.98</v>
      </c>
      <c r="K463" s="29">
        <v>2364</v>
      </c>
      <c r="L463" s="29">
        <f>J463+ROUND(K463, 2)</f>
        <v>3438.98</v>
      </c>
      <c r="M463" s="29">
        <f>ROUND(J463*I463, 2)</f>
        <v>170051.09</v>
      </c>
      <c r="N463" s="29">
        <f>ROUND(I463*ROUND(K463, 2), 2)</f>
        <v>373961.16</v>
      </c>
      <c r="O463" s="29">
        <f>M463+N463</f>
        <v>544012.25</v>
      </c>
      <c r="P463" s="29">
        <f>IFERROR(ROUND(SUM(S464,S465,S466,S467,S468)/I463, 2),0)</f>
        <v>753.98</v>
      </c>
      <c r="Q463" s="29">
        <v>2364</v>
      </c>
      <c r="R463" s="29">
        <f>P463+ROUND(Q463, 2)</f>
        <v>3117.98</v>
      </c>
      <c r="S463" s="29">
        <f>ROUND(P463*I463, 2)</f>
        <v>119272.1</v>
      </c>
      <c r="T463" s="29">
        <f>ROUND(I463*ROUND(Q463, 2), 2)</f>
        <v>373961.16</v>
      </c>
      <c r="U463" s="29">
        <f>S463+T463</f>
        <v>493233.26</v>
      </c>
      <c r="V463" s="9">
        <f>ROUND(P463 / 1.2, 2)</f>
        <v>628.32000000000005</v>
      </c>
      <c r="W463" s="9">
        <f>ROUND(Q463 / 1.2, 2)</f>
        <v>1970</v>
      </c>
      <c r="X463" s="9">
        <f>ROUND(R463 / 1.2, 2)</f>
        <v>2598.3200000000002</v>
      </c>
      <c r="Y463" s="9">
        <f t="shared" si="51"/>
        <v>99393.42</v>
      </c>
      <c r="Z463" s="9">
        <f>ROUND(T463 / 1.2, 2)</f>
        <v>311634.3</v>
      </c>
      <c r="AA463" s="9">
        <f>Y463+Z463</f>
        <v>411027.72</v>
      </c>
      <c r="AD463" s="4">
        <v>298925427</v>
      </c>
      <c r="AE463" s="4">
        <v>19988233</v>
      </c>
      <c r="AG463" s="4" t="s">
        <v>1370</v>
      </c>
      <c r="AH463" s="4" t="s">
        <v>1371</v>
      </c>
      <c r="AI463" s="4" t="s">
        <v>67</v>
      </c>
    </row>
    <row r="464" spans="1:35" ht="54" x14ac:dyDescent="0.3">
      <c r="A464" s="25" t="s">
        <v>1487</v>
      </c>
      <c r="B464" s="25"/>
      <c r="C464" s="17" t="s">
        <v>1382</v>
      </c>
      <c r="D464" s="27"/>
      <c r="E464" s="27" t="s">
        <v>1488</v>
      </c>
      <c r="F464" s="31" t="s">
        <v>64</v>
      </c>
      <c r="G464" s="32">
        <v>1.07</v>
      </c>
      <c r="H464" s="27"/>
      <c r="I464" s="33">
        <v>169.26300000000001</v>
      </c>
      <c r="J464" s="34">
        <v>945</v>
      </c>
      <c r="K464" s="35"/>
      <c r="L464" s="35"/>
      <c r="M464" s="34">
        <f>ROUND(ROUND(J464, 2)*I464, 2)</f>
        <v>159953.54</v>
      </c>
      <c r="N464" s="35"/>
      <c r="O464" s="35"/>
      <c r="P464" s="34">
        <v>645</v>
      </c>
      <c r="Q464" s="35"/>
      <c r="R464" s="35"/>
      <c r="S464" s="34">
        <f>ROUND(ROUND(P464, 2)*I464, 2)</f>
        <v>109174.64</v>
      </c>
      <c r="T464" s="35"/>
      <c r="U464" s="36"/>
      <c r="V464" s="9">
        <f>ROUND(ROUND(P464, 2)/1.2, 2)</f>
        <v>537.5</v>
      </c>
      <c r="Y464" s="9">
        <f t="shared" si="51"/>
        <v>90978.87</v>
      </c>
      <c r="AD464" s="4" t="s">
        <v>1489</v>
      </c>
      <c r="AE464" s="4" t="s">
        <v>1490</v>
      </c>
      <c r="AF464" s="4" t="s">
        <v>1386</v>
      </c>
    </row>
    <row r="465" spans="1:35" ht="72" x14ac:dyDescent="0.3">
      <c r="A465" s="25" t="s">
        <v>1491</v>
      </c>
      <c r="B465" s="25"/>
      <c r="C465" s="17" t="s">
        <v>1476</v>
      </c>
      <c r="D465" s="27"/>
      <c r="E465" s="27" t="s">
        <v>1492</v>
      </c>
      <c r="F465" s="31" t="s">
        <v>87</v>
      </c>
      <c r="G465" s="32">
        <v>0.23</v>
      </c>
      <c r="H465" s="27"/>
      <c r="I465" s="33">
        <v>7.9489999999999998</v>
      </c>
      <c r="J465" s="34">
        <v>96.24</v>
      </c>
      <c r="K465" s="35"/>
      <c r="L465" s="35"/>
      <c r="M465" s="34">
        <f>ROUND(ROUND(J465, 2)*I465, 2)</f>
        <v>765.01</v>
      </c>
      <c r="N465" s="35"/>
      <c r="O465" s="35"/>
      <c r="P465" s="34">
        <v>96.24</v>
      </c>
      <c r="Q465" s="35"/>
      <c r="R465" s="35"/>
      <c r="S465" s="34">
        <f>ROUND(ROUND(P465, 2)*I465, 2)</f>
        <v>765.01</v>
      </c>
      <c r="T465" s="35"/>
      <c r="U465" s="36"/>
      <c r="V465" s="9">
        <f>ROUND(ROUND(P465, 2)/1.2, 2)</f>
        <v>80.2</v>
      </c>
      <c r="Y465" s="9">
        <f t="shared" si="51"/>
        <v>637.51</v>
      </c>
      <c r="AD465" s="4" t="s">
        <v>1493</v>
      </c>
      <c r="AE465" s="4" t="s">
        <v>1494</v>
      </c>
      <c r="AF465" s="4" t="s">
        <v>1480</v>
      </c>
    </row>
    <row r="466" spans="1:35" ht="54" x14ac:dyDescent="0.3">
      <c r="A466" s="25" t="s">
        <v>1495</v>
      </c>
      <c r="B466" s="25"/>
      <c r="C466" s="17" t="s">
        <v>693</v>
      </c>
      <c r="D466" s="27"/>
      <c r="E466" s="27" t="s">
        <v>402</v>
      </c>
      <c r="F466" s="31" t="s">
        <v>70</v>
      </c>
      <c r="G466" s="32">
        <v>1.2</v>
      </c>
      <c r="H466" s="27"/>
      <c r="I466" s="33">
        <v>379.65600000000001</v>
      </c>
      <c r="J466" s="34">
        <v>16.11</v>
      </c>
      <c r="K466" s="35"/>
      <c r="L466" s="35"/>
      <c r="M466" s="34">
        <f>ROUND(ROUND(J466, 2)*I466, 2)</f>
        <v>6116.26</v>
      </c>
      <c r="N466" s="35"/>
      <c r="O466" s="35"/>
      <c r="P466" s="34">
        <v>16.11</v>
      </c>
      <c r="Q466" s="35"/>
      <c r="R466" s="35"/>
      <c r="S466" s="34">
        <f>ROUND(ROUND(P466, 2)*I466, 2)</f>
        <v>6116.26</v>
      </c>
      <c r="T466" s="35"/>
      <c r="U466" s="36"/>
      <c r="V466" s="9">
        <f>ROUND(ROUND(P466, 2)/1.2, 2)</f>
        <v>13.43</v>
      </c>
      <c r="Y466" s="9">
        <f t="shared" si="51"/>
        <v>5096.88</v>
      </c>
      <c r="AD466" s="4" t="s">
        <v>1496</v>
      </c>
      <c r="AE466" s="4" t="s">
        <v>1497</v>
      </c>
      <c r="AF466" s="4" t="s">
        <v>696</v>
      </c>
    </row>
    <row r="467" spans="1:35" ht="36" x14ac:dyDescent="0.3">
      <c r="A467" s="25" t="s">
        <v>1498</v>
      </c>
      <c r="B467" s="25"/>
      <c r="C467" s="30" t="s">
        <v>452</v>
      </c>
      <c r="D467" s="27"/>
      <c r="E467" s="27"/>
      <c r="F467" s="31" t="s">
        <v>70</v>
      </c>
      <c r="G467" s="32">
        <v>0.15</v>
      </c>
      <c r="H467" s="27"/>
      <c r="I467" s="32">
        <v>23.728999999999999</v>
      </c>
      <c r="J467" s="34">
        <v>68.400000000000006</v>
      </c>
      <c r="K467" s="35"/>
      <c r="L467" s="35"/>
      <c r="M467" s="34">
        <f>ROUND(ROUND(J467, 2)*I467, 2)</f>
        <v>1623.06</v>
      </c>
      <c r="N467" s="35"/>
      <c r="O467" s="35"/>
      <c r="P467" s="34">
        <v>68.400000000000006</v>
      </c>
      <c r="Q467" s="35"/>
      <c r="R467" s="35"/>
      <c r="S467" s="34">
        <f>ROUND(ROUND(P467, 2)*I467, 2)</f>
        <v>1623.06</v>
      </c>
      <c r="T467" s="35"/>
      <c r="U467" s="36"/>
      <c r="V467" s="9">
        <f>ROUND(ROUND(P467, 2)/1.2, 2)</f>
        <v>57</v>
      </c>
      <c r="Y467" s="9">
        <f t="shared" si="51"/>
        <v>1352.55</v>
      </c>
      <c r="AD467" s="4" t="s">
        <v>1499</v>
      </c>
      <c r="AE467" s="4" t="s">
        <v>1500</v>
      </c>
      <c r="AF467" s="4" t="s">
        <v>456</v>
      </c>
    </row>
    <row r="468" spans="1:35" ht="36" x14ac:dyDescent="0.3">
      <c r="A468" s="25" t="s">
        <v>1501</v>
      </c>
      <c r="B468" s="25"/>
      <c r="C468" s="30" t="s">
        <v>426</v>
      </c>
      <c r="D468" s="27"/>
      <c r="E468" s="27"/>
      <c r="F468" s="31" t="s">
        <v>70</v>
      </c>
      <c r="G468" s="32">
        <v>0.25</v>
      </c>
      <c r="H468" s="27"/>
      <c r="I468" s="33">
        <v>39.548000000000002</v>
      </c>
      <c r="J468" s="34">
        <v>40.270000000000003</v>
      </c>
      <c r="K468" s="35"/>
      <c r="L468" s="35"/>
      <c r="M468" s="34">
        <f>ROUND(ROUND(J468, 2)*I468, 2)</f>
        <v>1592.6</v>
      </c>
      <c r="N468" s="35"/>
      <c r="O468" s="35"/>
      <c r="P468" s="34">
        <v>40.270000000000003</v>
      </c>
      <c r="Q468" s="35"/>
      <c r="R468" s="35"/>
      <c r="S468" s="34">
        <f>ROUND(ROUND(P468, 2)*I468, 2)</f>
        <v>1592.6</v>
      </c>
      <c r="T468" s="35"/>
      <c r="U468" s="36"/>
      <c r="V468" s="9">
        <f>ROUND(ROUND(P468, 2)/1.2, 2)</f>
        <v>33.56</v>
      </c>
      <c r="Y468" s="9">
        <f t="shared" si="51"/>
        <v>1327.17</v>
      </c>
      <c r="AD468" s="4" t="s">
        <v>1502</v>
      </c>
      <c r="AE468" s="4" t="s">
        <v>1503</v>
      </c>
      <c r="AF468" s="4" t="s">
        <v>429</v>
      </c>
    </row>
    <row r="469" spans="1:35" ht="54" x14ac:dyDescent="0.3">
      <c r="A469" s="25" t="s">
        <v>1504</v>
      </c>
      <c r="B469" s="25" t="s">
        <v>1367</v>
      </c>
      <c r="C469" s="26" t="s">
        <v>1368</v>
      </c>
      <c r="D469" s="27"/>
      <c r="E469" s="27" t="s">
        <v>1505</v>
      </c>
      <c r="F469" s="27" t="s">
        <v>64</v>
      </c>
      <c r="G469" s="28">
        <v>1</v>
      </c>
      <c r="H469" s="27"/>
      <c r="I469" s="28">
        <v>15.27</v>
      </c>
      <c r="J469" s="29">
        <f>IFERROR(ROUND(SUM(M470,M471,M472,M473)/I469, 2),0)</f>
        <v>1540.9</v>
      </c>
      <c r="K469" s="29">
        <v>2364</v>
      </c>
      <c r="L469" s="29">
        <f>J469+ROUND(K469, 2)</f>
        <v>3904.9</v>
      </c>
      <c r="M469" s="29">
        <f>ROUND(J469*I469, 2)</f>
        <v>23529.54</v>
      </c>
      <c r="N469" s="29">
        <f>ROUND(I469*ROUND(K469, 2), 2)</f>
        <v>36098.28</v>
      </c>
      <c r="O469" s="29">
        <f>M469+N469</f>
        <v>59627.82</v>
      </c>
      <c r="P469" s="29">
        <f>IFERROR(ROUND(SUM(S470,S471,S472,S473)/I469, 2),0)</f>
        <v>847.59</v>
      </c>
      <c r="Q469" s="29">
        <v>2364</v>
      </c>
      <c r="R469" s="29">
        <f>P469+ROUND(Q469, 2)</f>
        <v>3211.59</v>
      </c>
      <c r="S469" s="29">
        <f>ROUND(P469*I469, 2)</f>
        <v>12942.7</v>
      </c>
      <c r="T469" s="29">
        <f>ROUND(I469*ROUND(Q469, 2), 2)</f>
        <v>36098.28</v>
      </c>
      <c r="U469" s="29">
        <f>S469+T469</f>
        <v>49040.979999999996</v>
      </c>
      <c r="V469" s="9">
        <f>ROUND(P469 / 1.2, 2)</f>
        <v>706.33</v>
      </c>
      <c r="W469" s="9">
        <f>ROUND(Q469 / 1.2, 2)</f>
        <v>1970</v>
      </c>
      <c r="X469" s="9">
        <f>ROUND(R469 / 1.2, 2)</f>
        <v>2676.33</v>
      </c>
      <c r="Y469" s="9">
        <f t="shared" si="51"/>
        <v>10785.58</v>
      </c>
      <c r="Z469" s="9">
        <f>ROUND(T469 / 1.2, 2)</f>
        <v>30081.9</v>
      </c>
      <c r="AA469" s="9">
        <f>Y469+Z469</f>
        <v>40867.480000000003</v>
      </c>
      <c r="AD469" s="4">
        <v>298925428</v>
      </c>
      <c r="AE469" s="4">
        <v>19988234</v>
      </c>
      <c r="AG469" s="4" t="s">
        <v>1370</v>
      </c>
      <c r="AH469" s="4" t="s">
        <v>1371</v>
      </c>
      <c r="AI469" s="4" t="s">
        <v>67</v>
      </c>
    </row>
    <row r="470" spans="1:35" ht="36" x14ac:dyDescent="0.3">
      <c r="A470" s="25" t="s">
        <v>1506</v>
      </c>
      <c r="B470" s="25"/>
      <c r="C470" s="30" t="s">
        <v>426</v>
      </c>
      <c r="D470" s="27"/>
      <c r="E470" s="27"/>
      <c r="F470" s="31" t="s">
        <v>70</v>
      </c>
      <c r="G470" s="32">
        <v>0.25</v>
      </c>
      <c r="H470" s="27"/>
      <c r="I470" s="33">
        <v>3.8180000000000001</v>
      </c>
      <c r="J470" s="34">
        <v>40.270000000000003</v>
      </c>
      <c r="K470" s="35"/>
      <c r="L470" s="35"/>
      <c r="M470" s="34">
        <f>ROUND(ROUND(J470, 2)*I470, 2)</f>
        <v>153.75</v>
      </c>
      <c r="N470" s="35"/>
      <c r="O470" s="35"/>
      <c r="P470" s="34">
        <v>40.270000000000003</v>
      </c>
      <c r="Q470" s="35"/>
      <c r="R470" s="35"/>
      <c r="S470" s="34">
        <f>ROUND(ROUND(P470, 2)*I470, 2)</f>
        <v>153.75</v>
      </c>
      <c r="T470" s="35"/>
      <c r="U470" s="36"/>
      <c r="V470" s="9">
        <f>ROUND(ROUND(P470, 2)/1.2, 2)</f>
        <v>33.56</v>
      </c>
      <c r="Y470" s="9">
        <f t="shared" si="51"/>
        <v>128.13</v>
      </c>
      <c r="AD470" s="4" t="s">
        <v>1507</v>
      </c>
      <c r="AE470" s="4" t="s">
        <v>1508</v>
      </c>
      <c r="AF470" s="4" t="s">
        <v>429</v>
      </c>
    </row>
    <row r="471" spans="1:35" ht="36" x14ac:dyDescent="0.3">
      <c r="A471" s="25" t="s">
        <v>1509</v>
      </c>
      <c r="B471" s="25"/>
      <c r="C471" s="30" t="s">
        <v>452</v>
      </c>
      <c r="D471" s="27"/>
      <c r="E471" s="27"/>
      <c r="F471" s="31" t="s">
        <v>70</v>
      </c>
      <c r="G471" s="32">
        <v>0.15</v>
      </c>
      <c r="H471" s="27"/>
      <c r="I471" s="32">
        <v>2.2909999999999999</v>
      </c>
      <c r="J471" s="34">
        <v>68.400000000000006</v>
      </c>
      <c r="K471" s="35"/>
      <c r="L471" s="35"/>
      <c r="M471" s="34">
        <f>ROUND(ROUND(J471, 2)*I471, 2)</f>
        <v>156.69999999999999</v>
      </c>
      <c r="N471" s="35"/>
      <c r="O471" s="35"/>
      <c r="P471" s="34">
        <v>68.400000000000006</v>
      </c>
      <c r="Q471" s="35"/>
      <c r="R471" s="35"/>
      <c r="S471" s="34">
        <f>ROUND(ROUND(P471, 2)*I471, 2)</f>
        <v>156.69999999999999</v>
      </c>
      <c r="T471" s="35"/>
      <c r="U471" s="36"/>
      <c r="V471" s="9">
        <f>ROUND(ROUND(P471, 2)/1.2, 2)</f>
        <v>57</v>
      </c>
      <c r="Y471" s="9">
        <f t="shared" si="51"/>
        <v>130.58000000000001</v>
      </c>
      <c r="AD471" s="4" t="s">
        <v>1510</v>
      </c>
      <c r="AE471" s="4" t="s">
        <v>1511</v>
      </c>
      <c r="AF471" s="4" t="s">
        <v>456</v>
      </c>
    </row>
    <row r="472" spans="1:35" ht="54" x14ac:dyDescent="0.3">
      <c r="A472" s="25" t="s">
        <v>1512</v>
      </c>
      <c r="B472" s="25"/>
      <c r="C472" s="17" t="s">
        <v>693</v>
      </c>
      <c r="D472" s="27"/>
      <c r="E472" s="27" t="s">
        <v>402</v>
      </c>
      <c r="F472" s="31" t="s">
        <v>70</v>
      </c>
      <c r="G472" s="32">
        <v>1.2</v>
      </c>
      <c r="H472" s="27"/>
      <c r="I472" s="33">
        <v>36.648000000000003</v>
      </c>
      <c r="J472" s="34">
        <v>16.11</v>
      </c>
      <c r="K472" s="35"/>
      <c r="L472" s="35"/>
      <c r="M472" s="34">
        <f>ROUND(ROUND(J472, 2)*I472, 2)</f>
        <v>590.4</v>
      </c>
      <c r="N472" s="35"/>
      <c r="O472" s="35"/>
      <c r="P472" s="34">
        <v>16.11</v>
      </c>
      <c r="Q472" s="35"/>
      <c r="R472" s="35"/>
      <c r="S472" s="34">
        <f>ROUND(ROUND(P472, 2)*I472, 2)</f>
        <v>590.4</v>
      </c>
      <c r="T472" s="35"/>
      <c r="U472" s="36"/>
      <c r="V472" s="9">
        <f>ROUND(ROUND(P472, 2)/1.2, 2)</f>
        <v>13.43</v>
      </c>
      <c r="Y472" s="9">
        <f t="shared" si="51"/>
        <v>492</v>
      </c>
      <c r="AD472" s="4" t="s">
        <v>1513</v>
      </c>
      <c r="AE472" s="4" t="s">
        <v>1514</v>
      </c>
      <c r="AF472" s="4" t="s">
        <v>696</v>
      </c>
    </row>
    <row r="473" spans="1:35" ht="54" x14ac:dyDescent="0.3">
      <c r="A473" s="25" t="s">
        <v>1515</v>
      </c>
      <c r="B473" s="25"/>
      <c r="C473" s="17" t="s">
        <v>1390</v>
      </c>
      <c r="D473" s="27"/>
      <c r="E473" s="27" t="s">
        <v>1391</v>
      </c>
      <c r="F473" s="31" t="s">
        <v>64</v>
      </c>
      <c r="G473" s="32">
        <v>1.07</v>
      </c>
      <c r="H473" s="27"/>
      <c r="I473" s="33">
        <v>16.338999999999999</v>
      </c>
      <c r="J473" s="34">
        <v>1384.95</v>
      </c>
      <c r="K473" s="35"/>
      <c r="L473" s="35"/>
      <c r="M473" s="34">
        <f>ROUND(ROUND(J473, 2)*I473, 2)</f>
        <v>22628.7</v>
      </c>
      <c r="N473" s="35"/>
      <c r="O473" s="35"/>
      <c r="P473" s="34">
        <v>737</v>
      </c>
      <c r="Q473" s="35"/>
      <c r="R473" s="35"/>
      <c r="S473" s="34">
        <f>ROUND(ROUND(P473, 2)*I473, 2)</f>
        <v>12041.84</v>
      </c>
      <c r="T473" s="35"/>
      <c r="U473" s="36"/>
      <c r="V473" s="9">
        <f>ROUND(ROUND(P473, 2)/1.2, 2)</f>
        <v>614.16999999999996</v>
      </c>
      <c r="Y473" s="9">
        <f t="shared" si="51"/>
        <v>10034.870000000001</v>
      </c>
      <c r="AD473" s="4" t="s">
        <v>1516</v>
      </c>
      <c r="AE473" s="4" t="s">
        <v>1517</v>
      </c>
      <c r="AF473" s="4" t="s">
        <v>1394</v>
      </c>
    </row>
    <row r="474" spans="1:35" ht="54" x14ac:dyDescent="0.3">
      <c r="A474" s="25" t="s">
        <v>1518</v>
      </c>
      <c r="B474" s="25" t="s">
        <v>1367</v>
      </c>
      <c r="C474" s="26" t="s">
        <v>1368</v>
      </c>
      <c r="D474" s="27"/>
      <c r="E474" s="27" t="s">
        <v>1519</v>
      </c>
      <c r="F474" s="27" t="s">
        <v>64</v>
      </c>
      <c r="G474" s="28">
        <v>1</v>
      </c>
      <c r="H474" s="27"/>
      <c r="I474" s="28">
        <v>35.9</v>
      </c>
      <c r="J474" s="29">
        <f>IFERROR(ROUND(SUM(M475,M476,M477,M478)/I474, 2),0)</f>
        <v>1276.8699999999999</v>
      </c>
      <c r="K474" s="29">
        <v>2364</v>
      </c>
      <c r="L474" s="29">
        <f>J474+ROUND(K474, 2)</f>
        <v>3640.87</v>
      </c>
      <c r="M474" s="29">
        <f>ROUND(J474*I474, 2)</f>
        <v>45839.63</v>
      </c>
      <c r="N474" s="29">
        <f>ROUND(I474*ROUND(K474, 2), 2)</f>
        <v>84867.6</v>
      </c>
      <c r="O474" s="29">
        <f>M474+N474</f>
        <v>130707.23000000001</v>
      </c>
      <c r="P474" s="29">
        <f>IFERROR(ROUND(SUM(S475,S476,S477,S478)/I474, 2),0)</f>
        <v>870.05</v>
      </c>
      <c r="Q474" s="29">
        <v>2364</v>
      </c>
      <c r="R474" s="29">
        <f>P474+ROUND(Q474, 2)</f>
        <v>3234.05</v>
      </c>
      <c r="S474" s="29">
        <f>ROUND(P474*I474, 2)</f>
        <v>31234.799999999999</v>
      </c>
      <c r="T474" s="29">
        <f>ROUND(I474*ROUND(Q474, 2), 2)</f>
        <v>84867.6</v>
      </c>
      <c r="U474" s="29">
        <f>S474+T474</f>
        <v>116102.40000000001</v>
      </c>
      <c r="V474" s="9">
        <f>ROUND(P474 / 1.2, 2)</f>
        <v>725.04</v>
      </c>
      <c r="W474" s="9">
        <f>ROUND(Q474 / 1.2, 2)</f>
        <v>1970</v>
      </c>
      <c r="X474" s="9">
        <f>ROUND(R474 / 1.2, 2)</f>
        <v>2695.04</v>
      </c>
      <c r="Y474" s="9">
        <f t="shared" si="51"/>
        <v>26029</v>
      </c>
      <c r="Z474" s="9">
        <f>ROUND(T474 / 1.2, 2)</f>
        <v>70723</v>
      </c>
      <c r="AA474" s="9">
        <f>Y474+Z474</f>
        <v>96752</v>
      </c>
      <c r="AD474" s="4">
        <v>298925429</v>
      </c>
      <c r="AE474" s="4">
        <v>19989017</v>
      </c>
      <c r="AG474" s="4" t="s">
        <v>1370</v>
      </c>
      <c r="AH474" s="4" t="s">
        <v>1371</v>
      </c>
      <c r="AI474" s="4" t="s">
        <v>67</v>
      </c>
    </row>
    <row r="475" spans="1:35" ht="36" x14ac:dyDescent="0.3">
      <c r="A475" s="25" t="s">
        <v>1520</v>
      </c>
      <c r="B475" s="25"/>
      <c r="C475" s="17" t="s">
        <v>1416</v>
      </c>
      <c r="D475" s="27"/>
      <c r="E475" s="27" t="s">
        <v>1417</v>
      </c>
      <c r="F475" s="31" t="s">
        <v>64</v>
      </c>
      <c r="G475" s="32">
        <v>1.07</v>
      </c>
      <c r="H475" s="27"/>
      <c r="I475" s="33">
        <v>38.412999999999997</v>
      </c>
      <c r="J475" s="34">
        <v>1138.2</v>
      </c>
      <c r="K475" s="35"/>
      <c r="L475" s="35"/>
      <c r="M475" s="34">
        <f>ROUND(ROUND(J475, 2)*I475, 2)</f>
        <v>43721.68</v>
      </c>
      <c r="N475" s="35"/>
      <c r="O475" s="35"/>
      <c r="P475" s="34">
        <v>758</v>
      </c>
      <c r="Q475" s="35"/>
      <c r="R475" s="35"/>
      <c r="S475" s="34">
        <f>ROUND(ROUND(P475, 2)*I475, 2)</f>
        <v>29117.05</v>
      </c>
      <c r="T475" s="35"/>
      <c r="U475" s="36"/>
      <c r="V475" s="9">
        <f>ROUND(ROUND(P475, 2)/1.2, 2)</f>
        <v>631.66999999999996</v>
      </c>
      <c r="Y475" s="9">
        <f t="shared" si="51"/>
        <v>24264.21</v>
      </c>
      <c r="AD475" s="4" t="s">
        <v>1521</v>
      </c>
      <c r="AE475" s="4" t="s">
        <v>1522</v>
      </c>
      <c r="AF475" s="4" t="s">
        <v>1420</v>
      </c>
    </row>
    <row r="476" spans="1:35" ht="54" x14ac:dyDescent="0.3">
      <c r="A476" s="25" t="s">
        <v>1523</v>
      </c>
      <c r="B476" s="25"/>
      <c r="C476" s="17" t="s">
        <v>693</v>
      </c>
      <c r="D476" s="27"/>
      <c r="E476" s="27" t="s">
        <v>402</v>
      </c>
      <c r="F476" s="31" t="s">
        <v>70</v>
      </c>
      <c r="G476" s="32">
        <v>1.2</v>
      </c>
      <c r="H476" s="27"/>
      <c r="I476" s="33">
        <v>86.16</v>
      </c>
      <c r="J476" s="34">
        <v>16.11</v>
      </c>
      <c r="K476" s="35"/>
      <c r="L476" s="35"/>
      <c r="M476" s="34">
        <f>ROUND(ROUND(J476, 2)*I476, 2)</f>
        <v>1388.04</v>
      </c>
      <c r="N476" s="35"/>
      <c r="O476" s="35"/>
      <c r="P476" s="34">
        <v>16.11</v>
      </c>
      <c r="Q476" s="35"/>
      <c r="R476" s="35"/>
      <c r="S476" s="34">
        <f>ROUND(ROUND(P476, 2)*I476, 2)</f>
        <v>1388.04</v>
      </c>
      <c r="T476" s="35"/>
      <c r="U476" s="36"/>
      <c r="V476" s="9">
        <f>ROUND(ROUND(P476, 2)/1.2, 2)</f>
        <v>13.43</v>
      </c>
      <c r="Y476" s="9">
        <f t="shared" si="51"/>
        <v>1156.7</v>
      </c>
      <c r="AD476" s="4" t="s">
        <v>1524</v>
      </c>
      <c r="AE476" s="4" t="s">
        <v>1525</v>
      </c>
      <c r="AF476" s="4" t="s">
        <v>696</v>
      </c>
    </row>
    <row r="477" spans="1:35" ht="36" x14ac:dyDescent="0.3">
      <c r="A477" s="25" t="s">
        <v>1526</v>
      </c>
      <c r="B477" s="25"/>
      <c r="C477" s="30" t="s">
        <v>452</v>
      </c>
      <c r="D477" s="27"/>
      <c r="E477" s="27"/>
      <c r="F477" s="31" t="s">
        <v>70</v>
      </c>
      <c r="G477" s="32">
        <v>0.15</v>
      </c>
      <c r="H477" s="27"/>
      <c r="I477" s="32">
        <v>5.3849999999999998</v>
      </c>
      <c r="J477" s="34">
        <v>68.400000000000006</v>
      </c>
      <c r="K477" s="35"/>
      <c r="L477" s="35"/>
      <c r="M477" s="34">
        <f>ROUND(ROUND(J477, 2)*I477, 2)</f>
        <v>368.33</v>
      </c>
      <c r="N477" s="35"/>
      <c r="O477" s="35"/>
      <c r="P477" s="34">
        <v>68.400000000000006</v>
      </c>
      <c r="Q477" s="35"/>
      <c r="R477" s="35"/>
      <c r="S477" s="34">
        <f>ROUND(ROUND(P477, 2)*I477, 2)</f>
        <v>368.33</v>
      </c>
      <c r="T477" s="35"/>
      <c r="U477" s="36"/>
      <c r="V477" s="9">
        <f>ROUND(ROUND(P477, 2)/1.2, 2)</f>
        <v>57</v>
      </c>
      <c r="Y477" s="9">
        <f t="shared" si="51"/>
        <v>306.94</v>
      </c>
      <c r="AD477" s="4" t="s">
        <v>1527</v>
      </c>
      <c r="AE477" s="4" t="s">
        <v>1528</v>
      </c>
      <c r="AF477" s="4" t="s">
        <v>456</v>
      </c>
    </row>
    <row r="478" spans="1:35" ht="36" x14ac:dyDescent="0.3">
      <c r="A478" s="25" t="s">
        <v>1529</v>
      </c>
      <c r="B478" s="25"/>
      <c r="C478" s="30" t="s">
        <v>426</v>
      </c>
      <c r="D478" s="27"/>
      <c r="E478" s="27"/>
      <c r="F478" s="31" t="s">
        <v>70</v>
      </c>
      <c r="G478" s="32">
        <v>0.25</v>
      </c>
      <c r="H478" s="27"/>
      <c r="I478" s="33">
        <v>8.9749999999999996</v>
      </c>
      <c r="J478" s="34">
        <v>40.270000000000003</v>
      </c>
      <c r="K478" s="35"/>
      <c r="L478" s="35"/>
      <c r="M478" s="34">
        <f>ROUND(ROUND(J478, 2)*I478, 2)</f>
        <v>361.42</v>
      </c>
      <c r="N478" s="35"/>
      <c r="O478" s="35"/>
      <c r="P478" s="34">
        <v>40.270000000000003</v>
      </c>
      <c r="Q478" s="35"/>
      <c r="R478" s="35"/>
      <c r="S478" s="34">
        <f>ROUND(ROUND(P478, 2)*I478, 2)</f>
        <v>361.42</v>
      </c>
      <c r="T478" s="35"/>
      <c r="U478" s="36"/>
      <c r="V478" s="9">
        <f>ROUND(ROUND(P478, 2)/1.2, 2)</f>
        <v>33.56</v>
      </c>
      <c r="Y478" s="9">
        <f t="shared" si="51"/>
        <v>301.18</v>
      </c>
      <c r="AD478" s="4" t="s">
        <v>1530</v>
      </c>
      <c r="AE478" s="4" t="s">
        <v>1531</v>
      </c>
      <c r="AF478" s="4" t="s">
        <v>429</v>
      </c>
    </row>
    <row r="479" spans="1:35" ht="54" x14ac:dyDescent="0.3">
      <c r="A479" s="25" t="s">
        <v>1532</v>
      </c>
      <c r="B479" s="25" t="s">
        <v>1367</v>
      </c>
      <c r="C479" s="26" t="s">
        <v>1368</v>
      </c>
      <c r="D479" s="27"/>
      <c r="E479" s="27" t="s">
        <v>1533</v>
      </c>
      <c r="F479" s="27" t="s">
        <v>64</v>
      </c>
      <c r="G479" s="28">
        <v>1</v>
      </c>
      <c r="H479" s="27"/>
      <c r="I479" s="28">
        <v>5.75</v>
      </c>
      <c r="J479" s="29">
        <f>IFERROR(ROUND(SUM(M480,M481,M482,M483)/I479, 2),0)</f>
        <v>1150.01</v>
      </c>
      <c r="K479" s="29">
        <v>2364</v>
      </c>
      <c r="L479" s="29">
        <f>J479+ROUND(K479, 2)</f>
        <v>3514.01</v>
      </c>
      <c r="M479" s="29">
        <f>ROUND(J479*I479, 2)</f>
        <v>6612.56</v>
      </c>
      <c r="N479" s="29">
        <f>ROUND(I479*ROUND(K479, 2), 2)</f>
        <v>13593</v>
      </c>
      <c r="O479" s="29">
        <f>M479+N479</f>
        <v>20205.560000000001</v>
      </c>
      <c r="P479" s="29">
        <f>IFERROR(ROUND(SUM(S480,S481,S482,S483)/I479, 2),0)</f>
        <v>820.9</v>
      </c>
      <c r="Q479" s="29">
        <v>2364</v>
      </c>
      <c r="R479" s="29">
        <f>P479+ROUND(Q479, 2)</f>
        <v>3184.9</v>
      </c>
      <c r="S479" s="29">
        <f>ROUND(P479*I479, 2)</f>
        <v>4720.18</v>
      </c>
      <c r="T479" s="29">
        <f>ROUND(I479*ROUND(Q479, 2), 2)</f>
        <v>13593</v>
      </c>
      <c r="U479" s="29">
        <f>S479+T479</f>
        <v>18313.18</v>
      </c>
      <c r="V479" s="9">
        <f>ROUND(P479 / 1.2, 2)</f>
        <v>684.08</v>
      </c>
      <c r="W479" s="9">
        <f>ROUND(Q479 / 1.2, 2)</f>
        <v>1970</v>
      </c>
      <c r="X479" s="9">
        <f>ROUND(R479 / 1.2, 2)</f>
        <v>2654.08</v>
      </c>
      <c r="Y479" s="9">
        <f t="shared" si="51"/>
        <v>3933.48</v>
      </c>
      <c r="Z479" s="9">
        <f>ROUND(T479 / 1.2, 2)</f>
        <v>11327.5</v>
      </c>
      <c r="AA479" s="9">
        <f>Y479+Z479</f>
        <v>15260.98</v>
      </c>
      <c r="AD479" s="4">
        <v>298925430</v>
      </c>
      <c r="AE479" s="4">
        <v>19989018</v>
      </c>
      <c r="AG479" s="4" t="s">
        <v>1370</v>
      </c>
      <c r="AH479" s="4" t="s">
        <v>1371</v>
      </c>
      <c r="AI479" s="4" t="s">
        <v>67</v>
      </c>
    </row>
    <row r="480" spans="1:35" ht="36" x14ac:dyDescent="0.3">
      <c r="A480" s="25" t="s">
        <v>1534</v>
      </c>
      <c r="B480" s="25"/>
      <c r="C480" s="30" t="s">
        <v>426</v>
      </c>
      <c r="D480" s="27"/>
      <c r="E480" s="27"/>
      <c r="F480" s="31" t="s">
        <v>70</v>
      </c>
      <c r="G480" s="32">
        <v>0.25</v>
      </c>
      <c r="H480" s="27"/>
      <c r="I480" s="33">
        <v>1.4379999999999999</v>
      </c>
      <c r="J480" s="34">
        <v>40.270000000000003</v>
      </c>
      <c r="K480" s="35"/>
      <c r="L480" s="35"/>
      <c r="M480" s="34">
        <f>ROUND(ROUND(J480, 2)*I480, 2)</f>
        <v>57.91</v>
      </c>
      <c r="N480" s="35"/>
      <c r="O480" s="35"/>
      <c r="P480" s="34">
        <v>40.270000000000003</v>
      </c>
      <c r="Q480" s="35"/>
      <c r="R480" s="35"/>
      <c r="S480" s="34">
        <f>ROUND(ROUND(P480, 2)*I480, 2)</f>
        <v>57.91</v>
      </c>
      <c r="T480" s="35"/>
      <c r="U480" s="36"/>
      <c r="V480" s="9">
        <f>ROUND(ROUND(P480, 2)/1.2, 2)</f>
        <v>33.56</v>
      </c>
      <c r="Y480" s="9">
        <f t="shared" si="51"/>
        <v>48.26</v>
      </c>
      <c r="AD480" s="4" t="s">
        <v>1535</v>
      </c>
      <c r="AE480" s="4" t="s">
        <v>1536</v>
      </c>
      <c r="AF480" s="4" t="s">
        <v>429</v>
      </c>
    </row>
    <row r="481" spans="1:35" ht="36" x14ac:dyDescent="0.3">
      <c r="A481" s="25" t="s">
        <v>1537</v>
      </c>
      <c r="B481" s="25"/>
      <c r="C481" s="30" t="s">
        <v>452</v>
      </c>
      <c r="D481" s="27"/>
      <c r="E481" s="27"/>
      <c r="F481" s="31" t="s">
        <v>70</v>
      </c>
      <c r="G481" s="32">
        <v>0.15</v>
      </c>
      <c r="H481" s="27"/>
      <c r="I481" s="32">
        <v>0.86299999999999999</v>
      </c>
      <c r="J481" s="34">
        <v>68.400000000000006</v>
      </c>
      <c r="K481" s="35"/>
      <c r="L481" s="35"/>
      <c r="M481" s="34">
        <f>ROUND(ROUND(J481, 2)*I481, 2)</f>
        <v>59.03</v>
      </c>
      <c r="N481" s="35"/>
      <c r="O481" s="35"/>
      <c r="P481" s="34">
        <v>68.400000000000006</v>
      </c>
      <c r="Q481" s="35"/>
      <c r="R481" s="35"/>
      <c r="S481" s="34">
        <f>ROUND(ROUND(P481, 2)*I481, 2)</f>
        <v>59.03</v>
      </c>
      <c r="T481" s="35"/>
      <c r="U481" s="36"/>
      <c r="V481" s="9">
        <f>ROUND(ROUND(P481, 2)/1.2, 2)</f>
        <v>57</v>
      </c>
      <c r="Y481" s="9">
        <f t="shared" si="51"/>
        <v>49.19</v>
      </c>
      <c r="AD481" s="4" t="s">
        <v>1538</v>
      </c>
      <c r="AE481" s="4" t="s">
        <v>1539</v>
      </c>
      <c r="AF481" s="4" t="s">
        <v>456</v>
      </c>
    </row>
    <row r="482" spans="1:35" ht="54" x14ac:dyDescent="0.3">
      <c r="A482" s="25" t="s">
        <v>1540</v>
      </c>
      <c r="B482" s="25"/>
      <c r="C482" s="17" t="s">
        <v>693</v>
      </c>
      <c r="D482" s="27"/>
      <c r="E482" s="27" t="s">
        <v>402</v>
      </c>
      <c r="F482" s="31" t="s">
        <v>70</v>
      </c>
      <c r="G482" s="32">
        <v>1.2</v>
      </c>
      <c r="H482" s="27"/>
      <c r="I482" s="33">
        <v>13.8</v>
      </c>
      <c r="J482" s="34">
        <v>16.11</v>
      </c>
      <c r="K482" s="35"/>
      <c r="L482" s="35"/>
      <c r="M482" s="34">
        <f>ROUND(ROUND(J482, 2)*I482, 2)</f>
        <v>222.32</v>
      </c>
      <c r="N482" s="35"/>
      <c r="O482" s="35"/>
      <c r="P482" s="34">
        <v>16.11</v>
      </c>
      <c r="Q482" s="35"/>
      <c r="R482" s="35"/>
      <c r="S482" s="34">
        <f>ROUND(ROUND(P482, 2)*I482, 2)</f>
        <v>222.32</v>
      </c>
      <c r="T482" s="35"/>
      <c r="U482" s="36"/>
      <c r="V482" s="9">
        <f>ROUND(ROUND(P482, 2)/1.2, 2)</f>
        <v>13.43</v>
      </c>
      <c r="Y482" s="9">
        <f t="shared" si="51"/>
        <v>185.27</v>
      </c>
      <c r="AD482" s="4" t="s">
        <v>1541</v>
      </c>
      <c r="AE482" s="4" t="s">
        <v>1542</v>
      </c>
      <c r="AF482" s="4" t="s">
        <v>696</v>
      </c>
    </row>
    <row r="483" spans="1:35" ht="36" x14ac:dyDescent="0.3">
      <c r="A483" s="25" t="s">
        <v>1543</v>
      </c>
      <c r="B483" s="25"/>
      <c r="C483" s="17" t="s">
        <v>1424</v>
      </c>
      <c r="D483" s="27"/>
      <c r="E483" s="27" t="s">
        <v>1544</v>
      </c>
      <c r="F483" s="31" t="s">
        <v>64</v>
      </c>
      <c r="G483" s="32">
        <v>1.07</v>
      </c>
      <c r="H483" s="27"/>
      <c r="I483" s="33">
        <v>6.1529999999999996</v>
      </c>
      <c r="J483" s="34">
        <v>1019.55</v>
      </c>
      <c r="K483" s="35"/>
      <c r="L483" s="35"/>
      <c r="M483" s="34">
        <f>ROUND(ROUND(J483, 2)*I483, 2)</f>
        <v>6273.29</v>
      </c>
      <c r="N483" s="35"/>
      <c r="O483" s="35"/>
      <c r="P483" s="34">
        <v>712</v>
      </c>
      <c r="Q483" s="35"/>
      <c r="R483" s="35"/>
      <c r="S483" s="34">
        <f>ROUND(ROUND(P483, 2)*I483, 2)</f>
        <v>4380.9399999999996</v>
      </c>
      <c r="T483" s="35"/>
      <c r="U483" s="36"/>
      <c r="V483" s="9">
        <f>ROUND(ROUND(P483, 2)/1.2, 2)</f>
        <v>593.33000000000004</v>
      </c>
      <c r="Y483" s="9">
        <f t="shared" si="51"/>
        <v>3650.78</v>
      </c>
      <c r="AD483" s="4" t="s">
        <v>1545</v>
      </c>
      <c r="AE483" s="4" t="s">
        <v>1546</v>
      </c>
      <c r="AF483" s="4" t="s">
        <v>1428</v>
      </c>
    </row>
    <row r="484" spans="1:35" ht="54" x14ac:dyDescent="0.3">
      <c r="A484" s="25" t="s">
        <v>1547</v>
      </c>
      <c r="B484" s="25" t="s">
        <v>1367</v>
      </c>
      <c r="C484" s="26" t="s">
        <v>1368</v>
      </c>
      <c r="D484" s="27"/>
      <c r="E484" s="27" t="s">
        <v>1548</v>
      </c>
      <c r="F484" s="27" t="s">
        <v>64</v>
      </c>
      <c r="G484" s="28">
        <v>1</v>
      </c>
      <c r="H484" s="27"/>
      <c r="I484" s="28">
        <v>8.15</v>
      </c>
      <c r="J484" s="29">
        <f>IFERROR(ROUND(SUM(M485,M486,M487,M488)/I484, 2),0)</f>
        <v>1276.94</v>
      </c>
      <c r="K484" s="29">
        <v>2364</v>
      </c>
      <c r="L484" s="29">
        <f>J484+ROUND(K484, 2)</f>
        <v>3640.94</v>
      </c>
      <c r="M484" s="29">
        <f>ROUND(J484*I484, 2)</f>
        <v>10407.06</v>
      </c>
      <c r="N484" s="29">
        <f>ROUND(I484*ROUND(K484, 2), 2)</f>
        <v>19266.599999999999</v>
      </c>
      <c r="O484" s="29">
        <f>M484+N484</f>
        <v>29673.659999999996</v>
      </c>
      <c r="P484" s="29">
        <f>IFERROR(ROUND(SUM(S485,S486,S487,S488)/I484, 2),0)</f>
        <v>790.92</v>
      </c>
      <c r="Q484" s="29">
        <v>2364</v>
      </c>
      <c r="R484" s="29">
        <f>P484+ROUND(Q484, 2)</f>
        <v>3154.92</v>
      </c>
      <c r="S484" s="29">
        <f>ROUND(P484*I484, 2)</f>
        <v>6446</v>
      </c>
      <c r="T484" s="29">
        <f>ROUND(I484*ROUND(Q484, 2), 2)</f>
        <v>19266.599999999999</v>
      </c>
      <c r="U484" s="29">
        <f>S484+T484</f>
        <v>25712.6</v>
      </c>
      <c r="V484" s="9">
        <f>ROUND(P484 / 1.2, 2)</f>
        <v>659.1</v>
      </c>
      <c r="W484" s="9">
        <f>ROUND(Q484 / 1.2, 2)</f>
        <v>1970</v>
      </c>
      <c r="X484" s="9">
        <f>ROUND(R484 / 1.2, 2)</f>
        <v>2629.1</v>
      </c>
      <c r="Y484" s="9">
        <f t="shared" si="51"/>
        <v>5371.67</v>
      </c>
      <c r="Z484" s="9">
        <f>ROUND(T484 / 1.2, 2)</f>
        <v>16055.5</v>
      </c>
      <c r="AA484" s="9">
        <f>Y484+Z484</f>
        <v>21427.17</v>
      </c>
      <c r="AD484" s="4">
        <v>298925431</v>
      </c>
      <c r="AE484" s="4">
        <v>19989019</v>
      </c>
      <c r="AG484" s="4" t="s">
        <v>1370</v>
      </c>
      <c r="AH484" s="4" t="s">
        <v>1371</v>
      </c>
      <c r="AI484" s="4" t="s">
        <v>67</v>
      </c>
    </row>
    <row r="485" spans="1:35" ht="54" x14ac:dyDescent="0.3">
      <c r="A485" s="25" t="s">
        <v>1549</v>
      </c>
      <c r="B485" s="25"/>
      <c r="C485" s="17" t="s">
        <v>1416</v>
      </c>
      <c r="D485" s="27"/>
      <c r="E485" s="27" t="s">
        <v>1447</v>
      </c>
      <c r="F485" s="31" t="s">
        <v>64</v>
      </c>
      <c r="G485" s="32">
        <v>1.07</v>
      </c>
      <c r="H485" s="27"/>
      <c r="I485" s="33">
        <v>8.7210000000000001</v>
      </c>
      <c r="J485" s="34">
        <v>1138.2</v>
      </c>
      <c r="K485" s="35"/>
      <c r="L485" s="35"/>
      <c r="M485" s="34">
        <f>ROUND(ROUND(J485, 2)*I485, 2)</f>
        <v>9926.24</v>
      </c>
      <c r="N485" s="35"/>
      <c r="O485" s="35"/>
      <c r="P485" s="34">
        <v>684</v>
      </c>
      <c r="Q485" s="35"/>
      <c r="R485" s="35"/>
      <c r="S485" s="34">
        <f>ROUND(ROUND(P485, 2)*I485, 2)</f>
        <v>5965.16</v>
      </c>
      <c r="T485" s="35"/>
      <c r="U485" s="36"/>
      <c r="V485" s="9">
        <f>ROUND(ROUND(P485, 2)/1.2, 2)</f>
        <v>570</v>
      </c>
      <c r="Y485" s="9">
        <f t="shared" si="51"/>
        <v>4970.97</v>
      </c>
      <c r="AD485" s="4" t="s">
        <v>1550</v>
      </c>
      <c r="AE485" s="4" t="s">
        <v>1551</v>
      </c>
      <c r="AF485" s="4" t="s">
        <v>1420</v>
      </c>
    </row>
    <row r="486" spans="1:35" ht="54" x14ac:dyDescent="0.3">
      <c r="A486" s="25" t="s">
        <v>1552</v>
      </c>
      <c r="B486" s="25"/>
      <c r="C486" s="17" t="s">
        <v>693</v>
      </c>
      <c r="D486" s="27"/>
      <c r="E486" s="27" t="s">
        <v>402</v>
      </c>
      <c r="F486" s="31" t="s">
        <v>70</v>
      </c>
      <c r="G486" s="32">
        <v>1.2</v>
      </c>
      <c r="H486" s="27"/>
      <c r="I486" s="33">
        <v>19.559999999999999</v>
      </c>
      <c r="J486" s="34">
        <v>16.11</v>
      </c>
      <c r="K486" s="35"/>
      <c r="L486" s="35"/>
      <c r="M486" s="34">
        <f>ROUND(ROUND(J486, 2)*I486, 2)</f>
        <v>315.11</v>
      </c>
      <c r="N486" s="35"/>
      <c r="O486" s="35"/>
      <c r="P486" s="34">
        <v>16.11</v>
      </c>
      <c r="Q486" s="35"/>
      <c r="R486" s="35"/>
      <c r="S486" s="34">
        <f>ROUND(ROUND(P486, 2)*I486, 2)</f>
        <v>315.11</v>
      </c>
      <c r="T486" s="35"/>
      <c r="U486" s="36"/>
      <c r="V486" s="9">
        <f>ROUND(ROUND(P486, 2)/1.2, 2)</f>
        <v>13.43</v>
      </c>
      <c r="Y486" s="9">
        <f t="shared" si="51"/>
        <v>262.58999999999997</v>
      </c>
      <c r="AD486" s="4" t="s">
        <v>1553</v>
      </c>
      <c r="AE486" s="4" t="s">
        <v>1554</v>
      </c>
      <c r="AF486" s="4" t="s">
        <v>696</v>
      </c>
    </row>
    <row r="487" spans="1:35" ht="36" x14ac:dyDescent="0.3">
      <c r="A487" s="25" t="s">
        <v>1555</v>
      </c>
      <c r="B487" s="25"/>
      <c r="C487" s="30" t="s">
        <v>452</v>
      </c>
      <c r="D487" s="27"/>
      <c r="E487" s="27"/>
      <c r="F487" s="31" t="s">
        <v>70</v>
      </c>
      <c r="G487" s="32">
        <v>0.15</v>
      </c>
      <c r="H487" s="27"/>
      <c r="I487" s="32">
        <v>1.2230000000000001</v>
      </c>
      <c r="J487" s="34">
        <v>68.400000000000006</v>
      </c>
      <c r="K487" s="35"/>
      <c r="L487" s="35"/>
      <c r="M487" s="34">
        <f>ROUND(ROUND(J487, 2)*I487, 2)</f>
        <v>83.65</v>
      </c>
      <c r="N487" s="35"/>
      <c r="O487" s="35"/>
      <c r="P487" s="34">
        <v>68.400000000000006</v>
      </c>
      <c r="Q487" s="35"/>
      <c r="R487" s="35"/>
      <c r="S487" s="34">
        <f>ROUND(ROUND(P487, 2)*I487, 2)</f>
        <v>83.65</v>
      </c>
      <c r="T487" s="35"/>
      <c r="U487" s="36"/>
      <c r="V487" s="9">
        <f>ROUND(ROUND(P487, 2)/1.2, 2)</f>
        <v>57</v>
      </c>
      <c r="Y487" s="9">
        <f t="shared" ref="Y487:Y509" si="52">ROUND(S487 / 1.2, 2)</f>
        <v>69.709999999999994</v>
      </c>
      <c r="AD487" s="4" t="s">
        <v>1556</v>
      </c>
      <c r="AE487" s="4" t="s">
        <v>1557</v>
      </c>
      <c r="AF487" s="4" t="s">
        <v>456</v>
      </c>
    </row>
    <row r="488" spans="1:35" ht="36" x14ac:dyDescent="0.3">
      <c r="A488" s="25" t="s">
        <v>1558</v>
      </c>
      <c r="B488" s="25"/>
      <c r="C488" s="30" t="s">
        <v>426</v>
      </c>
      <c r="D488" s="27"/>
      <c r="E488" s="27"/>
      <c r="F488" s="31" t="s">
        <v>70</v>
      </c>
      <c r="G488" s="32">
        <v>0.25</v>
      </c>
      <c r="H488" s="27"/>
      <c r="I488" s="33">
        <v>2.0379999999999998</v>
      </c>
      <c r="J488" s="34">
        <v>40.270000000000003</v>
      </c>
      <c r="K488" s="35"/>
      <c r="L488" s="35"/>
      <c r="M488" s="34">
        <f>ROUND(ROUND(J488, 2)*I488, 2)</f>
        <v>82.07</v>
      </c>
      <c r="N488" s="35"/>
      <c r="O488" s="35"/>
      <c r="P488" s="34">
        <v>40.270000000000003</v>
      </c>
      <c r="Q488" s="35"/>
      <c r="R488" s="35"/>
      <c r="S488" s="34">
        <f>ROUND(ROUND(P488, 2)*I488, 2)</f>
        <v>82.07</v>
      </c>
      <c r="T488" s="35"/>
      <c r="U488" s="36"/>
      <c r="V488" s="9">
        <f>ROUND(ROUND(P488, 2)/1.2, 2)</f>
        <v>33.56</v>
      </c>
      <c r="Y488" s="9">
        <f t="shared" si="52"/>
        <v>68.39</v>
      </c>
      <c r="AD488" s="4" t="s">
        <v>1559</v>
      </c>
      <c r="AE488" s="4" t="s">
        <v>1560</v>
      </c>
      <c r="AF488" s="4" t="s">
        <v>429</v>
      </c>
    </row>
    <row r="489" spans="1:35" ht="54" x14ac:dyDescent="0.3">
      <c r="A489" s="25" t="s">
        <v>1561</v>
      </c>
      <c r="B489" s="25" t="s">
        <v>1367</v>
      </c>
      <c r="C489" s="26" t="s">
        <v>1368</v>
      </c>
      <c r="D489" s="27"/>
      <c r="E489" s="27" t="s">
        <v>1562</v>
      </c>
      <c r="F489" s="27" t="s">
        <v>64</v>
      </c>
      <c r="G489" s="28">
        <v>1</v>
      </c>
      <c r="H489" s="27"/>
      <c r="I489" s="28">
        <v>127.34</v>
      </c>
      <c r="J489" s="29">
        <f>IFERROR(ROUND(SUM(M490,M491,M492,M493)/I489, 2),0)</f>
        <v>1540.89</v>
      </c>
      <c r="K489" s="29">
        <v>2364</v>
      </c>
      <c r="L489" s="29">
        <f>J489+ROUND(K489, 2)</f>
        <v>3904.8900000000003</v>
      </c>
      <c r="M489" s="29">
        <f>ROUND(J489*I489, 2)</f>
        <v>196216.93</v>
      </c>
      <c r="N489" s="29">
        <f>ROUND(I489*ROUND(K489, 2), 2)</f>
        <v>301031.76</v>
      </c>
      <c r="O489" s="29">
        <f>M489+N489</f>
        <v>497248.69</v>
      </c>
      <c r="P489" s="29">
        <f>IFERROR(ROUND(SUM(S490,S491,S492,S493)/I489, 2),0)</f>
        <v>422.79</v>
      </c>
      <c r="Q489" s="29">
        <v>2364</v>
      </c>
      <c r="R489" s="29">
        <f>P489+ROUND(Q489, 2)</f>
        <v>2786.79</v>
      </c>
      <c r="S489" s="29">
        <f>ROUND(P489*I489, 2)</f>
        <v>53838.080000000002</v>
      </c>
      <c r="T489" s="29">
        <f>ROUND(I489*ROUND(Q489, 2), 2)</f>
        <v>301031.76</v>
      </c>
      <c r="U489" s="29">
        <f>S489+T489</f>
        <v>354869.84</v>
      </c>
      <c r="V489" s="9">
        <f>ROUND(P489 / 1.2, 2)</f>
        <v>352.33</v>
      </c>
      <c r="W489" s="9">
        <f>ROUND(Q489 / 1.2, 2)</f>
        <v>1970</v>
      </c>
      <c r="X489" s="9">
        <f>ROUND(R489 / 1.2, 2)</f>
        <v>2322.33</v>
      </c>
      <c r="Y489" s="9">
        <f t="shared" si="52"/>
        <v>44865.07</v>
      </c>
      <c r="Z489" s="9">
        <f>ROUND(T489 / 1.2, 2)</f>
        <v>250859.8</v>
      </c>
      <c r="AA489" s="9">
        <f>Y489+Z489</f>
        <v>295724.87</v>
      </c>
      <c r="AD489" s="4">
        <v>298925432</v>
      </c>
      <c r="AE489" s="4">
        <v>19989020</v>
      </c>
      <c r="AG489" s="4" t="s">
        <v>1370</v>
      </c>
      <c r="AH489" s="4" t="s">
        <v>1371</v>
      </c>
      <c r="AI489" s="4" t="s">
        <v>67</v>
      </c>
    </row>
    <row r="490" spans="1:35" ht="36" x14ac:dyDescent="0.3">
      <c r="A490" s="25" t="s">
        <v>1563</v>
      </c>
      <c r="B490" s="25"/>
      <c r="C490" s="30" t="s">
        <v>426</v>
      </c>
      <c r="D490" s="27"/>
      <c r="E490" s="27"/>
      <c r="F490" s="31" t="s">
        <v>70</v>
      </c>
      <c r="G490" s="32">
        <v>0.25</v>
      </c>
      <c r="H490" s="27"/>
      <c r="I490" s="33">
        <v>31.835000000000001</v>
      </c>
      <c r="J490" s="34">
        <v>40.270000000000003</v>
      </c>
      <c r="K490" s="35"/>
      <c r="L490" s="35"/>
      <c r="M490" s="34">
        <f>ROUND(ROUND(J490, 2)*I490, 2)</f>
        <v>1282</v>
      </c>
      <c r="N490" s="35"/>
      <c r="O490" s="35"/>
      <c r="P490" s="34">
        <v>40.270000000000003</v>
      </c>
      <c r="Q490" s="35"/>
      <c r="R490" s="35"/>
      <c r="S490" s="34">
        <f>ROUND(ROUND(P490, 2)*I490, 2)</f>
        <v>1282</v>
      </c>
      <c r="T490" s="35"/>
      <c r="U490" s="36"/>
      <c r="V490" s="9">
        <f>ROUND(ROUND(P490, 2)/1.2, 2)</f>
        <v>33.56</v>
      </c>
      <c r="Y490" s="9">
        <f t="shared" si="52"/>
        <v>1068.33</v>
      </c>
      <c r="AD490" s="4" t="s">
        <v>1564</v>
      </c>
      <c r="AE490" s="4" t="s">
        <v>1565</v>
      </c>
      <c r="AF490" s="4" t="s">
        <v>429</v>
      </c>
    </row>
    <row r="491" spans="1:35" ht="36" x14ac:dyDescent="0.3">
      <c r="A491" s="25" t="s">
        <v>1566</v>
      </c>
      <c r="B491" s="25"/>
      <c r="C491" s="30" t="s">
        <v>452</v>
      </c>
      <c r="D491" s="27"/>
      <c r="E491" s="27"/>
      <c r="F491" s="31" t="s">
        <v>70</v>
      </c>
      <c r="G491" s="32">
        <v>0.15</v>
      </c>
      <c r="H491" s="27"/>
      <c r="I491" s="32">
        <v>19.100999999999999</v>
      </c>
      <c r="J491" s="34">
        <v>68.400000000000006</v>
      </c>
      <c r="K491" s="35"/>
      <c r="L491" s="35"/>
      <c r="M491" s="34">
        <f>ROUND(ROUND(J491, 2)*I491, 2)</f>
        <v>1306.51</v>
      </c>
      <c r="N491" s="35"/>
      <c r="O491" s="35"/>
      <c r="P491" s="34">
        <v>68.400000000000006</v>
      </c>
      <c r="Q491" s="35"/>
      <c r="R491" s="35"/>
      <c r="S491" s="34">
        <f>ROUND(ROUND(P491, 2)*I491, 2)</f>
        <v>1306.51</v>
      </c>
      <c r="T491" s="35"/>
      <c r="U491" s="36"/>
      <c r="V491" s="9">
        <f>ROUND(ROUND(P491, 2)/1.2, 2)</f>
        <v>57</v>
      </c>
      <c r="Y491" s="9">
        <f t="shared" si="52"/>
        <v>1088.76</v>
      </c>
      <c r="AD491" s="4" t="s">
        <v>1567</v>
      </c>
      <c r="AE491" s="4" t="s">
        <v>1568</v>
      </c>
      <c r="AF491" s="4" t="s">
        <v>456</v>
      </c>
    </row>
    <row r="492" spans="1:35" ht="54" x14ac:dyDescent="0.3">
      <c r="A492" s="25" t="s">
        <v>1569</v>
      </c>
      <c r="B492" s="25"/>
      <c r="C492" s="17" t="s">
        <v>693</v>
      </c>
      <c r="D492" s="27"/>
      <c r="E492" s="27" t="s">
        <v>402</v>
      </c>
      <c r="F492" s="31" t="s">
        <v>70</v>
      </c>
      <c r="G492" s="32">
        <v>1.2</v>
      </c>
      <c r="H492" s="27"/>
      <c r="I492" s="33">
        <v>305.61599999999999</v>
      </c>
      <c r="J492" s="34">
        <v>16.11</v>
      </c>
      <c r="K492" s="35"/>
      <c r="L492" s="35"/>
      <c r="M492" s="34">
        <f>ROUND(ROUND(J492, 2)*I492, 2)</f>
        <v>4923.47</v>
      </c>
      <c r="N492" s="35"/>
      <c r="O492" s="35"/>
      <c r="P492" s="34">
        <v>16.11</v>
      </c>
      <c r="Q492" s="35"/>
      <c r="R492" s="35"/>
      <c r="S492" s="34">
        <f>ROUND(ROUND(P492, 2)*I492, 2)</f>
        <v>4923.47</v>
      </c>
      <c r="T492" s="35"/>
      <c r="U492" s="36"/>
      <c r="V492" s="9">
        <f>ROUND(ROUND(P492, 2)/1.2, 2)</f>
        <v>13.43</v>
      </c>
      <c r="Y492" s="9">
        <f t="shared" si="52"/>
        <v>4102.8900000000003</v>
      </c>
      <c r="AD492" s="4" t="s">
        <v>1570</v>
      </c>
      <c r="AE492" s="4" t="s">
        <v>1571</v>
      </c>
      <c r="AF492" s="4" t="s">
        <v>696</v>
      </c>
    </row>
    <row r="493" spans="1:35" ht="36" x14ac:dyDescent="0.3">
      <c r="A493" s="25" t="s">
        <v>1572</v>
      </c>
      <c r="B493" s="25"/>
      <c r="C493" s="17" t="s">
        <v>1390</v>
      </c>
      <c r="D493" s="27"/>
      <c r="E493" s="27" t="s">
        <v>1573</v>
      </c>
      <c r="F493" s="31" t="s">
        <v>64</v>
      </c>
      <c r="G493" s="32">
        <v>1.07</v>
      </c>
      <c r="H493" s="27"/>
      <c r="I493" s="33">
        <v>136.25399999999999</v>
      </c>
      <c r="J493" s="34">
        <v>1384.95</v>
      </c>
      <c r="K493" s="35"/>
      <c r="L493" s="35"/>
      <c r="M493" s="34">
        <f>ROUND(ROUND(J493, 2)*I493, 2)</f>
        <v>188704.98</v>
      </c>
      <c r="N493" s="35"/>
      <c r="O493" s="35"/>
      <c r="P493" s="34">
        <v>340</v>
      </c>
      <c r="Q493" s="35"/>
      <c r="R493" s="35"/>
      <c r="S493" s="34">
        <f>ROUND(ROUND(P493, 2)*I493, 2)</f>
        <v>46326.36</v>
      </c>
      <c r="T493" s="35"/>
      <c r="U493" s="36"/>
      <c r="V493" s="9">
        <f>ROUND(ROUND(P493, 2)/1.2, 2)</f>
        <v>283.33</v>
      </c>
      <c r="Y493" s="9">
        <f t="shared" si="52"/>
        <v>38605.300000000003</v>
      </c>
      <c r="AD493" s="4" t="s">
        <v>1574</v>
      </c>
      <c r="AE493" s="4" t="s">
        <v>1575</v>
      </c>
      <c r="AF493" s="4" t="s">
        <v>1394</v>
      </c>
    </row>
    <row r="494" spans="1:35" ht="54" x14ac:dyDescent="0.3">
      <c r="A494" s="25" t="s">
        <v>1576</v>
      </c>
      <c r="B494" s="25" t="s">
        <v>1367</v>
      </c>
      <c r="C494" s="26" t="s">
        <v>1368</v>
      </c>
      <c r="D494" s="27"/>
      <c r="E494" s="27" t="s">
        <v>1577</v>
      </c>
      <c r="F494" s="27" t="s">
        <v>64</v>
      </c>
      <c r="G494" s="28">
        <v>1</v>
      </c>
      <c r="H494" s="27"/>
      <c r="I494" s="28">
        <v>351.08</v>
      </c>
      <c r="J494" s="29">
        <f>IFERROR(ROUND(SUM(M495,M496,M497,M498,M499)/I494, 2),0)</f>
        <v>1552.24</v>
      </c>
      <c r="K494" s="29">
        <v>2364</v>
      </c>
      <c r="L494" s="29">
        <f>J494+ROUND(K494, 2)</f>
        <v>3916.24</v>
      </c>
      <c r="M494" s="29">
        <f>ROUND(J494*I494, 2)</f>
        <v>544960.42000000004</v>
      </c>
      <c r="N494" s="29">
        <f>ROUND(I494*ROUND(K494, 2), 2)</f>
        <v>829953.12</v>
      </c>
      <c r="O494" s="29">
        <f>M494+N494</f>
        <v>1374913.54</v>
      </c>
      <c r="P494" s="29">
        <f>IFERROR(ROUND(SUM(S495,S496,S497,S498,S499)/I494, 2),0)</f>
        <v>965.93</v>
      </c>
      <c r="Q494" s="29">
        <v>2364</v>
      </c>
      <c r="R494" s="29">
        <f>P494+ROUND(Q494, 2)</f>
        <v>3329.93</v>
      </c>
      <c r="S494" s="29">
        <f>ROUND(P494*I494, 2)</f>
        <v>339118.7</v>
      </c>
      <c r="T494" s="29">
        <f>ROUND(I494*ROUND(Q494, 2), 2)</f>
        <v>829953.12</v>
      </c>
      <c r="U494" s="29">
        <f>S494+T494</f>
        <v>1169071.82</v>
      </c>
      <c r="V494" s="9">
        <f>ROUND(P494 / 1.2, 2)</f>
        <v>804.94</v>
      </c>
      <c r="W494" s="9">
        <f>ROUND(Q494 / 1.2, 2)</f>
        <v>1970</v>
      </c>
      <c r="X494" s="9">
        <f>ROUND(R494 / 1.2, 2)</f>
        <v>2774.94</v>
      </c>
      <c r="Y494" s="9">
        <f t="shared" si="52"/>
        <v>282598.92</v>
      </c>
      <c r="Z494" s="9">
        <f>ROUND(T494 / 1.2, 2)</f>
        <v>691627.6</v>
      </c>
      <c r="AA494" s="9">
        <f>Y494+Z494</f>
        <v>974226.52</v>
      </c>
      <c r="AD494" s="4">
        <v>298925433</v>
      </c>
      <c r="AE494" s="4">
        <v>19989016</v>
      </c>
      <c r="AG494" s="4" t="s">
        <v>1370</v>
      </c>
      <c r="AH494" s="4" t="s">
        <v>1371</v>
      </c>
      <c r="AI494" s="4" t="s">
        <v>67</v>
      </c>
    </row>
    <row r="495" spans="1:35" ht="54" x14ac:dyDescent="0.3">
      <c r="A495" s="25" t="s">
        <v>1578</v>
      </c>
      <c r="B495" s="25"/>
      <c r="C495" s="17" t="s">
        <v>1390</v>
      </c>
      <c r="D495" s="27"/>
      <c r="E495" s="27" t="s">
        <v>1482</v>
      </c>
      <c r="F495" s="31" t="s">
        <v>64</v>
      </c>
      <c r="G495" s="32">
        <v>1.07</v>
      </c>
      <c r="H495" s="27"/>
      <c r="I495" s="33">
        <v>375.65600000000001</v>
      </c>
      <c r="J495" s="34">
        <v>1384.95</v>
      </c>
      <c r="K495" s="35"/>
      <c r="L495" s="35"/>
      <c r="M495" s="34">
        <f>ROUND(ROUND(J495, 2)*I495, 2)</f>
        <v>520264.78</v>
      </c>
      <c r="N495" s="35"/>
      <c r="O495" s="35"/>
      <c r="P495" s="34">
        <v>837</v>
      </c>
      <c r="Q495" s="35"/>
      <c r="R495" s="35"/>
      <c r="S495" s="34">
        <f>ROUND(ROUND(P495, 2)*I495, 2)</f>
        <v>314424.07</v>
      </c>
      <c r="T495" s="35"/>
      <c r="U495" s="36"/>
      <c r="V495" s="9">
        <f>ROUND(ROUND(P495, 2)/1.2, 2)</f>
        <v>697.5</v>
      </c>
      <c r="Y495" s="9">
        <f t="shared" si="52"/>
        <v>262020.06</v>
      </c>
      <c r="AD495" s="4" t="s">
        <v>1579</v>
      </c>
      <c r="AE495" s="4" t="s">
        <v>1580</v>
      </c>
      <c r="AF495" s="4" t="s">
        <v>1394</v>
      </c>
    </row>
    <row r="496" spans="1:35" ht="54" x14ac:dyDescent="0.3">
      <c r="A496" s="25" t="s">
        <v>1581</v>
      </c>
      <c r="B496" s="25"/>
      <c r="C496" s="17" t="s">
        <v>1476</v>
      </c>
      <c r="D496" s="27"/>
      <c r="E496" s="27" t="s">
        <v>1472</v>
      </c>
      <c r="F496" s="31" t="s">
        <v>87</v>
      </c>
      <c r="G496" s="32">
        <v>0.23</v>
      </c>
      <c r="H496" s="27"/>
      <c r="I496" s="33">
        <v>17.728000000000002</v>
      </c>
      <c r="J496" s="34">
        <v>96.24</v>
      </c>
      <c r="K496" s="35"/>
      <c r="L496" s="35"/>
      <c r="M496" s="34">
        <f>ROUND(ROUND(J496, 2)*I496, 2)</f>
        <v>1706.14</v>
      </c>
      <c r="N496" s="35"/>
      <c r="O496" s="35"/>
      <c r="P496" s="34">
        <v>96.24</v>
      </c>
      <c r="Q496" s="35"/>
      <c r="R496" s="35"/>
      <c r="S496" s="34">
        <f>ROUND(ROUND(P496, 2)*I496, 2)</f>
        <v>1706.14</v>
      </c>
      <c r="T496" s="35"/>
      <c r="U496" s="36"/>
      <c r="V496" s="9">
        <f>ROUND(ROUND(P496, 2)/1.2, 2)</f>
        <v>80.2</v>
      </c>
      <c r="Y496" s="9">
        <f t="shared" si="52"/>
        <v>1421.78</v>
      </c>
      <c r="AD496" s="4" t="s">
        <v>1582</v>
      </c>
      <c r="AE496" s="4" t="s">
        <v>1583</v>
      </c>
      <c r="AF496" s="4" t="s">
        <v>1480</v>
      </c>
    </row>
    <row r="497" spans="1:35" ht="54" x14ac:dyDescent="0.3">
      <c r="A497" s="25" t="s">
        <v>1584</v>
      </c>
      <c r="B497" s="25"/>
      <c r="C497" s="17" t="s">
        <v>693</v>
      </c>
      <c r="D497" s="27"/>
      <c r="E497" s="27" t="s">
        <v>402</v>
      </c>
      <c r="F497" s="31" t="s">
        <v>70</v>
      </c>
      <c r="G497" s="32">
        <v>1.2</v>
      </c>
      <c r="H497" s="27"/>
      <c r="I497" s="33">
        <v>842.59199999999998</v>
      </c>
      <c r="J497" s="34">
        <v>16.11</v>
      </c>
      <c r="K497" s="35"/>
      <c r="L497" s="35"/>
      <c r="M497" s="34">
        <f>ROUND(ROUND(J497, 2)*I497, 2)</f>
        <v>13574.16</v>
      </c>
      <c r="N497" s="35"/>
      <c r="O497" s="35"/>
      <c r="P497" s="34">
        <v>16.11</v>
      </c>
      <c r="Q497" s="35"/>
      <c r="R497" s="35"/>
      <c r="S497" s="34">
        <f>ROUND(ROUND(P497, 2)*I497, 2)</f>
        <v>13574.16</v>
      </c>
      <c r="T497" s="35"/>
      <c r="U497" s="36"/>
      <c r="V497" s="9">
        <f>ROUND(ROUND(P497, 2)/1.2, 2)</f>
        <v>13.43</v>
      </c>
      <c r="Y497" s="9">
        <f t="shared" si="52"/>
        <v>11311.8</v>
      </c>
      <c r="AD497" s="4" t="s">
        <v>1585</v>
      </c>
      <c r="AE497" s="4" t="s">
        <v>1586</v>
      </c>
      <c r="AF497" s="4" t="s">
        <v>696</v>
      </c>
    </row>
    <row r="498" spans="1:35" ht="36" x14ac:dyDescent="0.3">
      <c r="A498" s="25" t="s">
        <v>1587</v>
      </c>
      <c r="B498" s="25"/>
      <c r="C498" s="30" t="s">
        <v>452</v>
      </c>
      <c r="D498" s="27"/>
      <c r="E498" s="27"/>
      <c r="F498" s="31" t="s">
        <v>70</v>
      </c>
      <c r="G498" s="32">
        <v>0.15</v>
      </c>
      <c r="H498" s="27"/>
      <c r="I498" s="32">
        <v>52.661999999999999</v>
      </c>
      <c r="J498" s="34">
        <v>68.400000000000006</v>
      </c>
      <c r="K498" s="35"/>
      <c r="L498" s="35"/>
      <c r="M498" s="34">
        <f>ROUND(ROUND(J498, 2)*I498, 2)</f>
        <v>3602.08</v>
      </c>
      <c r="N498" s="35"/>
      <c r="O498" s="35"/>
      <c r="P498" s="34">
        <v>68.400000000000006</v>
      </c>
      <c r="Q498" s="35"/>
      <c r="R498" s="35"/>
      <c r="S498" s="34">
        <f>ROUND(ROUND(P498, 2)*I498, 2)</f>
        <v>3602.08</v>
      </c>
      <c r="T498" s="35"/>
      <c r="U498" s="36"/>
      <c r="V498" s="9">
        <f>ROUND(ROUND(P498, 2)/1.2, 2)</f>
        <v>57</v>
      </c>
      <c r="Y498" s="9">
        <f t="shared" si="52"/>
        <v>3001.73</v>
      </c>
      <c r="AD498" s="4" t="s">
        <v>1588</v>
      </c>
      <c r="AE498" s="4" t="s">
        <v>1589</v>
      </c>
      <c r="AF498" s="4" t="s">
        <v>456</v>
      </c>
    </row>
    <row r="499" spans="1:35" ht="18" x14ac:dyDescent="0.3">
      <c r="A499" s="25" t="s">
        <v>1590</v>
      </c>
      <c r="B499" s="25"/>
      <c r="C499" s="30" t="s">
        <v>1591</v>
      </c>
      <c r="D499" s="27"/>
      <c r="E499" s="27" t="s">
        <v>1592</v>
      </c>
      <c r="F499" s="31" t="s">
        <v>70</v>
      </c>
      <c r="G499" s="32">
        <v>0.25</v>
      </c>
      <c r="H499" s="27"/>
      <c r="I499" s="33">
        <v>87.77</v>
      </c>
      <c r="J499" s="34">
        <v>66.23</v>
      </c>
      <c r="K499" s="35"/>
      <c r="L499" s="35"/>
      <c r="M499" s="34">
        <f>ROUND(ROUND(J499, 2)*I499, 2)</f>
        <v>5813.01</v>
      </c>
      <c r="N499" s="35"/>
      <c r="O499" s="35"/>
      <c r="P499" s="34">
        <v>66.23</v>
      </c>
      <c r="Q499" s="35"/>
      <c r="R499" s="35"/>
      <c r="S499" s="34">
        <f>ROUND(ROUND(P499, 2)*I499, 2)</f>
        <v>5813.01</v>
      </c>
      <c r="T499" s="35"/>
      <c r="U499" s="36"/>
      <c r="V499" s="9">
        <f>ROUND(ROUND(P499, 2)/1.2, 2)</f>
        <v>55.19</v>
      </c>
      <c r="Y499" s="9">
        <f t="shared" si="52"/>
        <v>4844.18</v>
      </c>
      <c r="AD499" s="4" t="s">
        <v>1593</v>
      </c>
      <c r="AE499" s="4" t="s">
        <v>1594</v>
      </c>
      <c r="AF499" s="4" t="s">
        <v>1595</v>
      </c>
    </row>
    <row r="500" spans="1:35" ht="54" x14ac:dyDescent="0.3">
      <c r="A500" s="25" t="s">
        <v>1596</v>
      </c>
      <c r="B500" s="25" t="s">
        <v>1597</v>
      </c>
      <c r="C500" s="26" t="s">
        <v>1598</v>
      </c>
      <c r="D500" s="27"/>
      <c r="E500" s="27" t="s">
        <v>1599</v>
      </c>
      <c r="F500" s="27" t="s">
        <v>64</v>
      </c>
      <c r="G500" s="28">
        <v>1</v>
      </c>
      <c r="H500" s="27"/>
      <c r="I500" s="28">
        <v>3.87</v>
      </c>
      <c r="J500" s="29">
        <f>IFERROR(ROUND(SUM(M501,M502,M503,M504)/I500, 2),0)</f>
        <v>2285.84</v>
      </c>
      <c r="K500" s="29">
        <v>2983</v>
      </c>
      <c r="L500" s="29">
        <f>J500+ROUND(K500, 2)</f>
        <v>5268.84</v>
      </c>
      <c r="M500" s="29">
        <f>ROUND(J500*I500, 2)</f>
        <v>8846.2000000000007</v>
      </c>
      <c r="N500" s="29">
        <f>ROUND(I500*ROUND(K500, 2), 2)</f>
        <v>11544.21</v>
      </c>
      <c r="O500" s="29">
        <f>M500+N500</f>
        <v>20390.41</v>
      </c>
      <c r="P500" s="29">
        <f>IFERROR(ROUND(SUM(S501,S502,S503,S504)/I500, 2),0)</f>
        <v>1404.3</v>
      </c>
      <c r="Q500" s="29">
        <v>2983</v>
      </c>
      <c r="R500" s="29">
        <f>P500+ROUND(Q500, 2)</f>
        <v>4387.3</v>
      </c>
      <c r="S500" s="29">
        <f>ROUND(P500*I500, 2)</f>
        <v>5434.64</v>
      </c>
      <c r="T500" s="29">
        <f>ROUND(I500*ROUND(Q500, 2), 2)</f>
        <v>11544.21</v>
      </c>
      <c r="U500" s="29">
        <f>S500+T500</f>
        <v>16978.849999999999</v>
      </c>
      <c r="V500" s="9">
        <f>ROUND(P500 / 1.2, 2)</f>
        <v>1170.25</v>
      </c>
      <c r="W500" s="9">
        <f>ROUND(Q500 / 1.2, 2)</f>
        <v>2485.83</v>
      </c>
      <c r="X500" s="9">
        <f>ROUND(R500 / 1.2, 2)</f>
        <v>3656.08</v>
      </c>
      <c r="Y500" s="9">
        <f t="shared" si="52"/>
        <v>4528.87</v>
      </c>
      <c r="Z500" s="9">
        <f>ROUND(T500 / 1.2, 2)</f>
        <v>9620.18</v>
      </c>
      <c r="AA500" s="9">
        <f>Y500+Z500</f>
        <v>14149.05</v>
      </c>
      <c r="AD500" s="4">
        <v>298925321</v>
      </c>
      <c r="AE500" s="4">
        <v>19977068</v>
      </c>
      <c r="AG500" s="4" t="s">
        <v>1600</v>
      </c>
      <c r="AH500" s="4" t="s">
        <v>1601</v>
      </c>
      <c r="AI500" s="4" t="s">
        <v>67</v>
      </c>
    </row>
    <row r="501" spans="1:35" ht="54" x14ac:dyDescent="0.3">
      <c r="A501" s="25" t="s">
        <v>1602</v>
      </c>
      <c r="B501" s="25"/>
      <c r="C501" s="30" t="s">
        <v>1603</v>
      </c>
      <c r="D501" s="27"/>
      <c r="E501" s="27" t="s">
        <v>1604</v>
      </c>
      <c r="F501" s="31" t="s">
        <v>64</v>
      </c>
      <c r="G501" s="32">
        <v>1.1000000000000001</v>
      </c>
      <c r="H501" s="27"/>
      <c r="I501" s="33">
        <v>4.2569999999999997</v>
      </c>
      <c r="J501" s="34">
        <v>2024.4</v>
      </c>
      <c r="K501" s="35"/>
      <c r="L501" s="35"/>
      <c r="M501" s="34">
        <f>ROUND(ROUND(J501, 2)*I501, 2)</f>
        <v>8617.8700000000008</v>
      </c>
      <c r="N501" s="35"/>
      <c r="O501" s="35"/>
      <c r="P501" s="34">
        <v>1223</v>
      </c>
      <c r="Q501" s="35"/>
      <c r="R501" s="35"/>
      <c r="S501" s="34">
        <f>ROUND(ROUND(P501, 2)*I501, 2)</f>
        <v>5206.3100000000004</v>
      </c>
      <c r="T501" s="35"/>
      <c r="U501" s="36"/>
      <c r="V501" s="9">
        <f>ROUND(ROUND(P501, 2)/1.2, 2)</f>
        <v>1019.17</v>
      </c>
      <c r="Y501" s="9">
        <f t="shared" si="52"/>
        <v>4338.59</v>
      </c>
      <c r="AD501" s="4" t="s">
        <v>1605</v>
      </c>
      <c r="AE501" s="4" t="s">
        <v>1606</v>
      </c>
      <c r="AF501" s="4" t="s">
        <v>1607</v>
      </c>
    </row>
    <row r="502" spans="1:35" ht="54" x14ac:dyDescent="0.3">
      <c r="A502" s="25" t="s">
        <v>1608</v>
      </c>
      <c r="B502" s="25"/>
      <c r="C502" s="17" t="s">
        <v>693</v>
      </c>
      <c r="D502" s="27"/>
      <c r="E502" s="27" t="s">
        <v>402</v>
      </c>
      <c r="F502" s="31" t="s">
        <v>70</v>
      </c>
      <c r="G502" s="32">
        <v>1.2</v>
      </c>
      <c r="H502" s="27"/>
      <c r="I502" s="33">
        <v>9.2880000000000003</v>
      </c>
      <c r="J502" s="34">
        <v>16.11</v>
      </c>
      <c r="K502" s="35"/>
      <c r="L502" s="35"/>
      <c r="M502" s="34">
        <f>ROUND(ROUND(J502, 2)*I502, 2)</f>
        <v>149.63</v>
      </c>
      <c r="N502" s="35"/>
      <c r="O502" s="35"/>
      <c r="P502" s="34">
        <v>16.11</v>
      </c>
      <c r="Q502" s="35"/>
      <c r="R502" s="35"/>
      <c r="S502" s="34">
        <f>ROUND(ROUND(P502, 2)*I502, 2)</f>
        <v>149.63</v>
      </c>
      <c r="T502" s="35"/>
      <c r="U502" s="36"/>
      <c r="V502" s="9">
        <f>ROUND(ROUND(P502, 2)/1.2, 2)</f>
        <v>13.43</v>
      </c>
      <c r="Y502" s="9">
        <f t="shared" si="52"/>
        <v>124.69</v>
      </c>
      <c r="AD502" s="4" t="s">
        <v>1609</v>
      </c>
      <c r="AE502" s="4" t="s">
        <v>1610</v>
      </c>
      <c r="AF502" s="4" t="s">
        <v>696</v>
      </c>
    </row>
    <row r="503" spans="1:35" ht="36" x14ac:dyDescent="0.3">
      <c r="A503" s="25" t="s">
        <v>1611</v>
      </c>
      <c r="B503" s="25"/>
      <c r="C503" s="30" t="s">
        <v>426</v>
      </c>
      <c r="D503" s="27"/>
      <c r="E503" s="27"/>
      <c r="F503" s="31" t="s">
        <v>70</v>
      </c>
      <c r="G503" s="32">
        <v>0.25</v>
      </c>
      <c r="H503" s="27"/>
      <c r="I503" s="33">
        <v>0.96799999999999997</v>
      </c>
      <c r="J503" s="34">
        <v>40.270000000000003</v>
      </c>
      <c r="K503" s="35"/>
      <c r="L503" s="35"/>
      <c r="M503" s="34">
        <f>ROUND(ROUND(J503, 2)*I503, 2)</f>
        <v>38.979999999999997</v>
      </c>
      <c r="N503" s="35"/>
      <c r="O503" s="35"/>
      <c r="P503" s="34">
        <v>40.270000000000003</v>
      </c>
      <c r="Q503" s="35"/>
      <c r="R503" s="35"/>
      <c r="S503" s="34">
        <f>ROUND(ROUND(P503, 2)*I503, 2)</f>
        <v>38.979999999999997</v>
      </c>
      <c r="T503" s="35"/>
      <c r="U503" s="36"/>
      <c r="V503" s="9">
        <f>ROUND(ROUND(P503, 2)/1.2, 2)</f>
        <v>33.56</v>
      </c>
      <c r="Y503" s="9">
        <f t="shared" si="52"/>
        <v>32.479999999999997</v>
      </c>
      <c r="AD503" s="4" t="s">
        <v>1612</v>
      </c>
      <c r="AE503" s="4" t="s">
        <v>1613</v>
      </c>
      <c r="AF503" s="4" t="s">
        <v>429</v>
      </c>
    </row>
    <row r="504" spans="1:35" ht="36" x14ac:dyDescent="0.3">
      <c r="A504" s="25" t="s">
        <v>1614</v>
      </c>
      <c r="B504" s="25"/>
      <c r="C504" s="30" t="s">
        <v>452</v>
      </c>
      <c r="D504" s="27"/>
      <c r="E504" s="27"/>
      <c r="F504" s="31" t="s">
        <v>70</v>
      </c>
      <c r="G504" s="32">
        <v>0.15</v>
      </c>
      <c r="H504" s="27"/>
      <c r="I504" s="32">
        <v>0.58099999999999996</v>
      </c>
      <c r="J504" s="34">
        <v>68.400000000000006</v>
      </c>
      <c r="K504" s="35"/>
      <c r="L504" s="35"/>
      <c r="M504" s="34">
        <f>ROUND(ROUND(J504, 2)*I504, 2)</f>
        <v>39.74</v>
      </c>
      <c r="N504" s="35"/>
      <c r="O504" s="35"/>
      <c r="P504" s="34">
        <v>68.400000000000006</v>
      </c>
      <c r="Q504" s="35"/>
      <c r="R504" s="35"/>
      <c r="S504" s="34">
        <f>ROUND(ROUND(P504, 2)*I504, 2)</f>
        <v>39.74</v>
      </c>
      <c r="T504" s="35"/>
      <c r="U504" s="36"/>
      <c r="V504" s="9">
        <f>ROUND(ROUND(P504, 2)/1.2, 2)</f>
        <v>57</v>
      </c>
      <c r="Y504" s="9">
        <f t="shared" si="52"/>
        <v>33.119999999999997</v>
      </c>
      <c r="AD504" s="4" t="s">
        <v>1615</v>
      </c>
      <c r="AE504" s="4" t="s">
        <v>1616</v>
      </c>
      <c r="AF504" s="4" t="s">
        <v>456</v>
      </c>
    </row>
    <row r="505" spans="1:35" ht="54" x14ac:dyDescent="0.3">
      <c r="A505" s="25" t="s">
        <v>1617</v>
      </c>
      <c r="B505" s="25" t="s">
        <v>1597</v>
      </c>
      <c r="C505" s="26" t="s">
        <v>1598</v>
      </c>
      <c r="D505" s="27"/>
      <c r="E505" s="27" t="s">
        <v>1618</v>
      </c>
      <c r="F505" s="27" t="s">
        <v>64</v>
      </c>
      <c r="G505" s="28">
        <v>1</v>
      </c>
      <c r="H505" s="27"/>
      <c r="I505" s="28">
        <v>4.41</v>
      </c>
      <c r="J505" s="29">
        <f>IFERROR(ROUND(SUM(M506,M507,M508,M509)/I505, 2),0)</f>
        <v>1000.5</v>
      </c>
      <c r="K505" s="29">
        <v>2983</v>
      </c>
      <c r="L505" s="29">
        <f>J505+ROUND(K505, 2)</f>
        <v>3983.5</v>
      </c>
      <c r="M505" s="29">
        <f>ROUND(J505*I505, 2)</f>
        <v>4412.21</v>
      </c>
      <c r="N505" s="29">
        <f>ROUND(I505*ROUND(K505, 2), 2)</f>
        <v>13155.03</v>
      </c>
      <c r="O505" s="29">
        <f>M505+N505</f>
        <v>17567.240000000002</v>
      </c>
      <c r="P505" s="29">
        <f>IFERROR(ROUND(SUM(S506,S507,S508,S509)/I505, 2),0)</f>
        <v>1000.5</v>
      </c>
      <c r="Q505" s="29">
        <v>2983</v>
      </c>
      <c r="R505" s="29">
        <f>P505+ROUND(Q505, 2)</f>
        <v>3983.5</v>
      </c>
      <c r="S505" s="29">
        <f>ROUND(P505*I505, 2)</f>
        <v>4412.21</v>
      </c>
      <c r="T505" s="29">
        <f>ROUND(I505*ROUND(Q505, 2), 2)</f>
        <v>13155.03</v>
      </c>
      <c r="U505" s="29">
        <f>S505+T505</f>
        <v>17567.240000000002</v>
      </c>
      <c r="V505" s="9">
        <f>ROUND(P505 / 1.2, 2)</f>
        <v>833.75</v>
      </c>
      <c r="W505" s="9">
        <f>ROUND(Q505 / 1.2, 2)</f>
        <v>2485.83</v>
      </c>
      <c r="X505" s="9">
        <f>ROUND(R505 / 1.2, 2)</f>
        <v>3319.58</v>
      </c>
      <c r="Y505" s="9">
        <f t="shared" si="52"/>
        <v>3676.84</v>
      </c>
      <c r="Z505" s="9">
        <f>ROUND(T505 / 1.2, 2)</f>
        <v>10962.53</v>
      </c>
      <c r="AA505" s="9">
        <f>Y505+Z505</f>
        <v>14639.37</v>
      </c>
      <c r="AD505" s="4">
        <v>298925434</v>
      </c>
      <c r="AE505" s="4">
        <v>19989082</v>
      </c>
      <c r="AG505" s="4" t="s">
        <v>1600</v>
      </c>
      <c r="AH505" s="4" t="s">
        <v>1601</v>
      </c>
      <c r="AI505" s="4" t="s">
        <v>67</v>
      </c>
    </row>
    <row r="506" spans="1:35" ht="36" x14ac:dyDescent="0.3">
      <c r="A506" s="25" t="s">
        <v>1619</v>
      </c>
      <c r="B506" s="25"/>
      <c r="C506" s="30" t="s">
        <v>452</v>
      </c>
      <c r="D506" s="27"/>
      <c r="E506" s="27"/>
      <c r="F506" s="31" t="s">
        <v>70</v>
      </c>
      <c r="G506" s="32">
        <v>0.15</v>
      </c>
      <c r="H506" s="27"/>
      <c r="I506" s="32">
        <v>0.66200000000000003</v>
      </c>
      <c r="J506" s="34">
        <v>68.400000000000006</v>
      </c>
      <c r="K506" s="35"/>
      <c r="L506" s="35"/>
      <c r="M506" s="34">
        <f>ROUND(ROUND(J506, 2)*I506, 2)</f>
        <v>45.28</v>
      </c>
      <c r="N506" s="35"/>
      <c r="O506" s="35"/>
      <c r="P506" s="34">
        <v>68.400000000000006</v>
      </c>
      <c r="Q506" s="35"/>
      <c r="R506" s="35"/>
      <c r="S506" s="34">
        <f>ROUND(ROUND(P506, 2)*I506, 2)</f>
        <v>45.28</v>
      </c>
      <c r="T506" s="35"/>
      <c r="U506" s="36"/>
      <c r="V506" s="9">
        <f>ROUND(ROUND(P506, 2)/1.2, 2)</f>
        <v>57</v>
      </c>
      <c r="Y506" s="9">
        <f t="shared" si="52"/>
        <v>37.729999999999997</v>
      </c>
      <c r="AD506" s="4" t="s">
        <v>1620</v>
      </c>
      <c r="AE506" s="4" t="s">
        <v>1621</v>
      </c>
      <c r="AF506" s="4" t="s">
        <v>456</v>
      </c>
    </row>
    <row r="507" spans="1:35" ht="18" x14ac:dyDescent="0.3">
      <c r="A507" s="25" t="s">
        <v>1622</v>
      </c>
      <c r="B507" s="25"/>
      <c r="C507" s="30" t="s">
        <v>1591</v>
      </c>
      <c r="D507" s="27"/>
      <c r="E507" s="27"/>
      <c r="F507" s="31" t="s">
        <v>70</v>
      </c>
      <c r="G507" s="32">
        <v>0.25</v>
      </c>
      <c r="H507" s="27"/>
      <c r="I507" s="33">
        <v>1.103</v>
      </c>
      <c r="J507" s="34">
        <v>66.23</v>
      </c>
      <c r="K507" s="35"/>
      <c r="L507" s="35"/>
      <c r="M507" s="34">
        <f>ROUND(ROUND(J507, 2)*I507, 2)</f>
        <v>73.05</v>
      </c>
      <c r="N507" s="35"/>
      <c r="O507" s="35"/>
      <c r="P507" s="34">
        <v>66.23</v>
      </c>
      <c r="Q507" s="35"/>
      <c r="R507" s="35"/>
      <c r="S507" s="34">
        <f>ROUND(ROUND(P507, 2)*I507, 2)</f>
        <v>73.05</v>
      </c>
      <c r="T507" s="35"/>
      <c r="U507" s="36"/>
      <c r="V507" s="9">
        <f>ROUND(ROUND(P507, 2)/1.2, 2)</f>
        <v>55.19</v>
      </c>
      <c r="Y507" s="9">
        <f t="shared" si="52"/>
        <v>60.88</v>
      </c>
      <c r="AD507" s="4" t="s">
        <v>1623</v>
      </c>
      <c r="AE507" s="4" t="s">
        <v>1624</v>
      </c>
      <c r="AF507" s="4" t="s">
        <v>1595</v>
      </c>
    </row>
    <row r="508" spans="1:35" ht="54" x14ac:dyDescent="0.3">
      <c r="A508" s="25" t="s">
        <v>1625</v>
      </c>
      <c r="B508" s="25"/>
      <c r="C508" s="17" t="s">
        <v>693</v>
      </c>
      <c r="D508" s="27"/>
      <c r="E508" s="27" t="s">
        <v>402</v>
      </c>
      <c r="F508" s="31" t="s">
        <v>70</v>
      </c>
      <c r="G508" s="32">
        <v>1.2</v>
      </c>
      <c r="H508" s="27"/>
      <c r="I508" s="33">
        <v>10.584</v>
      </c>
      <c r="J508" s="34">
        <v>16.11</v>
      </c>
      <c r="K508" s="35"/>
      <c r="L508" s="35"/>
      <c r="M508" s="34">
        <f>ROUND(ROUND(J508, 2)*I508, 2)</f>
        <v>170.51</v>
      </c>
      <c r="N508" s="35"/>
      <c r="O508" s="35"/>
      <c r="P508" s="34">
        <v>16.11</v>
      </c>
      <c r="Q508" s="35"/>
      <c r="R508" s="35"/>
      <c r="S508" s="34">
        <f>ROUND(ROUND(P508, 2)*I508, 2)</f>
        <v>170.51</v>
      </c>
      <c r="T508" s="35"/>
      <c r="U508" s="36"/>
      <c r="V508" s="9">
        <f>ROUND(ROUND(P508, 2)/1.2, 2)</f>
        <v>13.43</v>
      </c>
      <c r="Y508" s="9">
        <f t="shared" si="52"/>
        <v>142.09</v>
      </c>
      <c r="AD508" s="4" t="s">
        <v>1626</v>
      </c>
      <c r="AE508" s="4" t="s">
        <v>1627</v>
      </c>
      <c r="AF508" s="4" t="s">
        <v>696</v>
      </c>
    </row>
    <row r="509" spans="1:35" ht="54" x14ac:dyDescent="0.3">
      <c r="A509" s="25" t="s">
        <v>1628</v>
      </c>
      <c r="B509" s="25"/>
      <c r="C509" s="17" t="s">
        <v>512</v>
      </c>
      <c r="D509" s="27"/>
      <c r="E509" s="27" t="s">
        <v>1629</v>
      </c>
      <c r="F509" s="31" t="s">
        <v>64</v>
      </c>
      <c r="G509" s="32">
        <v>1.1000000000000001</v>
      </c>
      <c r="H509" s="27"/>
      <c r="I509" s="33">
        <v>4.851</v>
      </c>
      <c r="J509" s="34">
        <v>850</v>
      </c>
      <c r="K509" s="35"/>
      <c r="L509" s="35"/>
      <c r="M509" s="34">
        <f>ROUND(ROUND(J509, 2)*I509, 2)</f>
        <v>4123.3500000000004</v>
      </c>
      <c r="N509" s="35"/>
      <c r="O509" s="35"/>
      <c r="P509" s="34">
        <v>850</v>
      </c>
      <c r="Q509" s="35"/>
      <c r="R509" s="35"/>
      <c r="S509" s="34">
        <f>ROUND(ROUND(P509, 2)*I509, 2)</f>
        <v>4123.3500000000004</v>
      </c>
      <c r="T509" s="35"/>
      <c r="U509" s="36"/>
      <c r="V509" s="9">
        <f>ROUND(ROUND(P509, 2)/1.2, 2)</f>
        <v>708.33</v>
      </c>
      <c r="Y509" s="9">
        <f t="shared" si="52"/>
        <v>3436.13</v>
      </c>
      <c r="AD509" s="4" t="s">
        <v>1630</v>
      </c>
      <c r="AE509" s="4" t="s">
        <v>1631</v>
      </c>
      <c r="AF509" s="4" t="s">
        <v>516</v>
      </c>
    </row>
    <row r="510" spans="1:35" ht="16.95" customHeight="1" x14ac:dyDescent="0.3">
      <c r="A510" s="10" t="s">
        <v>1632</v>
      </c>
      <c r="B510" s="10" t="s">
        <v>1633</v>
      </c>
      <c r="C510" s="352" t="s">
        <v>1634</v>
      </c>
      <c r="D510" s="353"/>
      <c r="E510" s="353"/>
      <c r="F510" s="353"/>
      <c r="G510" s="353"/>
      <c r="H510" s="353"/>
      <c r="I510" s="354"/>
      <c r="M510" s="6">
        <f>SUM(M511,M519,M527,M535,M539,M542,M548,M551,M561,M565,M569,M577,M582,M587,M592,M596,M601)</f>
        <v>1200076.26</v>
      </c>
      <c r="N510" s="6">
        <f>SUM(N511,N519,N527,N535,N539,N542,N548,N551,N561,N565,N569,N577,N582,N587,N592,N596,N601)</f>
        <v>3206950.7800000003</v>
      </c>
      <c r="O510" s="6">
        <f>SUM(O511,O519,O527,O535,O539,O542,O548,O551,O561,O565,O569,O577,O582,O587,O592,O596,O601)</f>
        <v>4407027.0399999991</v>
      </c>
      <c r="S510" s="6">
        <f>SUM(S511,S519,S527,S535,S539,S542,S548,S551,S561,S565,S569,S577,S582,S587,S592,S596,S601)</f>
        <v>1571187.82</v>
      </c>
      <c r="T510" s="6">
        <f>SUM(T511,T519,T527,T535,T539,T542,T548,T551,T561,T565,T569,T577,T582,T587,T592,T596,T601)</f>
        <v>3206950.7800000003</v>
      </c>
      <c r="U510" s="6">
        <f>SUM(U511,U519,U527,U535,U539,U542,U548,U551,U561,U565,U569,U577,U582,U587,U592,U596,U601)</f>
        <v>4778138.5999999996</v>
      </c>
      <c r="Y510" s="9">
        <f>SUM(Y511,Y519,Y527,Y535,Y539,Y542,Y548,Y551,Y561,Y565,Y569,Y577,Y582,Y587,Y592,Y596,Y601)</f>
        <v>1309323.1799999997</v>
      </c>
      <c r="Z510" s="9">
        <f>SUM(Z511,Z519,Z527,Z535,Z539,Z542,Z548,Z551,Z561,Z565,Z569,Z577,Z582,Z587,Z592,Z596,Z601)</f>
        <v>2672458.9899999998</v>
      </c>
      <c r="AA510" s="9">
        <f>SUM(AA511,AA519,AA527,AA535,AA539,AA542,AA548,AA551,AA561,AA565,AA569,AA577,AA582,AA587,AA592,AA596,AA601)</f>
        <v>3981782.1700000004</v>
      </c>
      <c r="AD510" s="4">
        <v>298925322</v>
      </c>
      <c r="AE510" s="4">
        <v>16225741</v>
      </c>
    </row>
    <row r="511" spans="1:35" ht="54" x14ac:dyDescent="0.3">
      <c r="A511" s="37" t="s">
        <v>1635</v>
      </c>
      <c r="B511" s="37" t="s">
        <v>1636</v>
      </c>
      <c r="C511" s="38" t="s">
        <v>1637</v>
      </c>
      <c r="D511" s="39"/>
      <c r="E511" s="39"/>
      <c r="F511" s="39" t="s">
        <v>64</v>
      </c>
      <c r="G511" s="40">
        <v>1</v>
      </c>
      <c r="H511" s="39"/>
      <c r="I511" s="41">
        <v>0</v>
      </c>
      <c r="J511" s="42">
        <f>IFERROR(ROUND(SUM(M513,M515,M517)/I511, 2),0)</f>
        <v>0</v>
      </c>
      <c r="K511" s="42">
        <v>2956</v>
      </c>
      <c r="L511" s="42">
        <f>J511+ROUND(K511, 2)</f>
        <v>2956</v>
      </c>
      <c r="M511" s="42">
        <f>ROUND(J511*I511, 2)</f>
        <v>0</v>
      </c>
      <c r="N511" s="42">
        <f>ROUND(I511*ROUND(K511, 2), 2)</f>
        <v>0</v>
      </c>
      <c r="O511" s="42">
        <f>M511+N511</f>
        <v>0</v>
      </c>
      <c r="P511" s="42">
        <f>IFERROR(ROUND(SUM(S513,S515,S517)/I511, 2),0)</f>
        <v>0</v>
      </c>
      <c r="Q511" s="42">
        <v>2956</v>
      </c>
      <c r="R511" s="42">
        <f>P511+ROUND(Q511, 2)</f>
        <v>2956</v>
      </c>
      <c r="S511" s="42">
        <f>ROUND(P511*I511, 2)</f>
        <v>0</v>
      </c>
      <c r="T511" s="42">
        <f>ROUND(I511*ROUND(Q511, 2), 2)</f>
        <v>0</v>
      </c>
      <c r="U511" s="42">
        <f>S511+T511</f>
        <v>0</v>
      </c>
      <c r="V511" s="9">
        <f>ROUND(P511 / 1.2, 2)</f>
        <v>0</v>
      </c>
      <c r="W511" s="9">
        <f>ROUND(Q511 / 1.2, 2)</f>
        <v>2463.33</v>
      </c>
      <c r="X511" s="9">
        <f>ROUND(R511 / 1.2, 2)</f>
        <v>2463.33</v>
      </c>
      <c r="Y511" s="9">
        <f>ROUND(S511 / 1.2, 2)</f>
        <v>0</v>
      </c>
      <c r="Z511" s="9">
        <f>ROUND(T511 / 1.2, 2)</f>
        <v>0</v>
      </c>
      <c r="AA511" s="9">
        <f>Y511+Z511</f>
        <v>0</v>
      </c>
      <c r="AD511" s="4">
        <v>298925324</v>
      </c>
      <c r="AE511" s="4">
        <v>16225738</v>
      </c>
      <c r="AG511" s="4" t="s">
        <v>1638</v>
      </c>
      <c r="AH511" s="4" t="s">
        <v>1639</v>
      </c>
      <c r="AI511" s="4" t="s">
        <v>67</v>
      </c>
    </row>
    <row r="512" spans="1:35" ht="54" x14ac:dyDescent="0.3">
      <c r="A512" s="43" t="s">
        <v>1640</v>
      </c>
      <c r="B512" s="43" t="s">
        <v>1636</v>
      </c>
      <c r="C512" s="44" t="s">
        <v>1637</v>
      </c>
      <c r="D512" s="45"/>
      <c r="E512" s="45"/>
      <c r="F512" s="45" t="s">
        <v>64</v>
      </c>
      <c r="G512" s="46">
        <v>1</v>
      </c>
      <c r="H512" s="45"/>
      <c r="I512" s="46">
        <v>94.1</v>
      </c>
      <c r="J512" s="47">
        <v>0</v>
      </c>
      <c r="K512" s="47">
        <v>2956</v>
      </c>
      <c r="L512" s="47"/>
      <c r="M512" s="47">
        <v>0</v>
      </c>
      <c r="N512" s="47"/>
      <c r="O512" s="47"/>
      <c r="P512" s="47">
        <v>0</v>
      </c>
      <c r="Q512" s="47">
        <v>2956</v>
      </c>
      <c r="R512" s="47"/>
      <c r="S512" s="47">
        <v>0</v>
      </c>
      <c r="T512" s="47"/>
      <c r="U512" s="47"/>
      <c r="V512" s="9"/>
      <c r="W512" s="9">
        <f>ROUND(Q512 / 1.2, 2)</f>
        <v>2463.33</v>
      </c>
      <c r="X512" s="9">
        <f>ROUND(R512 / 1.2, 2)</f>
        <v>0</v>
      </c>
      <c r="Y512" s="9"/>
      <c r="Z512" s="9">
        <f>ROUND(T512 / 1.2, 2)</f>
        <v>0</v>
      </c>
      <c r="AA512" s="9"/>
      <c r="AD512" s="4">
        <v>206316529</v>
      </c>
      <c r="AE512" s="4">
        <v>16225738</v>
      </c>
      <c r="AG512" s="4" t="s">
        <v>1638</v>
      </c>
      <c r="AH512" s="4" t="s">
        <v>1639</v>
      </c>
      <c r="AI512" s="4"/>
    </row>
    <row r="513" spans="1:35" ht="36" x14ac:dyDescent="0.3">
      <c r="A513" s="37" t="s">
        <v>1641</v>
      </c>
      <c r="B513" s="37"/>
      <c r="C513" s="48" t="s">
        <v>1642</v>
      </c>
      <c r="D513" s="39"/>
      <c r="E513" s="39" t="s">
        <v>868</v>
      </c>
      <c r="F513" s="49" t="s">
        <v>70</v>
      </c>
      <c r="G513" s="50">
        <v>1.8</v>
      </c>
      <c r="H513" s="39"/>
      <c r="I513" s="51">
        <v>0</v>
      </c>
      <c r="J513" s="52">
        <v>6.8</v>
      </c>
      <c r="K513" s="53"/>
      <c r="L513" s="53"/>
      <c r="M513" s="52">
        <f t="shared" ref="M513:M518" si="53">ROUND(ROUND(J513, 2)*I513, 2)</f>
        <v>0</v>
      </c>
      <c r="N513" s="53"/>
      <c r="O513" s="53"/>
      <c r="P513" s="52">
        <v>6.8</v>
      </c>
      <c r="Q513" s="53"/>
      <c r="R513" s="53"/>
      <c r="S513" s="52">
        <f t="shared" ref="S513:S518" si="54">ROUND(ROUND(P513, 2)*I513, 2)</f>
        <v>0</v>
      </c>
      <c r="T513" s="53"/>
      <c r="U513" s="54"/>
      <c r="V513" s="9">
        <f t="shared" ref="V513:V518" si="55">ROUND(ROUND(P513, 2)/1.2, 2)</f>
        <v>5.67</v>
      </c>
      <c r="Y513" s="9">
        <f t="shared" ref="Y513:Y519" si="56">ROUND(S513 / 1.2, 2)</f>
        <v>0</v>
      </c>
      <c r="AD513" s="4" t="s">
        <v>1643</v>
      </c>
      <c r="AE513" s="4" t="s">
        <v>1644</v>
      </c>
      <c r="AF513" s="4" t="s">
        <v>1645</v>
      </c>
    </row>
    <row r="514" spans="1:35" ht="36" x14ac:dyDescent="0.3">
      <c r="A514" s="43" t="s">
        <v>1646</v>
      </c>
      <c r="B514" s="43"/>
      <c r="C514" s="55" t="s">
        <v>1642</v>
      </c>
      <c r="D514" s="45"/>
      <c r="E514" s="45" t="s">
        <v>868</v>
      </c>
      <c r="F514" s="56" t="s">
        <v>70</v>
      </c>
      <c r="G514" s="57">
        <v>1.8</v>
      </c>
      <c r="H514" s="45"/>
      <c r="I514" s="58">
        <v>6390</v>
      </c>
      <c r="J514" s="59">
        <v>6.8</v>
      </c>
      <c r="K514" s="60"/>
      <c r="L514" s="60"/>
      <c r="M514" s="59">
        <f t="shared" si="53"/>
        <v>43452</v>
      </c>
      <c r="N514" s="60"/>
      <c r="O514" s="60"/>
      <c r="P514" s="59">
        <v>6.8</v>
      </c>
      <c r="Q514" s="60"/>
      <c r="R514" s="60"/>
      <c r="S514" s="59">
        <f t="shared" si="54"/>
        <v>43452</v>
      </c>
      <c r="T514" s="60"/>
      <c r="U514" s="61"/>
      <c r="V514" s="9">
        <f t="shared" si="55"/>
        <v>5.67</v>
      </c>
      <c r="Y514" s="9">
        <f t="shared" si="56"/>
        <v>36210</v>
      </c>
      <c r="AD514" s="4" t="s">
        <v>1647</v>
      </c>
      <c r="AE514" s="4" t="s">
        <v>1644</v>
      </c>
      <c r="AF514" s="4" t="s">
        <v>1645</v>
      </c>
    </row>
    <row r="515" spans="1:35" ht="18" x14ac:dyDescent="0.3">
      <c r="A515" s="37" t="s">
        <v>1648</v>
      </c>
      <c r="B515" s="37"/>
      <c r="C515" s="48" t="s">
        <v>1649</v>
      </c>
      <c r="D515" s="39"/>
      <c r="E515" s="39"/>
      <c r="F515" s="49" t="s">
        <v>87</v>
      </c>
      <c r="G515" s="50">
        <v>1</v>
      </c>
      <c r="H515" s="39"/>
      <c r="I515" s="62">
        <v>0</v>
      </c>
      <c r="J515" s="52">
        <v>18.34</v>
      </c>
      <c r="K515" s="53"/>
      <c r="L515" s="53"/>
      <c r="M515" s="52">
        <f t="shared" si="53"/>
        <v>0</v>
      </c>
      <c r="N515" s="53"/>
      <c r="O515" s="53"/>
      <c r="P515" s="52">
        <v>18.34</v>
      </c>
      <c r="Q515" s="53"/>
      <c r="R515" s="53"/>
      <c r="S515" s="52">
        <f t="shared" si="54"/>
        <v>0</v>
      </c>
      <c r="T515" s="53"/>
      <c r="U515" s="54"/>
      <c r="V515" s="9">
        <f t="shared" si="55"/>
        <v>15.28</v>
      </c>
      <c r="Y515" s="9">
        <f t="shared" si="56"/>
        <v>0</v>
      </c>
      <c r="AD515" s="4" t="s">
        <v>1650</v>
      </c>
      <c r="AE515" s="4" t="s">
        <v>1651</v>
      </c>
      <c r="AF515" s="4" t="s">
        <v>1652</v>
      </c>
    </row>
    <row r="516" spans="1:35" ht="18" x14ac:dyDescent="0.3">
      <c r="A516" s="43" t="s">
        <v>1653</v>
      </c>
      <c r="B516" s="43"/>
      <c r="C516" s="55" t="s">
        <v>1649</v>
      </c>
      <c r="D516" s="45"/>
      <c r="E516" s="45"/>
      <c r="F516" s="56" t="s">
        <v>87</v>
      </c>
      <c r="G516" s="57">
        <v>1</v>
      </c>
      <c r="H516" s="45"/>
      <c r="I516" s="57">
        <v>94.1</v>
      </c>
      <c r="J516" s="59">
        <v>18.34</v>
      </c>
      <c r="K516" s="60"/>
      <c r="L516" s="60"/>
      <c r="M516" s="59">
        <f t="shared" si="53"/>
        <v>1725.79</v>
      </c>
      <c r="N516" s="60"/>
      <c r="O516" s="60"/>
      <c r="P516" s="59">
        <v>18.34</v>
      </c>
      <c r="Q516" s="60"/>
      <c r="R516" s="60"/>
      <c r="S516" s="59">
        <f t="shared" si="54"/>
        <v>1725.79</v>
      </c>
      <c r="T516" s="60"/>
      <c r="U516" s="61"/>
      <c r="V516" s="9">
        <f t="shared" si="55"/>
        <v>15.28</v>
      </c>
      <c r="Y516" s="9">
        <f t="shared" si="56"/>
        <v>1438.16</v>
      </c>
      <c r="AD516" s="4" t="s">
        <v>1654</v>
      </c>
      <c r="AE516" s="4" t="s">
        <v>1651</v>
      </c>
      <c r="AF516" s="4" t="s">
        <v>1652</v>
      </c>
    </row>
    <row r="517" spans="1:35" ht="18" x14ac:dyDescent="0.3">
      <c r="A517" s="37" t="s">
        <v>1655</v>
      </c>
      <c r="B517" s="37"/>
      <c r="C517" s="48" t="s">
        <v>760</v>
      </c>
      <c r="D517" s="39"/>
      <c r="E517" s="39"/>
      <c r="F517" s="49" t="s">
        <v>70</v>
      </c>
      <c r="G517" s="50">
        <v>0.25</v>
      </c>
      <c r="H517" s="39"/>
      <c r="I517" s="62">
        <v>0</v>
      </c>
      <c r="J517" s="52">
        <v>100</v>
      </c>
      <c r="K517" s="53"/>
      <c r="L517" s="53"/>
      <c r="M517" s="52">
        <f t="shared" si="53"/>
        <v>0</v>
      </c>
      <c r="N517" s="53"/>
      <c r="O517" s="53"/>
      <c r="P517" s="52">
        <v>100</v>
      </c>
      <c r="Q517" s="53"/>
      <c r="R517" s="53"/>
      <c r="S517" s="52">
        <f t="shared" si="54"/>
        <v>0</v>
      </c>
      <c r="T517" s="53"/>
      <c r="U517" s="54"/>
      <c r="V517" s="9">
        <f t="shared" si="55"/>
        <v>83.33</v>
      </c>
      <c r="Y517" s="9">
        <f t="shared" si="56"/>
        <v>0</v>
      </c>
      <c r="AD517" s="4" t="s">
        <v>1656</v>
      </c>
      <c r="AE517" s="4" t="s">
        <v>1657</v>
      </c>
      <c r="AF517" s="4" t="s">
        <v>763</v>
      </c>
    </row>
    <row r="518" spans="1:35" ht="18" x14ac:dyDescent="0.3">
      <c r="A518" s="43" t="s">
        <v>1658</v>
      </c>
      <c r="B518" s="43"/>
      <c r="C518" s="55" t="s">
        <v>760</v>
      </c>
      <c r="D518" s="45"/>
      <c r="E518" s="45"/>
      <c r="F518" s="56" t="s">
        <v>70</v>
      </c>
      <c r="G518" s="57">
        <v>0.25</v>
      </c>
      <c r="H518" s="45"/>
      <c r="I518" s="57">
        <v>23.524999999999999</v>
      </c>
      <c r="J518" s="59">
        <v>100</v>
      </c>
      <c r="K518" s="60"/>
      <c r="L518" s="60"/>
      <c r="M518" s="59">
        <f t="shared" si="53"/>
        <v>2352.5</v>
      </c>
      <c r="N518" s="60"/>
      <c r="O518" s="60"/>
      <c r="P518" s="59">
        <v>100</v>
      </c>
      <c r="Q518" s="60"/>
      <c r="R518" s="60"/>
      <c r="S518" s="59">
        <f t="shared" si="54"/>
        <v>2352.5</v>
      </c>
      <c r="T518" s="60"/>
      <c r="U518" s="61"/>
      <c r="V518" s="9">
        <f t="shared" si="55"/>
        <v>83.33</v>
      </c>
      <c r="Y518" s="9">
        <f t="shared" si="56"/>
        <v>1960.42</v>
      </c>
      <c r="AD518" s="4" t="s">
        <v>1659</v>
      </c>
      <c r="AE518" s="4" t="s">
        <v>1657</v>
      </c>
      <c r="AF518" s="4" t="s">
        <v>763</v>
      </c>
    </row>
    <row r="519" spans="1:35" ht="54" x14ac:dyDescent="0.3">
      <c r="A519" s="37" t="s">
        <v>1660</v>
      </c>
      <c r="B519" s="37" t="s">
        <v>1661</v>
      </c>
      <c r="C519" s="38" t="s">
        <v>1662</v>
      </c>
      <c r="D519" s="39"/>
      <c r="E519" s="39" t="s">
        <v>1663</v>
      </c>
      <c r="F519" s="39" t="s">
        <v>64</v>
      </c>
      <c r="G519" s="40">
        <v>1</v>
      </c>
      <c r="H519" s="39"/>
      <c r="I519" s="41">
        <v>0</v>
      </c>
      <c r="J519" s="42">
        <f>IFERROR(ROUND(SUM(M521,M523,M525)/I519, 2),0)</f>
        <v>0</v>
      </c>
      <c r="K519" s="42">
        <v>1001</v>
      </c>
      <c r="L519" s="42">
        <f>J519+ROUND(K519, 2)</f>
        <v>1001</v>
      </c>
      <c r="M519" s="42">
        <f>ROUND(J519*I519, 2)</f>
        <v>0</v>
      </c>
      <c r="N519" s="42">
        <f>ROUND(I519*ROUND(K519, 2), 2)</f>
        <v>0</v>
      </c>
      <c r="O519" s="42">
        <f>M519+N519</f>
        <v>0</v>
      </c>
      <c r="P519" s="42">
        <f>IFERROR(ROUND(SUM(S521,S523,S525)/I519, 2),0)</f>
        <v>0</v>
      </c>
      <c r="Q519" s="42">
        <v>1001</v>
      </c>
      <c r="R519" s="42">
        <f>P519+ROUND(Q519, 2)</f>
        <v>1001</v>
      </c>
      <c r="S519" s="42">
        <f>ROUND(P519*I519, 2)</f>
        <v>0</v>
      </c>
      <c r="T519" s="42">
        <f>ROUND(I519*ROUND(Q519, 2), 2)</f>
        <v>0</v>
      </c>
      <c r="U519" s="42">
        <f>S519+T519</f>
        <v>0</v>
      </c>
      <c r="V519" s="9">
        <f>ROUND(P519 / 1.2, 2)</f>
        <v>0</v>
      </c>
      <c r="W519" s="9">
        <f>ROUND(Q519 / 1.2, 2)</f>
        <v>834.17</v>
      </c>
      <c r="X519" s="9">
        <f>ROUND(R519 / 1.2, 2)</f>
        <v>834.17</v>
      </c>
      <c r="Y519" s="9">
        <f t="shared" si="56"/>
        <v>0</v>
      </c>
      <c r="Z519" s="9">
        <f>ROUND(T519 / 1.2, 2)</f>
        <v>0</v>
      </c>
      <c r="AA519" s="9">
        <f>Y519+Z519</f>
        <v>0</v>
      </c>
      <c r="AD519" s="4">
        <v>298925326</v>
      </c>
      <c r="AE519" s="4">
        <v>16225746</v>
      </c>
      <c r="AG519" s="4" t="s">
        <v>1664</v>
      </c>
      <c r="AH519" s="4" t="s">
        <v>1665</v>
      </c>
      <c r="AI519" s="4" t="s">
        <v>67</v>
      </c>
    </row>
    <row r="520" spans="1:35" ht="54" x14ac:dyDescent="0.3">
      <c r="A520" s="43" t="s">
        <v>1666</v>
      </c>
      <c r="B520" s="43" t="s">
        <v>1661</v>
      </c>
      <c r="C520" s="44" t="s">
        <v>1662</v>
      </c>
      <c r="D520" s="45"/>
      <c r="E520" s="45"/>
      <c r="F520" s="45" t="s">
        <v>64</v>
      </c>
      <c r="G520" s="46">
        <v>1</v>
      </c>
      <c r="H520" s="45"/>
      <c r="I520" s="46">
        <v>491</v>
      </c>
      <c r="J520" s="47">
        <v>0</v>
      </c>
      <c r="K520" s="47">
        <v>1001</v>
      </c>
      <c r="L520" s="47"/>
      <c r="M520" s="47">
        <v>0</v>
      </c>
      <c r="N520" s="47"/>
      <c r="O520" s="47"/>
      <c r="P520" s="47">
        <v>0</v>
      </c>
      <c r="Q520" s="47">
        <v>1001</v>
      </c>
      <c r="R520" s="47"/>
      <c r="S520" s="47">
        <v>0</v>
      </c>
      <c r="T520" s="47"/>
      <c r="U520" s="47"/>
      <c r="V520" s="9"/>
      <c r="W520" s="9">
        <f>ROUND(Q520 / 1.2, 2)</f>
        <v>834.17</v>
      </c>
      <c r="X520" s="9">
        <f>ROUND(R520 / 1.2, 2)</f>
        <v>0</v>
      </c>
      <c r="Y520" s="9"/>
      <c r="Z520" s="9">
        <f>ROUND(T520 / 1.2, 2)</f>
        <v>0</v>
      </c>
      <c r="AA520" s="9"/>
      <c r="AD520" s="4">
        <v>220089276</v>
      </c>
      <c r="AE520" s="4">
        <v>16225746</v>
      </c>
      <c r="AG520" s="4" t="s">
        <v>1664</v>
      </c>
      <c r="AH520" s="4" t="s">
        <v>1665</v>
      </c>
      <c r="AI520" s="4"/>
    </row>
    <row r="521" spans="1:35" ht="36" x14ac:dyDescent="0.3">
      <c r="A521" s="37" t="s">
        <v>1667</v>
      </c>
      <c r="B521" s="37"/>
      <c r="C521" s="48" t="s">
        <v>736</v>
      </c>
      <c r="D521" s="39"/>
      <c r="E521" s="39" t="s">
        <v>782</v>
      </c>
      <c r="F521" s="49" t="s">
        <v>70</v>
      </c>
      <c r="G521" s="50">
        <v>4.5</v>
      </c>
      <c r="H521" s="39"/>
      <c r="I521" s="62">
        <v>0</v>
      </c>
      <c r="J521" s="52">
        <v>12.58</v>
      </c>
      <c r="K521" s="53"/>
      <c r="L521" s="53"/>
      <c r="M521" s="52">
        <f t="shared" ref="M521:M526" si="57">ROUND(ROUND(J521, 2)*I521, 2)</f>
        <v>0</v>
      </c>
      <c r="N521" s="53"/>
      <c r="O521" s="53"/>
      <c r="P521" s="52">
        <v>12.58</v>
      </c>
      <c r="Q521" s="53"/>
      <c r="R521" s="53"/>
      <c r="S521" s="52">
        <f t="shared" ref="S521:S526" si="58">ROUND(ROUND(P521, 2)*I521, 2)</f>
        <v>0</v>
      </c>
      <c r="T521" s="53"/>
      <c r="U521" s="54"/>
      <c r="V521" s="9">
        <f t="shared" ref="V521:V526" si="59">ROUND(ROUND(P521, 2)/1.2, 2)</f>
        <v>10.48</v>
      </c>
      <c r="Y521" s="9">
        <f t="shared" ref="Y521:Y527" si="60">ROUND(S521 / 1.2, 2)</f>
        <v>0</v>
      </c>
      <c r="AD521" s="4" t="s">
        <v>1668</v>
      </c>
      <c r="AE521" s="4" t="s">
        <v>1669</v>
      </c>
      <c r="AF521" s="4" t="s">
        <v>739</v>
      </c>
    </row>
    <row r="522" spans="1:35" ht="36" x14ac:dyDescent="0.3">
      <c r="A522" s="43" t="s">
        <v>1670</v>
      </c>
      <c r="B522" s="43"/>
      <c r="C522" s="55" t="s">
        <v>736</v>
      </c>
      <c r="D522" s="45"/>
      <c r="E522" s="45" t="s">
        <v>782</v>
      </c>
      <c r="F522" s="56" t="s">
        <v>70</v>
      </c>
      <c r="G522" s="57">
        <v>4.5</v>
      </c>
      <c r="H522" s="45"/>
      <c r="I522" s="57">
        <v>2209.5</v>
      </c>
      <c r="J522" s="59">
        <v>12.58</v>
      </c>
      <c r="K522" s="60"/>
      <c r="L522" s="60"/>
      <c r="M522" s="59">
        <f t="shared" si="57"/>
        <v>27795.51</v>
      </c>
      <c r="N522" s="60"/>
      <c r="O522" s="60"/>
      <c r="P522" s="59">
        <v>12.58</v>
      </c>
      <c r="Q522" s="60"/>
      <c r="R522" s="60"/>
      <c r="S522" s="59">
        <f t="shared" si="58"/>
        <v>27795.51</v>
      </c>
      <c r="T522" s="60"/>
      <c r="U522" s="61"/>
      <c r="V522" s="9">
        <f t="shared" si="59"/>
        <v>10.48</v>
      </c>
      <c r="Y522" s="9">
        <f t="shared" si="60"/>
        <v>23162.93</v>
      </c>
      <c r="AD522" s="4" t="s">
        <v>1671</v>
      </c>
      <c r="AE522" s="4" t="s">
        <v>1669</v>
      </c>
      <c r="AF522" s="4" t="s">
        <v>739</v>
      </c>
    </row>
    <row r="523" spans="1:35" ht="36" x14ac:dyDescent="0.3">
      <c r="A523" s="37" t="s">
        <v>1672</v>
      </c>
      <c r="B523" s="37"/>
      <c r="C523" s="48" t="s">
        <v>1673</v>
      </c>
      <c r="D523" s="39"/>
      <c r="E523" s="39"/>
      <c r="F523" s="49" t="s">
        <v>116</v>
      </c>
      <c r="G523" s="50">
        <v>0.3</v>
      </c>
      <c r="H523" s="39"/>
      <c r="I523" s="51">
        <v>0</v>
      </c>
      <c r="J523" s="52">
        <v>73.099999999999994</v>
      </c>
      <c r="K523" s="53"/>
      <c r="L523" s="53"/>
      <c r="M523" s="52">
        <f t="shared" si="57"/>
        <v>0</v>
      </c>
      <c r="N523" s="53"/>
      <c r="O523" s="53"/>
      <c r="P523" s="52">
        <v>73.099999999999994</v>
      </c>
      <c r="Q523" s="53"/>
      <c r="R523" s="53"/>
      <c r="S523" s="52">
        <f t="shared" si="58"/>
        <v>0</v>
      </c>
      <c r="T523" s="53"/>
      <c r="U523" s="54"/>
      <c r="V523" s="9">
        <f t="shared" si="59"/>
        <v>60.92</v>
      </c>
      <c r="Y523" s="9">
        <f t="shared" si="60"/>
        <v>0</v>
      </c>
      <c r="AD523" s="4" t="s">
        <v>1674</v>
      </c>
      <c r="AE523" s="4" t="s">
        <v>1675</v>
      </c>
      <c r="AF523" s="4" t="s">
        <v>1676</v>
      </c>
    </row>
    <row r="524" spans="1:35" ht="36" x14ac:dyDescent="0.3">
      <c r="A524" s="43" t="s">
        <v>1677</v>
      </c>
      <c r="B524" s="43"/>
      <c r="C524" s="55" t="s">
        <v>1673</v>
      </c>
      <c r="D524" s="45"/>
      <c r="E524" s="45"/>
      <c r="F524" s="56" t="s">
        <v>116</v>
      </c>
      <c r="G524" s="57">
        <v>0.3</v>
      </c>
      <c r="H524" s="45"/>
      <c r="I524" s="58">
        <v>66</v>
      </c>
      <c r="J524" s="59">
        <v>73.099999999999994</v>
      </c>
      <c r="K524" s="60"/>
      <c r="L524" s="60"/>
      <c r="M524" s="59">
        <f t="shared" si="57"/>
        <v>4824.6000000000004</v>
      </c>
      <c r="N524" s="60"/>
      <c r="O524" s="60"/>
      <c r="P524" s="59">
        <v>73.099999999999994</v>
      </c>
      <c r="Q524" s="60"/>
      <c r="R524" s="60"/>
      <c r="S524" s="59">
        <f t="shared" si="58"/>
        <v>4824.6000000000004</v>
      </c>
      <c r="T524" s="60"/>
      <c r="U524" s="61"/>
      <c r="V524" s="9">
        <f t="shared" si="59"/>
        <v>60.92</v>
      </c>
      <c r="Y524" s="9">
        <f t="shared" si="60"/>
        <v>4020.5</v>
      </c>
      <c r="AD524" s="4" t="s">
        <v>1678</v>
      </c>
      <c r="AE524" s="4" t="s">
        <v>1675</v>
      </c>
      <c r="AF524" s="4" t="s">
        <v>1676</v>
      </c>
    </row>
    <row r="525" spans="1:35" ht="36" x14ac:dyDescent="0.3">
      <c r="A525" s="37" t="s">
        <v>1679</v>
      </c>
      <c r="B525" s="37"/>
      <c r="C525" s="48" t="s">
        <v>433</v>
      </c>
      <c r="D525" s="39"/>
      <c r="E525" s="39"/>
      <c r="F525" s="49" t="s">
        <v>70</v>
      </c>
      <c r="G525" s="50">
        <v>0.15</v>
      </c>
      <c r="H525" s="39"/>
      <c r="I525" s="62">
        <v>0</v>
      </c>
      <c r="J525" s="52">
        <v>88.8</v>
      </c>
      <c r="K525" s="53"/>
      <c r="L525" s="53"/>
      <c r="M525" s="52">
        <f t="shared" si="57"/>
        <v>0</v>
      </c>
      <c r="N525" s="53"/>
      <c r="O525" s="53"/>
      <c r="P525" s="52">
        <v>88.8</v>
      </c>
      <c r="Q525" s="53"/>
      <c r="R525" s="53"/>
      <c r="S525" s="52">
        <f t="shared" si="58"/>
        <v>0</v>
      </c>
      <c r="T525" s="53"/>
      <c r="U525" s="54"/>
      <c r="V525" s="9">
        <f t="shared" si="59"/>
        <v>74</v>
      </c>
      <c r="Y525" s="9">
        <f t="shared" si="60"/>
        <v>0</v>
      </c>
      <c r="AD525" s="4" t="s">
        <v>1680</v>
      </c>
      <c r="AE525" s="4" t="s">
        <v>1681</v>
      </c>
      <c r="AF525" s="4" t="s">
        <v>436</v>
      </c>
    </row>
    <row r="526" spans="1:35" ht="36" x14ac:dyDescent="0.3">
      <c r="A526" s="43" t="s">
        <v>1682</v>
      </c>
      <c r="B526" s="43"/>
      <c r="C526" s="55" t="s">
        <v>433</v>
      </c>
      <c r="D526" s="45"/>
      <c r="E526" s="45"/>
      <c r="F526" s="56" t="s">
        <v>70</v>
      </c>
      <c r="G526" s="57">
        <v>0.15</v>
      </c>
      <c r="H526" s="45"/>
      <c r="I526" s="57">
        <v>73.650000000000006</v>
      </c>
      <c r="J526" s="59">
        <v>88.8</v>
      </c>
      <c r="K526" s="60"/>
      <c r="L526" s="60"/>
      <c r="M526" s="59">
        <f t="shared" si="57"/>
        <v>6540.12</v>
      </c>
      <c r="N526" s="60"/>
      <c r="O526" s="60"/>
      <c r="P526" s="59">
        <v>88.8</v>
      </c>
      <c r="Q526" s="60"/>
      <c r="R526" s="60"/>
      <c r="S526" s="59">
        <f t="shared" si="58"/>
        <v>6540.12</v>
      </c>
      <c r="T526" s="60"/>
      <c r="U526" s="61"/>
      <c r="V526" s="9">
        <f t="shared" si="59"/>
        <v>74</v>
      </c>
      <c r="Y526" s="9">
        <f t="shared" si="60"/>
        <v>5450.1</v>
      </c>
      <c r="AD526" s="4" t="s">
        <v>1683</v>
      </c>
      <c r="AE526" s="4" t="s">
        <v>1681</v>
      </c>
      <c r="AF526" s="4" t="s">
        <v>436</v>
      </c>
    </row>
    <row r="527" spans="1:35" ht="54" x14ac:dyDescent="0.3">
      <c r="A527" s="37" t="s">
        <v>1684</v>
      </c>
      <c r="B527" s="37" t="s">
        <v>1661</v>
      </c>
      <c r="C527" s="38" t="s">
        <v>1662</v>
      </c>
      <c r="D527" s="39"/>
      <c r="E527" s="39" t="s">
        <v>1685</v>
      </c>
      <c r="F527" s="39" t="s">
        <v>64</v>
      </c>
      <c r="G527" s="40">
        <v>1</v>
      </c>
      <c r="H527" s="39"/>
      <c r="I527" s="41">
        <v>0</v>
      </c>
      <c r="J527" s="42">
        <f>IFERROR(ROUND(SUM(M529,M531,M533)/I527, 2),0)</f>
        <v>0</v>
      </c>
      <c r="K527" s="42">
        <v>1001</v>
      </c>
      <c r="L527" s="42">
        <f>J527+ROUND(K527, 2)</f>
        <v>1001</v>
      </c>
      <c r="M527" s="42">
        <f>ROUND(J527*I527, 2)</f>
        <v>0</v>
      </c>
      <c r="N527" s="42">
        <f>ROUND(I527*ROUND(K527, 2), 2)</f>
        <v>0</v>
      </c>
      <c r="O527" s="42">
        <f>M527+N527</f>
        <v>0</v>
      </c>
      <c r="P527" s="42">
        <f>IFERROR(ROUND(SUM(S529,S531,S533)/I527, 2),0)</f>
        <v>0</v>
      </c>
      <c r="Q527" s="42">
        <v>1001</v>
      </c>
      <c r="R527" s="42">
        <f>P527+ROUND(Q527, 2)</f>
        <v>1001</v>
      </c>
      <c r="S527" s="42">
        <f>ROUND(P527*I527, 2)</f>
        <v>0</v>
      </c>
      <c r="T527" s="42">
        <f>ROUND(I527*ROUND(Q527, 2), 2)</f>
        <v>0</v>
      </c>
      <c r="U527" s="42">
        <f>S527+T527</f>
        <v>0</v>
      </c>
      <c r="V527" s="9">
        <f>ROUND(P527 / 1.2, 2)</f>
        <v>0</v>
      </c>
      <c r="W527" s="9">
        <f>ROUND(Q527 / 1.2, 2)</f>
        <v>834.17</v>
      </c>
      <c r="X527" s="9">
        <f>ROUND(R527 / 1.2, 2)</f>
        <v>834.17</v>
      </c>
      <c r="Y527" s="9">
        <f t="shared" si="60"/>
        <v>0</v>
      </c>
      <c r="Z527" s="9">
        <f>ROUND(T527 / 1.2, 2)</f>
        <v>0</v>
      </c>
      <c r="AA527" s="9">
        <f>Y527+Z527</f>
        <v>0</v>
      </c>
      <c r="AD527" s="4">
        <v>298925435</v>
      </c>
      <c r="AE527" s="4">
        <v>16225747</v>
      </c>
      <c r="AG527" s="4" t="s">
        <v>1664</v>
      </c>
      <c r="AH527" s="4" t="s">
        <v>1665</v>
      </c>
      <c r="AI527" s="4" t="s">
        <v>67</v>
      </c>
    </row>
    <row r="528" spans="1:35" ht="54" x14ac:dyDescent="0.3">
      <c r="A528" s="43" t="s">
        <v>1686</v>
      </c>
      <c r="B528" s="43" t="s">
        <v>1661</v>
      </c>
      <c r="C528" s="44" t="s">
        <v>1662</v>
      </c>
      <c r="D528" s="45"/>
      <c r="E528" s="45"/>
      <c r="F528" s="45" t="s">
        <v>64</v>
      </c>
      <c r="G528" s="46">
        <v>1</v>
      </c>
      <c r="H528" s="45"/>
      <c r="I528" s="46">
        <v>491</v>
      </c>
      <c r="J528" s="47">
        <v>0</v>
      </c>
      <c r="K528" s="47">
        <v>1001</v>
      </c>
      <c r="L528" s="47"/>
      <c r="M528" s="47">
        <v>0</v>
      </c>
      <c r="N528" s="47"/>
      <c r="O528" s="47"/>
      <c r="P528" s="47">
        <v>0</v>
      </c>
      <c r="Q528" s="47">
        <v>1001</v>
      </c>
      <c r="R528" s="47"/>
      <c r="S528" s="47">
        <v>0</v>
      </c>
      <c r="T528" s="47"/>
      <c r="U528" s="47"/>
      <c r="V528" s="9"/>
      <c r="W528" s="9">
        <f>ROUND(Q528 / 1.2, 2)</f>
        <v>834.17</v>
      </c>
      <c r="X528" s="9">
        <f>ROUND(R528 / 1.2, 2)</f>
        <v>0</v>
      </c>
      <c r="Y528" s="9"/>
      <c r="Z528" s="9">
        <f>ROUND(T528 / 1.2, 2)</f>
        <v>0</v>
      </c>
      <c r="AA528" s="9"/>
      <c r="AD528" s="4">
        <v>220089302</v>
      </c>
      <c r="AE528" s="4">
        <v>16225747</v>
      </c>
      <c r="AG528" s="4" t="s">
        <v>1664</v>
      </c>
      <c r="AH528" s="4" t="s">
        <v>1665</v>
      </c>
      <c r="AI528" s="4"/>
    </row>
    <row r="529" spans="1:35" ht="36" x14ac:dyDescent="0.3">
      <c r="A529" s="37" t="s">
        <v>1687</v>
      </c>
      <c r="B529" s="37"/>
      <c r="C529" s="48" t="s">
        <v>433</v>
      </c>
      <c r="D529" s="39"/>
      <c r="E529" s="39"/>
      <c r="F529" s="49" t="s">
        <v>70</v>
      </c>
      <c r="G529" s="50">
        <v>0.15</v>
      </c>
      <c r="H529" s="39"/>
      <c r="I529" s="62">
        <v>0</v>
      </c>
      <c r="J529" s="52">
        <v>88.8</v>
      </c>
      <c r="K529" s="53"/>
      <c r="L529" s="53"/>
      <c r="M529" s="52">
        <f t="shared" ref="M529:M534" si="61">ROUND(ROUND(J529, 2)*I529, 2)</f>
        <v>0</v>
      </c>
      <c r="N529" s="53"/>
      <c r="O529" s="53"/>
      <c r="P529" s="52">
        <v>88.8</v>
      </c>
      <c r="Q529" s="53"/>
      <c r="R529" s="53"/>
      <c r="S529" s="52">
        <f t="shared" ref="S529:S534" si="62">ROUND(ROUND(P529, 2)*I529, 2)</f>
        <v>0</v>
      </c>
      <c r="T529" s="53"/>
      <c r="U529" s="54"/>
      <c r="V529" s="9">
        <f t="shared" ref="V529:V534" si="63">ROUND(ROUND(P529, 2)/1.2, 2)</f>
        <v>74</v>
      </c>
      <c r="Y529" s="9">
        <f t="shared" ref="Y529:Y542" si="64">ROUND(S529 / 1.2, 2)</f>
        <v>0</v>
      </c>
      <c r="AD529" s="4" t="s">
        <v>1688</v>
      </c>
      <c r="AE529" s="4" t="s">
        <v>1689</v>
      </c>
      <c r="AF529" s="4" t="s">
        <v>436</v>
      </c>
    </row>
    <row r="530" spans="1:35" ht="36" x14ac:dyDescent="0.3">
      <c r="A530" s="43" t="s">
        <v>1690</v>
      </c>
      <c r="B530" s="43"/>
      <c r="C530" s="55" t="s">
        <v>433</v>
      </c>
      <c r="D530" s="45"/>
      <c r="E530" s="45"/>
      <c r="F530" s="56" t="s">
        <v>70</v>
      </c>
      <c r="G530" s="57">
        <v>0.15</v>
      </c>
      <c r="H530" s="45"/>
      <c r="I530" s="57">
        <v>73.650000000000006</v>
      </c>
      <c r="J530" s="59">
        <v>88.8</v>
      </c>
      <c r="K530" s="60"/>
      <c r="L530" s="60"/>
      <c r="M530" s="59">
        <f t="shared" si="61"/>
        <v>6540.12</v>
      </c>
      <c r="N530" s="60"/>
      <c r="O530" s="60"/>
      <c r="P530" s="59">
        <v>88.8</v>
      </c>
      <c r="Q530" s="60"/>
      <c r="R530" s="60"/>
      <c r="S530" s="59">
        <f t="shared" si="62"/>
        <v>6540.12</v>
      </c>
      <c r="T530" s="60"/>
      <c r="U530" s="61"/>
      <c r="V530" s="9">
        <f t="shared" si="63"/>
        <v>74</v>
      </c>
      <c r="Y530" s="9">
        <f t="shared" si="64"/>
        <v>5450.1</v>
      </c>
      <c r="AD530" s="4" t="s">
        <v>1691</v>
      </c>
      <c r="AE530" s="4" t="s">
        <v>1689</v>
      </c>
      <c r="AF530" s="4" t="s">
        <v>436</v>
      </c>
    </row>
    <row r="531" spans="1:35" ht="36" x14ac:dyDescent="0.3">
      <c r="A531" s="37" t="s">
        <v>1692</v>
      </c>
      <c r="B531" s="37"/>
      <c r="C531" s="48" t="s">
        <v>1673</v>
      </c>
      <c r="D531" s="39"/>
      <c r="E531" s="39"/>
      <c r="F531" s="49" t="s">
        <v>116</v>
      </c>
      <c r="G531" s="50">
        <v>0.3</v>
      </c>
      <c r="H531" s="39"/>
      <c r="I531" s="51">
        <v>0</v>
      </c>
      <c r="J531" s="52">
        <v>73.099999999999994</v>
      </c>
      <c r="K531" s="53"/>
      <c r="L531" s="53"/>
      <c r="M531" s="52">
        <f t="shared" si="61"/>
        <v>0</v>
      </c>
      <c r="N531" s="53"/>
      <c r="O531" s="53"/>
      <c r="P531" s="52">
        <v>73.099999999999994</v>
      </c>
      <c r="Q531" s="53"/>
      <c r="R531" s="53"/>
      <c r="S531" s="52">
        <f t="shared" si="62"/>
        <v>0</v>
      </c>
      <c r="T531" s="53"/>
      <c r="U531" s="54"/>
      <c r="V531" s="9">
        <f t="shared" si="63"/>
        <v>60.92</v>
      </c>
      <c r="Y531" s="9">
        <f t="shared" si="64"/>
        <v>0</v>
      </c>
      <c r="AD531" s="4" t="s">
        <v>1693</v>
      </c>
      <c r="AE531" s="4" t="s">
        <v>1694</v>
      </c>
      <c r="AF531" s="4" t="s">
        <v>1676</v>
      </c>
    </row>
    <row r="532" spans="1:35" ht="36" x14ac:dyDescent="0.3">
      <c r="A532" s="43" t="s">
        <v>1695</v>
      </c>
      <c r="B532" s="43"/>
      <c r="C532" s="55" t="s">
        <v>1673</v>
      </c>
      <c r="D532" s="45"/>
      <c r="E532" s="45"/>
      <c r="F532" s="56" t="s">
        <v>116</v>
      </c>
      <c r="G532" s="57">
        <v>0.3</v>
      </c>
      <c r="H532" s="45"/>
      <c r="I532" s="58">
        <v>66</v>
      </c>
      <c r="J532" s="59">
        <v>73.099999999999994</v>
      </c>
      <c r="K532" s="60"/>
      <c r="L532" s="60"/>
      <c r="M532" s="59">
        <f t="shared" si="61"/>
        <v>4824.6000000000004</v>
      </c>
      <c r="N532" s="60"/>
      <c r="O532" s="60"/>
      <c r="P532" s="59">
        <v>73.099999999999994</v>
      </c>
      <c r="Q532" s="60"/>
      <c r="R532" s="60"/>
      <c r="S532" s="59">
        <f t="shared" si="62"/>
        <v>4824.6000000000004</v>
      </c>
      <c r="T532" s="60"/>
      <c r="U532" s="61"/>
      <c r="V532" s="9">
        <f t="shared" si="63"/>
        <v>60.92</v>
      </c>
      <c r="Y532" s="9">
        <f t="shared" si="64"/>
        <v>4020.5</v>
      </c>
      <c r="AD532" s="4" t="s">
        <v>1696</v>
      </c>
      <c r="AE532" s="4" t="s">
        <v>1694</v>
      </c>
      <c r="AF532" s="4" t="s">
        <v>1676</v>
      </c>
    </row>
    <row r="533" spans="1:35" ht="36" x14ac:dyDescent="0.3">
      <c r="A533" s="37" t="s">
        <v>1697</v>
      </c>
      <c r="B533" s="37"/>
      <c r="C533" s="48" t="s">
        <v>736</v>
      </c>
      <c r="D533" s="39"/>
      <c r="E533" s="39" t="s">
        <v>817</v>
      </c>
      <c r="F533" s="49" t="s">
        <v>70</v>
      </c>
      <c r="G533" s="50">
        <v>4.5</v>
      </c>
      <c r="H533" s="39"/>
      <c r="I533" s="62">
        <v>0</v>
      </c>
      <c r="J533" s="52">
        <v>12.58</v>
      </c>
      <c r="K533" s="53"/>
      <c r="L533" s="53"/>
      <c r="M533" s="52">
        <f t="shared" si="61"/>
        <v>0</v>
      </c>
      <c r="N533" s="53"/>
      <c r="O533" s="53"/>
      <c r="P533" s="52">
        <v>12.58</v>
      </c>
      <c r="Q533" s="53"/>
      <c r="R533" s="53"/>
      <c r="S533" s="52">
        <f t="shared" si="62"/>
        <v>0</v>
      </c>
      <c r="T533" s="53"/>
      <c r="U533" s="54"/>
      <c r="V533" s="9">
        <f t="shared" si="63"/>
        <v>10.48</v>
      </c>
      <c r="Y533" s="9">
        <f t="shared" si="64"/>
        <v>0</v>
      </c>
      <c r="AD533" s="4" t="s">
        <v>1698</v>
      </c>
      <c r="AE533" s="4" t="s">
        <v>1699</v>
      </c>
      <c r="AF533" s="4" t="s">
        <v>739</v>
      </c>
    </row>
    <row r="534" spans="1:35" ht="36" x14ac:dyDescent="0.3">
      <c r="A534" s="43" t="s">
        <v>1700</v>
      </c>
      <c r="B534" s="43"/>
      <c r="C534" s="55" t="s">
        <v>736</v>
      </c>
      <c r="D534" s="45"/>
      <c r="E534" s="45" t="s">
        <v>817</v>
      </c>
      <c r="F534" s="56" t="s">
        <v>70</v>
      </c>
      <c r="G534" s="57">
        <v>4.5</v>
      </c>
      <c r="H534" s="45"/>
      <c r="I534" s="57">
        <v>2209.5</v>
      </c>
      <c r="J534" s="59">
        <v>12.58</v>
      </c>
      <c r="K534" s="60"/>
      <c r="L534" s="60"/>
      <c r="M534" s="59">
        <f t="shared" si="61"/>
        <v>27795.51</v>
      </c>
      <c r="N534" s="60"/>
      <c r="O534" s="60"/>
      <c r="P534" s="59">
        <v>12.58</v>
      </c>
      <c r="Q534" s="60"/>
      <c r="R534" s="60"/>
      <c r="S534" s="59">
        <f t="shared" si="62"/>
        <v>27795.51</v>
      </c>
      <c r="T534" s="60"/>
      <c r="U534" s="61"/>
      <c r="V534" s="9">
        <f t="shared" si="63"/>
        <v>10.48</v>
      </c>
      <c r="Y534" s="9">
        <f t="shared" si="64"/>
        <v>23162.93</v>
      </c>
      <c r="AD534" s="4" t="s">
        <v>1701</v>
      </c>
      <c r="AE534" s="4" t="s">
        <v>1699</v>
      </c>
      <c r="AF534" s="4" t="s">
        <v>739</v>
      </c>
    </row>
    <row r="535" spans="1:35" ht="54" x14ac:dyDescent="0.3">
      <c r="A535" s="25" t="s">
        <v>1702</v>
      </c>
      <c r="B535" s="25" t="s">
        <v>1661</v>
      </c>
      <c r="C535" s="26" t="s">
        <v>1662</v>
      </c>
      <c r="D535" s="27"/>
      <c r="E535" s="27" t="s">
        <v>1663</v>
      </c>
      <c r="F535" s="27" t="s">
        <v>64</v>
      </c>
      <c r="G535" s="28">
        <v>1</v>
      </c>
      <c r="H535" s="27"/>
      <c r="I535" s="28">
        <v>662.77499999999998</v>
      </c>
      <c r="J535" s="29">
        <f>IFERROR(ROUND(SUM(M536,M537,M538)/I535, 2),0)</f>
        <v>89.57</v>
      </c>
      <c r="K535" s="29">
        <v>1001</v>
      </c>
      <c r="L535" s="29">
        <f>J535+ROUND(K535, 2)</f>
        <v>1090.57</v>
      </c>
      <c r="M535" s="29">
        <f>ROUND(J535*I535, 2)</f>
        <v>59364.76</v>
      </c>
      <c r="N535" s="29">
        <f>ROUND(I535*ROUND(K535, 2), 2)</f>
        <v>663437.78</v>
      </c>
      <c r="O535" s="29">
        <f>M535+N535</f>
        <v>722802.54</v>
      </c>
      <c r="P535" s="29">
        <f>IFERROR(ROUND(SUM(S536,S537,S538)/I535, 2),0)</f>
        <v>89.57</v>
      </c>
      <c r="Q535" s="29">
        <v>1001</v>
      </c>
      <c r="R535" s="29">
        <f>P535+ROUND(Q535, 2)</f>
        <v>1090.57</v>
      </c>
      <c r="S535" s="29">
        <f>ROUND(P535*I535, 2)</f>
        <v>59364.76</v>
      </c>
      <c r="T535" s="29">
        <f>ROUND(I535*ROUND(Q535, 2), 2)</f>
        <v>663437.78</v>
      </c>
      <c r="U535" s="29">
        <f>S535+T535</f>
        <v>722802.54</v>
      </c>
      <c r="V535" s="9">
        <f>ROUND(P535 / 1.2, 2)</f>
        <v>74.64</v>
      </c>
      <c r="W535" s="9">
        <f>ROUND(Q535 / 1.2, 2)</f>
        <v>834.17</v>
      </c>
      <c r="X535" s="9">
        <f>ROUND(R535 / 1.2, 2)</f>
        <v>908.81</v>
      </c>
      <c r="Y535" s="9">
        <f t="shared" si="64"/>
        <v>49470.63</v>
      </c>
      <c r="Z535" s="9">
        <f>ROUND(T535 / 1.2, 2)</f>
        <v>552864.81999999995</v>
      </c>
      <c r="AA535" s="9">
        <f>Y535+Z535</f>
        <v>602335.44999999995</v>
      </c>
      <c r="AD535" s="4">
        <v>298925436</v>
      </c>
      <c r="AE535" s="4">
        <v>19821008</v>
      </c>
      <c r="AG535" s="4" t="s">
        <v>1664</v>
      </c>
      <c r="AH535" s="4" t="s">
        <v>1665</v>
      </c>
      <c r="AI535" s="4" t="s">
        <v>67</v>
      </c>
    </row>
    <row r="536" spans="1:35" ht="36" x14ac:dyDescent="0.3">
      <c r="A536" s="25" t="s">
        <v>1703</v>
      </c>
      <c r="B536" s="25"/>
      <c r="C536" s="17" t="s">
        <v>736</v>
      </c>
      <c r="D536" s="27"/>
      <c r="E536" s="27"/>
      <c r="F536" s="31" t="s">
        <v>70</v>
      </c>
      <c r="G536" s="32">
        <v>4.5</v>
      </c>
      <c r="H536" s="27"/>
      <c r="I536" s="32">
        <v>2982.4879999999998</v>
      </c>
      <c r="J536" s="34">
        <v>12.07</v>
      </c>
      <c r="K536" s="35"/>
      <c r="L536" s="35"/>
      <c r="M536" s="34">
        <f>ROUND(ROUND(J536, 2)*I536, 2)</f>
        <v>35998.629999999997</v>
      </c>
      <c r="N536" s="35"/>
      <c r="O536" s="35"/>
      <c r="P536" s="34">
        <v>12.07</v>
      </c>
      <c r="Q536" s="35"/>
      <c r="R536" s="35"/>
      <c r="S536" s="34">
        <f>ROUND(ROUND(P536, 2)*I536, 2)</f>
        <v>35998.629999999997</v>
      </c>
      <c r="T536" s="35"/>
      <c r="U536" s="36"/>
      <c r="V536" s="9">
        <f>ROUND(ROUND(P536, 2)/1.2, 2)</f>
        <v>10.06</v>
      </c>
      <c r="Y536" s="9">
        <f t="shared" si="64"/>
        <v>29998.86</v>
      </c>
      <c r="AD536" s="4" t="s">
        <v>1704</v>
      </c>
      <c r="AE536" s="4" t="s">
        <v>1705</v>
      </c>
      <c r="AF536" s="4" t="s">
        <v>739</v>
      </c>
    </row>
    <row r="537" spans="1:35" ht="18" x14ac:dyDescent="0.3">
      <c r="A537" s="25" t="s">
        <v>1706</v>
      </c>
      <c r="B537" s="25"/>
      <c r="C537" s="30" t="s">
        <v>789</v>
      </c>
      <c r="D537" s="27"/>
      <c r="E537" s="27"/>
      <c r="F537" s="31" t="s">
        <v>116</v>
      </c>
      <c r="G537" s="32">
        <v>0.3</v>
      </c>
      <c r="H537" s="27"/>
      <c r="I537" s="32">
        <v>198.833</v>
      </c>
      <c r="J537" s="34">
        <v>73.099999999999994</v>
      </c>
      <c r="K537" s="35"/>
      <c r="L537" s="35"/>
      <c r="M537" s="34">
        <f>ROUND(ROUND(J537, 2)*I537, 2)</f>
        <v>14534.69</v>
      </c>
      <c r="N537" s="35"/>
      <c r="O537" s="35"/>
      <c r="P537" s="34">
        <v>73.099999999999994</v>
      </c>
      <c r="Q537" s="35"/>
      <c r="R537" s="35"/>
      <c r="S537" s="34">
        <f>ROUND(ROUND(P537, 2)*I537, 2)</f>
        <v>14534.69</v>
      </c>
      <c r="T537" s="35"/>
      <c r="U537" s="36"/>
      <c r="V537" s="9">
        <f>ROUND(ROUND(P537, 2)/1.2, 2)</f>
        <v>60.92</v>
      </c>
      <c r="Y537" s="9">
        <f t="shared" si="64"/>
        <v>12112.24</v>
      </c>
      <c r="AD537" s="4" t="s">
        <v>1707</v>
      </c>
      <c r="AE537" s="4" t="s">
        <v>1708</v>
      </c>
      <c r="AF537" s="4" t="s">
        <v>792</v>
      </c>
    </row>
    <row r="538" spans="1:35" ht="36" x14ac:dyDescent="0.3">
      <c r="A538" s="25" t="s">
        <v>1709</v>
      </c>
      <c r="B538" s="25"/>
      <c r="C538" s="30" t="s">
        <v>433</v>
      </c>
      <c r="D538" s="27"/>
      <c r="E538" s="27"/>
      <c r="F538" s="31" t="s">
        <v>70</v>
      </c>
      <c r="G538" s="32">
        <v>0.15</v>
      </c>
      <c r="H538" s="27"/>
      <c r="I538" s="32">
        <v>99.415999999999997</v>
      </c>
      <c r="J538" s="34">
        <v>88.8</v>
      </c>
      <c r="K538" s="35"/>
      <c r="L538" s="35"/>
      <c r="M538" s="34">
        <f>ROUND(ROUND(J538, 2)*I538, 2)</f>
        <v>8828.14</v>
      </c>
      <c r="N538" s="35"/>
      <c r="O538" s="35"/>
      <c r="P538" s="34">
        <v>88.8</v>
      </c>
      <c r="Q538" s="35"/>
      <c r="R538" s="35"/>
      <c r="S538" s="34">
        <f>ROUND(ROUND(P538, 2)*I538, 2)</f>
        <v>8828.14</v>
      </c>
      <c r="T538" s="35"/>
      <c r="U538" s="36"/>
      <c r="V538" s="9">
        <f>ROUND(ROUND(P538, 2)/1.2, 2)</f>
        <v>74</v>
      </c>
      <c r="Y538" s="9">
        <f t="shared" si="64"/>
        <v>7356.78</v>
      </c>
      <c r="AD538" s="4" t="s">
        <v>1710</v>
      </c>
      <c r="AE538" s="4" t="s">
        <v>1711</v>
      </c>
      <c r="AF538" s="4" t="s">
        <v>436</v>
      </c>
    </row>
    <row r="539" spans="1:35" ht="54" x14ac:dyDescent="0.3">
      <c r="A539" s="25" t="s">
        <v>1712</v>
      </c>
      <c r="B539" s="25" t="s">
        <v>1661</v>
      </c>
      <c r="C539" s="26" t="s">
        <v>1662</v>
      </c>
      <c r="D539" s="27"/>
      <c r="E539" s="27" t="s">
        <v>1685</v>
      </c>
      <c r="F539" s="27" t="s">
        <v>64</v>
      </c>
      <c r="G539" s="28">
        <v>1</v>
      </c>
      <c r="H539" s="27"/>
      <c r="I539" s="28">
        <v>662.77499999999998</v>
      </c>
      <c r="J539" s="29">
        <f>IFERROR(ROUND(SUM(M540,M541)/I539, 2),0)</f>
        <v>67.63</v>
      </c>
      <c r="K539" s="29">
        <v>1001</v>
      </c>
      <c r="L539" s="29">
        <f>J539+ROUND(K539, 2)</f>
        <v>1068.6300000000001</v>
      </c>
      <c r="M539" s="29">
        <f>ROUND(J539*I539, 2)</f>
        <v>44823.47</v>
      </c>
      <c r="N539" s="29">
        <f>ROUND(I539*ROUND(K539, 2), 2)</f>
        <v>663437.78</v>
      </c>
      <c r="O539" s="29">
        <f>M539+N539</f>
        <v>708261.25</v>
      </c>
      <c r="P539" s="29">
        <f>IFERROR(ROUND(SUM(S540,S541)/I539, 2),0)</f>
        <v>67.63</v>
      </c>
      <c r="Q539" s="29">
        <v>1001</v>
      </c>
      <c r="R539" s="29">
        <f>P539+ROUND(Q539, 2)</f>
        <v>1068.6300000000001</v>
      </c>
      <c r="S539" s="29">
        <f>ROUND(P539*I539, 2)</f>
        <v>44823.47</v>
      </c>
      <c r="T539" s="29">
        <f>ROUND(I539*ROUND(Q539, 2), 2)</f>
        <v>663437.78</v>
      </c>
      <c r="U539" s="29">
        <f>S539+T539</f>
        <v>708261.25</v>
      </c>
      <c r="V539" s="9">
        <f>ROUND(P539 / 1.2, 2)</f>
        <v>56.36</v>
      </c>
      <c r="W539" s="9">
        <f>ROUND(Q539 / 1.2, 2)</f>
        <v>834.17</v>
      </c>
      <c r="X539" s="9">
        <f>ROUND(R539 / 1.2, 2)</f>
        <v>890.53</v>
      </c>
      <c r="Y539" s="9">
        <f t="shared" si="64"/>
        <v>37352.89</v>
      </c>
      <c r="Z539" s="9">
        <f>ROUND(T539 / 1.2, 2)</f>
        <v>552864.81999999995</v>
      </c>
      <c r="AA539" s="9">
        <f>Y539+Z539</f>
        <v>590217.71</v>
      </c>
      <c r="AD539" s="4">
        <v>298925437</v>
      </c>
      <c r="AE539" s="4">
        <v>19821009</v>
      </c>
      <c r="AG539" s="4" t="s">
        <v>1664</v>
      </c>
      <c r="AH539" s="4" t="s">
        <v>1665</v>
      </c>
      <c r="AI539" s="4" t="s">
        <v>67</v>
      </c>
    </row>
    <row r="540" spans="1:35" ht="36" x14ac:dyDescent="0.3">
      <c r="A540" s="25" t="s">
        <v>1713</v>
      </c>
      <c r="B540" s="25"/>
      <c r="C540" s="30" t="s">
        <v>433</v>
      </c>
      <c r="D540" s="27"/>
      <c r="E540" s="27"/>
      <c r="F540" s="31" t="s">
        <v>70</v>
      </c>
      <c r="G540" s="32">
        <v>0.15</v>
      </c>
      <c r="H540" s="27"/>
      <c r="I540" s="32">
        <v>99.415999999999997</v>
      </c>
      <c r="J540" s="34">
        <v>88.8</v>
      </c>
      <c r="K540" s="35"/>
      <c r="L540" s="35"/>
      <c r="M540" s="34">
        <f>ROUND(ROUND(J540, 2)*I540, 2)</f>
        <v>8828.14</v>
      </c>
      <c r="N540" s="35"/>
      <c r="O540" s="35"/>
      <c r="P540" s="34">
        <v>88.8</v>
      </c>
      <c r="Q540" s="35"/>
      <c r="R540" s="35"/>
      <c r="S540" s="34">
        <f>ROUND(ROUND(P540, 2)*I540, 2)</f>
        <v>8828.14</v>
      </c>
      <c r="T540" s="35"/>
      <c r="U540" s="36"/>
      <c r="V540" s="9">
        <f>ROUND(ROUND(P540, 2)/1.2, 2)</f>
        <v>74</v>
      </c>
      <c r="Y540" s="9">
        <f t="shared" si="64"/>
        <v>7356.78</v>
      </c>
      <c r="AD540" s="4" t="s">
        <v>1714</v>
      </c>
      <c r="AE540" s="4" t="s">
        <v>1715</v>
      </c>
      <c r="AF540" s="4" t="s">
        <v>436</v>
      </c>
    </row>
    <row r="541" spans="1:35" ht="36" x14ac:dyDescent="0.3">
      <c r="A541" s="25" t="s">
        <v>1716</v>
      </c>
      <c r="B541" s="25"/>
      <c r="C541" s="17" t="s">
        <v>736</v>
      </c>
      <c r="D541" s="27"/>
      <c r="E541" s="27"/>
      <c r="F541" s="31" t="s">
        <v>70</v>
      </c>
      <c r="G541" s="32">
        <v>4.5</v>
      </c>
      <c r="H541" s="27"/>
      <c r="I541" s="32">
        <v>2982.4879999999998</v>
      </c>
      <c r="J541" s="34">
        <v>12.07</v>
      </c>
      <c r="K541" s="35"/>
      <c r="L541" s="35"/>
      <c r="M541" s="34">
        <f>ROUND(ROUND(J541, 2)*I541, 2)</f>
        <v>35998.629999999997</v>
      </c>
      <c r="N541" s="35"/>
      <c r="O541" s="35"/>
      <c r="P541" s="34">
        <v>12.07</v>
      </c>
      <c r="Q541" s="35"/>
      <c r="R541" s="35"/>
      <c r="S541" s="34">
        <f>ROUND(ROUND(P541, 2)*I541, 2)</f>
        <v>35998.629999999997</v>
      </c>
      <c r="T541" s="35"/>
      <c r="U541" s="36"/>
      <c r="V541" s="9">
        <f>ROUND(ROUND(P541, 2)/1.2, 2)</f>
        <v>10.06</v>
      </c>
      <c r="Y541" s="9">
        <f t="shared" si="64"/>
        <v>29998.86</v>
      </c>
      <c r="AD541" s="4" t="s">
        <v>1717</v>
      </c>
      <c r="AE541" s="4" t="s">
        <v>1718</v>
      </c>
      <c r="AF541" s="4" t="s">
        <v>739</v>
      </c>
    </row>
    <row r="542" spans="1:35" ht="54" x14ac:dyDescent="0.3">
      <c r="A542" s="37" t="s">
        <v>1719</v>
      </c>
      <c r="B542" s="37" t="s">
        <v>1720</v>
      </c>
      <c r="C542" s="38" t="s">
        <v>1721</v>
      </c>
      <c r="D542" s="39"/>
      <c r="E542" s="39" t="s">
        <v>63</v>
      </c>
      <c r="F542" s="39" t="s">
        <v>64</v>
      </c>
      <c r="G542" s="40">
        <v>1</v>
      </c>
      <c r="H542" s="39"/>
      <c r="I542" s="41">
        <v>389.59500000000003</v>
      </c>
      <c r="J542" s="42">
        <f>IFERROR(ROUND(SUM(M544,M546)/I542, 2),0)</f>
        <v>290.52</v>
      </c>
      <c r="K542" s="42">
        <v>275</v>
      </c>
      <c r="L542" s="42">
        <f>J542+ROUND(K542, 2)</f>
        <v>565.52</v>
      </c>
      <c r="M542" s="42">
        <f>ROUND(J542*I542, 2)</f>
        <v>113185.14</v>
      </c>
      <c r="N542" s="42">
        <f>ROUND(I542*ROUND(K542, 2), 2)</f>
        <v>107138.63</v>
      </c>
      <c r="O542" s="42">
        <f>M542+N542</f>
        <v>220323.77000000002</v>
      </c>
      <c r="P542" s="42">
        <f>IFERROR(ROUND(SUM(S544,S546)/I542, 2),0)</f>
        <v>143.88</v>
      </c>
      <c r="Q542" s="42">
        <v>275</v>
      </c>
      <c r="R542" s="42">
        <f>P542+ROUND(Q542, 2)</f>
        <v>418.88</v>
      </c>
      <c r="S542" s="42">
        <f>ROUND(P542*I542, 2)</f>
        <v>56054.93</v>
      </c>
      <c r="T542" s="42">
        <f>ROUND(I542*ROUND(Q542, 2), 2)</f>
        <v>107138.63</v>
      </c>
      <c r="U542" s="42">
        <f>S542+T542</f>
        <v>163193.56</v>
      </c>
      <c r="V542" s="9">
        <f>ROUND(P542 / 1.2, 2)</f>
        <v>119.9</v>
      </c>
      <c r="W542" s="9">
        <f>ROUND(Q542 / 1.2, 2)</f>
        <v>229.17</v>
      </c>
      <c r="X542" s="9">
        <f>ROUND(R542 / 1.2, 2)</f>
        <v>349.07</v>
      </c>
      <c r="Y542" s="9">
        <f t="shared" si="64"/>
        <v>46712.44</v>
      </c>
      <c r="Z542" s="9">
        <f>ROUND(T542 / 1.2, 2)</f>
        <v>89282.19</v>
      </c>
      <c r="AA542" s="9">
        <f>Y542+Z542</f>
        <v>135994.63</v>
      </c>
      <c r="AD542" s="4">
        <v>298925328</v>
      </c>
      <c r="AE542" s="4">
        <v>16226151</v>
      </c>
      <c r="AG542" s="4" t="s">
        <v>1722</v>
      </c>
      <c r="AH542" s="4" t="s">
        <v>1723</v>
      </c>
      <c r="AI542" s="4" t="s">
        <v>67</v>
      </c>
    </row>
    <row r="543" spans="1:35" ht="54" x14ac:dyDescent="0.3">
      <c r="A543" s="43" t="s">
        <v>1724</v>
      </c>
      <c r="B543" s="43" t="s">
        <v>1720</v>
      </c>
      <c r="C543" s="44" t="s">
        <v>1721</v>
      </c>
      <c r="D543" s="45"/>
      <c r="E543" s="45"/>
      <c r="F543" s="45" t="s">
        <v>64</v>
      </c>
      <c r="G543" s="46">
        <v>1</v>
      </c>
      <c r="H543" s="45"/>
      <c r="I543" s="46">
        <v>491</v>
      </c>
      <c r="J543" s="47">
        <v>0</v>
      </c>
      <c r="K543" s="47">
        <v>275</v>
      </c>
      <c r="L543" s="47"/>
      <c r="M543" s="47">
        <v>0</v>
      </c>
      <c r="N543" s="47"/>
      <c r="O543" s="47"/>
      <c r="P543" s="47">
        <v>0</v>
      </c>
      <c r="Q543" s="47">
        <v>275</v>
      </c>
      <c r="R543" s="47"/>
      <c r="S543" s="47">
        <v>0</v>
      </c>
      <c r="T543" s="47"/>
      <c r="U543" s="47"/>
      <c r="V543" s="9"/>
      <c r="W543" s="9">
        <f>ROUND(Q543 / 1.2, 2)</f>
        <v>229.17</v>
      </c>
      <c r="X543" s="9">
        <f>ROUND(R543 / 1.2, 2)</f>
        <v>0</v>
      </c>
      <c r="Y543" s="9"/>
      <c r="Z543" s="9">
        <f>ROUND(T543 / 1.2, 2)</f>
        <v>0</v>
      </c>
      <c r="AA543" s="9"/>
      <c r="AD543" s="4">
        <v>206326349</v>
      </c>
      <c r="AE543" s="4">
        <v>16226151</v>
      </c>
      <c r="AG543" s="4" t="s">
        <v>1722</v>
      </c>
      <c r="AH543" s="4" t="s">
        <v>1723</v>
      </c>
      <c r="AI543" s="4"/>
    </row>
    <row r="544" spans="1:35" ht="18" x14ac:dyDescent="0.3">
      <c r="A544" s="37" t="s">
        <v>1725</v>
      </c>
      <c r="B544" s="37"/>
      <c r="C544" s="48" t="s">
        <v>1726</v>
      </c>
      <c r="D544" s="39"/>
      <c r="E544" s="39"/>
      <c r="F544" s="49" t="s">
        <v>70</v>
      </c>
      <c r="G544" s="50">
        <v>0.3</v>
      </c>
      <c r="H544" s="39"/>
      <c r="I544" s="62">
        <v>116.879</v>
      </c>
      <c r="J544" s="52">
        <v>938.78</v>
      </c>
      <c r="K544" s="53"/>
      <c r="L544" s="53"/>
      <c r="M544" s="52">
        <f>ROUND(ROUND(J544, 2)*I544, 2)</f>
        <v>109723.67</v>
      </c>
      <c r="N544" s="53"/>
      <c r="O544" s="53"/>
      <c r="P544" s="52">
        <v>450</v>
      </c>
      <c r="Q544" s="53"/>
      <c r="R544" s="53"/>
      <c r="S544" s="52">
        <f>ROUND(ROUND(P544, 2)*I544, 2)</f>
        <v>52595.55</v>
      </c>
      <c r="T544" s="53"/>
      <c r="U544" s="54"/>
      <c r="V544" s="9">
        <f>ROUND(ROUND(P544, 2)/1.2, 2)</f>
        <v>375</v>
      </c>
      <c r="Y544" s="9">
        <f t="shared" ref="Y544:Y551" si="65">ROUND(S544 / 1.2, 2)</f>
        <v>43829.63</v>
      </c>
      <c r="AD544" s="4" t="s">
        <v>1727</v>
      </c>
      <c r="AE544" s="4" t="s">
        <v>1728</v>
      </c>
      <c r="AF544" s="4" t="s">
        <v>1729</v>
      </c>
    </row>
    <row r="545" spans="1:35" ht="18" x14ac:dyDescent="0.3">
      <c r="A545" s="43" t="s">
        <v>1730</v>
      </c>
      <c r="B545" s="43"/>
      <c r="C545" s="55" t="s">
        <v>1726</v>
      </c>
      <c r="D545" s="45"/>
      <c r="E545" s="45"/>
      <c r="F545" s="56" t="s">
        <v>70</v>
      </c>
      <c r="G545" s="57">
        <v>0.3</v>
      </c>
      <c r="H545" s="45"/>
      <c r="I545" s="57">
        <v>147.30000000000001</v>
      </c>
      <c r="J545" s="59">
        <v>938.78</v>
      </c>
      <c r="K545" s="60"/>
      <c r="L545" s="60"/>
      <c r="M545" s="59">
        <f>ROUND(ROUND(J545, 2)*I545, 2)</f>
        <v>138282.29</v>
      </c>
      <c r="N545" s="60"/>
      <c r="O545" s="60"/>
      <c r="P545" s="59">
        <v>450</v>
      </c>
      <c r="Q545" s="60"/>
      <c r="R545" s="60"/>
      <c r="S545" s="59">
        <f>ROUND(ROUND(P545, 2)*I545, 2)</f>
        <v>66285</v>
      </c>
      <c r="T545" s="60"/>
      <c r="U545" s="61"/>
      <c r="V545" s="9">
        <f>ROUND(ROUND(P545, 2)/1.2, 2)</f>
        <v>375</v>
      </c>
      <c r="Y545" s="9">
        <f t="shared" si="65"/>
        <v>55237.5</v>
      </c>
      <c r="AD545" s="4" t="s">
        <v>1731</v>
      </c>
      <c r="AE545" s="4" t="s">
        <v>1728</v>
      </c>
      <c r="AF545" s="4" t="s">
        <v>1729</v>
      </c>
    </row>
    <row r="546" spans="1:35" ht="36" x14ac:dyDescent="0.3">
      <c r="A546" s="37" t="s">
        <v>1732</v>
      </c>
      <c r="B546" s="37"/>
      <c r="C546" s="48" t="s">
        <v>433</v>
      </c>
      <c r="D546" s="39"/>
      <c r="E546" s="39"/>
      <c r="F546" s="49" t="s">
        <v>70</v>
      </c>
      <c r="G546" s="50">
        <v>0.1</v>
      </c>
      <c r="H546" s="39"/>
      <c r="I546" s="62">
        <v>38.96</v>
      </c>
      <c r="J546" s="52">
        <v>88.8</v>
      </c>
      <c r="K546" s="53"/>
      <c r="L546" s="53"/>
      <c r="M546" s="52">
        <f>ROUND(ROUND(J546, 2)*I546, 2)</f>
        <v>3459.65</v>
      </c>
      <c r="N546" s="53"/>
      <c r="O546" s="53"/>
      <c r="P546" s="52">
        <v>88.8</v>
      </c>
      <c r="Q546" s="53"/>
      <c r="R546" s="53"/>
      <c r="S546" s="52">
        <f>ROUND(ROUND(P546, 2)*I546, 2)</f>
        <v>3459.65</v>
      </c>
      <c r="T546" s="53"/>
      <c r="U546" s="54"/>
      <c r="V546" s="9">
        <f>ROUND(ROUND(P546, 2)/1.2, 2)</f>
        <v>74</v>
      </c>
      <c r="Y546" s="9">
        <f t="shared" si="65"/>
        <v>2883.04</v>
      </c>
      <c r="AD546" s="4" t="s">
        <v>1733</v>
      </c>
      <c r="AE546" s="4" t="s">
        <v>1734</v>
      </c>
      <c r="AF546" s="4" t="s">
        <v>436</v>
      </c>
    </row>
    <row r="547" spans="1:35" ht="36" x14ac:dyDescent="0.3">
      <c r="A547" s="43" t="s">
        <v>1735</v>
      </c>
      <c r="B547" s="43"/>
      <c r="C547" s="55" t="s">
        <v>433</v>
      </c>
      <c r="D547" s="45"/>
      <c r="E547" s="45"/>
      <c r="F547" s="56" t="s">
        <v>70</v>
      </c>
      <c r="G547" s="57">
        <v>0.1</v>
      </c>
      <c r="H547" s="45"/>
      <c r="I547" s="57">
        <v>49.1</v>
      </c>
      <c r="J547" s="59">
        <v>88.8</v>
      </c>
      <c r="K547" s="60"/>
      <c r="L547" s="60"/>
      <c r="M547" s="59">
        <f>ROUND(ROUND(J547, 2)*I547, 2)</f>
        <v>4360.08</v>
      </c>
      <c r="N547" s="60"/>
      <c r="O547" s="60"/>
      <c r="P547" s="59">
        <v>88.8</v>
      </c>
      <c r="Q547" s="60"/>
      <c r="R547" s="60"/>
      <c r="S547" s="59">
        <f>ROUND(ROUND(P547, 2)*I547, 2)</f>
        <v>4360.08</v>
      </c>
      <c r="T547" s="60"/>
      <c r="U547" s="61"/>
      <c r="V547" s="9">
        <f>ROUND(ROUND(P547, 2)/1.2, 2)</f>
        <v>74</v>
      </c>
      <c r="Y547" s="9">
        <f t="shared" si="65"/>
        <v>3633.4</v>
      </c>
      <c r="AD547" s="4" t="s">
        <v>1736</v>
      </c>
      <c r="AE547" s="4" t="s">
        <v>1734</v>
      </c>
      <c r="AF547" s="4" t="s">
        <v>436</v>
      </c>
    </row>
    <row r="548" spans="1:35" ht="54" x14ac:dyDescent="0.3">
      <c r="A548" s="25" t="s">
        <v>1737</v>
      </c>
      <c r="B548" s="25" t="s">
        <v>1720</v>
      </c>
      <c r="C548" s="26" t="s">
        <v>1721</v>
      </c>
      <c r="D548" s="27"/>
      <c r="E548" s="27" t="s">
        <v>81</v>
      </c>
      <c r="F548" s="27" t="s">
        <v>64</v>
      </c>
      <c r="G548" s="28">
        <v>1</v>
      </c>
      <c r="H548" s="27"/>
      <c r="I548" s="28">
        <v>273.18</v>
      </c>
      <c r="J548" s="29">
        <f>IFERROR(ROUND(SUM(M549,M550)/I548, 2),0)</f>
        <v>30.41</v>
      </c>
      <c r="K548" s="29">
        <v>303</v>
      </c>
      <c r="L548" s="29">
        <f>J548+ROUND(K548, 2)</f>
        <v>333.41</v>
      </c>
      <c r="M548" s="29">
        <f>ROUND(J548*I548, 2)</f>
        <v>8307.4</v>
      </c>
      <c r="N548" s="29">
        <f>ROUND(I548*ROUND(K548, 2), 2)</f>
        <v>82773.539999999994</v>
      </c>
      <c r="O548" s="29">
        <f>M548+N548</f>
        <v>91080.939999999988</v>
      </c>
      <c r="P548" s="29">
        <f>IFERROR(ROUND(SUM(S549,S550)/I548, 2),0)</f>
        <v>30.41</v>
      </c>
      <c r="Q548" s="29">
        <v>303</v>
      </c>
      <c r="R548" s="29">
        <f>P548+ROUND(Q548, 2)</f>
        <v>333.41</v>
      </c>
      <c r="S548" s="29">
        <f>ROUND(P548*I548, 2)</f>
        <v>8307.4</v>
      </c>
      <c r="T548" s="29">
        <f>ROUND(I548*ROUND(Q548, 2), 2)</f>
        <v>82773.539999999994</v>
      </c>
      <c r="U548" s="29">
        <f>S548+T548</f>
        <v>91080.939999999988</v>
      </c>
      <c r="V548" s="9">
        <f>ROUND(P548 / 1.2, 2)</f>
        <v>25.34</v>
      </c>
      <c r="W548" s="9">
        <f>ROUND(Q548 / 1.2, 2)</f>
        <v>252.5</v>
      </c>
      <c r="X548" s="9">
        <f>ROUND(R548 / 1.2, 2)</f>
        <v>277.83999999999997</v>
      </c>
      <c r="Y548" s="9">
        <f t="shared" si="65"/>
        <v>6922.83</v>
      </c>
      <c r="Z548" s="9">
        <f>ROUND(T548 / 1.2, 2)</f>
        <v>68977.95</v>
      </c>
      <c r="AA548" s="9">
        <f>Y548+Z548</f>
        <v>75900.78</v>
      </c>
      <c r="AD548" s="4">
        <v>298925438</v>
      </c>
      <c r="AE548" s="4">
        <v>19821007</v>
      </c>
      <c r="AG548" s="4" t="s">
        <v>1722</v>
      </c>
      <c r="AH548" s="4" t="s">
        <v>1723</v>
      </c>
      <c r="AI548" s="4" t="s">
        <v>67</v>
      </c>
    </row>
    <row r="549" spans="1:35" ht="36" x14ac:dyDescent="0.3">
      <c r="A549" s="25" t="s">
        <v>1738</v>
      </c>
      <c r="B549" s="25"/>
      <c r="C549" s="30" t="s">
        <v>433</v>
      </c>
      <c r="D549" s="27"/>
      <c r="E549" s="27"/>
      <c r="F549" s="31" t="s">
        <v>70</v>
      </c>
      <c r="G549" s="32">
        <v>0.1</v>
      </c>
      <c r="H549" s="27"/>
      <c r="I549" s="32">
        <v>27.318000000000001</v>
      </c>
      <c r="J549" s="34">
        <v>88.8</v>
      </c>
      <c r="K549" s="35"/>
      <c r="L549" s="35"/>
      <c r="M549" s="34">
        <f>ROUND(ROUND(J549, 2)*I549, 2)</f>
        <v>2425.84</v>
      </c>
      <c r="N549" s="35"/>
      <c r="O549" s="35"/>
      <c r="P549" s="34">
        <v>88.8</v>
      </c>
      <c r="Q549" s="35"/>
      <c r="R549" s="35"/>
      <c r="S549" s="34">
        <f>ROUND(ROUND(P549, 2)*I549, 2)</f>
        <v>2425.84</v>
      </c>
      <c r="T549" s="35"/>
      <c r="U549" s="36"/>
      <c r="V549" s="9">
        <f>ROUND(ROUND(P549, 2)/1.2, 2)</f>
        <v>74</v>
      </c>
      <c r="Y549" s="9">
        <f t="shared" si="65"/>
        <v>2021.53</v>
      </c>
      <c r="AD549" s="4" t="s">
        <v>1739</v>
      </c>
      <c r="AE549" s="4" t="s">
        <v>1740</v>
      </c>
      <c r="AF549" s="4" t="s">
        <v>436</v>
      </c>
    </row>
    <row r="550" spans="1:35" ht="36" x14ac:dyDescent="0.3">
      <c r="A550" s="25" t="s">
        <v>1741</v>
      </c>
      <c r="B550" s="25"/>
      <c r="C550" s="30" t="s">
        <v>1742</v>
      </c>
      <c r="D550" s="27"/>
      <c r="E550" s="27"/>
      <c r="F550" s="31" t="s">
        <v>70</v>
      </c>
      <c r="G550" s="32">
        <v>0.3</v>
      </c>
      <c r="H550" s="27"/>
      <c r="I550" s="32">
        <v>81.953999999999994</v>
      </c>
      <c r="J550" s="34">
        <v>71.75</v>
      </c>
      <c r="K550" s="35"/>
      <c r="L550" s="35"/>
      <c r="M550" s="34">
        <f>ROUND(ROUND(J550, 2)*I550, 2)</f>
        <v>5880.2</v>
      </c>
      <c r="N550" s="35"/>
      <c r="O550" s="35"/>
      <c r="P550" s="34">
        <v>71.75</v>
      </c>
      <c r="Q550" s="35"/>
      <c r="R550" s="35"/>
      <c r="S550" s="34">
        <f>ROUND(ROUND(P550, 2)*I550, 2)</f>
        <v>5880.2</v>
      </c>
      <c r="T550" s="35"/>
      <c r="U550" s="36"/>
      <c r="V550" s="9">
        <f>ROUND(ROUND(P550, 2)/1.2, 2)</f>
        <v>59.79</v>
      </c>
      <c r="Y550" s="9">
        <f t="shared" si="65"/>
        <v>4900.17</v>
      </c>
      <c r="AD550" s="4" t="s">
        <v>1743</v>
      </c>
      <c r="AE550" s="4" t="s">
        <v>1744</v>
      </c>
      <c r="AF550" s="4" t="s">
        <v>1745</v>
      </c>
    </row>
    <row r="551" spans="1:35" ht="36" x14ac:dyDescent="0.3">
      <c r="A551" s="37" t="s">
        <v>1746</v>
      </c>
      <c r="B551" s="37" t="s">
        <v>1747</v>
      </c>
      <c r="C551" s="38" t="s">
        <v>1748</v>
      </c>
      <c r="D551" s="39"/>
      <c r="E551" s="39" t="s">
        <v>63</v>
      </c>
      <c r="F551" s="39" t="s">
        <v>64</v>
      </c>
      <c r="G551" s="40">
        <v>1</v>
      </c>
      <c r="H551" s="39"/>
      <c r="I551" s="41">
        <v>0</v>
      </c>
      <c r="J551" s="42">
        <f>IFERROR(ROUND(SUM(M553,M555,M557,M559)/I551, 2),0)</f>
        <v>0</v>
      </c>
      <c r="K551" s="42">
        <v>2541</v>
      </c>
      <c r="L551" s="42">
        <f>J551+ROUND(K551, 2)</f>
        <v>2541</v>
      </c>
      <c r="M551" s="42">
        <f>ROUND(J551*I551, 2)</f>
        <v>0</v>
      </c>
      <c r="N551" s="42">
        <f>ROUND(I551*ROUND(K551, 2), 2)</f>
        <v>0</v>
      </c>
      <c r="O551" s="42">
        <f>M551+N551</f>
        <v>0</v>
      </c>
      <c r="P551" s="42">
        <f>IFERROR(ROUND(SUM(S553,S555,S557,S559)/I551, 2),0)</f>
        <v>0</v>
      </c>
      <c r="Q551" s="42">
        <v>2541</v>
      </c>
      <c r="R551" s="42">
        <f>P551+ROUND(Q551, 2)</f>
        <v>2541</v>
      </c>
      <c r="S551" s="42">
        <f>ROUND(P551*I551, 2)</f>
        <v>0</v>
      </c>
      <c r="T551" s="42">
        <f>ROUND(I551*ROUND(Q551, 2), 2)</f>
        <v>0</v>
      </c>
      <c r="U551" s="42">
        <f>S551+T551</f>
        <v>0</v>
      </c>
      <c r="V551" s="9">
        <f>ROUND(P551 / 1.2, 2)</f>
        <v>0</v>
      </c>
      <c r="W551" s="9">
        <f>ROUND(Q551 / 1.2, 2)</f>
        <v>2117.5</v>
      </c>
      <c r="X551" s="9">
        <f>ROUND(R551 / 1.2, 2)</f>
        <v>2117.5</v>
      </c>
      <c r="Y551" s="9">
        <f t="shared" si="65"/>
        <v>0</v>
      </c>
      <c r="Z551" s="9">
        <f>ROUND(T551 / 1.2, 2)</f>
        <v>0</v>
      </c>
      <c r="AA551" s="9">
        <f>Y551+Z551</f>
        <v>0</v>
      </c>
      <c r="AD551" s="4">
        <v>298925330</v>
      </c>
      <c r="AE551" s="4">
        <v>16226149</v>
      </c>
      <c r="AG551" s="4" t="s">
        <v>1749</v>
      </c>
      <c r="AH551" s="4" t="s">
        <v>1750</v>
      </c>
      <c r="AI551" s="4" t="s">
        <v>67</v>
      </c>
    </row>
    <row r="552" spans="1:35" ht="36" x14ac:dyDescent="0.3">
      <c r="A552" s="43" t="s">
        <v>1751</v>
      </c>
      <c r="B552" s="43" t="s">
        <v>1747</v>
      </c>
      <c r="C552" s="44" t="s">
        <v>1748</v>
      </c>
      <c r="D552" s="45"/>
      <c r="E552" s="45"/>
      <c r="F552" s="45" t="s">
        <v>64</v>
      </c>
      <c r="G552" s="46">
        <v>1</v>
      </c>
      <c r="H552" s="45"/>
      <c r="I552" s="46">
        <v>397</v>
      </c>
      <c r="J552" s="47">
        <v>0</v>
      </c>
      <c r="K552" s="47">
        <v>2541</v>
      </c>
      <c r="L552" s="47"/>
      <c r="M552" s="47">
        <v>0</v>
      </c>
      <c r="N552" s="47"/>
      <c r="O552" s="47"/>
      <c r="P552" s="47">
        <v>0</v>
      </c>
      <c r="Q552" s="47">
        <v>2541</v>
      </c>
      <c r="R552" s="47"/>
      <c r="S552" s="47">
        <v>0</v>
      </c>
      <c r="T552" s="47"/>
      <c r="U552" s="47"/>
      <c r="V552" s="9"/>
      <c r="W552" s="9">
        <f>ROUND(Q552 / 1.2, 2)</f>
        <v>2117.5</v>
      </c>
      <c r="X552" s="9">
        <f>ROUND(R552 / 1.2, 2)</f>
        <v>0</v>
      </c>
      <c r="Y552" s="9"/>
      <c r="Z552" s="9">
        <f>ROUND(T552 / 1.2, 2)</f>
        <v>0</v>
      </c>
      <c r="AA552" s="9"/>
      <c r="AD552" s="4">
        <v>206326351</v>
      </c>
      <c r="AE552" s="4">
        <v>16226149</v>
      </c>
      <c r="AG552" s="4" t="s">
        <v>1749</v>
      </c>
      <c r="AH552" s="4" t="s">
        <v>1750</v>
      </c>
      <c r="AI552" s="4"/>
    </row>
    <row r="553" spans="1:35" ht="18" x14ac:dyDescent="0.3">
      <c r="A553" s="37" t="s">
        <v>1752</v>
      </c>
      <c r="B553" s="37"/>
      <c r="C553" s="48" t="s">
        <v>1753</v>
      </c>
      <c r="D553" s="39"/>
      <c r="E553" s="39"/>
      <c r="F553" s="49" t="s">
        <v>70</v>
      </c>
      <c r="G553" s="50">
        <v>0.35</v>
      </c>
      <c r="H553" s="39"/>
      <c r="I553" s="62">
        <v>0</v>
      </c>
      <c r="J553" s="52">
        <v>55</v>
      </c>
      <c r="K553" s="53"/>
      <c r="L553" s="53"/>
      <c r="M553" s="52">
        <f t="shared" ref="M553:M560" si="66">ROUND(ROUND(J553, 2)*I553, 2)</f>
        <v>0</v>
      </c>
      <c r="N553" s="53"/>
      <c r="O553" s="53"/>
      <c r="P553" s="52">
        <v>55</v>
      </c>
      <c r="Q553" s="53"/>
      <c r="R553" s="53"/>
      <c r="S553" s="52">
        <f t="shared" ref="S553:S560" si="67">ROUND(ROUND(P553, 2)*I553, 2)</f>
        <v>0</v>
      </c>
      <c r="T553" s="53"/>
      <c r="U553" s="54"/>
      <c r="V553" s="9">
        <f t="shared" ref="V553:V560" si="68">ROUND(ROUND(P553, 2)/1.2, 2)</f>
        <v>45.83</v>
      </c>
      <c r="Y553" s="9">
        <f t="shared" ref="Y553:Y569" si="69">ROUND(S553 / 1.2, 2)</f>
        <v>0</v>
      </c>
      <c r="AD553" s="4" t="s">
        <v>1754</v>
      </c>
      <c r="AE553" s="4" t="s">
        <v>1755</v>
      </c>
      <c r="AF553" s="4" t="s">
        <v>1756</v>
      </c>
    </row>
    <row r="554" spans="1:35" ht="18" x14ac:dyDescent="0.3">
      <c r="A554" s="43" t="s">
        <v>1757</v>
      </c>
      <c r="B554" s="43"/>
      <c r="C554" s="55" t="s">
        <v>1753</v>
      </c>
      <c r="D554" s="45"/>
      <c r="E554" s="45"/>
      <c r="F554" s="56" t="s">
        <v>70</v>
      </c>
      <c r="G554" s="57">
        <v>0.35</v>
      </c>
      <c r="H554" s="45"/>
      <c r="I554" s="57">
        <v>138.94999999999999</v>
      </c>
      <c r="J554" s="59">
        <v>55</v>
      </c>
      <c r="K554" s="60"/>
      <c r="L554" s="60"/>
      <c r="M554" s="59">
        <f t="shared" si="66"/>
        <v>7642.25</v>
      </c>
      <c r="N554" s="60"/>
      <c r="O554" s="60"/>
      <c r="P554" s="59">
        <v>55</v>
      </c>
      <c r="Q554" s="60"/>
      <c r="R554" s="60"/>
      <c r="S554" s="59">
        <f t="shared" si="67"/>
        <v>7642.25</v>
      </c>
      <c r="T554" s="60"/>
      <c r="U554" s="61"/>
      <c r="V554" s="9">
        <f t="shared" si="68"/>
        <v>45.83</v>
      </c>
      <c r="Y554" s="9">
        <f t="shared" si="69"/>
        <v>6368.54</v>
      </c>
      <c r="AD554" s="4" t="s">
        <v>1758</v>
      </c>
      <c r="AE554" s="4" t="s">
        <v>1755</v>
      </c>
      <c r="AF554" s="4" t="s">
        <v>1756</v>
      </c>
    </row>
    <row r="555" spans="1:35" ht="18" x14ac:dyDescent="0.3">
      <c r="A555" s="37" t="s">
        <v>1759</v>
      </c>
      <c r="B555" s="37"/>
      <c r="C555" s="48" t="s">
        <v>1760</v>
      </c>
      <c r="D555" s="39"/>
      <c r="E555" s="39"/>
      <c r="F555" s="49" t="s">
        <v>116</v>
      </c>
      <c r="G555" s="50">
        <v>20</v>
      </c>
      <c r="H555" s="39"/>
      <c r="I555" s="62">
        <v>0</v>
      </c>
      <c r="J555" s="52">
        <v>1.5</v>
      </c>
      <c r="K555" s="53"/>
      <c r="L555" s="53"/>
      <c r="M555" s="52">
        <f t="shared" si="66"/>
        <v>0</v>
      </c>
      <c r="N555" s="53"/>
      <c r="O555" s="53"/>
      <c r="P555" s="52">
        <v>1.5</v>
      </c>
      <c r="Q555" s="53"/>
      <c r="R555" s="53"/>
      <c r="S555" s="52">
        <f t="shared" si="67"/>
        <v>0</v>
      </c>
      <c r="T555" s="53"/>
      <c r="U555" s="54"/>
      <c r="V555" s="9">
        <f t="shared" si="68"/>
        <v>1.25</v>
      </c>
      <c r="Y555" s="9">
        <f t="shared" si="69"/>
        <v>0</v>
      </c>
      <c r="AD555" s="4" t="s">
        <v>1761</v>
      </c>
      <c r="AE555" s="4" t="s">
        <v>1762</v>
      </c>
      <c r="AF555" s="4" t="s">
        <v>1763</v>
      </c>
    </row>
    <row r="556" spans="1:35" ht="18" x14ac:dyDescent="0.3">
      <c r="A556" s="43" t="s">
        <v>1764</v>
      </c>
      <c r="B556" s="43"/>
      <c r="C556" s="55" t="s">
        <v>1760</v>
      </c>
      <c r="D556" s="45"/>
      <c r="E556" s="45"/>
      <c r="F556" s="56" t="s">
        <v>116</v>
      </c>
      <c r="G556" s="57">
        <v>20</v>
      </c>
      <c r="H556" s="45"/>
      <c r="I556" s="57">
        <v>7940</v>
      </c>
      <c r="J556" s="59">
        <v>1.5</v>
      </c>
      <c r="K556" s="60"/>
      <c r="L556" s="60"/>
      <c r="M556" s="59">
        <f t="shared" si="66"/>
        <v>11910</v>
      </c>
      <c r="N556" s="60"/>
      <c r="O556" s="60"/>
      <c r="P556" s="59">
        <v>1.5</v>
      </c>
      <c r="Q556" s="60"/>
      <c r="R556" s="60"/>
      <c r="S556" s="59">
        <f t="shared" si="67"/>
        <v>11910</v>
      </c>
      <c r="T556" s="60"/>
      <c r="U556" s="61"/>
      <c r="V556" s="9">
        <f t="shared" si="68"/>
        <v>1.25</v>
      </c>
      <c r="Y556" s="9">
        <f t="shared" si="69"/>
        <v>9925</v>
      </c>
      <c r="AD556" s="4" t="s">
        <v>1765</v>
      </c>
      <c r="AE556" s="4" t="s">
        <v>1762</v>
      </c>
      <c r="AF556" s="4" t="s">
        <v>1763</v>
      </c>
    </row>
    <row r="557" spans="1:35" ht="36" x14ac:dyDescent="0.3">
      <c r="A557" s="37" t="s">
        <v>1766</v>
      </c>
      <c r="B557" s="37"/>
      <c r="C557" s="48" t="s">
        <v>1767</v>
      </c>
      <c r="D557" s="39"/>
      <c r="E557" s="39"/>
      <c r="F557" s="49" t="s">
        <v>64</v>
      </c>
      <c r="G557" s="50">
        <v>1.05</v>
      </c>
      <c r="H557" s="39"/>
      <c r="I557" s="62">
        <v>0</v>
      </c>
      <c r="J557" s="52">
        <v>135.53</v>
      </c>
      <c r="K557" s="53"/>
      <c r="L557" s="53"/>
      <c r="M557" s="52">
        <f t="shared" si="66"/>
        <v>0</v>
      </c>
      <c r="N557" s="53"/>
      <c r="O557" s="53"/>
      <c r="P557" s="52">
        <v>135.53</v>
      </c>
      <c r="Q557" s="53"/>
      <c r="R557" s="53"/>
      <c r="S557" s="52">
        <f t="shared" si="67"/>
        <v>0</v>
      </c>
      <c r="T557" s="53"/>
      <c r="U557" s="54"/>
      <c r="V557" s="9">
        <f t="shared" si="68"/>
        <v>112.94</v>
      </c>
      <c r="Y557" s="9">
        <f t="shared" si="69"/>
        <v>0</v>
      </c>
      <c r="AD557" s="4" t="s">
        <v>1768</v>
      </c>
      <c r="AE557" s="4" t="s">
        <v>1769</v>
      </c>
      <c r="AF557" s="4" t="s">
        <v>1770</v>
      </c>
    </row>
    <row r="558" spans="1:35" ht="36" x14ac:dyDescent="0.3">
      <c r="A558" s="43" t="s">
        <v>1771</v>
      </c>
      <c r="B558" s="43"/>
      <c r="C558" s="55" t="s">
        <v>1767</v>
      </c>
      <c r="D558" s="45"/>
      <c r="E558" s="45"/>
      <c r="F558" s="56" t="s">
        <v>64</v>
      </c>
      <c r="G558" s="57">
        <v>1.05</v>
      </c>
      <c r="H558" s="45"/>
      <c r="I558" s="57">
        <v>416.85</v>
      </c>
      <c r="J558" s="59">
        <v>135.53</v>
      </c>
      <c r="K558" s="60"/>
      <c r="L558" s="60"/>
      <c r="M558" s="59">
        <f t="shared" si="66"/>
        <v>56495.68</v>
      </c>
      <c r="N558" s="60"/>
      <c r="O558" s="60"/>
      <c r="P558" s="59">
        <v>135.53</v>
      </c>
      <c r="Q558" s="60"/>
      <c r="R558" s="60"/>
      <c r="S558" s="59">
        <f t="shared" si="67"/>
        <v>56495.68</v>
      </c>
      <c r="T558" s="60"/>
      <c r="U558" s="61"/>
      <c r="V558" s="9">
        <f t="shared" si="68"/>
        <v>112.94</v>
      </c>
      <c r="Y558" s="9">
        <f t="shared" si="69"/>
        <v>47079.73</v>
      </c>
      <c r="AD558" s="4" t="s">
        <v>1772</v>
      </c>
      <c r="AE558" s="4" t="s">
        <v>1769</v>
      </c>
      <c r="AF558" s="4" t="s">
        <v>1770</v>
      </c>
    </row>
    <row r="559" spans="1:35" ht="18" x14ac:dyDescent="0.3">
      <c r="A559" s="37" t="s">
        <v>1773</v>
      </c>
      <c r="B559" s="37"/>
      <c r="C559" s="48" t="s">
        <v>1774</v>
      </c>
      <c r="D559" s="39"/>
      <c r="E559" s="39"/>
      <c r="F559" s="49" t="s">
        <v>116</v>
      </c>
      <c r="G559" s="50">
        <v>0.6</v>
      </c>
      <c r="H559" s="39"/>
      <c r="I559" s="62">
        <v>0</v>
      </c>
      <c r="J559" s="52">
        <v>119.25</v>
      </c>
      <c r="K559" s="53"/>
      <c r="L559" s="53"/>
      <c r="M559" s="52">
        <f t="shared" si="66"/>
        <v>0</v>
      </c>
      <c r="N559" s="53"/>
      <c r="O559" s="53"/>
      <c r="P559" s="52">
        <v>119.25</v>
      </c>
      <c r="Q559" s="53"/>
      <c r="R559" s="53"/>
      <c r="S559" s="52">
        <f t="shared" si="67"/>
        <v>0</v>
      </c>
      <c r="T559" s="53"/>
      <c r="U559" s="54"/>
      <c r="V559" s="9">
        <f t="shared" si="68"/>
        <v>99.38</v>
      </c>
      <c r="Y559" s="9">
        <f t="shared" si="69"/>
        <v>0</v>
      </c>
      <c r="AD559" s="4" t="s">
        <v>1775</v>
      </c>
      <c r="AE559" s="4" t="s">
        <v>1776</v>
      </c>
      <c r="AF559" s="4" t="s">
        <v>1777</v>
      </c>
    </row>
    <row r="560" spans="1:35" ht="18" x14ac:dyDescent="0.3">
      <c r="A560" s="43" t="s">
        <v>1778</v>
      </c>
      <c r="B560" s="43"/>
      <c r="C560" s="55" t="s">
        <v>1774</v>
      </c>
      <c r="D560" s="45"/>
      <c r="E560" s="45"/>
      <c r="F560" s="56" t="s">
        <v>116</v>
      </c>
      <c r="G560" s="57">
        <v>0.6</v>
      </c>
      <c r="H560" s="45"/>
      <c r="I560" s="57">
        <v>238.2</v>
      </c>
      <c r="J560" s="59">
        <v>119.25</v>
      </c>
      <c r="K560" s="60"/>
      <c r="L560" s="60"/>
      <c r="M560" s="59">
        <f t="shared" si="66"/>
        <v>28405.35</v>
      </c>
      <c r="N560" s="60"/>
      <c r="O560" s="60"/>
      <c r="P560" s="59">
        <v>119.25</v>
      </c>
      <c r="Q560" s="60"/>
      <c r="R560" s="60"/>
      <c r="S560" s="59">
        <f t="shared" si="67"/>
        <v>28405.35</v>
      </c>
      <c r="T560" s="60"/>
      <c r="U560" s="61"/>
      <c r="V560" s="9">
        <f t="shared" si="68"/>
        <v>99.38</v>
      </c>
      <c r="Y560" s="9">
        <f t="shared" si="69"/>
        <v>23671.13</v>
      </c>
      <c r="AD560" s="4" t="s">
        <v>1779</v>
      </c>
      <c r="AE560" s="4" t="s">
        <v>1776</v>
      </c>
      <c r="AF560" s="4" t="s">
        <v>1777</v>
      </c>
    </row>
    <row r="561" spans="1:35" ht="36" x14ac:dyDescent="0.3">
      <c r="A561" s="25" t="s">
        <v>1780</v>
      </c>
      <c r="B561" s="25" t="s">
        <v>1781</v>
      </c>
      <c r="C561" s="26" t="s">
        <v>1782</v>
      </c>
      <c r="D561" s="27"/>
      <c r="E561" s="27" t="s">
        <v>1783</v>
      </c>
      <c r="F561" s="27" t="s">
        <v>64</v>
      </c>
      <c r="G561" s="28">
        <v>1</v>
      </c>
      <c r="H561" s="27"/>
      <c r="I561" s="28">
        <v>71.94</v>
      </c>
      <c r="J561" s="29">
        <f>IFERROR(ROUND(SUM(M562,M563,M564)/I561, 2),0)</f>
        <v>369.74</v>
      </c>
      <c r="K561" s="29">
        <v>1291</v>
      </c>
      <c r="L561" s="29">
        <f>J561+ROUND(K561, 2)</f>
        <v>1660.74</v>
      </c>
      <c r="M561" s="29">
        <f>ROUND(J561*I561, 2)</f>
        <v>26599.1</v>
      </c>
      <c r="N561" s="29">
        <f>ROUND(I561*ROUND(K561, 2), 2)</f>
        <v>92874.54</v>
      </c>
      <c r="O561" s="29">
        <f>M561+N561</f>
        <v>119473.63999999998</v>
      </c>
      <c r="P561" s="29">
        <f>IFERROR(ROUND(SUM(S562,S563,S564)/I561, 2),0)</f>
        <v>2042.1</v>
      </c>
      <c r="Q561" s="29">
        <v>1291</v>
      </c>
      <c r="R561" s="29">
        <f>P561+ROUND(Q561, 2)</f>
        <v>3333.1</v>
      </c>
      <c r="S561" s="29">
        <f>ROUND(P561*I561, 2)</f>
        <v>146908.67000000001</v>
      </c>
      <c r="T561" s="29">
        <f>ROUND(I561*ROUND(Q561, 2), 2)</f>
        <v>92874.54</v>
      </c>
      <c r="U561" s="29">
        <f>S561+T561</f>
        <v>239783.21000000002</v>
      </c>
      <c r="V561" s="9">
        <f>ROUND(P561 / 1.2, 2)</f>
        <v>1701.75</v>
      </c>
      <c r="W561" s="9">
        <f>ROUND(Q561 / 1.2, 2)</f>
        <v>1075.83</v>
      </c>
      <c r="X561" s="9">
        <f>ROUND(R561 / 1.2, 2)</f>
        <v>2777.58</v>
      </c>
      <c r="Y561" s="9">
        <f t="shared" si="69"/>
        <v>122423.89</v>
      </c>
      <c r="Z561" s="9">
        <f>ROUND(T561 / 1.2, 2)</f>
        <v>77395.45</v>
      </c>
      <c r="AA561" s="9">
        <f>Y561+Z561</f>
        <v>199819.34</v>
      </c>
      <c r="AD561" s="4">
        <v>298925332</v>
      </c>
      <c r="AE561" s="4">
        <v>20181624</v>
      </c>
      <c r="AG561" s="4" t="s">
        <v>1784</v>
      </c>
      <c r="AH561" s="4" t="s">
        <v>1785</v>
      </c>
      <c r="AI561" s="4" t="s">
        <v>67</v>
      </c>
    </row>
    <row r="562" spans="1:35" ht="18" x14ac:dyDescent="0.3">
      <c r="A562" s="25" t="s">
        <v>1786</v>
      </c>
      <c r="B562" s="25"/>
      <c r="C562" s="30" t="s">
        <v>1787</v>
      </c>
      <c r="D562" s="27"/>
      <c r="E562" s="27"/>
      <c r="F562" s="31" t="s">
        <v>87</v>
      </c>
      <c r="G562" s="32">
        <v>1</v>
      </c>
      <c r="H562" s="27"/>
      <c r="I562" s="33">
        <v>516.29999999999995</v>
      </c>
      <c r="J562" s="34">
        <v>44.71</v>
      </c>
      <c r="K562" s="35"/>
      <c r="L562" s="35"/>
      <c r="M562" s="34">
        <f>ROUND(ROUND(J562, 2)*I562, 2)</f>
        <v>23083.77</v>
      </c>
      <c r="N562" s="35"/>
      <c r="O562" s="35"/>
      <c r="P562" s="34">
        <v>44.71</v>
      </c>
      <c r="Q562" s="35"/>
      <c r="R562" s="35"/>
      <c r="S562" s="34">
        <f>ROUND(ROUND(P562, 2)*I562, 2)</f>
        <v>23083.77</v>
      </c>
      <c r="T562" s="35"/>
      <c r="U562" s="36"/>
      <c r="V562" s="9">
        <f>ROUND(ROUND(P562, 2)/1.2, 2)</f>
        <v>37.26</v>
      </c>
      <c r="Y562" s="9">
        <f t="shared" si="69"/>
        <v>19236.48</v>
      </c>
      <c r="AD562" s="4" t="s">
        <v>1788</v>
      </c>
      <c r="AE562" s="4" t="s">
        <v>1789</v>
      </c>
      <c r="AF562" s="4" t="s">
        <v>1790</v>
      </c>
    </row>
    <row r="563" spans="1:35" ht="18" x14ac:dyDescent="0.3">
      <c r="A563" s="25" t="s">
        <v>1791</v>
      </c>
      <c r="B563" s="25"/>
      <c r="C563" s="30" t="s">
        <v>1792</v>
      </c>
      <c r="D563" s="27"/>
      <c r="E563" s="27"/>
      <c r="F563" s="31" t="s">
        <v>87</v>
      </c>
      <c r="G563" s="32">
        <v>1</v>
      </c>
      <c r="H563" s="27"/>
      <c r="I563" s="33">
        <v>98.3</v>
      </c>
      <c r="J563" s="34">
        <v>35.76</v>
      </c>
      <c r="K563" s="35"/>
      <c r="L563" s="35"/>
      <c r="M563" s="34">
        <f>ROUND(ROUND(J563, 2)*I563, 2)</f>
        <v>3515.21</v>
      </c>
      <c r="N563" s="35"/>
      <c r="O563" s="35"/>
      <c r="P563" s="34">
        <v>35.76</v>
      </c>
      <c r="Q563" s="35"/>
      <c r="R563" s="35"/>
      <c r="S563" s="34">
        <f>ROUND(ROUND(P563, 2)*I563, 2)</f>
        <v>3515.21</v>
      </c>
      <c r="T563" s="35"/>
      <c r="U563" s="36"/>
      <c r="V563" s="9">
        <f>ROUND(ROUND(P563, 2)/1.2, 2)</f>
        <v>29.8</v>
      </c>
      <c r="Y563" s="9">
        <f t="shared" si="69"/>
        <v>2929.34</v>
      </c>
      <c r="AD563" s="4" t="s">
        <v>1793</v>
      </c>
      <c r="AE563" s="4" t="s">
        <v>1794</v>
      </c>
      <c r="AF563" s="4" t="s">
        <v>1795</v>
      </c>
    </row>
    <row r="564" spans="1:35" ht="18" x14ac:dyDescent="0.3">
      <c r="A564" s="25" t="s">
        <v>1796</v>
      </c>
      <c r="B564" s="25"/>
      <c r="C564" s="30" t="s">
        <v>1797</v>
      </c>
      <c r="D564" s="27"/>
      <c r="E564" s="27"/>
      <c r="F564" s="31" t="s">
        <v>64</v>
      </c>
      <c r="G564" s="32">
        <v>1.1000000000000001</v>
      </c>
      <c r="H564" s="27"/>
      <c r="I564" s="32">
        <v>79.134</v>
      </c>
      <c r="J564" s="34">
        <v>0</v>
      </c>
      <c r="K564" s="35"/>
      <c r="L564" s="35"/>
      <c r="M564" s="34">
        <f>ROUND(ROUND(J564, 2)*I564, 2)</f>
        <v>0</v>
      </c>
      <c r="N564" s="35"/>
      <c r="O564" s="35"/>
      <c r="P564" s="34">
        <v>1520.33</v>
      </c>
      <c r="Q564" s="35"/>
      <c r="R564" s="35"/>
      <c r="S564" s="34">
        <f>ROUND(ROUND(P564, 2)*I564, 2)</f>
        <v>120309.79</v>
      </c>
      <c r="T564" s="35"/>
      <c r="U564" s="36"/>
      <c r="V564" s="9">
        <f>ROUND(ROUND(P564, 2)/1.2, 2)</f>
        <v>1266.94</v>
      </c>
      <c r="Y564" s="9">
        <f t="shared" si="69"/>
        <v>100258.16</v>
      </c>
      <c r="AD564" s="4" t="s">
        <v>1798</v>
      </c>
      <c r="AE564" s="4" t="s">
        <v>1799</v>
      </c>
      <c r="AF564" s="4" t="s">
        <v>1800</v>
      </c>
    </row>
    <row r="565" spans="1:35" ht="36" x14ac:dyDescent="0.3">
      <c r="A565" s="25" t="s">
        <v>1801</v>
      </c>
      <c r="B565" s="25" t="s">
        <v>1781</v>
      </c>
      <c r="C565" s="26" t="s">
        <v>1782</v>
      </c>
      <c r="D565" s="27"/>
      <c r="E565" s="27" t="s">
        <v>1802</v>
      </c>
      <c r="F565" s="27" t="s">
        <v>64</v>
      </c>
      <c r="G565" s="28">
        <v>1</v>
      </c>
      <c r="H565" s="27"/>
      <c r="I565" s="28">
        <v>73.87</v>
      </c>
      <c r="J565" s="29">
        <f>IFERROR(ROUND(SUM(M566,M567,M568)/I565, 2),0)</f>
        <v>223.45</v>
      </c>
      <c r="K565" s="29">
        <v>1291</v>
      </c>
      <c r="L565" s="29">
        <f>J565+ROUND(K565, 2)</f>
        <v>1514.45</v>
      </c>
      <c r="M565" s="29">
        <f>ROUND(J565*I565, 2)</f>
        <v>16506.25</v>
      </c>
      <c r="N565" s="29">
        <f>ROUND(I565*ROUND(K565, 2), 2)</f>
        <v>95366.17</v>
      </c>
      <c r="O565" s="29">
        <f>M565+N565</f>
        <v>111872.42</v>
      </c>
      <c r="P565" s="29">
        <f>IFERROR(ROUND(SUM(S566,S567,S568)/I565, 2),0)</f>
        <v>1895.81</v>
      </c>
      <c r="Q565" s="29">
        <v>1291</v>
      </c>
      <c r="R565" s="29">
        <f>P565+ROUND(Q565, 2)</f>
        <v>3186.81</v>
      </c>
      <c r="S565" s="29">
        <f>ROUND(P565*I565, 2)</f>
        <v>140043.48000000001</v>
      </c>
      <c r="T565" s="29">
        <f>ROUND(I565*ROUND(Q565, 2), 2)</f>
        <v>95366.17</v>
      </c>
      <c r="U565" s="29">
        <f>S565+T565</f>
        <v>235409.65000000002</v>
      </c>
      <c r="V565" s="9">
        <f>ROUND(P565 / 1.2, 2)</f>
        <v>1579.84</v>
      </c>
      <c r="W565" s="9">
        <f>ROUND(Q565 / 1.2, 2)</f>
        <v>1075.83</v>
      </c>
      <c r="X565" s="9">
        <f>ROUND(R565 / 1.2, 2)</f>
        <v>2655.68</v>
      </c>
      <c r="Y565" s="9">
        <f t="shared" si="69"/>
        <v>116702.9</v>
      </c>
      <c r="Z565" s="9">
        <f>ROUND(T565 / 1.2, 2)</f>
        <v>79471.81</v>
      </c>
      <c r="AA565" s="9">
        <f>Y565+Z565</f>
        <v>196174.71</v>
      </c>
      <c r="AD565" s="4">
        <v>298925439</v>
      </c>
      <c r="AE565" s="4">
        <v>20181618</v>
      </c>
      <c r="AG565" s="4" t="s">
        <v>1784</v>
      </c>
      <c r="AH565" s="4" t="s">
        <v>1785</v>
      </c>
      <c r="AI565" s="4" t="s">
        <v>67</v>
      </c>
    </row>
    <row r="566" spans="1:35" ht="18" x14ac:dyDescent="0.3">
      <c r="A566" s="25" t="s">
        <v>1803</v>
      </c>
      <c r="B566" s="25"/>
      <c r="C566" s="30" t="s">
        <v>1797</v>
      </c>
      <c r="D566" s="27"/>
      <c r="E566" s="27"/>
      <c r="F566" s="31" t="s">
        <v>64</v>
      </c>
      <c r="G566" s="32">
        <v>1.1000000000000001</v>
      </c>
      <c r="H566" s="27"/>
      <c r="I566" s="32">
        <v>81.257000000000005</v>
      </c>
      <c r="J566" s="34">
        <v>0</v>
      </c>
      <c r="K566" s="35"/>
      <c r="L566" s="35"/>
      <c r="M566" s="34">
        <f>ROUND(ROUND(J566, 2)*I566, 2)</f>
        <v>0</v>
      </c>
      <c r="N566" s="35"/>
      <c r="O566" s="35"/>
      <c r="P566" s="34">
        <v>1520.33</v>
      </c>
      <c r="Q566" s="35"/>
      <c r="R566" s="35"/>
      <c r="S566" s="34">
        <f>ROUND(ROUND(P566, 2)*I566, 2)</f>
        <v>123537.45</v>
      </c>
      <c r="T566" s="35"/>
      <c r="U566" s="36"/>
      <c r="V566" s="9">
        <f>ROUND(ROUND(P566, 2)/1.2, 2)</f>
        <v>1266.94</v>
      </c>
      <c r="Y566" s="9">
        <f t="shared" si="69"/>
        <v>102947.88</v>
      </c>
      <c r="AD566" s="4" t="s">
        <v>1804</v>
      </c>
      <c r="AE566" s="4" t="s">
        <v>1805</v>
      </c>
      <c r="AF566" s="4" t="s">
        <v>1800</v>
      </c>
    </row>
    <row r="567" spans="1:35" ht="18" x14ac:dyDescent="0.3">
      <c r="A567" s="25" t="s">
        <v>1806</v>
      </c>
      <c r="B567" s="25"/>
      <c r="C567" s="30" t="s">
        <v>1787</v>
      </c>
      <c r="D567" s="27"/>
      <c r="E567" s="27"/>
      <c r="F567" s="31" t="s">
        <v>87</v>
      </c>
      <c r="G567" s="32">
        <v>1</v>
      </c>
      <c r="H567" s="27"/>
      <c r="I567" s="33">
        <v>264.8</v>
      </c>
      <c r="J567" s="34">
        <v>44.71</v>
      </c>
      <c r="K567" s="35"/>
      <c r="L567" s="35"/>
      <c r="M567" s="34">
        <f>ROUND(ROUND(J567, 2)*I567, 2)</f>
        <v>11839.21</v>
      </c>
      <c r="N567" s="35"/>
      <c r="O567" s="35"/>
      <c r="P567" s="34">
        <v>44.71</v>
      </c>
      <c r="Q567" s="35"/>
      <c r="R567" s="35"/>
      <c r="S567" s="34">
        <f>ROUND(ROUND(P567, 2)*I567, 2)</f>
        <v>11839.21</v>
      </c>
      <c r="T567" s="35"/>
      <c r="U567" s="36"/>
      <c r="V567" s="9">
        <f>ROUND(ROUND(P567, 2)/1.2, 2)</f>
        <v>37.26</v>
      </c>
      <c r="Y567" s="9">
        <f t="shared" si="69"/>
        <v>9866.01</v>
      </c>
      <c r="AD567" s="4" t="s">
        <v>1807</v>
      </c>
      <c r="AE567" s="4" t="s">
        <v>1808</v>
      </c>
      <c r="AF567" s="4" t="s">
        <v>1790</v>
      </c>
    </row>
    <row r="568" spans="1:35" ht="18" x14ac:dyDescent="0.3">
      <c r="A568" s="25" t="s">
        <v>1809</v>
      </c>
      <c r="B568" s="25"/>
      <c r="C568" s="30" t="s">
        <v>1792</v>
      </c>
      <c r="D568" s="27"/>
      <c r="E568" s="27"/>
      <c r="F568" s="31" t="s">
        <v>87</v>
      </c>
      <c r="G568" s="32">
        <v>1</v>
      </c>
      <c r="H568" s="27"/>
      <c r="I568" s="33">
        <v>130.5</v>
      </c>
      <c r="J568" s="34">
        <v>35.76</v>
      </c>
      <c r="K568" s="35"/>
      <c r="L568" s="35"/>
      <c r="M568" s="34">
        <f>ROUND(ROUND(J568, 2)*I568, 2)</f>
        <v>4666.68</v>
      </c>
      <c r="N568" s="35"/>
      <c r="O568" s="35"/>
      <c r="P568" s="34">
        <v>35.76</v>
      </c>
      <c r="Q568" s="35"/>
      <c r="R568" s="35"/>
      <c r="S568" s="34">
        <f>ROUND(ROUND(P568, 2)*I568, 2)</f>
        <v>4666.68</v>
      </c>
      <c r="T568" s="35"/>
      <c r="U568" s="36"/>
      <c r="V568" s="9">
        <f>ROUND(ROUND(P568, 2)/1.2, 2)</f>
        <v>29.8</v>
      </c>
      <c r="Y568" s="9">
        <f t="shared" si="69"/>
        <v>3888.9</v>
      </c>
      <c r="AD568" s="4" t="s">
        <v>1810</v>
      </c>
      <c r="AE568" s="4" t="s">
        <v>1811</v>
      </c>
      <c r="AF568" s="4" t="s">
        <v>1795</v>
      </c>
    </row>
    <row r="569" spans="1:35" ht="36" x14ac:dyDescent="0.3">
      <c r="A569" s="37" t="s">
        <v>1812</v>
      </c>
      <c r="B569" s="37" t="s">
        <v>1813</v>
      </c>
      <c r="C569" s="38" t="s">
        <v>1814</v>
      </c>
      <c r="D569" s="39"/>
      <c r="E569" s="39" t="s">
        <v>63</v>
      </c>
      <c r="F569" s="39" t="s">
        <v>64</v>
      </c>
      <c r="G569" s="40">
        <v>1</v>
      </c>
      <c r="H569" s="39"/>
      <c r="I569" s="41">
        <v>0</v>
      </c>
      <c r="J569" s="42">
        <f>IFERROR(ROUND(SUM(M571,M573,M575)/I569, 2),0)</f>
        <v>0</v>
      </c>
      <c r="K569" s="42">
        <v>1477</v>
      </c>
      <c r="L569" s="42">
        <f>J569+ROUND(K569, 2)</f>
        <v>1477</v>
      </c>
      <c r="M569" s="42">
        <f>ROUND(J569*I569, 2)</f>
        <v>0</v>
      </c>
      <c r="N569" s="42">
        <f>ROUND(I569*ROUND(K569, 2), 2)</f>
        <v>0</v>
      </c>
      <c r="O569" s="42">
        <f>M569+N569</f>
        <v>0</v>
      </c>
      <c r="P569" s="42">
        <f>IFERROR(ROUND(SUM(S571,S573,S575)/I569, 2),0)</f>
        <v>0</v>
      </c>
      <c r="Q569" s="42">
        <v>1477</v>
      </c>
      <c r="R569" s="42">
        <f>P569+ROUND(Q569, 2)</f>
        <v>1477</v>
      </c>
      <c r="S569" s="42">
        <f>ROUND(P569*I569, 2)</f>
        <v>0</v>
      </c>
      <c r="T569" s="42">
        <f>ROUND(I569*ROUND(Q569, 2), 2)</f>
        <v>0</v>
      </c>
      <c r="U569" s="42">
        <f>S569+T569</f>
        <v>0</v>
      </c>
      <c r="V569" s="9">
        <f>ROUND(P569 / 1.2, 2)</f>
        <v>0</v>
      </c>
      <c r="W569" s="9">
        <f>ROUND(Q569 / 1.2, 2)</f>
        <v>1230.83</v>
      </c>
      <c r="X569" s="9">
        <f>ROUND(R569 / 1.2, 2)</f>
        <v>1230.83</v>
      </c>
      <c r="Y569" s="9">
        <f t="shared" si="69"/>
        <v>0</v>
      </c>
      <c r="Z569" s="9">
        <f>ROUND(T569 / 1.2, 2)</f>
        <v>0</v>
      </c>
      <c r="AA569" s="9">
        <f>Y569+Z569</f>
        <v>0</v>
      </c>
      <c r="AD569" s="4">
        <v>298925333</v>
      </c>
      <c r="AE569" s="4">
        <v>16230161</v>
      </c>
      <c r="AG569" s="4" t="s">
        <v>1815</v>
      </c>
      <c r="AH569" s="4" t="s">
        <v>1816</v>
      </c>
      <c r="AI569" s="4" t="s">
        <v>67</v>
      </c>
    </row>
    <row r="570" spans="1:35" ht="36" x14ac:dyDescent="0.3">
      <c r="A570" s="43" t="s">
        <v>1817</v>
      </c>
      <c r="B570" s="43" t="s">
        <v>1813</v>
      </c>
      <c r="C570" s="44" t="s">
        <v>1814</v>
      </c>
      <c r="D570" s="45"/>
      <c r="E570" s="45"/>
      <c r="F570" s="45" t="s">
        <v>64</v>
      </c>
      <c r="G570" s="46">
        <v>1</v>
      </c>
      <c r="H570" s="45"/>
      <c r="I570" s="46">
        <v>133.19999999999999</v>
      </c>
      <c r="J570" s="47">
        <v>0</v>
      </c>
      <c r="K570" s="47">
        <v>1477</v>
      </c>
      <c r="L570" s="47"/>
      <c r="M570" s="47">
        <v>0</v>
      </c>
      <c r="N570" s="47"/>
      <c r="O570" s="47"/>
      <c r="P570" s="47">
        <v>0</v>
      </c>
      <c r="Q570" s="47">
        <v>1477</v>
      </c>
      <c r="R570" s="47"/>
      <c r="S570" s="47">
        <v>0</v>
      </c>
      <c r="T570" s="47"/>
      <c r="U570" s="47"/>
      <c r="V570" s="9"/>
      <c r="W570" s="9">
        <f>ROUND(Q570 / 1.2, 2)</f>
        <v>1230.83</v>
      </c>
      <c r="X570" s="9">
        <f>ROUND(R570 / 1.2, 2)</f>
        <v>0</v>
      </c>
      <c r="Y570" s="9"/>
      <c r="Z570" s="9">
        <f>ROUND(T570 / 1.2, 2)</f>
        <v>0</v>
      </c>
      <c r="AA570" s="9"/>
      <c r="AD570" s="4">
        <v>220089282</v>
      </c>
      <c r="AE570" s="4">
        <v>16230161</v>
      </c>
      <c r="AG570" s="4" t="s">
        <v>1815</v>
      </c>
      <c r="AH570" s="4" t="s">
        <v>1816</v>
      </c>
      <c r="AI570" s="4"/>
    </row>
    <row r="571" spans="1:35" ht="18" x14ac:dyDescent="0.3">
      <c r="A571" s="37" t="s">
        <v>1818</v>
      </c>
      <c r="B571" s="37"/>
      <c r="C571" s="48" t="s">
        <v>1787</v>
      </c>
      <c r="D571" s="39"/>
      <c r="E571" s="39"/>
      <c r="F571" s="49" t="s">
        <v>87</v>
      </c>
      <c r="G571" s="50">
        <v>1</v>
      </c>
      <c r="H571" s="39"/>
      <c r="I571" s="51">
        <v>0</v>
      </c>
      <c r="J571" s="52">
        <v>54.18</v>
      </c>
      <c r="K571" s="53"/>
      <c r="L571" s="53"/>
      <c r="M571" s="52">
        <f t="shared" ref="M571:M576" si="70">ROUND(ROUND(J571, 2)*I571, 2)</f>
        <v>0</v>
      </c>
      <c r="N571" s="53"/>
      <c r="O571" s="53"/>
      <c r="P571" s="52">
        <v>54.18</v>
      </c>
      <c r="Q571" s="53"/>
      <c r="R571" s="53"/>
      <c r="S571" s="52">
        <f t="shared" ref="S571:S576" si="71">ROUND(ROUND(P571, 2)*I571, 2)</f>
        <v>0</v>
      </c>
      <c r="T571" s="53"/>
      <c r="U571" s="54"/>
      <c r="V571" s="9">
        <f t="shared" ref="V571:V576" si="72">ROUND(ROUND(P571, 2)/1.2, 2)</f>
        <v>45.15</v>
      </c>
      <c r="Y571" s="9">
        <f t="shared" ref="Y571:Y608" si="73">ROUND(S571 / 1.2, 2)</f>
        <v>0</v>
      </c>
      <c r="AD571" s="4" t="s">
        <v>1819</v>
      </c>
      <c r="AE571" s="4" t="s">
        <v>1820</v>
      </c>
      <c r="AF571" s="4" t="s">
        <v>1790</v>
      </c>
    </row>
    <row r="572" spans="1:35" ht="18" x14ac:dyDescent="0.3">
      <c r="A572" s="43" t="s">
        <v>1821</v>
      </c>
      <c r="B572" s="43"/>
      <c r="C572" s="55" t="s">
        <v>1787</v>
      </c>
      <c r="D572" s="45"/>
      <c r="E572" s="45"/>
      <c r="F572" s="56" t="s">
        <v>87</v>
      </c>
      <c r="G572" s="57">
        <v>1</v>
      </c>
      <c r="H572" s="45"/>
      <c r="I572" s="58">
        <v>956</v>
      </c>
      <c r="J572" s="59">
        <v>54.18</v>
      </c>
      <c r="K572" s="60"/>
      <c r="L572" s="60"/>
      <c r="M572" s="59">
        <f t="shared" si="70"/>
        <v>51796.08</v>
      </c>
      <c r="N572" s="60"/>
      <c r="O572" s="60"/>
      <c r="P572" s="59">
        <v>54.18</v>
      </c>
      <c r="Q572" s="60"/>
      <c r="R572" s="60"/>
      <c r="S572" s="59">
        <f t="shared" si="71"/>
        <v>51796.08</v>
      </c>
      <c r="T572" s="60"/>
      <c r="U572" s="61"/>
      <c r="V572" s="9">
        <f t="shared" si="72"/>
        <v>45.15</v>
      </c>
      <c r="Y572" s="9">
        <f t="shared" si="73"/>
        <v>43163.4</v>
      </c>
      <c r="AD572" s="4" t="s">
        <v>1822</v>
      </c>
      <c r="AE572" s="4" t="s">
        <v>1820</v>
      </c>
      <c r="AF572" s="4" t="s">
        <v>1790</v>
      </c>
    </row>
    <row r="573" spans="1:35" ht="18" x14ac:dyDescent="0.3">
      <c r="A573" s="37" t="s">
        <v>1823</v>
      </c>
      <c r="B573" s="37"/>
      <c r="C573" s="48" t="s">
        <v>1792</v>
      </c>
      <c r="D573" s="39"/>
      <c r="E573" s="39"/>
      <c r="F573" s="49" t="s">
        <v>87</v>
      </c>
      <c r="G573" s="50">
        <v>1</v>
      </c>
      <c r="H573" s="39"/>
      <c r="I573" s="51">
        <v>0</v>
      </c>
      <c r="J573" s="52">
        <v>43.33</v>
      </c>
      <c r="K573" s="53"/>
      <c r="L573" s="53"/>
      <c r="M573" s="52">
        <f t="shared" si="70"/>
        <v>0</v>
      </c>
      <c r="N573" s="53"/>
      <c r="O573" s="53"/>
      <c r="P573" s="52">
        <v>43.33</v>
      </c>
      <c r="Q573" s="53"/>
      <c r="R573" s="53"/>
      <c r="S573" s="52">
        <f t="shared" si="71"/>
        <v>0</v>
      </c>
      <c r="T573" s="53"/>
      <c r="U573" s="54"/>
      <c r="V573" s="9">
        <f t="shared" si="72"/>
        <v>36.11</v>
      </c>
      <c r="Y573" s="9">
        <f t="shared" si="73"/>
        <v>0</v>
      </c>
      <c r="AD573" s="4" t="s">
        <v>1824</v>
      </c>
      <c r="AE573" s="4" t="s">
        <v>1825</v>
      </c>
      <c r="AF573" s="4" t="s">
        <v>1795</v>
      </c>
    </row>
    <row r="574" spans="1:35" ht="18" x14ac:dyDescent="0.3">
      <c r="A574" s="43" t="s">
        <v>1826</v>
      </c>
      <c r="B574" s="43"/>
      <c r="C574" s="55" t="s">
        <v>1792</v>
      </c>
      <c r="D574" s="45"/>
      <c r="E574" s="45"/>
      <c r="F574" s="56" t="s">
        <v>87</v>
      </c>
      <c r="G574" s="57">
        <v>1</v>
      </c>
      <c r="H574" s="45"/>
      <c r="I574" s="58">
        <v>182</v>
      </c>
      <c r="J574" s="59">
        <v>43.33</v>
      </c>
      <c r="K574" s="60"/>
      <c r="L574" s="60"/>
      <c r="M574" s="59">
        <f t="shared" si="70"/>
        <v>7886.06</v>
      </c>
      <c r="N574" s="60"/>
      <c r="O574" s="60"/>
      <c r="P574" s="59">
        <v>43.33</v>
      </c>
      <c r="Q574" s="60"/>
      <c r="R574" s="60"/>
      <c r="S574" s="59">
        <f t="shared" si="71"/>
        <v>7886.06</v>
      </c>
      <c r="T574" s="60"/>
      <c r="U574" s="61"/>
      <c r="V574" s="9">
        <f t="shared" si="72"/>
        <v>36.11</v>
      </c>
      <c r="Y574" s="9">
        <f t="shared" si="73"/>
        <v>6571.72</v>
      </c>
      <c r="AD574" s="4" t="s">
        <v>1827</v>
      </c>
      <c r="AE574" s="4" t="s">
        <v>1825</v>
      </c>
      <c r="AF574" s="4" t="s">
        <v>1795</v>
      </c>
    </row>
    <row r="575" spans="1:35" ht="18" x14ac:dyDescent="0.3">
      <c r="A575" s="37" t="s">
        <v>1828</v>
      </c>
      <c r="B575" s="37"/>
      <c r="C575" s="48" t="s">
        <v>1829</v>
      </c>
      <c r="D575" s="39"/>
      <c r="E575" s="39"/>
      <c r="F575" s="49" t="s">
        <v>64</v>
      </c>
      <c r="G575" s="50">
        <v>1.1000000000000001</v>
      </c>
      <c r="H575" s="39"/>
      <c r="I575" s="51">
        <v>0</v>
      </c>
      <c r="J575" s="52">
        <v>312.73</v>
      </c>
      <c r="K575" s="53"/>
      <c r="L575" s="53"/>
      <c r="M575" s="52">
        <f t="shared" si="70"/>
        <v>0</v>
      </c>
      <c r="N575" s="53"/>
      <c r="O575" s="53"/>
      <c r="P575" s="52">
        <v>312.73</v>
      </c>
      <c r="Q575" s="53"/>
      <c r="R575" s="53"/>
      <c r="S575" s="52">
        <f t="shared" si="71"/>
        <v>0</v>
      </c>
      <c r="T575" s="53"/>
      <c r="U575" s="54"/>
      <c r="V575" s="9">
        <f t="shared" si="72"/>
        <v>260.61</v>
      </c>
      <c r="Y575" s="9">
        <f t="shared" si="73"/>
        <v>0</v>
      </c>
      <c r="AD575" s="4" t="s">
        <v>1830</v>
      </c>
      <c r="AE575" s="4" t="s">
        <v>1831</v>
      </c>
      <c r="AF575" s="4" t="s">
        <v>1832</v>
      </c>
    </row>
    <row r="576" spans="1:35" ht="18" x14ac:dyDescent="0.3">
      <c r="A576" s="43" t="s">
        <v>1833</v>
      </c>
      <c r="B576" s="43"/>
      <c r="C576" s="55" t="s">
        <v>1829</v>
      </c>
      <c r="D576" s="45"/>
      <c r="E576" s="45"/>
      <c r="F576" s="56" t="s">
        <v>64</v>
      </c>
      <c r="G576" s="57">
        <v>1.1000000000000001</v>
      </c>
      <c r="H576" s="45"/>
      <c r="I576" s="58">
        <v>146.52000000000001</v>
      </c>
      <c r="J576" s="59">
        <v>312.73</v>
      </c>
      <c r="K576" s="60"/>
      <c r="L576" s="60"/>
      <c r="M576" s="59">
        <f t="shared" si="70"/>
        <v>45821.2</v>
      </c>
      <c r="N576" s="60"/>
      <c r="O576" s="60"/>
      <c r="P576" s="59">
        <v>312.73</v>
      </c>
      <c r="Q576" s="60"/>
      <c r="R576" s="60"/>
      <c r="S576" s="59">
        <f t="shared" si="71"/>
        <v>45821.2</v>
      </c>
      <c r="T576" s="60"/>
      <c r="U576" s="61"/>
      <c r="V576" s="9">
        <f t="shared" si="72"/>
        <v>260.61</v>
      </c>
      <c r="Y576" s="9">
        <f t="shared" si="73"/>
        <v>38184.33</v>
      </c>
      <c r="AD576" s="4" t="s">
        <v>1834</v>
      </c>
      <c r="AE576" s="4" t="s">
        <v>1831</v>
      </c>
      <c r="AF576" s="4" t="s">
        <v>1832</v>
      </c>
    </row>
    <row r="577" spans="1:35" ht="36" x14ac:dyDescent="0.3">
      <c r="A577" s="25" t="s">
        <v>1835</v>
      </c>
      <c r="B577" s="25" t="s">
        <v>1813</v>
      </c>
      <c r="C577" s="26" t="s">
        <v>1814</v>
      </c>
      <c r="D577" s="27"/>
      <c r="E577" s="27" t="s">
        <v>1836</v>
      </c>
      <c r="F577" s="27" t="s">
        <v>64</v>
      </c>
      <c r="G577" s="28">
        <v>1</v>
      </c>
      <c r="H577" s="27"/>
      <c r="I577" s="28">
        <v>8.0399999999999991</v>
      </c>
      <c r="J577" s="29">
        <f>IFERROR(ROUND(SUM(M578,M579,M580,M581)/I577, 2),0)</f>
        <v>845.65</v>
      </c>
      <c r="K577" s="29">
        <v>1477</v>
      </c>
      <c r="L577" s="29">
        <f>J577+ROUND(K577, 2)</f>
        <v>2322.65</v>
      </c>
      <c r="M577" s="29">
        <f>ROUND(J577*I577, 2)</f>
        <v>6799.03</v>
      </c>
      <c r="N577" s="29">
        <f>ROUND(I577*ROUND(K577, 2), 2)</f>
        <v>11875.08</v>
      </c>
      <c r="O577" s="29">
        <f>M577+N577</f>
        <v>18674.11</v>
      </c>
      <c r="P577" s="29">
        <f>IFERROR(ROUND(SUM(S578,S579,S580,S581)/I577, 2),0)</f>
        <v>845.65</v>
      </c>
      <c r="Q577" s="29">
        <v>1477</v>
      </c>
      <c r="R577" s="29">
        <f>P577+ROUND(Q577, 2)</f>
        <v>2322.65</v>
      </c>
      <c r="S577" s="29">
        <f>ROUND(P577*I577, 2)</f>
        <v>6799.03</v>
      </c>
      <c r="T577" s="29">
        <f>ROUND(I577*ROUND(Q577, 2), 2)</f>
        <v>11875.08</v>
      </c>
      <c r="U577" s="29">
        <f>S577+T577</f>
        <v>18674.11</v>
      </c>
      <c r="V577" s="9">
        <f>ROUND(P577 / 1.2, 2)</f>
        <v>704.71</v>
      </c>
      <c r="W577" s="9">
        <f>ROUND(Q577 / 1.2, 2)</f>
        <v>1230.83</v>
      </c>
      <c r="X577" s="9">
        <f>ROUND(R577 / 1.2, 2)</f>
        <v>1935.54</v>
      </c>
      <c r="Y577" s="9">
        <f t="shared" si="73"/>
        <v>5665.86</v>
      </c>
      <c r="Z577" s="9">
        <f>ROUND(T577 / 1.2, 2)</f>
        <v>9895.9</v>
      </c>
      <c r="AA577" s="9">
        <f>Y577+Z577</f>
        <v>15561.759999999998</v>
      </c>
      <c r="AD577" s="4">
        <v>298925440</v>
      </c>
      <c r="AE577" s="4">
        <v>19822309</v>
      </c>
      <c r="AG577" s="4" t="s">
        <v>1815</v>
      </c>
      <c r="AH577" s="4" t="s">
        <v>1816</v>
      </c>
      <c r="AI577" s="4" t="s">
        <v>67</v>
      </c>
    </row>
    <row r="578" spans="1:35" ht="18" x14ac:dyDescent="0.3">
      <c r="A578" s="25" t="s">
        <v>1837</v>
      </c>
      <c r="B578" s="25"/>
      <c r="C578" s="17" t="s">
        <v>1838</v>
      </c>
      <c r="D578" s="27"/>
      <c r="E578" s="27"/>
      <c r="F578" s="31" t="s">
        <v>64</v>
      </c>
      <c r="G578" s="32">
        <v>1.1000000000000001</v>
      </c>
      <c r="H578" s="27"/>
      <c r="I578" s="33">
        <v>17.687999999999999</v>
      </c>
      <c r="J578" s="34">
        <v>276.08999999999997</v>
      </c>
      <c r="K578" s="35"/>
      <c r="L578" s="35"/>
      <c r="M578" s="34">
        <f>ROUND(ROUND(J578, 2)*I578, 2)</f>
        <v>4883.4799999999996</v>
      </c>
      <c r="N578" s="35"/>
      <c r="O578" s="35"/>
      <c r="P578" s="34">
        <v>276.08999999999997</v>
      </c>
      <c r="Q578" s="35"/>
      <c r="R578" s="35"/>
      <c r="S578" s="34">
        <f>ROUND(ROUND(P578, 2)*I578, 2)</f>
        <v>4883.4799999999996</v>
      </c>
      <c r="T578" s="35"/>
      <c r="U578" s="36"/>
      <c r="V578" s="9">
        <f>ROUND(ROUND(P578, 2)/1.2, 2)</f>
        <v>230.08</v>
      </c>
      <c r="Y578" s="9">
        <f t="shared" si="73"/>
        <v>4069.57</v>
      </c>
      <c r="AD578" s="4" t="s">
        <v>1839</v>
      </c>
      <c r="AE578" s="4" t="s">
        <v>1840</v>
      </c>
      <c r="AF578" s="4" t="s">
        <v>1841</v>
      </c>
    </row>
    <row r="579" spans="1:35" ht="18" x14ac:dyDescent="0.3">
      <c r="A579" s="25" t="s">
        <v>1842</v>
      </c>
      <c r="B579" s="25"/>
      <c r="C579" s="30" t="s">
        <v>1787</v>
      </c>
      <c r="D579" s="27"/>
      <c r="E579" s="27"/>
      <c r="F579" s="31" t="s">
        <v>87</v>
      </c>
      <c r="G579" s="32">
        <v>1</v>
      </c>
      <c r="H579" s="27"/>
      <c r="I579" s="33">
        <v>32</v>
      </c>
      <c r="J579" s="34">
        <v>44.71</v>
      </c>
      <c r="K579" s="35"/>
      <c r="L579" s="35"/>
      <c r="M579" s="34">
        <f>ROUND(ROUND(J579, 2)*I579, 2)</f>
        <v>1430.72</v>
      </c>
      <c r="N579" s="35"/>
      <c r="O579" s="35"/>
      <c r="P579" s="34">
        <v>44.71</v>
      </c>
      <c r="Q579" s="35"/>
      <c r="R579" s="35"/>
      <c r="S579" s="34">
        <f>ROUND(ROUND(P579, 2)*I579, 2)</f>
        <v>1430.72</v>
      </c>
      <c r="T579" s="35"/>
      <c r="U579" s="36"/>
      <c r="V579" s="9">
        <f>ROUND(ROUND(P579, 2)/1.2, 2)</f>
        <v>37.26</v>
      </c>
      <c r="Y579" s="9">
        <f t="shared" si="73"/>
        <v>1192.27</v>
      </c>
      <c r="AD579" s="4" t="s">
        <v>1843</v>
      </c>
      <c r="AE579" s="4" t="s">
        <v>1844</v>
      </c>
      <c r="AF579" s="4" t="s">
        <v>1790</v>
      </c>
    </row>
    <row r="580" spans="1:35" ht="18" x14ac:dyDescent="0.3">
      <c r="A580" s="25" t="s">
        <v>1845</v>
      </c>
      <c r="B580" s="25"/>
      <c r="C580" s="30" t="s">
        <v>1792</v>
      </c>
      <c r="D580" s="27"/>
      <c r="E580" s="27"/>
      <c r="F580" s="31" t="s">
        <v>87</v>
      </c>
      <c r="G580" s="32">
        <v>1</v>
      </c>
      <c r="H580" s="27"/>
      <c r="I580" s="33">
        <v>6.4</v>
      </c>
      <c r="J580" s="34">
        <v>35.76</v>
      </c>
      <c r="K580" s="35"/>
      <c r="L580" s="35"/>
      <c r="M580" s="34">
        <f>ROUND(ROUND(J580, 2)*I580, 2)</f>
        <v>228.86</v>
      </c>
      <c r="N580" s="35"/>
      <c r="O580" s="35"/>
      <c r="P580" s="34">
        <v>35.76</v>
      </c>
      <c r="Q580" s="35"/>
      <c r="R580" s="35"/>
      <c r="S580" s="34">
        <f>ROUND(ROUND(P580, 2)*I580, 2)</f>
        <v>228.86</v>
      </c>
      <c r="T580" s="35"/>
      <c r="U580" s="36"/>
      <c r="V580" s="9">
        <f>ROUND(ROUND(P580, 2)/1.2, 2)</f>
        <v>29.8</v>
      </c>
      <c r="Y580" s="9">
        <f t="shared" si="73"/>
        <v>190.72</v>
      </c>
      <c r="AD580" s="4" t="s">
        <v>1846</v>
      </c>
      <c r="AE580" s="4" t="s">
        <v>1847</v>
      </c>
      <c r="AF580" s="4" t="s">
        <v>1795</v>
      </c>
    </row>
    <row r="581" spans="1:35" ht="18" x14ac:dyDescent="0.3">
      <c r="A581" s="25" t="s">
        <v>1848</v>
      </c>
      <c r="B581" s="25"/>
      <c r="C581" s="30" t="s">
        <v>1849</v>
      </c>
      <c r="D581" s="27"/>
      <c r="E581" s="27"/>
      <c r="F581" s="31" t="s">
        <v>116</v>
      </c>
      <c r="G581" s="32">
        <v>1</v>
      </c>
      <c r="H581" s="27"/>
      <c r="I581" s="33">
        <v>3.2</v>
      </c>
      <c r="J581" s="34">
        <v>80</v>
      </c>
      <c r="K581" s="35"/>
      <c r="L581" s="35"/>
      <c r="M581" s="34">
        <f>ROUND(ROUND(J581, 2)*I581, 2)</f>
        <v>256</v>
      </c>
      <c r="N581" s="35"/>
      <c r="O581" s="35"/>
      <c r="P581" s="34">
        <v>80</v>
      </c>
      <c r="Q581" s="35"/>
      <c r="R581" s="35"/>
      <c r="S581" s="34">
        <f>ROUND(ROUND(P581, 2)*I581, 2)</f>
        <v>256</v>
      </c>
      <c r="T581" s="35"/>
      <c r="U581" s="36"/>
      <c r="V581" s="9">
        <f>ROUND(ROUND(P581, 2)/1.2, 2)</f>
        <v>66.67</v>
      </c>
      <c r="Y581" s="9">
        <f t="shared" si="73"/>
        <v>213.33</v>
      </c>
      <c r="AD581" s="4" t="s">
        <v>1850</v>
      </c>
      <c r="AE581" s="4" t="s">
        <v>1851</v>
      </c>
      <c r="AF581" s="4" t="s">
        <v>1852</v>
      </c>
    </row>
    <row r="582" spans="1:35" ht="36" x14ac:dyDescent="0.3">
      <c r="A582" s="25" t="s">
        <v>1853</v>
      </c>
      <c r="B582" s="25" t="s">
        <v>1813</v>
      </c>
      <c r="C582" s="26" t="s">
        <v>1814</v>
      </c>
      <c r="D582" s="27"/>
      <c r="E582" s="27" t="s">
        <v>1854</v>
      </c>
      <c r="F582" s="27" t="s">
        <v>64</v>
      </c>
      <c r="G582" s="28">
        <v>1</v>
      </c>
      <c r="H582" s="27"/>
      <c r="I582" s="28">
        <v>204.12</v>
      </c>
      <c r="J582" s="29">
        <f>IFERROR(ROUND(SUM(M583,M584,M585,M586)/I582, 2),0)</f>
        <v>902.26</v>
      </c>
      <c r="K582" s="29">
        <v>1477</v>
      </c>
      <c r="L582" s="29">
        <f>J582+ROUND(K582, 2)</f>
        <v>2379.2600000000002</v>
      </c>
      <c r="M582" s="29">
        <f>ROUND(J582*I582, 2)</f>
        <v>184169.31</v>
      </c>
      <c r="N582" s="29">
        <f>ROUND(I582*ROUND(K582, 2), 2)</f>
        <v>301485.24</v>
      </c>
      <c r="O582" s="29">
        <f>M582+N582</f>
        <v>485654.55</v>
      </c>
      <c r="P582" s="29">
        <f>IFERROR(ROUND(SUM(S583,S584,S585,S586)/I582, 2),0)</f>
        <v>902.26</v>
      </c>
      <c r="Q582" s="29">
        <v>1477</v>
      </c>
      <c r="R582" s="29">
        <f>P582+ROUND(Q582, 2)</f>
        <v>2379.2600000000002</v>
      </c>
      <c r="S582" s="29">
        <f>ROUND(P582*I582, 2)</f>
        <v>184169.31</v>
      </c>
      <c r="T582" s="29">
        <f>ROUND(I582*ROUND(Q582, 2), 2)</f>
        <v>301485.24</v>
      </c>
      <c r="U582" s="29">
        <f>S582+T582</f>
        <v>485654.55</v>
      </c>
      <c r="V582" s="9">
        <f>ROUND(P582 / 1.2, 2)</f>
        <v>751.88</v>
      </c>
      <c r="W582" s="9">
        <f>ROUND(Q582 / 1.2, 2)</f>
        <v>1230.83</v>
      </c>
      <c r="X582" s="9">
        <f>ROUND(R582 / 1.2, 2)</f>
        <v>1982.72</v>
      </c>
      <c r="Y582" s="9">
        <f t="shared" si="73"/>
        <v>153474.43</v>
      </c>
      <c r="Z582" s="9">
        <f>ROUND(T582 / 1.2, 2)</f>
        <v>251237.7</v>
      </c>
      <c r="AA582" s="9">
        <f>Y582+Z582</f>
        <v>404712.13</v>
      </c>
      <c r="AD582" s="4">
        <v>298925441</v>
      </c>
      <c r="AE582" s="4">
        <v>19822308</v>
      </c>
      <c r="AG582" s="4" t="s">
        <v>1815</v>
      </c>
      <c r="AH582" s="4" t="s">
        <v>1816</v>
      </c>
      <c r="AI582" s="4" t="s">
        <v>67</v>
      </c>
    </row>
    <row r="583" spans="1:35" ht="18" x14ac:dyDescent="0.3">
      <c r="A583" s="25" t="s">
        <v>1855</v>
      </c>
      <c r="B583" s="25"/>
      <c r="C583" s="30" t="s">
        <v>1849</v>
      </c>
      <c r="D583" s="27"/>
      <c r="E583" s="27"/>
      <c r="F583" s="31" t="s">
        <v>116</v>
      </c>
      <c r="G583" s="32">
        <v>1</v>
      </c>
      <c r="H583" s="27"/>
      <c r="I583" s="33">
        <v>88.5</v>
      </c>
      <c r="J583" s="34">
        <v>80</v>
      </c>
      <c r="K583" s="35"/>
      <c r="L583" s="35"/>
      <c r="M583" s="34">
        <f>ROUND(ROUND(J583, 2)*I583, 2)</f>
        <v>7080</v>
      </c>
      <c r="N583" s="35"/>
      <c r="O583" s="35"/>
      <c r="P583" s="34">
        <v>80</v>
      </c>
      <c r="Q583" s="35"/>
      <c r="R583" s="35"/>
      <c r="S583" s="34">
        <f>ROUND(ROUND(P583, 2)*I583, 2)</f>
        <v>7080</v>
      </c>
      <c r="T583" s="35"/>
      <c r="U583" s="36"/>
      <c r="V583" s="9">
        <f>ROUND(ROUND(P583, 2)/1.2, 2)</f>
        <v>66.67</v>
      </c>
      <c r="Y583" s="9">
        <f t="shared" si="73"/>
        <v>5900</v>
      </c>
      <c r="AD583" s="4" t="s">
        <v>1856</v>
      </c>
      <c r="AE583" s="4" t="s">
        <v>1857</v>
      </c>
      <c r="AF583" s="4" t="s">
        <v>1852</v>
      </c>
    </row>
    <row r="584" spans="1:35" ht="18" x14ac:dyDescent="0.3">
      <c r="A584" s="25" t="s">
        <v>1858</v>
      </c>
      <c r="B584" s="25"/>
      <c r="C584" s="30" t="s">
        <v>1787</v>
      </c>
      <c r="D584" s="27"/>
      <c r="E584" s="27"/>
      <c r="F584" s="31" t="s">
        <v>87</v>
      </c>
      <c r="G584" s="32">
        <v>1</v>
      </c>
      <c r="H584" s="27"/>
      <c r="I584" s="33">
        <v>1024</v>
      </c>
      <c r="J584" s="34">
        <v>44.71</v>
      </c>
      <c r="K584" s="35"/>
      <c r="L584" s="35"/>
      <c r="M584" s="34">
        <f>ROUND(ROUND(J584, 2)*I584, 2)</f>
        <v>45783.040000000001</v>
      </c>
      <c r="N584" s="35"/>
      <c r="O584" s="35"/>
      <c r="P584" s="34">
        <v>44.71</v>
      </c>
      <c r="Q584" s="35"/>
      <c r="R584" s="35"/>
      <c r="S584" s="34">
        <f>ROUND(ROUND(P584, 2)*I584, 2)</f>
        <v>45783.040000000001</v>
      </c>
      <c r="T584" s="35"/>
      <c r="U584" s="36"/>
      <c r="V584" s="9">
        <f>ROUND(ROUND(P584, 2)/1.2, 2)</f>
        <v>37.26</v>
      </c>
      <c r="Y584" s="9">
        <f t="shared" si="73"/>
        <v>38152.53</v>
      </c>
      <c r="AD584" s="4" t="s">
        <v>1859</v>
      </c>
      <c r="AE584" s="4" t="s">
        <v>1860</v>
      </c>
      <c r="AF584" s="4" t="s">
        <v>1790</v>
      </c>
    </row>
    <row r="585" spans="1:35" ht="18" x14ac:dyDescent="0.3">
      <c r="A585" s="25" t="s">
        <v>1861</v>
      </c>
      <c r="B585" s="25"/>
      <c r="C585" s="30" t="s">
        <v>1792</v>
      </c>
      <c r="D585" s="27"/>
      <c r="E585" s="27"/>
      <c r="F585" s="31" t="s">
        <v>87</v>
      </c>
      <c r="G585" s="32">
        <v>1</v>
      </c>
      <c r="H585" s="27"/>
      <c r="I585" s="33">
        <v>204.8</v>
      </c>
      <c r="J585" s="34">
        <v>35.76</v>
      </c>
      <c r="K585" s="35"/>
      <c r="L585" s="35"/>
      <c r="M585" s="34">
        <f>ROUND(ROUND(J585, 2)*I585, 2)</f>
        <v>7323.65</v>
      </c>
      <c r="N585" s="35"/>
      <c r="O585" s="35"/>
      <c r="P585" s="34">
        <v>35.76</v>
      </c>
      <c r="Q585" s="35"/>
      <c r="R585" s="35"/>
      <c r="S585" s="34">
        <f>ROUND(ROUND(P585, 2)*I585, 2)</f>
        <v>7323.65</v>
      </c>
      <c r="T585" s="35"/>
      <c r="U585" s="36"/>
      <c r="V585" s="9">
        <f>ROUND(ROUND(P585, 2)/1.2, 2)</f>
        <v>29.8</v>
      </c>
      <c r="Y585" s="9">
        <f t="shared" si="73"/>
        <v>6103.04</v>
      </c>
      <c r="AD585" s="4" t="s">
        <v>1862</v>
      </c>
      <c r="AE585" s="4" t="s">
        <v>1863</v>
      </c>
      <c r="AF585" s="4" t="s">
        <v>1795</v>
      </c>
    </row>
    <row r="586" spans="1:35" ht="18" x14ac:dyDescent="0.3">
      <c r="A586" s="25" t="s">
        <v>1864</v>
      </c>
      <c r="B586" s="25"/>
      <c r="C586" s="17" t="s">
        <v>1838</v>
      </c>
      <c r="D586" s="27"/>
      <c r="E586" s="27"/>
      <c r="F586" s="31" t="s">
        <v>64</v>
      </c>
      <c r="G586" s="32">
        <v>1.1000000000000001</v>
      </c>
      <c r="H586" s="27"/>
      <c r="I586" s="33">
        <v>449.06400000000002</v>
      </c>
      <c r="J586" s="34">
        <v>276.08999999999997</v>
      </c>
      <c r="K586" s="35"/>
      <c r="L586" s="35"/>
      <c r="M586" s="34">
        <f>ROUND(ROUND(J586, 2)*I586, 2)</f>
        <v>123982.08</v>
      </c>
      <c r="N586" s="35"/>
      <c r="O586" s="35"/>
      <c r="P586" s="34">
        <v>276.08999999999997</v>
      </c>
      <c r="Q586" s="35"/>
      <c r="R586" s="35"/>
      <c r="S586" s="34">
        <f>ROUND(ROUND(P586, 2)*I586, 2)</f>
        <v>123982.08</v>
      </c>
      <c r="T586" s="35"/>
      <c r="U586" s="36"/>
      <c r="V586" s="9">
        <f>ROUND(ROUND(P586, 2)/1.2, 2)</f>
        <v>230.08</v>
      </c>
      <c r="Y586" s="9">
        <f t="shared" si="73"/>
        <v>103318.39999999999</v>
      </c>
      <c r="AD586" s="4" t="s">
        <v>1865</v>
      </c>
      <c r="AE586" s="4" t="s">
        <v>1866</v>
      </c>
      <c r="AF586" s="4" t="s">
        <v>1841</v>
      </c>
    </row>
    <row r="587" spans="1:35" ht="36" x14ac:dyDescent="0.3">
      <c r="A587" s="25" t="s">
        <v>1867</v>
      </c>
      <c r="B587" s="25" t="s">
        <v>1813</v>
      </c>
      <c r="C587" s="26" t="s">
        <v>1814</v>
      </c>
      <c r="D587" s="27"/>
      <c r="E587" s="27" t="s">
        <v>1868</v>
      </c>
      <c r="F587" s="27" t="s">
        <v>64</v>
      </c>
      <c r="G587" s="28">
        <v>1</v>
      </c>
      <c r="H587" s="27"/>
      <c r="I587" s="28">
        <v>55.13</v>
      </c>
      <c r="J587" s="29">
        <f>IFERROR(ROUND(SUM(M588,M589,M590,M591)/I587, 2),0)</f>
        <v>292.88</v>
      </c>
      <c r="K587" s="29">
        <v>1477</v>
      </c>
      <c r="L587" s="29">
        <f>J587+ROUND(K587, 2)</f>
        <v>1769.88</v>
      </c>
      <c r="M587" s="29">
        <f>ROUND(J587*I587, 2)</f>
        <v>16146.47</v>
      </c>
      <c r="N587" s="29">
        <f>ROUND(I587*ROUND(K587, 2), 2)</f>
        <v>81427.009999999995</v>
      </c>
      <c r="O587" s="29">
        <f>M587+N587</f>
        <v>97573.48</v>
      </c>
      <c r="P587" s="29">
        <f>IFERROR(ROUND(SUM(S588,S589,S590,S591)/I587, 2),0)</f>
        <v>3637.61</v>
      </c>
      <c r="Q587" s="29">
        <v>1477</v>
      </c>
      <c r="R587" s="29">
        <f>P587+ROUND(Q587, 2)</f>
        <v>5114.6100000000006</v>
      </c>
      <c r="S587" s="29">
        <f>ROUND(P587*I587, 2)</f>
        <v>200541.44</v>
      </c>
      <c r="T587" s="29">
        <f>ROUND(I587*ROUND(Q587, 2), 2)</f>
        <v>81427.009999999995</v>
      </c>
      <c r="U587" s="29">
        <f>S587+T587</f>
        <v>281968.45</v>
      </c>
      <c r="V587" s="9">
        <f>ROUND(P587 / 1.2, 2)</f>
        <v>3031.34</v>
      </c>
      <c r="W587" s="9">
        <f>ROUND(Q587 / 1.2, 2)</f>
        <v>1230.83</v>
      </c>
      <c r="X587" s="9">
        <f>ROUND(R587 / 1.2, 2)</f>
        <v>4262.18</v>
      </c>
      <c r="Y587" s="9">
        <f t="shared" si="73"/>
        <v>167117.87</v>
      </c>
      <c r="Z587" s="9">
        <f>ROUND(T587 / 1.2, 2)</f>
        <v>67855.839999999997</v>
      </c>
      <c r="AA587" s="9">
        <f>Y587+Z587</f>
        <v>234973.71</v>
      </c>
      <c r="AD587" s="4">
        <v>298925442</v>
      </c>
      <c r="AE587" s="4">
        <v>19993569</v>
      </c>
      <c r="AG587" s="4" t="s">
        <v>1815</v>
      </c>
      <c r="AH587" s="4" t="s">
        <v>1816</v>
      </c>
      <c r="AI587" s="4" t="s">
        <v>67</v>
      </c>
    </row>
    <row r="588" spans="1:35" ht="18" x14ac:dyDescent="0.3">
      <c r="A588" s="25" t="s">
        <v>1869</v>
      </c>
      <c r="B588" s="25"/>
      <c r="C588" s="30" t="s">
        <v>1870</v>
      </c>
      <c r="D588" s="27"/>
      <c r="E588" s="27"/>
      <c r="F588" s="31" t="s">
        <v>64</v>
      </c>
      <c r="G588" s="32">
        <v>1.1000000000000001</v>
      </c>
      <c r="H588" s="27"/>
      <c r="I588" s="33">
        <v>121.286</v>
      </c>
      <c r="J588" s="34">
        <v>0</v>
      </c>
      <c r="K588" s="35"/>
      <c r="L588" s="35"/>
      <c r="M588" s="34">
        <f>ROUND(ROUND(J588, 2)*I588, 2)</f>
        <v>0</v>
      </c>
      <c r="N588" s="35"/>
      <c r="O588" s="35"/>
      <c r="P588" s="34">
        <v>1520.33</v>
      </c>
      <c r="Q588" s="35"/>
      <c r="R588" s="35"/>
      <c r="S588" s="34">
        <f>ROUND(ROUND(P588, 2)*I588, 2)</f>
        <v>184394.74</v>
      </c>
      <c r="T588" s="35"/>
      <c r="U588" s="36"/>
      <c r="V588" s="9">
        <f>ROUND(ROUND(P588, 2)/1.2, 2)</f>
        <v>1266.94</v>
      </c>
      <c r="Y588" s="9">
        <f t="shared" si="73"/>
        <v>153662.28</v>
      </c>
      <c r="AD588" s="4" t="s">
        <v>1871</v>
      </c>
      <c r="AE588" s="4" t="s">
        <v>1872</v>
      </c>
      <c r="AF588" s="4" t="s">
        <v>1873</v>
      </c>
    </row>
    <row r="589" spans="1:35" ht="18" x14ac:dyDescent="0.3">
      <c r="A589" s="25" t="s">
        <v>1874</v>
      </c>
      <c r="B589" s="25"/>
      <c r="C589" s="30" t="s">
        <v>1787</v>
      </c>
      <c r="D589" s="27"/>
      <c r="E589" s="27"/>
      <c r="F589" s="31" t="s">
        <v>87</v>
      </c>
      <c r="G589" s="32">
        <v>1</v>
      </c>
      <c r="H589" s="27"/>
      <c r="I589" s="33">
        <v>272</v>
      </c>
      <c r="J589" s="34">
        <v>44.71</v>
      </c>
      <c r="K589" s="35"/>
      <c r="L589" s="35"/>
      <c r="M589" s="34">
        <f>ROUND(ROUND(J589, 2)*I589, 2)</f>
        <v>12161.12</v>
      </c>
      <c r="N589" s="35"/>
      <c r="O589" s="35"/>
      <c r="P589" s="34">
        <v>44.71</v>
      </c>
      <c r="Q589" s="35"/>
      <c r="R589" s="35"/>
      <c r="S589" s="34">
        <f>ROUND(ROUND(P589, 2)*I589, 2)</f>
        <v>12161.12</v>
      </c>
      <c r="T589" s="35"/>
      <c r="U589" s="36"/>
      <c r="V589" s="9">
        <f>ROUND(ROUND(P589, 2)/1.2, 2)</f>
        <v>37.26</v>
      </c>
      <c r="Y589" s="9">
        <f t="shared" si="73"/>
        <v>10134.27</v>
      </c>
      <c r="AD589" s="4" t="s">
        <v>1875</v>
      </c>
      <c r="AE589" s="4" t="s">
        <v>1876</v>
      </c>
      <c r="AF589" s="4" t="s">
        <v>1790</v>
      </c>
    </row>
    <row r="590" spans="1:35" ht="18" x14ac:dyDescent="0.3">
      <c r="A590" s="25" t="s">
        <v>1877</v>
      </c>
      <c r="B590" s="25"/>
      <c r="C590" s="30" t="s">
        <v>1792</v>
      </c>
      <c r="D590" s="27"/>
      <c r="E590" s="27"/>
      <c r="F590" s="31" t="s">
        <v>87</v>
      </c>
      <c r="G590" s="32">
        <v>1</v>
      </c>
      <c r="H590" s="27"/>
      <c r="I590" s="33">
        <v>54.4</v>
      </c>
      <c r="J590" s="34">
        <v>35.76</v>
      </c>
      <c r="K590" s="35"/>
      <c r="L590" s="35"/>
      <c r="M590" s="34">
        <f>ROUND(ROUND(J590, 2)*I590, 2)</f>
        <v>1945.34</v>
      </c>
      <c r="N590" s="35"/>
      <c r="O590" s="35"/>
      <c r="P590" s="34">
        <v>35.76</v>
      </c>
      <c r="Q590" s="35"/>
      <c r="R590" s="35"/>
      <c r="S590" s="34">
        <f>ROUND(ROUND(P590, 2)*I590, 2)</f>
        <v>1945.34</v>
      </c>
      <c r="T590" s="35"/>
      <c r="U590" s="36"/>
      <c r="V590" s="9">
        <f>ROUND(ROUND(P590, 2)/1.2, 2)</f>
        <v>29.8</v>
      </c>
      <c r="Y590" s="9">
        <f t="shared" si="73"/>
        <v>1621.12</v>
      </c>
      <c r="AD590" s="4" t="s">
        <v>1878</v>
      </c>
      <c r="AE590" s="4" t="s">
        <v>1879</v>
      </c>
      <c r="AF590" s="4" t="s">
        <v>1795</v>
      </c>
    </row>
    <row r="591" spans="1:35" ht="18" x14ac:dyDescent="0.3">
      <c r="A591" s="25" t="s">
        <v>1880</v>
      </c>
      <c r="B591" s="25"/>
      <c r="C591" s="30" t="s">
        <v>1849</v>
      </c>
      <c r="D591" s="27"/>
      <c r="E591" s="27"/>
      <c r="F591" s="31" t="s">
        <v>116</v>
      </c>
      <c r="G591" s="32">
        <v>1</v>
      </c>
      <c r="H591" s="27"/>
      <c r="I591" s="33">
        <v>25.5</v>
      </c>
      <c r="J591" s="34">
        <v>80</v>
      </c>
      <c r="K591" s="35"/>
      <c r="L591" s="35"/>
      <c r="M591" s="34">
        <f>ROUND(ROUND(J591, 2)*I591, 2)</f>
        <v>2040</v>
      </c>
      <c r="N591" s="35"/>
      <c r="O591" s="35"/>
      <c r="P591" s="34">
        <v>80</v>
      </c>
      <c r="Q591" s="35"/>
      <c r="R591" s="35"/>
      <c r="S591" s="34">
        <f>ROUND(ROUND(P591, 2)*I591, 2)</f>
        <v>2040</v>
      </c>
      <c r="T591" s="35"/>
      <c r="U591" s="36"/>
      <c r="V591" s="9">
        <f>ROUND(ROUND(P591, 2)/1.2, 2)</f>
        <v>66.67</v>
      </c>
      <c r="Y591" s="9">
        <f t="shared" si="73"/>
        <v>1700</v>
      </c>
      <c r="AD591" s="4" t="s">
        <v>1881</v>
      </c>
      <c r="AE591" s="4" t="s">
        <v>1882</v>
      </c>
      <c r="AF591" s="4" t="s">
        <v>1852</v>
      </c>
    </row>
    <row r="592" spans="1:35" ht="36" x14ac:dyDescent="0.3">
      <c r="A592" s="25" t="s">
        <v>1883</v>
      </c>
      <c r="B592" s="25" t="s">
        <v>1813</v>
      </c>
      <c r="C592" s="26" t="s">
        <v>1814</v>
      </c>
      <c r="D592" s="27"/>
      <c r="E592" s="27" t="s">
        <v>1884</v>
      </c>
      <c r="F592" s="27" t="s">
        <v>64</v>
      </c>
      <c r="G592" s="28">
        <v>1</v>
      </c>
      <c r="H592" s="27"/>
      <c r="I592" s="28">
        <v>23.49</v>
      </c>
      <c r="J592" s="29">
        <f>IFERROR(ROUND(SUM(M593,M594,M595)/I592, 2),0)</f>
        <v>904.12</v>
      </c>
      <c r="K592" s="29">
        <v>1477</v>
      </c>
      <c r="L592" s="29">
        <f>J592+ROUND(K592, 2)</f>
        <v>2381.12</v>
      </c>
      <c r="M592" s="29">
        <f>ROUND(J592*I592, 2)</f>
        <v>21237.78</v>
      </c>
      <c r="N592" s="29">
        <f>ROUND(I592*ROUND(K592, 2), 2)</f>
        <v>34694.730000000003</v>
      </c>
      <c r="O592" s="29">
        <f>M592+N592</f>
        <v>55932.51</v>
      </c>
      <c r="P592" s="29">
        <f>IFERROR(ROUND(SUM(S593,S594,S595)/I592, 2),0)</f>
        <v>904.12</v>
      </c>
      <c r="Q592" s="29">
        <v>1477</v>
      </c>
      <c r="R592" s="29">
        <f>P592+ROUND(Q592, 2)</f>
        <v>2381.12</v>
      </c>
      <c r="S592" s="29">
        <f>ROUND(P592*I592, 2)</f>
        <v>21237.78</v>
      </c>
      <c r="T592" s="29">
        <f>ROUND(I592*ROUND(Q592, 2), 2)</f>
        <v>34694.730000000003</v>
      </c>
      <c r="U592" s="29">
        <f>S592+T592</f>
        <v>55932.51</v>
      </c>
      <c r="V592" s="9">
        <f>ROUND(P592 / 1.2, 2)</f>
        <v>753.43</v>
      </c>
      <c r="W592" s="9">
        <f>ROUND(Q592 / 1.2, 2)</f>
        <v>1230.83</v>
      </c>
      <c r="X592" s="9">
        <f>ROUND(R592 / 1.2, 2)</f>
        <v>1984.27</v>
      </c>
      <c r="Y592" s="9">
        <f t="shared" si="73"/>
        <v>17698.150000000001</v>
      </c>
      <c r="Z592" s="9">
        <f>ROUND(T592 / 1.2, 2)</f>
        <v>28912.28</v>
      </c>
      <c r="AA592" s="9">
        <f>Y592+Z592</f>
        <v>46610.43</v>
      </c>
      <c r="AD592" s="4">
        <v>298925443</v>
      </c>
      <c r="AE592" s="4">
        <v>19995862</v>
      </c>
      <c r="AG592" s="4" t="s">
        <v>1815</v>
      </c>
      <c r="AH592" s="4" t="s">
        <v>1816</v>
      </c>
      <c r="AI592" s="4" t="s">
        <v>67</v>
      </c>
    </row>
    <row r="593" spans="1:35" ht="18" x14ac:dyDescent="0.3">
      <c r="A593" s="25" t="s">
        <v>1885</v>
      </c>
      <c r="B593" s="25"/>
      <c r="C593" s="30" t="s">
        <v>1787</v>
      </c>
      <c r="D593" s="27"/>
      <c r="E593" s="27"/>
      <c r="F593" s="31" t="s">
        <v>87</v>
      </c>
      <c r="G593" s="32">
        <v>1</v>
      </c>
      <c r="H593" s="27"/>
      <c r="I593" s="33">
        <v>84.2</v>
      </c>
      <c r="J593" s="34">
        <v>44.71</v>
      </c>
      <c r="K593" s="35"/>
      <c r="L593" s="35"/>
      <c r="M593" s="34">
        <f>ROUND(ROUND(J593, 2)*I593, 2)</f>
        <v>3764.58</v>
      </c>
      <c r="N593" s="35"/>
      <c r="O593" s="35"/>
      <c r="P593" s="34">
        <v>44.71</v>
      </c>
      <c r="Q593" s="35"/>
      <c r="R593" s="35"/>
      <c r="S593" s="34">
        <f>ROUND(ROUND(P593, 2)*I593, 2)</f>
        <v>3764.58</v>
      </c>
      <c r="T593" s="35"/>
      <c r="U593" s="36"/>
      <c r="V593" s="9">
        <f>ROUND(ROUND(P593, 2)/1.2, 2)</f>
        <v>37.26</v>
      </c>
      <c r="Y593" s="9">
        <f t="shared" si="73"/>
        <v>3137.15</v>
      </c>
      <c r="AD593" s="4" t="s">
        <v>1886</v>
      </c>
      <c r="AE593" s="4" t="s">
        <v>1887</v>
      </c>
      <c r="AF593" s="4" t="s">
        <v>1790</v>
      </c>
    </row>
    <row r="594" spans="1:35" ht="18" x14ac:dyDescent="0.3">
      <c r="A594" s="25" t="s">
        <v>1888</v>
      </c>
      <c r="B594" s="25"/>
      <c r="C594" s="30" t="s">
        <v>1792</v>
      </c>
      <c r="D594" s="27"/>
      <c r="E594" s="27"/>
      <c r="F594" s="31" t="s">
        <v>87</v>
      </c>
      <c r="G594" s="32">
        <v>1</v>
      </c>
      <c r="H594" s="27"/>
      <c r="I594" s="33">
        <v>41.5</v>
      </c>
      <c r="J594" s="34">
        <v>35.76</v>
      </c>
      <c r="K594" s="35"/>
      <c r="L594" s="35"/>
      <c r="M594" s="34">
        <f>ROUND(ROUND(J594, 2)*I594, 2)</f>
        <v>1484.04</v>
      </c>
      <c r="N594" s="35"/>
      <c r="O594" s="35"/>
      <c r="P594" s="34">
        <v>35.76</v>
      </c>
      <c r="Q594" s="35"/>
      <c r="R594" s="35"/>
      <c r="S594" s="34">
        <f>ROUND(ROUND(P594, 2)*I594, 2)</f>
        <v>1484.04</v>
      </c>
      <c r="T594" s="35"/>
      <c r="U594" s="36"/>
      <c r="V594" s="9">
        <f>ROUND(ROUND(P594, 2)/1.2, 2)</f>
        <v>29.8</v>
      </c>
      <c r="Y594" s="9">
        <f t="shared" si="73"/>
        <v>1236.7</v>
      </c>
      <c r="AD594" s="4" t="s">
        <v>1889</v>
      </c>
      <c r="AE594" s="4" t="s">
        <v>1890</v>
      </c>
      <c r="AF594" s="4" t="s">
        <v>1795</v>
      </c>
    </row>
    <row r="595" spans="1:35" ht="18" x14ac:dyDescent="0.3">
      <c r="A595" s="25" t="s">
        <v>1891</v>
      </c>
      <c r="B595" s="25"/>
      <c r="C595" s="17" t="s">
        <v>1829</v>
      </c>
      <c r="D595" s="27"/>
      <c r="E595" s="27"/>
      <c r="F595" s="31" t="s">
        <v>64</v>
      </c>
      <c r="G595" s="32">
        <v>1.1000000000000001</v>
      </c>
      <c r="H595" s="27"/>
      <c r="I595" s="33">
        <v>51.677999999999997</v>
      </c>
      <c r="J595" s="34">
        <v>309.39999999999998</v>
      </c>
      <c r="K595" s="35"/>
      <c r="L595" s="35"/>
      <c r="M595" s="34">
        <f>ROUND(ROUND(J595, 2)*I595, 2)</f>
        <v>15989.17</v>
      </c>
      <c r="N595" s="35"/>
      <c r="O595" s="35"/>
      <c r="P595" s="34">
        <v>309.39999999999998</v>
      </c>
      <c r="Q595" s="35"/>
      <c r="R595" s="35"/>
      <c r="S595" s="34">
        <f>ROUND(ROUND(P595, 2)*I595, 2)</f>
        <v>15989.17</v>
      </c>
      <c r="T595" s="35"/>
      <c r="U595" s="36"/>
      <c r="V595" s="9">
        <f>ROUND(ROUND(P595, 2)/1.2, 2)</f>
        <v>257.83</v>
      </c>
      <c r="Y595" s="9">
        <f t="shared" si="73"/>
        <v>13324.31</v>
      </c>
      <c r="AD595" s="4" t="s">
        <v>1892</v>
      </c>
      <c r="AE595" s="4" t="s">
        <v>1893</v>
      </c>
      <c r="AF595" s="4" t="s">
        <v>1832</v>
      </c>
    </row>
    <row r="596" spans="1:35" ht="36" x14ac:dyDescent="0.3">
      <c r="A596" s="25" t="s">
        <v>1894</v>
      </c>
      <c r="B596" s="25" t="s">
        <v>1813</v>
      </c>
      <c r="C596" s="26" t="s">
        <v>1814</v>
      </c>
      <c r="D596" s="27"/>
      <c r="E596" s="27" t="s">
        <v>1895</v>
      </c>
      <c r="F596" s="27" t="s">
        <v>64</v>
      </c>
      <c r="G596" s="28">
        <v>1</v>
      </c>
      <c r="H596" s="27"/>
      <c r="I596" s="28">
        <v>2.74</v>
      </c>
      <c r="J596" s="29">
        <f>IFERROR(ROUND(SUM(M597,M598,M599,M600)/I596, 2),0)</f>
        <v>1025.02</v>
      </c>
      <c r="K596" s="29">
        <v>1477</v>
      </c>
      <c r="L596" s="29">
        <f>J596+ROUND(K596, 2)</f>
        <v>2502.02</v>
      </c>
      <c r="M596" s="29">
        <f>ROUND(J596*I596, 2)</f>
        <v>2808.55</v>
      </c>
      <c r="N596" s="29">
        <f>ROUND(I596*ROUND(K596, 2), 2)</f>
        <v>4046.98</v>
      </c>
      <c r="O596" s="29">
        <f>M596+N596</f>
        <v>6855.5300000000007</v>
      </c>
      <c r="P596" s="29">
        <f>IFERROR(ROUND(SUM(S597,S598,S599,S600)/I596, 2),0)</f>
        <v>1025.02</v>
      </c>
      <c r="Q596" s="29">
        <v>1477</v>
      </c>
      <c r="R596" s="29">
        <f>P596+ROUND(Q596, 2)</f>
        <v>2502.02</v>
      </c>
      <c r="S596" s="29">
        <f>ROUND(P596*I596, 2)</f>
        <v>2808.55</v>
      </c>
      <c r="T596" s="29">
        <f>ROUND(I596*ROUND(Q596, 2), 2)</f>
        <v>4046.98</v>
      </c>
      <c r="U596" s="29">
        <f>S596+T596</f>
        <v>6855.5300000000007</v>
      </c>
      <c r="V596" s="9">
        <f>ROUND(P596 / 1.2, 2)</f>
        <v>854.18</v>
      </c>
      <c r="W596" s="9">
        <f>ROUND(Q596 / 1.2, 2)</f>
        <v>1230.83</v>
      </c>
      <c r="X596" s="9">
        <f>ROUND(R596 / 1.2, 2)</f>
        <v>2085.02</v>
      </c>
      <c r="Y596" s="9">
        <f t="shared" si="73"/>
        <v>2340.46</v>
      </c>
      <c r="Z596" s="9">
        <f>ROUND(T596 / 1.2, 2)</f>
        <v>3372.48</v>
      </c>
      <c r="AA596" s="9">
        <f>Y596+Z596</f>
        <v>5712.9400000000005</v>
      </c>
      <c r="AD596" s="4">
        <v>298925444</v>
      </c>
      <c r="AE596" s="4">
        <v>19995863</v>
      </c>
      <c r="AG596" s="4" t="s">
        <v>1815</v>
      </c>
      <c r="AH596" s="4" t="s">
        <v>1816</v>
      </c>
      <c r="AI596" s="4" t="s">
        <v>67</v>
      </c>
    </row>
    <row r="597" spans="1:35" ht="18" x14ac:dyDescent="0.3">
      <c r="A597" s="25" t="s">
        <v>1896</v>
      </c>
      <c r="B597" s="25"/>
      <c r="C597" s="17" t="s">
        <v>1829</v>
      </c>
      <c r="D597" s="27"/>
      <c r="E597" s="27"/>
      <c r="F597" s="31" t="s">
        <v>64</v>
      </c>
      <c r="G597" s="32">
        <v>1.1000000000000001</v>
      </c>
      <c r="H597" s="27"/>
      <c r="I597" s="33">
        <v>6.0279999999999996</v>
      </c>
      <c r="J597" s="34">
        <v>309.39999999999998</v>
      </c>
      <c r="K597" s="35"/>
      <c r="L597" s="35"/>
      <c r="M597" s="34">
        <f>ROUND(ROUND(J597, 2)*I597, 2)</f>
        <v>1865.06</v>
      </c>
      <c r="N597" s="35"/>
      <c r="O597" s="35"/>
      <c r="P597" s="34">
        <v>309.39999999999998</v>
      </c>
      <c r="Q597" s="35"/>
      <c r="R597" s="35"/>
      <c r="S597" s="34">
        <f>ROUND(ROUND(P597, 2)*I597, 2)</f>
        <v>1865.06</v>
      </c>
      <c r="T597" s="35"/>
      <c r="U597" s="36"/>
      <c r="V597" s="9">
        <f>ROUND(ROUND(P597, 2)/1.2, 2)</f>
        <v>257.83</v>
      </c>
      <c r="Y597" s="9">
        <f t="shared" si="73"/>
        <v>1554.22</v>
      </c>
      <c r="AD597" s="4" t="s">
        <v>1897</v>
      </c>
      <c r="AE597" s="4" t="s">
        <v>1898</v>
      </c>
      <c r="AF597" s="4" t="s">
        <v>1832</v>
      </c>
    </row>
    <row r="598" spans="1:35" ht="18" x14ac:dyDescent="0.3">
      <c r="A598" s="25" t="s">
        <v>1899</v>
      </c>
      <c r="B598" s="25"/>
      <c r="C598" s="30" t="s">
        <v>1787</v>
      </c>
      <c r="D598" s="27"/>
      <c r="E598" s="27"/>
      <c r="F598" s="31" t="s">
        <v>87</v>
      </c>
      <c r="G598" s="32">
        <v>1</v>
      </c>
      <c r="H598" s="27"/>
      <c r="I598" s="33">
        <v>16</v>
      </c>
      <c r="J598" s="34">
        <v>44.71</v>
      </c>
      <c r="K598" s="35"/>
      <c r="L598" s="35"/>
      <c r="M598" s="34">
        <f>ROUND(ROUND(J598, 2)*I598, 2)</f>
        <v>715.36</v>
      </c>
      <c r="N598" s="35"/>
      <c r="O598" s="35"/>
      <c r="P598" s="34">
        <v>44.71</v>
      </c>
      <c r="Q598" s="35"/>
      <c r="R598" s="35"/>
      <c r="S598" s="34">
        <f>ROUND(ROUND(P598, 2)*I598, 2)</f>
        <v>715.36</v>
      </c>
      <c r="T598" s="35"/>
      <c r="U598" s="36"/>
      <c r="V598" s="9">
        <f>ROUND(ROUND(P598, 2)/1.2, 2)</f>
        <v>37.26</v>
      </c>
      <c r="Y598" s="9">
        <f t="shared" si="73"/>
        <v>596.13</v>
      </c>
      <c r="AD598" s="4" t="s">
        <v>1900</v>
      </c>
      <c r="AE598" s="4" t="s">
        <v>1901</v>
      </c>
      <c r="AF598" s="4" t="s">
        <v>1790</v>
      </c>
    </row>
    <row r="599" spans="1:35" ht="18" x14ac:dyDescent="0.3">
      <c r="A599" s="25" t="s">
        <v>1902</v>
      </c>
      <c r="B599" s="25"/>
      <c r="C599" s="30" t="s">
        <v>1792</v>
      </c>
      <c r="D599" s="27"/>
      <c r="E599" s="27"/>
      <c r="F599" s="31" t="s">
        <v>87</v>
      </c>
      <c r="G599" s="32">
        <v>1</v>
      </c>
      <c r="H599" s="27"/>
      <c r="I599" s="33">
        <v>2.8</v>
      </c>
      <c r="J599" s="34">
        <v>35.76</v>
      </c>
      <c r="K599" s="35"/>
      <c r="L599" s="35"/>
      <c r="M599" s="34">
        <f>ROUND(ROUND(J599, 2)*I599, 2)</f>
        <v>100.13</v>
      </c>
      <c r="N599" s="35"/>
      <c r="O599" s="35"/>
      <c r="P599" s="34">
        <v>35.76</v>
      </c>
      <c r="Q599" s="35"/>
      <c r="R599" s="35"/>
      <c r="S599" s="34">
        <f>ROUND(ROUND(P599, 2)*I599, 2)</f>
        <v>100.13</v>
      </c>
      <c r="T599" s="35"/>
      <c r="U599" s="36"/>
      <c r="V599" s="9">
        <f>ROUND(ROUND(P599, 2)/1.2, 2)</f>
        <v>29.8</v>
      </c>
      <c r="Y599" s="9">
        <f t="shared" si="73"/>
        <v>83.44</v>
      </c>
      <c r="AD599" s="4" t="s">
        <v>1903</v>
      </c>
      <c r="AE599" s="4" t="s">
        <v>1904</v>
      </c>
      <c r="AF599" s="4" t="s">
        <v>1795</v>
      </c>
    </row>
    <row r="600" spans="1:35" ht="18" x14ac:dyDescent="0.3">
      <c r="A600" s="25" t="s">
        <v>1905</v>
      </c>
      <c r="B600" s="25"/>
      <c r="C600" s="30" t="s">
        <v>1849</v>
      </c>
      <c r="D600" s="27"/>
      <c r="E600" s="27"/>
      <c r="F600" s="31" t="s">
        <v>116</v>
      </c>
      <c r="G600" s="32">
        <v>1</v>
      </c>
      <c r="H600" s="27"/>
      <c r="I600" s="33">
        <v>1.6</v>
      </c>
      <c r="J600" s="34">
        <v>80</v>
      </c>
      <c r="K600" s="35"/>
      <c r="L600" s="35"/>
      <c r="M600" s="34">
        <f>ROUND(ROUND(J600, 2)*I600, 2)</f>
        <v>128</v>
      </c>
      <c r="N600" s="35"/>
      <c r="O600" s="35"/>
      <c r="P600" s="34">
        <v>80</v>
      </c>
      <c r="Q600" s="35"/>
      <c r="R600" s="35"/>
      <c r="S600" s="34">
        <f>ROUND(ROUND(P600, 2)*I600, 2)</f>
        <v>128</v>
      </c>
      <c r="T600" s="35"/>
      <c r="U600" s="36"/>
      <c r="V600" s="9">
        <f>ROUND(ROUND(P600, 2)/1.2, 2)</f>
        <v>66.67</v>
      </c>
      <c r="Y600" s="9">
        <f t="shared" si="73"/>
        <v>106.67</v>
      </c>
      <c r="AD600" s="4" t="s">
        <v>1906</v>
      </c>
      <c r="AE600" s="4" t="s">
        <v>1907</v>
      </c>
      <c r="AF600" s="4" t="s">
        <v>1852</v>
      </c>
    </row>
    <row r="601" spans="1:35" ht="54" x14ac:dyDescent="0.3">
      <c r="A601" s="25" t="s">
        <v>1908</v>
      </c>
      <c r="B601" s="25" t="s">
        <v>1909</v>
      </c>
      <c r="C601" s="26" t="s">
        <v>1910</v>
      </c>
      <c r="D601" s="27"/>
      <c r="E601" s="27" t="s">
        <v>1911</v>
      </c>
      <c r="F601" s="27" t="s">
        <v>64</v>
      </c>
      <c r="G601" s="28">
        <v>1</v>
      </c>
      <c r="H601" s="27"/>
      <c r="I601" s="28">
        <v>662.77499999999998</v>
      </c>
      <c r="J601" s="29">
        <f>IFERROR(ROUND(SUM(M602,M603,M604,M605,M606,M607,M608)/I601, 2),0)</f>
        <v>1056.3599999999999</v>
      </c>
      <c r="K601" s="29">
        <v>1612</v>
      </c>
      <c r="L601" s="29">
        <f>J601+ROUND(K601, 2)</f>
        <v>2668.3599999999997</v>
      </c>
      <c r="M601" s="29">
        <f>ROUND(J601*I601, 2)</f>
        <v>700129</v>
      </c>
      <c r="N601" s="29">
        <f>ROUND(I601*ROUND(K601, 2), 2)</f>
        <v>1068393.3</v>
      </c>
      <c r="O601" s="29">
        <f>M601+N601</f>
        <v>1768522.3</v>
      </c>
      <c r="P601" s="29">
        <f>IFERROR(ROUND(SUM(S602,S603,S604,S605,S606,S607,S608)/I601, 2),0)</f>
        <v>1056.3599999999999</v>
      </c>
      <c r="Q601" s="29">
        <v>1612</v>
      </c>
      <c r="R601" s="29">
        <f>P601+ROUND(Q601, 2)</f>
        <v>2668.3599999999997</v>
      </c>
      <c r="S601" s="29">
        <f>ROUND(P601*I601, 2)</f>
        <v>700129</v>
      </c>
      <c r="T601" s="29">
        <f>ROUND(I601*ROUND(Q601, 2), 2)</f>
        <v>1068393.3</v>
      </c>
      <c r="U601" s="29">
        <f>S601+T601</f>
        <v>1768522.3</v>
      </c>
      <c r="V601" s="9">
        <f>ROUND(P601 / 1.2, 2)</f>
        <v>880.3</v>
      </c>
      <c r="W601" s="9">
        <f>ROUND(Q601 / 1.2, 2)</f>
        <v>1343.33</v>
      </c>
      <c r="X601" s="9">
        <f>ROUND(R601 / 1.2, 2)</f>
        <v>2223.63</v>
      </c>
      <c r="Y601" s="9">
        <f t="shared" si="73"/>
        <v>583440.82999999996</v>
      </c>
      <c r="Z601" s="9">
        <f>ROUND(T601 / 1.2, 2)</f>
        <v>890327.75</v>
      </c>
      <c r="AA601" s="9">
        <f>Y601+Z601</f>
        <v>1473768.58</v>
      </c>
      <c r="AD601" s="4">
        <v>298925335</v>
      </c>
      <c r="AE601" s="4">
        <v>21371558</v>
      </c>
      <c r="AG601" s="4" t="s">
        <v>1912</v>
      </c>
      <c r="AH601" s="4" t="s">
        <v>1913</v>
      </c>
      <c r="AI601" s="4" t="s">
        <v>67</v>
      </c>
    </row>
    <row r="602" spans="1:35" ht="18" x14ac:dyDescent="0.3">
      <c r="A602" s="25" t="s">
        <v>1914</v>
      </c>
      <c r="B602" s="25"/>
      <c r="C602" s="30" t="s">
        <v>1915</v>
      </c>
      <c r="D602" s="27"/>
      <c r="E602" s="27"/>
      <c r="F602" s="31" t="s">
        <v>116</v>
      </c>
      <c r="G602" s="32">
        <v>44</v>
      </c>
      <c r="H602" s="27"/>
      <c r="I602" s="32">
        <v>29162.1</v>
      </c>
      <c r="J602" s="34">
        <v>0.95</v>
      </c>
      <c r="K602" s="35"/>
      <c r="L602" s="35"/>
      <c r="M602" s="34">
        <f t="shared" ref="M602:M608" si="74">ROUND(ROUND(J602, 2)*I602, 2)</f>
        <v>27704</v>
      </c>
      <c r="N602" s="35"/>
      <c r="O602" s="35"/>
      <c r="P602" s="34">
        <v>0.95</v>
      </c>
      <c r="Q602" s="35"/>
      <c r="R602" s="35"/>
      <c r="S602" s="34">
        <f t="shared" ref="S602:S608" si="75">ROUND(ROUND(P602, 2)*I602, 2)</f>
        <v>27704</v>
      </c>
      <c r="T602" s="35"/>
      <c r="U602" s="36"/>
      <c r="V602" s="9">
        <f t="shared" ref="V602:V608" si="76">ROUND(ROUND(P602, 2)/1.2, 2)</f>
        <v>0.79</v>
      </c>
      <c r="Y602" s="9">
        <f t="shared" si="73"/>
        <v>23086.67</v>
      </c>
      <c r="AD602" s="4" t="s">
        <v>1916</v>
      </c>
      <c r="AE602" s="4" t="s">
        <v>1917</v>
      </c>
      <c r="AF602" s="4" t="s">
        <v>1918</v>
      </c>
    </row>
    <row r="603" spans="1:35" ht="18" x14ac:dyDescent="0.3">
      <c r="A603" s="25" t="s">
        <v>1919</v>
      </c>
      <c r="B603" s="25"/>
      <c r="C603" s="30" t="s">
        <v>1920</v>
      </c>
      <c r="D603" s="27"/>
      <c r="E603" s="27"/>
      <c r="F603" s="31" t="s">
        <v>116</v>
      </c>
      <c r="G603" s="32">
        <v>20</v>
      </c>
      <c r="H603" s="27"/>
      <c r="I603" s="32">
        <v>13255.5</v>
      </c>
      <c r="J603" s="34">
        <v>0.28000000000000003</v>
      </c>
      <c r="K603" s="35"/>
      <c r="L603" s="35"/>
      <c r="M603" s="34">
        <f t="shared" si="74"/>
        <v>3711.54</v>
      </c>
      <c r="N603" s="35"/>
      <c r="O603" s="35"/>
      <c r="P603" s="34">
        <v>0.28000000000000003</v>
      </c>
      <c r="Q603" s="35"/>
      <c r="R603" s="35"/>
      <c r="S603" s="34">
        <f t="shared" si="75"/>
        <v>3711.54</v>
      </c>
      <c r="T603" s="35"/>
      <c r="U603" s="36"/>
      <c r="V603" s="9">
        <f t="shared" si="76"/>
        <v>0.23</v>
      </c>
      <c r="Y603" s="9">
        <f t="shared" si="73"/>
        <v>3092.95</v>
      </c>
      <c r="AD603" s="4" t="s">
        <v>1921</v>
      </c>
      <c r="AE603" s="4" t="s">
        <v>1922</v>
      </c>
      <c r="AF603" s="4" t="s">
        <v>1923</v>
      </c>
    </row>
    <row r="604" spans="1:35" ht="18" x14ac:dyDescent="0.3">
      <c r="A604" s="25" t="s">
        <v>1924</v>
      </c>
      <c r="B604" s="25"/>
      <c r="C604" s="30" t="s">
        <v>1849</v>
      </c>
      <c r="D604" s="27"/>
      <c r="E604" s="27"/>
      <c r="F604" s="31" t="s">
        <v>116</v>
      </c>
      <c r="G604" s="32">
        <v>2.2200000000000002</v>
      </c>
      <c r="H604" s="27"/>
      <c r="I604" s="32">
        <v>1471.3610000000001</v>
      </c>
      <c r="J604" s="34">
        <v>80</v>
      </c>
      <c r="K604" s="35"/>
      <c r="L604" s="35"/>
      <c r="M604" s="34">
        <f t="shared" si="74"/>
        <v>117708.88</v>
      </c>
      <c r="N604" s="35"/>
      <c r="O604" s="35"/>
      <c r="P604" s="34">
        <v>80</v>
      </c>
      <c r="Q604" s="35"/>
      <c r="R604" s="35"/>
      <c r="S604" s="34">
        <f t="shared" si="75"/>
        <v>117708.88</v>
      </c>
      <c r="T604" s="35"/>
      <c r="U604" s="36"/>
      <c r="V604" s="9">
        <f t="shared" si="76"/>
        <v>66.67</v>
      </c>
      <c r="Y604" s="9">
        <f t="shared" si="73"/>
        <v>98090.73</v>
      </c>
      <c r="AD604" s="4" t="s">
        <v>1925</v>
      </c>
      <c r="AE604" s="4" t="s">
        <v>1926</v>
      </c>
      <c r="AF604" s="4" t="s">
        <v>1852</v>
      </c>
    </row>
    <row r="605" spans="1:35" ht="36" x14ac:dyDescent="0.3">
      <c r="A605" s="25" t="s">
        <v>1927</v>
      </c>
      <c r="B605" s="25"/>
      <c r="C605" s="17" t="s">
        <v>1928</v>
      </c>
      <c r="D605" s="27"/>
      <c r="E605" s="27"/>
      <c r="F605" s="31" t="s">
        <v>87</v>
      </c>
      <c r="G605" s="32">
        <v>13.5</v>
      </c>
      <c r="H605" s="27"/>
      <c r="I605" s="32">
        <v>8947.4629999999997</v>
      </c>
      <c r="J605" s="34">
        <v>32.950000000000003</v>
      </c>
      <c r="K605" s="35"/>
      <c r="L605" s="35"/>
      <c r="M605" s="34">
        <f t="shared" si="74"/>
        <v>294818.90999999997</v>
      </c>
      <c r="N605" s="35"/>
      <c r="O605" s="35"/>
      <c r="P605" s="34">
        <v>32.950000000000003</v>
      </c>
      <c r="Q605" s="35"/>
      <c r="R605" s="35"/>
      <c r="S605" s="34">
        <f t="shared" si="75"/>
        <v>294818.90999999997</v>
      </c>
      <c r="T605" s="35"/>
      <c r="U605" s="36"/>
      <c r="V605" s="9">
        <f t="shared" si="76"/>
        <v>27.46</v>
      </c>
      <c r="Y605" s="9">
        <f t="shared" si="73"/>
        <v>245682.43</v>
      </c>
      <c r="AD605" s="4" t="s">
        <v>1929</v>
      </c>
      <c r="AE605" s="4" t="s">
        <v>1930</v>
      </c>
      <c r="AF605" s="4" t="s">
        <v>1931</v>
      </c>
    </row>
    <row r="606" spans="1:35" ht="18" x14ac:dyDescent="0.3">
      <c r="A606" s="25" t="s">
        <v>1932</v>
      </c>
      <c r="B606" s="25"/>
      <c r="C606" s="30" t="s">
        <v>1933</v>
      </c>
      <c r="D606" s="27"/>
      <c r="E606" s="27"/>
      <c r="F606" s="31" t="s">
        <v>116</v>
      </c>
      <c r="G606" s="32">
        <v>33.75</v>
      </c>
      <c r="H606" s="27"/>
      <c r="I606" s="32">
        <v>22368.655999999999</v>
      </c>
      <c r="J606" s="34">
        <v>0.9</v>
      </c>
      <c r="K606" s="35"/>
      <c r="L606" s="35"/>
      <c r="M606" s="34">
        <f t="shared" si="74"/>
        <v>20131.79</v>
      </c>
      <c r="N606" s="35"/>
      <c r="O606" s="35"/>
      <c r="P606" s="34">
        <v>0.9</v>
      </c>
      <c r="Q606" s="35"/>
      <c r="R606" s="35"/>
      <c r="S606" s="34">
        <f t="shared" si="75"/>
        <v>20131.79</v>
      </c>
      <c r="T606" s="35"/>
      <c r="U606" s="36"/>
      <c r="V606" s="9">
        <f t="shared" si="76"/>
        <v>0.75</v>
      </c>
      <c r="Y606" s="9">
        <f t="shared" si="73"/>
        <v>16776.490000000002</v>
      </c>
      <c r="AD606" s="4" t="s">
        <v>1934</v>
      </c>
      <c r="AE606" s="4" t="s">
        <v>1935</v>
      </c>
      <c r="AF606" s="4" t="s">
        <v>1936</v>
      </c>
    </row>
    <row r="607" spans="1:35" ht="36" x14ac:dyDescent="0.3">
      <c r="A607" s="25" t="s">
        <v>1937</v>
      </c>
      <c r="B607" s="25"/>
      <c r="C607" s="30" t="s">
        <v>1767</v>
      </c>
      <c r="D607" s="27"/>
      <c r="E607" s="27"/>
      <c r="F607" s="31" t="s">
        <v>64</v>
      </c>
      <c r="G607" s="32">
        <v>2.1</v>
      </c>
      <c r="H607" s="27"/>
      <c r="I607" s="32">
        <v>1391.828</v>
      </c>
      <c r="J607" s="34">
        <v>135.53</v>
      </c>
      <c r="K607" s="35"/>
      <c r="L607" s="35"/>
      <c r="M607" s="34">
        <f t="shared" si="74"/>
        <v>188634.45</v>
      </c>
      <c r="N607" s="35"/>
      <c r="O607" s="35"/>
      <c r="P607" s="34">
        <v>135.53</v>
      </c>
      <c r="Q607" s="35"/>
      <c r="R607" s="35"/>
      <c r="S607" s="34">
        <f t="shared" si="75"/>
        <v>188634.45</v>
      </c>
      <c r="T607" s="35"/>
      <c r="U607" s="36"/>
      <c r="V607" s="9">
        <f t="shared" si="76"/>
        <v>112.94</v>
      </c>
      <c r="Y607" s="9">
        <f t="shared" si="73"/>
        <v>157195.38</v>
      </c>
      <c r="AD607" s="4" t="s">
        <v>1938</v>
      </c>
      <c r="AE607" s="4" t="s">
        <v>1939</v>
      </c>
      <c r="AF607" s="4" t="s">
        <v>1770</v>
      </c>
    </row>
    <row r="608" spans="1:35" ht="18" x14ac:dyDescent="0.3">
      <c r="A608" s="25" t="s">
        <v>1940</v>
      </c>
      <c r="B608" s="25"/>
      <c r="C608" s="30" t="s">
        <v>1774</v>
      </c>
      <c r="D608" s="27"/>
      <c r="E608" s="27"/>
      <c r="F608" s="31" t="s">
        <v>116</v>
      </c>
      <c r="G608" s="32">
        <v>0.6</v>
      </c>
      <c r="H608" s="27"/>
      <c r="I608" s="32">
        <v>397.66500000000002</v>
      </c>
      <c r="J608" s="34">
        <v>119.25</v>
      </c>
      <c r="K608" s="35"/>
      <c r="L608" s="35"/>
      <c r="M608" s="34">
        <f t="shared" si="74"/>
        <v>47421.55</v>
      </c>
      <c r="N608" s="35"/>
      <c r="O608" s="35"/>
      <c r="P608" s="34">
        <v>119.25</v>
      </c>
      <c r="Q608" s="35"/>
      <c r="R608" s="35"/>
      <c r="S608" s="34">
        <f t="shared" si="75"/>
        <v>47421.55</v>
      </c>
      <c r="T608" s="35"/>
      <c r="U608" s="36"/>
      <c r="V608" s="9">
        <f t="shared" si="76"/>
        <v>99.38</v>
      </c>
      <c r="Y608" s="9">
        <f t="shared" si="73"/>
        <v>39517.96</v>
      </c>
      <c r="AD608" s="4" t="s">
        <v>1941</v>
      </c>
      <c r="AE608" s="4" t="s">
        <v>1942</v>
      </c>
      <c r="AF608" s="4" t="s">
        <v>1777</v>
      </c>
    </row>
    <row r="609" spans="1:35" ht="16.95" customHeight="1" x14ac:dyDescent="0.3">
      <c r="A609" s="25" t="s">
        <v>1943</v>
      </c>
      <c r="B609" s="25" t="s">
        <v>1944</v>
      </c>
      <c r="C609" s="355" t="s">
        <v>1945</v>
      </c>
      <c r="D609" s="356"/>
      <c r="E609" s="356"/>
      <c r="F609" s="356"/>
      <c r="G609" s="356"/>
      <c r="H609" s="356"/>
      <c r="I609" s="357"/>
      <c r="J609" s="35"/>
      <c r="K609" s="35"/>
      <c r="L609" s="35"/>
      <c r="M609" s="67">
        <f>SUM(M610,M612)</f>
        <v>1119590.1000000001</v>
      </c>
      <c r="N609" s="67">
        <f>SUM(N610,N612)</f>
        <v>142186</v>
      </c>
      <c r="O609" s="67">
        <f>SUM(O610,O612)</f>
        <v>1261776.1000000001</v>
      </c>
      <c r="P609" s="35"/>
      <c r="Q609" s="35"/>
      <c r="R609" s="35"/>
      <c r="S609" s="67">
        <f>SUM(S610,S612)</f>
        <v>2711160</v>
      </c>
      <c r="T609" s="67">
        <f>SUM(T610,T612)</f>
        <v>698900</v>
      </c>
      <c r="U609" s="67">
        <f>SUM(U610,U612)</f>
        <v>3410060</v>
      </c>
      <c r="Y609" s="9">
        <f>SUM(Y610,Y612)</f>
        <v>2259300</v>
      </c>
      <c r="Z609" s="9">
        <f>SUM(Z610,Z612)</f>
        <v>582416.67000000004</v>
      </c>
      <c r="AA609" s="9">
        <f>SUM(AA610,AA612)</f>
        <v>2841716.67</v>
      </c>
      <c r="AD609" s="4">
        <v>298925336</v>
      </c>
      <c r="AE609" s="4">
        <v>19996215</v>
      </c>
    </row>
    <row r="610" spans="1:35" ht="36" x14ac:dyDescent="0.3">
      <c r="A610" s="25" t="s">
        <v>1946</v>
      </c>
      <c r="B610" s="25" t="s">
        <v>1947</v>
      </c>
      <c r="C610" s="26" t="s">
        <v>1948</v>
      </c>
      <c r="D610" s="27"/>
      <c r="E610" s="27" t="s">
        <v>1949</v>
      </c>
      <c r="F610" s="27" t="s">
        <v>116</v>
      </c>
      <c r="G610" s="28">
        <v>1</v>
      </c>
      <c r="H610" s="27"/>
      <c r="I610" s="28">
        <v>7</v>
      </c>
      <c r="J610" s="29">
        <f>IFERROR(ROUND(SUM(M611)/I610, 2),0)</f>
        <v>16710.3</v>
      </c>
      <c r="K610" s="29">
        <v>2458</v>
      </c>
      <c r="L610" s="29">
        <f>J610+ROUND(K610, 2)</f>
        <v>19168.3</v>
      </c>
      <c r="M610" s="29">
        <f>ROUND(J610*I610, 2)</f>
        <v>116972.1</v>
      </c>
      <c r="N610" s="29">
        <f>ROUND(I610*ROUND(K610, 2), 2)</f>
        <v>17206</v>
      </c>
      <c r="O610" s="29">
        <f>M610+N610</f>
        <v>134178.1</v>
      </c>
      <c r="P610" s="29">
        <f>IFERROR(ROUND(SUM(S611)/I610, 2),0)</f>
        <v>151920</v>
      </c>
      <c r="Q610" s="29">
        <v>22700</v>
      </c>
      <c r="R610" s="29">
        <f>P610+ROUND(Q610, 2)</f>
        <v>174620</v>
      </c>
      <c r="S610" s="29">
        <f>ROUND(P610*I610, 2)</f>
        <v>1063440</v>
      </c>
      <c r="T610" s="29">
        <f>ROUND(I610*ROUND(Q610, 2), 2)</f>
        <v>158900</v>
      </c>
      <c r="U610" s="29">
        <f>S610+T610</f>
        <v>1222340</v>
      </c>
      <c r="V610" s="9">
        <f>ROUND(P610 / 1.2, 2)</f>
        <v>126600</v>
      </c>
      <c r="W610" s="9">
        <f>ROUND(Q610 / 1.2, 2)</f>
        <v>18916.669999999998</v>
      </c>
      <c r="X610" s="9">
        <f>ROUND(R610 / 1.2, 2)</f>
        <v>145516.67000000001</v>
      </c>
      <c r="Y610" s="9">
        <f>ROUND(S610 / 1.2, 2)</f>
        <v>886200</v>
      </c>
      <c r="Z610" s="9">
        <f>ROUND(T610 / 1.2, 2)</f>
        <v>132416.67000000001</v>
      </c>
      <c r="AA610" s="9">
        <f>Y610+Z610</f>
        <v>1018616.67</v>
      </c>
      <c r="AD610" s="4">
        <v>298925338</v>
      </c>
      <c r="AE610" s="4">
        <v>19996218</v>
      </c>
      <c r="AG610" s="4" t="s">
        <v>1950</v>
      </c>
      <c r="AH610" s="4" t="s">
        <v>1951</v>
      </c>
      <c r="AI610" s="4" t="s">
        <v>67</v>
      </c>
    </row>
    <row r="611" spans="1:35" ht="108" x14ac:dyDescent="0.3">
      <c r="A611" s="25" t="s">
        <v>1952</v>
      </c>
      <c r="B611" s="25"/>
      <c r="C611" s="30" t="s">
        <v>1953</v>
      </c>
      <c r="D611" s="27"/>
      <c r="E611" s="27" t="s">
        <v>1954</v>
      </c>
      <c r="F611" s="31" t="s">
        <v>116</v>
      </c>
      <c r="G611" s="32">
        <v>1</v>
      </c>
      <c r="H611" s="27"/>
      <c r="I611" s="33">
        <v>7</v>
      </c>
      <c r="J611" s="34">
        <v>16710.3</v>
      </c>
      <c r="K611" s="35"/>
      <c r="L611" s="35"/>
      <c r="M611" s="34">
        <f>ROUND(ROUND(J611, 2)*I611, 2)</f>
        <v>116972.1</v>
      </c>
      <c r="N611" s="35"/>
      <c r="O611" s="35"/>
      <c r="P611" s="34">
        <v>151920</v>
      </c>
      <c r="Q611" s="35"/>
      <c r="R611" s="35"/>
      <c r="S611" s="34">
        <f>ROUND(ROUND(P611, 2)*I611, 2)</f>
        <v>1063440</v>
      </c>
      <c r="T611" s="35"/>
      <c r="U611" s="36"/>
      <c r="V611" s="9">
        <f>ROUND(ROUND(P611, 2)/1.2, 2)</f>
        <v>126600</v>
      </c>
      <c r="Y611" s="9">
        <f>ROUND(S611 / 1.2, 2)</f>
        <v>886200</v>
      </c>
      <c r="AD611" s="4" t="s">
        <v>1955</v>
      </c>
      <c r="AE611" s="4" t="s">
        <v>1956</v>
      </c>
      <c r="AF611" s="4" t="s">
        <v>1957</v>
      </c>
    </row>
    <row r="612" spans="1:35" ht="36" x14ac:dyDescent="0.3">
      <c r="A612" s="25" t="s">
        <v>1958</v>
      </c>
      <c r="B612" s="25" t="s">
        <v>1959</v>
      </c>
      <c r="C612" s="26" t="s">
        <v>1960</v>
      </c>
      <c r="D612" s="27"/>
      <c r="E612" s="27" t="s">
        <v>1961</v>
      </c>
      <c r="F612" s="27" t="s">
        <v>116</v>
      </c>
      <c r="G612" s="28">
        <v>1</v>
      </c>
      <c r="H612" s="27"/>
      <c r="I612" s="28">
        <v>60</v>
      </c>
      <c r="J612" s="29">
        <f>IFERROR(ROUND(SUM(M613)/I612, 2),0)</f>
        <v>16710.3</v>
      </c>
      <c r="K612" s="29">
        <v>2083</v>
      </c>
      <c r="L612" s="29">
        <f>J612+ROUND(K612, 2)</f>
        <v>18793.3</v>
      </c>
      <c r="M612" s="29">
        <f>ROUND(J612*I612, 2)</f>
        <v>1002618</v>
      </c>
      <c r="N612" s="29">
        <f>ROUND(I612*ROUND(K612, 2), 2)</f>
        <v>124980</v>
      </c>
      <c r="O612" s="29">
        <f>M612+N612</f>
        <v>1127598</v>
      </c>
      <c r="P612" s="29">
        <f>IFERROR(ROUND(SUM(S613)/I612, 2),0)</f>
        <v>27462</v>
      </c>
      <c r="Q612" s="29">
        <v>9000</v>
      </c>
      <c r="R612" s="29">
        <f>P612+ROUND(Q612, 2)</f>
        <v>36462</v>
      </c>
      <c r="S612" s="29">
        <f>ROUND(P612*I612, 2)</f>
        <v>1647720</v>
      </c>
      <c r="T612" s="29">
        <f>ROUND(I612*ROUND(Q612, 2), 2)</f>
        <v>540000</v>
      </c>
      <c r="U612" s="29">
        <f>S612+T612</f>
        <v>2187720</v>
      </c>
      <c r="V612" s="9">
        <f>ROUND(P612 / 1.2, 2)</f>
        <v>22885</v>
      </c>
      <c r="W612" s="9">
        <f>ROUND(Q612 / 1.2, 2)</f>
        <v>7500</v>
      </c>
      <c r="X612" s="9">
        <f>ROUND(R612 / 1.2, 2)</f>
        <v>30385</v>
      </c>
      <c r="Y612" s="9">
        <f>ROUND(S612 / 1.2, 2)</f>
        <v>1373100</v>
      </c>
      <c r="Z612" s="9">
        <f>ROUND(T612 / 1.2, 2)</f>
        <v>450000</v>
      </c>
      <c r="AA612" s="9">
        <f>Y612+Z612</f>
        <v>1823100</v>
      </c>
      <c r="AD612" s="4">
        <v>298925339</v>
      </c>
      <c r="AE612" s="4">
        <v>19996219</v>
      </c>
      <c r="AG612" s="4" t="s">
        <v>1962</v>
      </c>
      <c r="AH612" s="4" t="s">
        <v>1963</v>
      </c>
      <c r="AI612" s="4" t="s">
        <v>67</v>
      </c>
    </row>
    <row r="613" spans="1:35" ht="144" x14ac:dyDescent="0.3">
      <c r="A613" s="25" t="s">
        <v>1964</v>
      </c>
      <c r="B613" s="25"/>
      <c r="C613" s="30" t="s">
        <v>1965</v>
      </c>
      <c r="D613" s="27"/>
      <c r="E613" s="27" t="s">
        <v>1966</v>
      </c>
      <c r="F613" s="31" t="s">
        <v>116</v>
      </c>
      <c r="G613" s="32">
        <v>1</v>
      </c>
      <c r="H613" s="27"/>
      <c r="I613" s="33">
        <v>60</v>
      </c>
      <c r="J613" s="34">
        <v>16710.3</v>
      </c>
      <c r="K613" s="35"/>
      <c r="L613" s="35"/>
      <c r="M613" s="34">
        <f>ROUND(ROUND(J613, 2)*I613, 2)</f>
        <v>1002618</v>
      </c>
      <c r="N613" s="35"/>
      <c r="O613" s="35"/>
      <c r="P613" s="34">
        <v>27462</v>
      </c>
      <c r="Q613" s="35"/>
      <c r="R613" s="35"/>
      <c r="S613" s="34">
        <f>ROUND(ROUND(P613, 2)*I613, 2)</f>
        <v>1647720</v>
      </c>
      <c r="T613" s="35"/>
      <c r="U613" s="36"/>
      <c r="V613" s="9">
        <f>ROUND(ROUND(P613, 2)/1.2, 2)</f>
        <v>22885</v>
      </c>
      <c r="Y613" s="9">
        <f>ROUND(S613 / 1.2, 2)</f>
        <v>1373100</v>
      </c>
      <c r="AD613" s="4" t="s">
        <v>1967</v>
      </c>
      <c r="AE613" s="4" t="s">
        <v>1968</v>
      </c>
      <c r="AF613" s="4" t="s">
        <v>1969</v>
      </c>
    </row>
    <row r="614" spans="1:35" ht="16.95" customHeight="1" x14ac:dyDescent="0.3">
      <c r="A614" s="10" t="s">
        <v>1970</v>
      </c>
      <c r="B614" s="10" t="s">
        <v>1971</v>
      </c>
      <c r="C614" s="352" t="s">
        <v>1972</v>
      </c>
      <c r="D614" s="353"/>
      <c r="E614" s="353"/>
      <c r="F614" s="353"/>
      <c r="G614" s="353"/>
      <c r="H614" s="353"/>
      <c r="I614" s="354"/>
      <c r="M614" s="6">
        <f>SUM(M615,M634)</f>
        <v>726549.21</v>
      </c>
      <c r="N614" s="6">
        <f>SUM(N615,N634)</f>
        <v>11035123.120000001</v>
      </c>
      <c r="O614" s="6">
        <f>SUM(O615,O634)</f>
        <v>11761672.330000002</v>
      </c>
      <c r="S614" s="6">
        <f>SUM(S615,S634)</f>
        <v>1075636.0899999999</v>
      </c>
      <c r="T614" s="6">
        <f>SUM(T615,T634)</f>
        <v>11035123.120000001</v>
      </c>
      <c r="U614" s="6">
        <f>SUM(U615,U634)</f>
        <v>12110759.210000001</v>
      </c>
      <c r="Y614" s="9">
        <f>SUM(Y615,Y634)</f>
        <v>896363.44</v>
      </c>
      <c r="Z614" s="9">
        <f>SUM(Z615,Z634)</f>
        <v>9195935.9100000001</v>
      </c>
      <c r="AA614" s="9">
        <f>SUM(AA615,AA634)</f>
        <v>10092299.350000001</v>
      </c>
      <c r="AD614" s="4">
        <v>298925340</v>
      </c>
      <c r="AE614" s="4">
        <v>16230868</v>
      </c>
    </row>
    <row r="615" spans="1:35" ht="16.95" customHeight="1" x14ac:dyDescent="0.3">
      <c r="A615" s="10" t="s">
        <v>1973</v>
      </c>
      <c r="B615" s="10" t="s">
        <v>1974</v>
      </c>
      <c r="C615" s="352" t="s">
        <v>1975</v>
      </c>
      <c r="D615" s="353"/>
      <c r="E615" s="353"/>
      <c r="F615" s="353"/>
      <c r="G615" s="353"/>
      <c r="H615" s="353"/>
      <c r="I615" s="354"/>
      <c r="M615" s="6">
        <f>SUM(M616,M622,M625,M628,M631)</f>
        <v>647882</v>
      </c>
      <c r="N615" s="6">
        <f>SUM(N616,N622,N625,N628,N631)</f>
        <v>8293286.8000000007</v>
      </c>
      <c r="O615" s="6">
        <f>SUM(O616,O622,O625,O628,O631)</f>
        <v>8941168.8000000007</v>
      </c>
      <c r="S615" s="6">
        <f>SUM(S616,S622,S625,S628,S631)</f>
        <v>647882</v>
      </c>
      <c r="T615" s="6">
        <f>SUM(T616,T622,T625,T628,T631)</f>
        <v>8293286.8000000007</v>
      </c>
      <c r="U615" s="6">
        <f>SUM(U616,U622,U625,U628,U631)</f>
        <v>8941168.8000000007</v>
      </c>
      <c r="Y615" s="9">
        <f>SUM(Y616,Y622,Y625,Y628,Y631)</f>
        <v>539901.66999999993</v>
      </c>
      <c r="Z615" s="9">
        <f>SUM(Z616,Z622,Z625,Z628,Z631)</f>
        <v>6911072.3300000001</v>
      </c>
      <c r="AA615" s="9">
        <f>SUM(AA616,AA622,AA625,AA628,AA631)</f>
        <v>7450974.0000000009</v>
      </c>
      <c r="AD615" s="4">
        <v>298925341</v>
      </c>
      <c r="AE615" s="4">
        <v>16230873</v>
      </c>
    </row>
    <row r="616" spans="1:35" ht="54" x14ac:dyDescent="0.3">
      <c r="A616" s="37" t="s">
        <v>1976</v>
      </c>
      <c r="B616" s="37" t="s">
        <v>1977</v>
      </c>
      <c r="C616" s="38" t="s">
        <v>1978</v>
      </c>
      <c r="D616" s="39"/>
      <c r="E616" s="39" t="s">
        <v>63</v>
      </c>
      <c r="F616" s="39" t="s">
        <v>64</v>
      </c>
      <c r="G616" s="40">
        <v>1</v>
      </c>
      <c r="H616" s="39"/>
      <c r="I616" s="41">
        <v>0</v>
      </c>
      <c r="J616" s="42">
        <f>IFERROR(ROUND(SUM(M618,M620)/I616, 2),0)</f>
        <v>0</v>
      </c>
      <c r="K616" s="42">
        <v>570</v>
      </c>
      <c r="L616" s="42">
        <f>J616+ROUND(K616, 2)</f>
        <v>570</v>
      </c>
      <c r="M616" s="42">
        <f>ROUND(J616*I616, 2)</f>
        <v>0</v>
      </c>
      <c r="N616" s="42">
        <f>ROUND(I616*ROUND(K616, 2), 2)</f>
        <v>0</v>
      </c>
      <c r="O616" s="42">
        <f>M616+N616</f>
        <v>0</v>
      </c>
      <c r="P616" s="42">
        <f>IFERROR(ROUND(SUM(S618,S620)/I616, 2),0)</f>
        <v>0</v>
      </c>
      <c r="Q616" s="42">
        <v>570</v>
      </c>
      <c r="R616" s="42">
        <f>P616+ROUND(Q616, 2)</f>
        <v>570</v>
      </c>
      <c r="S616" s="42">
        <f>ROUND(P616*I616, 2)</f>
        <v>0</v>
      </c>
      <c r="T616" s="42">
        <f>ROUND(I616*ROUND(Q616, 2), 2)</f>
        <v>0</v>
      </c>
      <c r="U616" s="42">
        <f>S616+T616</f>
        <v>0</v>
      </c>
      <c r="V616" s="9">
        <f>ROUND(P616 / 1.2, 2)</f>
        <v>0</v>
      </c>
      <c r="W616" s="9">
        <f>ROUND(Q616 / 1.2, 2)</f>
        <v>475</v>
      </c>
      <c r="X616" s="9">
        <f>ROUND(R616 / 1.2, 2)</f>
        <v>475</v>
      </c>
      <c r="Y616" s="9">
        <f>ROUND(S616 / 1.2, 2)</f>
        <v>0</v>
      </c>
      <c r="Z616" s="9">
        <f>ROUND(T616 / 1.2, 2)</f>
        <v>0</v>
      </c>
      <c r="AA616" s="9">
        <f>Y616+Z616</f>
        <v>0</v>
      </c>
      <c r="AD616" s="4">
        <v>298925343</v>
      </c>
      <c r="AE616" s="4">
        <v>16230872</v>
      </c>
      <c r="AG616" s="4" t="s">
        <v>1979</v>
      </c>
      <c r="AH616" s="4" t="s">
        <v>1980</v>
      </c>
      <c r="AI616" s="4" t="s">
        <v>67</v>
      </c>
    </row>
    <row r="617" spans="1:35" ht="54" x14ac:dyDescent="0.3">
      <c r="A617" s="43" t="s">
        <v>1981</v>
      </c>
      <c r="B617" s="43" t="s">
        <v>1977</v>
      </c>
      <c r="C617" s="44" t="s">
        <v>1978</v>
      </c>
      <c r="D617" s="45"/>
      <c r="E617" s="45"/>
      <c r="F617" s="45" t="s">
        <v>64</v>
      </c>
      <c r="G617" s="46">
        <v>1</v>
      </c>
      <c r="H617" s="45"/>
      <c r="I617" s="46">
        <v>3609.9</v>
      </c>
      <c r="J617" s="47">
        <v>0</v>
      </c>
      <c r="K617" s="47">
        <v>570</v>
      </c>
      <c r="L617" s="47"/>
      <c r="M617" s="47">
        <v>0</v>
      </c>
      <c r="N617" s="47"/>
      <c r="O617" s="47"/>
      <c r="P617" s="47">
        <v>0</v>
      </c>
      <c r="Q617" s="47">
        <v>570</v>
      </c>
      <c r="R617" s="47"/>
      <c r="S617" s="47">
        <v>0</v>
      </c>
      <c r="T617" s="47"/>
      <c r="U617" s="47"/>
      <c r="V617" s="9"/>
      <c r="W617" s="9">
        <f>ROUND(Q617 / 1.2, 2)</f>
        <v>475</v>
      </c>
      <c r="X617" s="9">
        <f>ROUND(R617 / 1.2, 2)</f>
        <v>0</v>
      </c>
      <c r="Y617" s="9"/>
      <c r="Z617" s="9">
        <f>ROUND(T617 / 1.2, 2)</f>
        <v>0</v>
      </c>
      <c r="AA617" s="9"/>
      <c r="AD617" s="4">
        <v>213493219</v>
      </c>
      <c r="AE617" s="4">
        <v>16230872</v>
      </c>
      <c r="AG617" s="4" t="s">
        <v>1979</v>
      </c>
      <c r="AH617" s="4" t="s">
        <v>1980</v>
      </c>
      <c r="AI617" s="4"/>
    </row>
    <row r="618" spans="1:35" ht="72" x14ac:dyDescent="0.3">
      <c r="A618" s="37" t="s">
        <v>1982</v>
      </c>
      <c r="B618" s="37"/>
      <c r="C618" s="48" t="s">
        <v>1983</v>
      </c>
      <c r="D618" s="39"/>
      <c r="E618" s="39" t="s">
        <v>1984</v>
      </c>
      <c r="F618" s="49" t="s">
        <v>70</v>
      </c>
      <c r="G618" s="50">
        <v>4.5</v>
      </c>
      <c r="H618" s="39"/>
      <c r="I618" s="62">
        <v>0</v>
      </c>
      <c r="J618" s="52">
        <v>12.58</v>
      </c>
      <c r="K618" s="53"/>
      <c r="L618" s="53"/>
      <c r="M618" s="52">
        <f>ROUND(ROUND(J618, 2)*I618, 2)</f>
        <v>0</v>
      </c>
      <c r="N618" s="53"/>
      <c r="O618" s="53"/>
      <c r="P618" s="52">
        <v>12.58</v>
      </c>
      <c r="Q618" s="53"/>
      <c r="R618" s="53"/>
      <c r="S618" s="52">
        <f>ROUND(ROUND(P618, 2)*I618, 2)</f>
        <v>0</v>
      </c>
      <c r="T618" s="53"/>
      <c r="U618" s="54"/>
      <c r="V618" s="9">
        <f>ROUND(ROUND(P618, 2)/1.2, 2)</f>
        <v>10.48</v>
      </c>
      <c r="Y618" s="9">
        <f t="shared" ref="Y618:Y633" si="77">ROUND(S618 / 1.2, 2)</f>
        <v>0</v>
      </c>
      <c r="AD618" s="4" t="s">
        <v>1985</v>
      </c>
      <c r="AE618" s="4" t="s">
        <v>1986</v>
      </c>
      <c r="AF618" s="4" t="s">
        <v>1987</v>
      </c>
    </row>
    <row r="619" spans="1:35" ht="72" x14ac:dyDescent="0.3">
      <c r="A619" s="43" t="s">
        <v>1988</v>
      </c>
      <c r="B619" s="43"/>
      <c r="C619" s="55" t="s">
        <v>1983</v>
      </c>
      <c r="D619" s="45"/>
      <c r="E619" s="45" t="s">
        <v>1984</v>
      </c>
      <c r="F619" s="56" t="s">
        <v>70</v>
      </c>
      <c r="G619" s="57">
        <v>4.5</v>
      </c>
      <c r="H619" s="45"/>
      <c r="I619" s="57">
        <v>16244.55</v>
      </c>
      <c r="J619" s="59">
        <v>12.58</v>
      </c>
      <c r="K619" s="60"/>
      <c r="L619" s="60"/>
      <c r="M619" s="59">
        <f>ROUND(ROUND(J619, 2)*I619, 2)</f>
        <v>204356.44</v>
      </c>
      <c r="N619" s="60"/>
      <c r="O619" s="60"/>
      <c r="P619" s="59">
        <v>12.58</v>
      </c>
      <c r="Q619" s="60"/>
      <c r="R619" s="60"/>
      <c r="S619" s="59">
        <f>ROUND(ROUND(P619, 2)*I619, 2)</f>
        <v>204356.44</v>
      </c>
      <c r="T619" s="60"/>
      <c r="U619" s="61"/>
      <c r="V619" s="9">
        <f>ROUND(ROUND(P619, 2)/1.2, 2)</f>
        <v>10.48</v>
      </c>
      <c r="Y619" s="9">
        <f t="shared" si="77"/>
        <v>170297.03</v>
      </c>
      <c r="AD619" s="4" t="s">
        <v>1989</v>
      </c>
      <c r="AE619" s="4" t="s">
        <v>1986</v>
      </c>
      <c r="AF619" s="4" t="s">
        <v>1987</v>
      </c>
    </row>
    <row r="620" spans="1:35" ht="18" x14ac:dyDescent="0.3">
      <c r="A620" s="37" t="s">
        <v>1990</v>
      </c>
      <c r="B620" s="37"/>
      <c r="C620" s="48" t="s">
        <v>760</v>
      </c>
      <c r="D620" s="39"/>
      <c r="E620" s="39"/>
      <c r="F620" s="49" t="s">
        <v>70</v>
      </c>
      <c r="G620" s="50">
        <v>0.15</v>
      </c>
      <c r="H620" s="39"/>
      <c r="I620" s="62">
        <v>0</v>
      </c>
      <c r="J620" s="52">
        <v>100</v>
      </c>
      <c r="K620" s="53"/>
      <c r="L620" s="53"/>
      <c r="M620" s="52">
        <f>ROUND(ROUND(J620, 2)*I620, 2)</f>
        <v>0</v>
      </c>
      <c r="N620" s="53"/>
      <c r="O620" s="53"/>
      <c r="P620" s="52">
        <v>100</v>
      </c>
      <c r="Q620" s="53"/>
      <c r="R620" s="53"/>
      <c r="S620" s="52">
        <f>ROUND(ROUND(P620, 2)*I620, 2)</f>
        <v>0</v>
      </c>
      <c r="T620" s="53"/>
      <c r="U620" s="54"/>
      <c r="V620" s="9">
        <f>ROUND(ROUND(P620, 2)/1.2, 2)</f>
        <v>83.33</v>
      </c>
      <c r="Y620" s="9">
        <f t="shared" si="77"/>
        <v>0</v>
      </c>
      <c r="AD620" s="4" t="s">
        <v>1991</v>
      </c>
      <c r="AE620" s="4" t="s">
        <v>1992</v>
      </c>
      <c r="AF620" s="4" t="s">
        <v>763</v>
      </c>
    </row>
    <row r="621" spans="1:35" ht="18" x14ac:dyDescent="0.3">
      <c r="A621" s="43" t="s">
        <v>1993</v>
      </c>
      <c r="B621" s="43"/>
      <c r="C621" s="55" t="s">
        <v>760</v>
      </c>
      <c r="D621" s="45"/>
      <c r="E621" s="45"/>
      <c r="F621" s="56" t="s">
        <v>70</v>
      </c>
      <c r="G621" s="57">
        <v>0.15</v>
      </c>
      <c r="H621" s="45"/>
      <c r="I621" s="57">
        <v>541.48500000000001</v>
      </c>
      <c r="J621" s="59">
        <v>100</v>
      </c>
      <c r="K621" s="60"/>
      <c r="L621" s="60"/>
      <c r="M621" s="59">
        <f>ROUND(ROUND(J621, 2)*I621, 2)</f>
        <v>54148.5</v>
      </c>
      <c r="N621" s="60"/>
      <c r="O621" s="60"/>
      <c r="P621" s="59">
        <v>100</v>
      </c>
      <c r="Q621" s="60"/>
      <c r="R621" s="60"/>
      <c r="S621" s="59">
        <f>ROUND(ROUND(P621, 2)*I621, 2)</f>
        <v>54148.5</v>
      </c>
      <c r="T621" s="60"/>
      <c r="U621" s="61"/>
      <c r="V621" s="9">
        <f>ROUND(ROUND(P621, 2)/1.2, 2)</f>
        <v>83.33</v>
      </c>
      <c r="Y621" s="9">
        <f t="shared" si="77"/>
        <v>45123.75</v>
      </c>
      <c r="AD621" s="4" t="s">
        <v>1994</v>
      </c>
      <c r="AE621" s="4" t="s">
        <v>1992</v>
      </c>
      <c r="AF621" s="4" t="s">
        <v>763</v>
      </c>
    </row>
    <row r="622" spans="1:35" ht="126" x14ac:dyDescent="0.3">
      <c r="A622" s="25" t="s">
        <v>1995</v>
      </c>
      <c r="B622" s="25" t="s">
        <v>1996</v>
      </c>
      <c r="C622" s="26" t="s">
        <v>1997</v>
      </c>
      <c r="D622" s="27"/>
      <c r="E622" s="27" t="s">
        <v>1998</v>
      </c>
      <c r="F622" s="27" t="s">
        <v>64</v>
      </c>
      <c r="G622" s="28">
        <v>1</v>
      </c>
      <c r="H622" s="27"/>
      <c r="I622" s="28">
        <v>2789.37</v>
      </c>
      <c r="J622" s="29">
        <f>IFERROR(ROUND(SUM(M623,M624)/I622, 2),0)</f>
        <v>69.319999999999993</v>
      </c>
      <c r="K622" s="29">
        <v>790</v>
      </c>
      <c r="L622" s="29">
        <f>J622+ROUND(K622, 2)</f>
        <v>859.31999999999994</v>
      </c>
      <c r="M622" s="29">
        <f>ROUND(J622*I622, 2)</f>
        <v>193359.13</v>
      </c>
      <c r="N622" s="29">
        <f>ROUND(I622*ROUND(K622, 2), 2)</f>
        <v>2203602.2999999998</v>
      </c>
      <c r="O622" s="29">
        <f>M622+N622</f>
        <v>2396961.4299999997</v>
      </c>
      <c r="P622" s="29">
        <f>IFERROR(ROUND(SUM(S623,S624)/I622, 2),0)</f>
        <v>69.319999999999993</v>
      </c>
      <c r="Q622" s="29">
        <v>790</v>
      </c>
      <c r="R622" s="29">
        <f>P622+ROUND(Q622, 2)</f>
        <v>859.31999999999994</v>
      </c>
      <c r="S622" s="29">
        <f>ROUND(P622*I622, 2)</f>
        <v>193359.13</v>
      </c>
      <c r="T622" s="29">
        <f>ROUND(I622*ROUND(Q622, 2), 2)</f>
        <v>2203602.2999999998</v>
      </c>
      <c r="U622" s="29">
        <f>S622+T622</f>
        <v>2396961.4299999997</v>
      </c>
      <c r="V622" s="9">
        <f>ROUND(P622 / 1.2, 2)</f>
        <v>57.77</v>
      </c>
      <c r="W622" s="9">
        <f>ROUND(Q622 / 1.2, 2)</f>
        <v>658.33</v>
      </c>
      <c r="X622" s="9">
        <f>ROUND(R622 / 1.2, 2)</f>
        <v>716.1</v>
      </c>
      <c r="Y622" s="9">
        <f t="shared" si="77"/>
        <v>161132.60999999999</v>
      </c>
      <c r="Z622" s="9">
        <f>ROUND(T622 / 1.2, 2)</f>
        <v>1836335.25</v>
      </c>
      <c r="AA622" s="9">
        <f>Y622+Z622</f>
        <v>1997467.8599999999</v>
      </c>
      <c r="AD622" s="4">
        <v>298925345</v>
      </c>
      <c r="AE622" s="4">
        <v>16680701</v>
      </c>
      <c r="AG622" s="4" t="s">
        <v>1999</v>
      </c>
      <c r="AH622" s="4" t="s">
        <v>2000</v>
      </c>
      <c r="AI622" s="4" t="s">
        <v>67</v>
      </c>
    </row>
    <row r="623" spans="1:35" ht="36" x14ac:dyDescent="0.3">
      <c r="A623" s="25" t="s">
        <v>2001</v>
      </c>
      <c r="B623" s="25"/>
      <c r="C623" s="17" t="s">
        <v>736</v>
      </c>
      <c r="D623" s="27"/>
      <c r="E623" s="27"/>
      <c r="F623" s="31" t="s">
        <v>70</v>
      </c>
      <c r="G623" s="32">
        <v>4.5</v>
      </c>
      <c r="H623" s="27"/>
      <c r="I623" s="32">
        <v>12552.165000000001</v>
      </c>
      <c r="J623" s="34">
        <v>12.07</v>
      </c>
      <c r="K623" s="35"/>
      <c r="L623" s="35"/>
      <c r="M623" s="34">
        <f>ROUND(ROUND(J623, 2)*I623, 2)</f>
        <v>151504.63</v>
      </c>
      <c r="N623" s="35"/>
      <c r="O623" s="35"/>
      <c r="P623" s="34">
        <v>12.07</v>
      </c>
      <c r="Q623" s="35"/>
      <c r="R623" s="35"/>
      <c r="S623" s="34">
        <f>ROUND(ROUND(P623, 2)*I623, 2)</f>
        <v>151504.63</v>
      </c>
      <c r="T623" s="35"/>
      <c r="U623" s="36"/>
      <c r="V623" s="9">
        <f>ROUND(ROUND(P623, 2)/1.2, 2)</f>
        <v>10.06</v>
      </c>
      <c r="Y623" s="9">
        <f t="shared" si="77"/>
        <v>126253.86</v>
      </c>
      <c r="AD623" s="4" t="s">
        <v>2002</v>
      </c>
      <c r="AE623" s="4" t="s">
        <v>2003</v>
      </c>
      <c r="AF623" s="4" t="s">
        <v>739</v>
      </c>
    </row>
    <row r="624" spans="1:35" ht="18" x14ac:dyDescent="0.3">
      <c r="A624" s="25" t="s">
        <v>2004</v>
      </c>
      <c r="B624" s="25"/>
      <c r="C624" s="30" t="s">
        <v>760</v>
      </c>
      <c r="D624" s="27"/>
      <c r="E624" s="27"/>
      <c r="F624" s="31" t="s">
        <v>70</v>
      </c>
      <c r="G624" s="32">
        <v>0.15</v>
      </c>
      <c r="H624" s="27"/>
      <c r="I624" s="32">
        <v>418.40600000000001</v>
      </c>
      <c r="J624" s="34">
        <v>100</v>
      </c>
      <c r="K624" s="35"/>
      <c r="L624" s="35"/>
      <c r="M624" s="34">
        <f>ROUND(ROUND(J624, 2)*I624, 2)</f>
        <v>41840.6</v>
      </c>
      <c r="N624" s="35"/>
      <c r="O624" s="35"/>
      <c r="P624" s="34">
        <v>100</v>
      </c>
      <c r="Q624" s="35"/>
      <c r="R624" s="35"/>
      <c r="S624" s="34">
        <f>ROUND(ROUND(P624, 2)*I624, 2)</f>
        <v>41840.6</v>
      </c>
      <c r="T624" s="35"/>
      <c r="U624" s="36"/>
      <c r="V624" s="9">
        <f>ROUND(ROUND(P624, 2)/1.2, 2)</f>
        <v>83.33</v>
      </c>
      <c r="Y624" s="9">
        <f t="shared" si="77"/>
        <v>34867.17</v>
      </c>
      <c r="AD624" s="4" t="s">
        <v>2005</v>
      </c>
      <c r="AE624" s="4" t="s">
        <v>2006</v>
      </c>
      <c r="AF624" s="4" t="s">
        <v>763</v>
      </c>
    </row>
    <row r="625" spans="1:35" ht="126" x14ac:dyDescent="0.3">
      <c r="A625" s="25" t="s">
        <v>2007</v>
      </c>
      <c r="B625" s="25" t="s">
        <v>1996</v>
      </c>
      <c r="C625" s="26" t="s">
        <v>1997</v>
      </c>
      <c r="D625" s="27"/>
      <c r="E625" s="27" t="s">
        <v>2008</v>
      </c>
      <c r="F625" s="27" t="s">
        <v>64</v>
      </c>
      <c r="G625" s="28">
        <v>1</v>
      </c>
      <c r="H625" s="27"/>
      <c r="I625" s="28">
        <v>3418.18</v>
      </c>
      <c r="J625" s="29">
        <f>IFERROR(ROUND(SUM(M626,M627)/I625, 2),0)</f>
        <v>69.319999999999993</v>
      </c>
      <c r="K625" s="29">
        <v>790</v>
      </c>
      <c r="L625" s="29">
        <f>J625+ROUND(K625, 2)</f>
        <v>859.31999999999994</v>
      </c>
      <c r="M625" s="29">
        <f>ROUND(J625*I625, 2)</f>
        <v>236948.24</v>
      </c>
      <c r="N625" s="29">
        <f>ROUND(I625*ROUND(K625, 2), 2)</f>
        <v>2700362.2</v>
      </c>
      <c r="O625" s="29">
        <f>M625+N625</f>
        <v>2937310.4400000004</v>
      </c>
      <c r="P625" s="29">
        <f>IFERROR(ROUND(SUM(S626,S627)/I625, 2),0)</f>
        <v>69.319999999999993</v>
      </c>
      <c r="Q625" s="29">
        <v>790</v>
      </c>
      <c r="R625" s="29">
        <f>P625+ROUND(Q625, 2)</f>
        <v>859.31999999999994</v>
      </c>
      <c r="S625" s="29">
        <f>ROUND(P625*I625, 2)</f>
        <v>236948.24</v>
      </c>
      <c r="T625" s="29">
        <f>ROUND(I625*ROUND(Q625, 2), 2)</f>
        <v>2700362.2</v>
      </c>
      <c r="U625" s="29">
        <f>S625+T625</f>
        <v>2937310.4400000004</v>
      </c>
      <c r="V625" s="9">
        <f>ROUND(P625 / 1.2, 2)</f>
        <v>57.77</v>
      </c>
      <c r="W625" s="9">
        <f>ROUND(Q625 / 1.2, 2)</f>
        <v>658.33</v>
      </c>
      <c r="X625" s="9">
        <f>ROUND(R625 / 1.2, 2)</f>
        <v>716.1</v>
      </c>
      <c r="Y625" s="9">
        <f t="shared" si="77"/>
        <v>197456.87</v>
      </c>
      <c r="Z625" s="9">
        <f>ROUND(T625 / 1.2, 2)</f>
        <v>2250301.83</v>
      </c>
      <c r="AA625" s="9">
        <f>Y625+Z625</f>
        <v>2447758.7000000002</v>
      </c>
      <c r="AD625" s="4">
        <v>298925445</v>
      </c>
      <c r="AE625" s="4">
        <v>19997129</v>
      </c>
      <c r="AG625" s="4" t="s">
        <v>1999</v>
      </c>
      <c r="AH625" s="4" t="s">
        <v>2000</v>
      </c>
      <c r="AI625" s="4" t="s">
        <v>67</v>
      </c>
    </row>
    <row r="626" spans="1:35" ht="18" x14ac:dyDescent="0.3">
      <c r="A626" s="25" t="s">
        <v>2009</v>
      </c>
      <c r="B626" s="25"/>
      <c r="C626" s="30" t="s">
        <v>760</v>
      </c>
      <c r="D626" s="27"/>
      <c r="E626" s="27"/>
      <c r="F626" s="31" t="s">
        <v>70</v>
      </c>
      <c r="G626" s="32">
        <v>0.15</v>
      </c>
      <c r="H626" s="27"/>
      <c r="I626" s="32">
        <v>512.72699999999998</v>
      </c>
      <c r="J626" s="34">
        <v>100</v>
      </c>
      <c r="K626" s="35"/>
      <c r="L626" s="35"/>
      <c r="M626" s="34">
        <f>ROUND(ROUND(J626, 2)*I626, 2)</f>
        <v>51272.7</v>
      </c>
      <c r="N626" s="35"/>
      <c r="O626" s="35"/>
      <c r="P626" s="34">
        <v>100</v>
      </c>
      <c r="Q626" s="35"/>
      <c r="R626" s="35"/>
      <c r="S626" s="34">
        <f>ROUND(ROUND(P626, 2)*I626, 2)</f>
        <v>51272.7</v>
      </c>
      <c r="T626" s="35"/>
      <c r="U626" s="36"/>
      <c r="V626" s="9">
        <f>ROUND(ROUND(P626, 2)/1.2, 2)</f>
        <v>83.33</v>
      </c>
      <c r="Y626" s="9">
        <f t="shared" si="77"/>
        <v>42727.25</v>
      </c>
      <c r="AD626" s="4" t="s">
        <v>2010</v>
      </c>
      <c r="AE626" s="4" t="s">
        <v>2011</v>
      </c>
      <c r="AF626" s="4" t="s">
        <v>763</v>
      </c>
    </row>
    <row r="627" spans="1:35" ht="36" x14ac:dyDescent="0.3">
      <c r="A627" s="25" t="s">
        <v>2012</v>
      </c>
      <c r="B627" s="25"/>
      <c r="C627" s="17" t="s">
        <v>736</v>
      </c>
      <c r="D627" s="27"/>
      <c r="E627" s="27"/>
      <c r="F627" s="31" t="s">
        <v>70</v>
      </c>
      <c r="G627" s="32">
        <v>4.5</v>
      </c>
      <c r="H627" s="27"/>
      <c r="I627" s="32">
        <v>15381.81</v>
      </c>
      <c r="J627" s="34">
        <v>12.07</v>
      </c>
      <c r="K627" s="35"/>
      <c r="L627" s="35"/>
      <c r="M627" s="34">
        <f>ROUND(ROUND(J627, 2)*I627, 2)</f>
        <v>185658.45</v>
      </c>
      <c r="N627" s="35"/>
      <c r="O627" s="35"/>
      <c r="P627" s="34">
        <v>12.07</v>
      </c>
      <c r="Q627" s="35"/>
      <c r="R627" s="35"/>
      <c r="S627" s="34">
        <f>ROUND(ROUND(P627, 2)*I627, 2)</f>
        <v>185658.45</v>
      </c>
      <c r="T627" s="35"/>
      <c r="U627" s="36"/>
      <c r="V627" s="9">
        <f>ROUND(ROUND(P627, 2)/1.2, 2)</f>
        <v>10.06</v>
      </c>
      <c r="Y627" s="9">
        <f t="shared" si="77"/>
        <v>154715.38</v>
      </c>
      <c r="AD627" s="4" t="s">
        <v>2013</v>
      </c>
      <c r="AE627" s="4" t="s">
        <v>2014</v>
      </c>
      <c r="AF627" s="4" t="s">
        <v>739</v>
      </c>
    </row>
    <row r="628" spans="1:35" ht="144" x14ac:dyDescent="0.3">
      <c r="A628" s="25" t="s">
        <v>2015</v>
      </c>
      <c r="B628" s="25" t="s">
        <v>2016</v>
      </c>
      <c r="C628" s="26" t="s">
        <v>2017</v>
      </c>
      <c r="D628" s="27"/>
      <c r="E628" s="27" t="s">
        <v>2018</v>
      </c>
      <c r="F628" s="27" t="s">
        <v>64</v>
      </c>
      <c r="G628" s="28">
        <v>1</v>
      </c>
      <c r="H628" s="27"/>
      <c r="I628" s="28">
        <v>3418.18</v>
      </c>
      <c r="J628" s="29">
        <f>IFERROR(ROUND(SUM(M629,M630)/I628, 2),0)</f>
        <v>35.049999999999997</v>
      </c>
      <c r="K628" s="29">
        <v>546</v>
      </c>
      <c r="L628" s="29">
        <f>J628+ROUND(K628, 2)</f>
        <v>581.04999999999995</v>
      </c>
      <c r="M628" s="29">
        <f>ROUND(J628*I628, 2)</f>
        <v>119807.21</v>
      </c>
      <c r="N628" s="29">
        <f>ROUND(I628*ROUND(K628, 2), 2)</f>
        <v>1866326.28</v>
      </c>
      <c r="O628" s="29">
        <f>M628+N628</f>
        <v>1986133.49</v>
      </c>
      <c r="P628" s="29">
        <f>IFERROR(ROUND(SUM(S629,S630)/I628, 2),0)</f>
        <v>35.049999999999997</v>
      </c>
      <c r="Q628" s="29">
        <v>546</v>
      </c>
      <c r="R628" s="29">
        <f>P628+ROUND(Q628, 2)</f>
        <v>581.04999999999995</v>
      </c>
      <c r="S628" s="29">
        <f>ROUND(P628*I628, 2)</f>
        <v>119807.21</v>
      </c>
      <c r="T628" s="29">
        <f>ROUND(I628*ROUND(Q628, 2), 2)</f>
        <v>1866326.28</v>
      </c>
      <c r="U628" s="29">
        <f>S628+T628</f>
        <v>1986133.49</v>
      </c>
      <c r="V628" s="9">
        <f>ROUND(P628 / 1.2, 2)</f>
        <v>29.21</v>
      </c>
      <c r="W628" s="9">
        <f>ROUND(Q628 / 1.2, 2)</f>
        <v>455</v>
      </c>
      <c r="X628" s="9">
        <f>ROUND(R628 / 1.2, 2)</f>
        <v>484.21</v>
      </c>
      <c r="Y628" s="9">
        <f t="shared" si="77"/>
        <v>99839.34</v>
      </c>
      <c r="Z628" s="9">
        <f>ROUND(T628 / 1.2, 2)</f>
        <v>1555271.9</v>
      </c>
      <c r="AA628" s="9">
        <f>Y628+Z628</f>
        <v>1655111.24</v>
      </c>
      <c r="AD628" s="4">
        <v>298925346</v>
      </c>
      <c r="AE628" s="4">
        <v>19997514</v>
      </c>
      <c r="AG628" s="4" t="s">
        <v>2019</v>
      </c>
      <c r="AH628" s="4" t="s">
        <v>2020</v>
      </c>
      <c r="AI628" s="4" t="s">
        <v>67</v>
      </c>
    </row>
    <row r="629" spans="1:35" ht="54" x14ac:dyDescent="0.3">
      <c r="A629" s="25" t="s">
        <v>2021</v>
      </c>
      <c r="B629" s="25"/>
      <c r="C629" s="17" t="s">
        <v>1983</v>
      </c>
      <c r="D629" s="27"/>
      <c r="E629" s="27"/>
      <c r="F629" s="31" t="s">
        <v>70</v>
      </c>
      <c r="G629" s="32">
        <v>1.8</v>
      </c>
      <c r="H629" s="27"/>
      <c r="I629" s="32">
        <v>6152.7240000000002</v>
      </c>
      <c r="J629" s="34">
        <v>12.07</v>
      </c>
      <c r="K629" s="35"/>
      <c r="L629" s="35"/>
      <c r="M629" s="34">
        <f>ROUND(ROUND(J629, 2)*I629, 2)</f>
        <v>74263.38</v>
      </c>
      <c r="N629" s="35"/>
      <c r="O629" s="35"/>
      <c r="P629" s="34">
        <v>12.07</v>
      </c>
      <c r="Q629" s="35"/>
      <c r="R629" s="35"/>
      <c r="S629" s="34">
        <f>ROUND(ROUND(P629, 2)*I629, 2)</f>
        <v>74263.38</v>
      </c>
      <c r="T629" s="35"/>
      <c r="U629" s="36"/>
      <c r="V629" s="9">
        <f>ROUND(ROUND(P629, 2)/1.2, 2)</f>
        <v>10.06</v>
      </c>
      <c r="Y629" s="9">
        <f t="shared" si="77"/>
        <v>61886.15</v>
      </c>
      <c r="AD629" s="4" t="s">
        <v>2022</v>
      </c>
      <c r="AE629" s="4" t="s">
        <v>2023</v>
      </c>
      <c r="AF629" s="4" t="s">
        <v>1987</v>
      </c>
    </row>
    <row r="630" spans="1:35" ht="36" x14ac:dyDescent="0.3">
      <c r="A630" s="25" t="s">
        <v>2024</v>
      </c>
      <c r="B630" s="25"/>
      <c r="C630" s="30" t="s">
        <v>75</v>
      </c>
      <c r="D630" s="27"/>
      <c r="E630" s="27"/>
      <c r="F630" s="31" t="s">
        <v>70</v>
      </c>
      <c r="G630" s="32">
        <v>0.15</v>
      </c>
      <c r="H630" s="27"/>
      <c r="I630" s="32">
        <v>512.72699999999998</v>
      </c>
      <c r="J630" s="34">
        <v>88.8</v>
      </c>
      <c r="K630" s="35"/>
      <c r="L630" s="35"/>
      <c r="M630" s="34">
        <f>ROUND(ROUND(J630, 2)*I630, 2)</f>
        <v>45530.16</v>
      </c>
      <c r="N630" s="35"/>
      <c r="O630" s="35"/>
      <c r="P630" s="34">
        <v>88.8</v>
      </c>
      <c r="Q630" s="35"/>
      <c r="R630" s="35"/>
      <c r="S630" s="34">
        <f>ROUND(ROUND(P630, 2)*I630, 2)</f>
        <v>45530.16</v>
      </c>
      <c r="T630" s="35"/>
      <c r="U630" s="36"/>
      <c r="V630" s="9">
        <f>ROUND(ROUND(P630, 2)/1.2, 2)</f>
        <v>74</v>
      </c>
      <c r="Y630" s="9">
        <f t="shared" si="77"/>
        <v>37941.800000000003</v>
      </c>
      <c r="AD630" s="4" t="s">
        <v>2025</v>
      </c>
      <c r="AE630" s="4" t="s">
        <v>2026</v>
      </c>
      <c r="AF630" s="4" t="s">
        <v>78</v>
      </c>
    </row>
    <row r="631" spans="1:35" ht="144" x14ac:dyDescent="0.3">
      <c r="A631" s="25" t="s">
        <v>2027</v>
      </c>
      <c r="B631" s="25" t="s">
        <v>2016</v>
      </c>
      <c r="C631" s="26" t="s">
        <v>2017</v>
      </c>
      <c r="D631" s="27"/>
      <c r="E631" s="27" t="s">
        <v>2028</v>
      </c>
      <c r="F631" s="27" t="s">
        <v>64</v>
      </c>
      <c r="G631" s="28">
        <v>1</v>
      </c>
      <c r="H631" s="27"/>
      <c r="I631" s="28">
        <v>2789.37</v>
      </c>
      <c r="J631" s="29">
        <f>IFERROR(ROUND(SUM(M632,M633)/I631, 2),0)</f>
        <v>35.049999999999997</v>
      </c>
      <c r="K631" s="29">
        <v>546</v>
      </c>
      <c r="L631" s="29">
        <f>J631+ROUND(K631, 2)</f>
        <v>581.04999999999995</v>
      </c>
      <c r="M631" s="29">
        <f>ROUND(J631*I631, 2)</f>
        <v>97767.42</v>
      </c>
      <c r="N631" s="29">
        <f>ROUND(I631*ROUND(K631, 2), 2)</f>
        <v>1522996.02</v>
      </c>
      <c r="O631" s="29">
        <f>M631+N631</f>
        <v>1620763.44</v>
      </c>
      <c r="P631" s="29">
        <f>IFERROR(ROUND(SUM(S632,S633)/I631, 2),0)</f>
        <v>35.049999999999997</v>
      </c>
      <c r="Q631" s="29">
        <v>546</v>
      </c>
      <c r="R631" s="29">
        <f>P631+ROUND(Q631, 2)</f>
        <v>581.04999999999995</v>
      </c>
      <c r="S631" s="29">
        <f>ROUND(P631*I631, 2)</f>
        <v>97767.42</v>
      </c>
      <c r="T631" s="29">
        <f>ROUND(I631*ROUND(Q631, 2), 2)</f>
        <v>1522996.02</v>
      </c>
      <c r="U631" s="29">
        <f>S631+T631</f>
        <v>1620763.44</v>
      </c>
      <c r="V631" s="9">
        <f>ROUND(P631 / 1.2, 2)</f>
        <v>29.21</v>
      </c>
      <c r="W631" s="9">
        <f>ROUND(Q631 / 1.2, 2)</f>
        <v>455</v>
      </c>
      <c r="X631" s="9">
        <f>ROUND(R631 / 1.2, 2)</f>
        <v>484.21</v>
      </c>
      <c r="Y631" s="9">
        <f t="shared" si="77"/>
        <v>81472.850000000006</v>
      </c>
      <c r="Z631" s="9">
        <f>ROUND(T631 / 1.2, 2)</f>
        <v>1269163.3500000001</v>
      </c>
      <c r="AA631" s="9">
        <f>Y631+Z631</f>
        <v>1350636.2000000002</v>
      </c>
      <c r="AD631" s="4">
        <v>298925446</v>
      </c>
      <c r="AE631" s="4">
        <v>19997515</v>
      </c>
      <c r="AG631" s="4" t="s">
        <v>2019</v>
      </c>
      <c r="AH631" s="4" t="s">
        <v>2020</v>
      </c>
      <c r="AI631" s="4" t="s">
        <v>67</v>
      </c>
    </row>
    <row r="632" spans="1:35" ht="36" x14ac:dyDescent="0.3">
      <c r="A632" s="25" t="s">
        <v>2029</v>
      </c>
      <c r="B632" s="25"/>
      <c r="C632" s="30" t="s">
        <v>75</v>
      </c>
      <c r="D632" s="27"/>
      <c r="E632" s="27"/>
      <c r="F632" s="31" t="s">
        <v>70</v>
      </c>
      <c r="G632" s="32">
        <v>0.15</v>
      </c>
      <c r="H632" s="27"/>
      <c r="I632" s="32">
        <v>418.40600000000001</v>
      </c>
      <c r="J632" s="34">
        <v>88.8</v>
      </c>
      <c r="K632" s="35"/>
      <c r="L632" s="35"/>
      <c r="M632" s="34">
        <f>ROUND(ROUND(J632, 2)*I632, 2)</f>
        <v>37154.449999999997</v>
      </c>
      <c r="N632" s="35"/>
      <c r="O632" s="35"/>
      <c r="P632" s="34">
        <v>88.8</v>
      </c>
      <c r="Q632" s="35"/>
      <c r="R632" s="35"/>
      <c r="S632" s="34">
        <f>ROUND(ROUND(P632, 2)*I632, 2)</f>
        <v>37154.449999999997</v>
      </c>
      <c r="T632" s="35"/>
      <c r="U632" s="36"/>
      <c r="V632" s="9">
        <f>ROUND(ROUND(P632, 2)/1.2, 2)</f>
        <v>74</v>
      </c>
      <c r="Y632" s="9">
        <f t="shared" si="77"/>
        <v>30962.04</v>
      </c>
      <c r="AD632" s="4" t="s">
        <v>2030</v>
      </c>
      <c r="AE632" s="4" t="s">
        <v>2031</v>
      </c>
      <c r="AF632" s="4" t="s">
        <v>78</v>
      </c>
    </row>
    <row r="633" spans="1:35" ht="54" x14ac:dyDescent="0.3">
      <c r="A633" s="25" t="s">
        <v>2032</v>
      </c>
      <c r="B633" s="25"/>
      <c r="C633" s="17" t="s">
        <v>1983</v>
      </c>
      <c r="D633" s="27"/>
      <c r="E633" s="27"/>
      <c r="F633" s="31" t="s">
        <v>70</v>
      </c>
      <c r="G633" s="32">
        <v>1.8</v>
      </c>
      <c r="H633" s="27"/>
      <c r="I633" s="32">
        <v>5020.866</v>
      </c>
      <c r="J633" s="34">
        <v>12.07</v>
      </c>
      <c r="K633" s="35"/>
      <c r="L633" s="35"/>
      <c r="M633" s="34">
        <f>ROUND(ROUND(J633, 2)*I633, 2)</f>
        <v>60601.85</v>
      </c>
      <c r="N633" s="35"/>
      <c r="O633" s="35"/>
      <c r="P633" s="34">
        <v>12.07</v>
      </c>
      <c r="Q633" s="35"/>
      <c r="R633" s="35"/>
      <c r="S633" s="34">
        <f>ROUND(ROUND(P633, 2)*I633, 2)</f>
        <v>60601.85</v>
      </c>
      <c r="T633" s="35"/>
      <c r="U633" s="36"/>
      <c r="V633" s="9">
        <f>ROUND(ROUND(P633, 2)/1.2, 2)</f>
        <v>10.06</v>
      </c>
      <c r="Y633" s="9">
        <f t="shared" si="77"/>
        <v>50501.54</v>
      </c>
      <c r="AD633" s="4" t="s">
        <v>2033</v>
      </c>
      <c r="AE633" s="4" t="s">
        <v>2034</v>
      </c>
      <c r="AF633" s="4" t="s">
        <v>1987</v>
      </c>
    </row>
    <row r="634" spans="1:35" ht="16.95" customHeight="1" x14ac:dyDescent="0.3">
      <c r="A634" s="10" t="s">
        <v>2035</v>
      </c>
      <c r="B634" s="10" t="s">
        <v>2036</v>
      </c>
      <c r="C634" s="352" t="s">
        <v>2037</v>
      </c>
      <c r="D634" s="353"/>
      <c r="E634" s="353"/>
      <c r="F634" s="353"/>
      <c r="G634" s="353"/>
      <c r="H634" s="353"/>
      <c r="I634" s="354"/>
      <c r="M634" s="6">
        <f>SUM(M635,M641,M647,M653,M659,M665,M671,M677,M683,M686,M689,M692,M695,M698,M701,M704,M707,M710,M713,M716,M719,M722,M725,M728,M731,M734,M737,M740,M743,M746,M749,M752,M755,M758,M761,M764,M767,M770,M773,M776,M779,M782,M785)</f>
        <v>78667.210000000006</v>
      </c>
      <c r="N634" s="6">
        <f>SUM(N635,N641,N647,N653,N659,N665,N671,N677,N683,N686,N689,N692,N695,N698,N701,N704,N707,N710,N713,N716,N719,N722,N725,N728,N731,N734,N737,N740,N743,N746,N749,N752,N755,N758,N761,N764,N767,N770,N773,N776,N779,N782,N785)</f>
        <v>2741836.3199999994</v>
      </c>
      <c r="O634" s="6">
        <f>SUM(O635,O641,O647,O653,O659,O665,O671,O677,O683,O686,O689,O692,O695,O698,O701,O704,O707,O710,O713,O716,O719,O722,O725,O728,O731,O734,O737,O740,O743,O746,O749,O752,O755,O758,O761,O764,O767,O770,O773,O776,O779,O782,O785)</f>
        <v>2820503.5300000003</v>
      </c>
      <c r="S634" s="6">
        <f>SUM(S635,S641,S647,S653,S659,S665,S671,S677,S683,S686,S689,S692,S695,S698,S701,S704,S707,S710,S713,S716,S719,S722,S725,S728,S731,S734,S737,S740,S743,S746,S749,S752,S755,S758,S761,S764,S767,S770,S773,S776,S779,S782,S785)</f>
        <v>427754.08999999997</v>
      </c>
      <c r="T634" s="6">
        <f>SUM(T635,T641,T647,T653,T659,T665,T671,T677,T683,T686,T689,T692,T695,T698,T701,T704,T707,T710,T713,T716,T719,T722,T725,T728,T731,T734,T737,T740,T743,T746,T749,T752,T755,T758,T761,T764,T767,T770,T773,T776,T779,T782,T785)</f>
        <v>2741836.3199999994</v>
      </c>
      <c r="U634" s="6">
        <f>SUM(U635,U641,U647,U653,U659,U665,U671,U677,U683,U686,U689,U692,U695,U698,U701,U704,U707,U710,U713,U716,U719,U722,U725,U728,U731,U734,U737,U740,U743,U746,U749,U752,U755,U758,U761,U764,U767,U770,U773,U776,U779,U782,U785)</f>
        <v>3169590.4099999997</v>
      </c>
      <c r="Y634" s="9">
        <f>SUM(Y635,Y641,Y647,Y653,Y659,Y665,Y671,Y677,Y683,Y686,Y689,Y692,Y695,Y698,Y701,Y704,Y707,Y710,Y713,Y716,Y719,Y722,Y725,Y728,Y731,Y734,Y737,Y740,Y743,Y746,Y749,Y752,Y755,Y758,Y761,Y764,Y767,Y770,Y773,Y776,Y779,Y782,Y785)</f>
        <v>356461.77</v>
      </c>
      <c r="Z634" s="9">
        <f>SUM(Z635,Z641,Z647,Z653,Z659,Z665,Z671,Z677,Z683,Z686,Z689,Z692,Z695,Z698,Z701,Z704,Z707,Z710,Z713,Z716,Z719,Z722,Z725,Z728,Z731,Z734,Z737,Z740,Z743,Z746,Z749,Z752,Z755,Z758,Z761,Z764,Z767,Z770,Z773,Z776,Z779,Z782,Z785)</f>
        <v>2284863.5799999996</v>
      </c>
      <c r="AA634" s="9">
        <f>SUM(AA635,AA641,AA647,AA653,AA659,AA665,AA671,AA677,AA683,AA686,AA689,AA692,AA695,AA698,AA701,AA704,AA707,AA710,AA713,AA716,AA719,AA722,AA725,AA728,AA731,AA734,AA737,AA740,AA743,AA746,AA749,AA752,AA755,AA758,AA761,AA764,AA767,AA770,AA773,AA776,AA779,AA782,AA785)</f>
        <v>2641325.3499999996</v>
      </c>
      <c r="AD634" s="4">
        <v>298925347</v>
      </c>
      <c r="AE634" s="4">
        <v>16231514</v>
      </c>
    </row>
    <row r="635" spans="1:35" ht="54" x14ac:dyDescent="0.3">
      <c r="A635" s="37" t="s">
        <v>2038</v>
      </c>
      <c r="B635" s="37" t="s">
        <v>2039</v>
      </c>
      <c r="C635" s="38" t="s">
        <v>2040</v>
      </c>
      <c r="D635" s="39"/>
      <c r="E635" s="39" t="s">
        <v>63</v>
      </c>
      <c r="F635" s="39" t="s">
        <v>64</v>
      </c>
      <c r="G635" s="40">
        <v>1</v>
      </c>
      <c r="H635" s="39"/>
      <c r="I635" s="41">
        <v>0</v>
      </c>
      <c r="J635" s="42">
        <f>IFERROR(ROUND(SUM(M637,M639)/I635, 2),0)</f>
        <v>0</v>
      </c>
      <c r="K635" s="42">
        <v>306</v>
      </c>
      <c r="L635" s="42">
        <f>J635+ROUND(K635, 2)</f>
        <v>306</v>
      </c>
      <c r="M635" s="42">
        <f>ROUND(J635*I635, 2)</f>
        <v>0</v>
      </c>
      <c r="N635" s="42">
        <f>ROUND(I635*ROUND(K635, 2), 2)</f>
        <v>0</v>
      </c>
      <c r="O635" s="42">
        <f>M635+N635</f>
        <v>0</v>
      </c>
      <c r="P635" s="42">
        <f>IFERROR(ROUND(SUM(S637,S639)/I635, 2),0)</f>
        <v>0</v>
      </c>
      <c r="Q635" s="42">
        <v>278</v>
      </c>
      <c r="R635" s="42">
        <f>P635+ROUND(Q635, 2)</f>
        <v>278</v>
      </c>
      <c r="S635" s="42">
        <f>ROUND(P635*I635, 2)</f>
        <v>0</v>
      </c>
      <c r="T635" s="42">
        <f>ROUND(I635*ROUND(Q635, 2), 2)</f>
        <v>0</v>
      </c>
      <c r="U635" s="42">
        <f>S635+T635</f>
        <v>0</v>
      </c>
      <c r="V635" s="9">
        <f>ROUND(P635 / 1.2, 2)</f>
        <v>0</v>
      </c>
      <c r="W635" s="9">
        <f>ROUND(Q635 / 1.2, 2)</f>
        <v>231.67</v>
      </c>
      <c r="X635" s="9">
        <f>ROUND(R635 / 1.2, 2)</f>
        <v>231.67</v>
      </c>
      <c r="Y635" s="9">
        <f>ROUND(S635 / 1.2, 2)</f>
        <v>0</v>
      </c>
      <c r="Z635" s="9">
        <f>ROUND(T635 / 1.2, 2)</f>
        <v>0</v>
      </c>
      <c r="AA635" s="9">
        <f>Y635+Z635</f>
        <v>0</v>
      </c>
      <c r="AD635" s="4">
        <v>298925349</v>
      </c>
      <c r="AE635" s="4">
        <v>16231516</v>
      </c>
      <c r="AG635" s="4" t="s">
        <v>2041</v>
      </c>
      <c r="AH635" s="4" t="s">
        <v>2042</v>
      </c>
      <c r="AI635" s="4" t="s">
        <v>67</v>
      </c>
    </row>
    <row r="636" spans="1:35" ht="54" x14ac:dyDescent="0.3">
      <c r="A636" s="43" t="s">
        <v>2043</v>
      </c>
      <c r="B636" s="43" t="s">
        <v>2039</v>
      </c>
      <c r="C636" s="44" t="s">
        <v>2040</v>
      </c>
      <c r="D636" s="45"/>
      <c r="E636" s="45"/>
      <c r="F636" s="45" t="s">
        <v>64</v>
      </c>
      <c r="G636" s="46">
        <v>1</v>
      </c>
      <c r="H636" s="45"/>
      <c r="I636" s="46">
        <v>260.60000000000002</v>
      </c>
      <c r="J636" s="47">
        <v>0</v>
      </c>
      <c r="K636" s="47">
        <v>278</v>
      </c>
      <c r="L636" s="47"/>
      <c r="M636" s="47">
        <v>0</v>
      </c>
      <c r="N636" s="47"/>
      <c r="O636" s="47"/>
      <c r="P636" s="47">
        <v>0</v>
      </c>
      <c r="Q636" s="47">
        <v>278</v>
      </c>
      <c r="R636" s="47"/>
      <c r="S636" s="47">
        <v>0</v>
      </c>
      <c r="T636" s="47"/>
      <c r="U636" s="47"/>
      <c r="V636" s="9"/>
      <c r="W636" s="9">
        <f>ROUND(Q636 / 1.2, 2)</f>
        <v>231.67</v>
      </c>
      <c r="X636" s="9">
        <f>ROUND(R636 / 1.2, 2)</f>
        <v>0</v>
      </c>
      <c r="Y636" s="9"/>
      <c r="Z636" s="9">
        <f>ROUND(T636 / 1.2, 2)</f>
        <v>0</v>
      </c>
      <c r="AA636" s="9"/>
      <c r="AD636" s="4">
        <v>206485775</v>
      </c>
      <c r="AE636" s="4">
        <v>16231516</v>
      </c>
      <c r="AG636" s="4" t="s">
        <v>2041</v>
      </c>
      <c r="AH636" s="4" t="s">
        <v>2042</v>
      </c>
      <c r="AI636" s="4"/>
    </row>
    <row r="637" spans="1:35" ht="108" x14ac:dyDescent="0.3">
      <c r="A637" s="37" t="s">
        <v>2044</v>
      </c>
      <c r="B637" s="37"/>
      <c r="C637" s="48" t="s">
        <v>1091</v>
      </c>
      <c r="D637" s="39"/>
      <c r="E637" s="39" t="s">
        <v>2045</v>
      </c>
      <c r="F637" s="49" t="s">
        <v>70</v>
      </c>
      <c r="G637" s="50">
        <v>0.3</v>
      </c>
      <c r="H637" s="39"/>
      <c r="I637" s="51">
        <v>0</v>
      </c>
      <c r="J637" s="52">
        <v>388.89</v>
      </c>
      <c r="K637" s="53"/>
      <c r="L637" s="53"/>
      <c r="M637" s="52">
        <f>ROUND(ROUND(J637, 2)*I637, 2)</f>
        <v>0</v>
      </c>
      <c r="N637" s="53"/>
      <c r="O637" s="53"/>
      <c r="P637" s="52">
        <v>388.89</v>
      </c>
      <c r="Q637" s="53"/>
      <c r="R637" s="53"/>
      <c r="S637" s="52">
        <f>ROUND(ROUND(P637, 2)*I637, 2)</f>
        <v>0</v>
      </c>
      <c r="T637" s="53"/>
      <c r="U637" s="54"/>
      <c r="V637" s="9">
        <f>ROUND(ROUND(P637, 2)/1.2, 2)</f>
        <v>324.08</v>
      </c>
      <c r="Y637" s="9">
        <f>ROUND(S637 / 1.2, 2)</f>
        <v>0</v>
      </c>
      <c r="AD637" s="4" t="s">
        <v>2046</v>
      </c>
      <c r="AE637" s="4" t="s">
        <v>2047</v>
      </c>
      <c r="AF637" s="4" t="s">
        <v>1095</v>
      </c>
    </row>
    <row r="638" spans="1:35" ht="108" x14ac:dyDescent="0.3">
      <c r="A638" s="43" t="s">
        <v>2048</v>
      </c>
      <c r="B638" s="43"/>
      <c r="C638" s="55" t="s">
        <v>1091</v>
      </c>
      <c r="D638" s="45"/>
      <c r="E638" s="45" t="s">
        <v>2045</v>
      </c>
      <c r="F638" s="56" t="s">
        <v>70</v>
      </c>
      <c r="G638" s="57">
        <v>0.3</v>
      </c>
      <c r="H638" s="45"/>
      <c r="I638" s="58">
        <v>78.180000000000007</v>
      </c>
      <c r="J638" s="59">
        <v>388.89</v>
      </c>
      <c r="K638" s="60"/>
      <c r="L638" s="60"/>
      <c r="M638" s="59">
        <f>ROUND(ROUND(J638, 2)*I638, 2)</f>
        <v>30403.42</v>
      </c>
      <c r="N638" s="60"/>
      <c r="O638" s="60"/>
      <c r="P638" s="59">
        <v>388.89</v>
      </c>
      <c r="Q638" s="60"/>
      <c r="R638" s="60"/>
      <c r="S638" s="59">
        <f>ROUND(ROUND(P638, 2)*I638, 2)</f>
        <v>30403.42</v>
      </c>
      <c r="T638" s="60"/>
      <c r="U638" s="61"/>
      <c r="V638" s="9">
        <f>ROUND(ROUND(P638, 2)/1.2, 2)</f>
        <v>324.08</v>
      </c>
      <c r="Y638" s="9">
        <f>ROUND(S638 / 1.2, 2)</f>
        <v>25336.18</v>
      </c>
      <c r="AD638" s="4" t="s">
        <v>2049</v>
      </c>
      <c r="AE638" s="4" t="s">
        <v>2047</v>
      </c>
      <c r="AF638" s="4" t="s">
        <v>1095</v>
      </c>
    </row>
    <row r="639" spans="1:35" ht="36" x14ac:dyDescent="0.3">
      <c r="A639" s="37" t="s">
        <v>2050</v>
      </c>
      <c r="B639" s="37"/>
      <c r="C639" s="48" t="s">
        <v>433</v>
      </c>
      <c r="D639" s="39"/>
      <c r="E639" s="39"/>
      <c r="F639" s="49" t="s">
        <v>70</v>
      </c>
      <c r="G639" s="50">
        <v>0.15</v>
      </c>
      <c r="H639" s="39"/>
      <c r="I639" s="51">
        <v>0</v>
      </c>
      <c r="J639" s="52">
        <v>88.8</v>
      </c>
      <c r="K639" s="53"/>
      <c r="L639" s="53"/>
      <c r="M639" s="52">
        <f>ROUND(ROUND(J639, 2)*I639, 2)</f>
        <v>0</v>
      </c>
      <c r="N639" s="53"/>
      <c r="O639" s="53"/>
      <c r="P639" s="52">
        <v>88.8</v>
      </c>
      <c r="Q639" s="53"/>
      <c r="R639" s="53"/>
      <c r="S639" s="52">
        <f>ROUND(ROUND(P639, 2)*I639, 2)</f>
        <v>0</v>
      </c>
      <c r="T639" s="53"/>
      <c r="U639" s="54"/>
      <c r="V639" s="9">
        <f>ROUND(ROUND(P639, 2)/1.2, 2)</f>
        <v>74</v>
      </c>
      <c r="Y639" s="9">
        <f>ROUND(S639 / 1.2, 2)</f>
        <v>0</v>
      </c>
      <c r="AD639" s="4" t="s">
        <v>2051</v>
      </c>
      <c r="AE639" s="4" t="s">
        <v>2052</v>
      </c>
      <c r="AF639" s="4" t="s">
        <v>436</v>
      </c>
    </row>
    <row r="640" spans="1:35" ht="36" x14ac:dyDescent="0.3">
      <c r="A640" s="43" t="s">
        <v>2053</v>
      </c>
      <c r="B640" s="43"/>
      <c r="C640" s="55" t="s">
        <v>433</v>
      </c>
      <c r="D640" s="45"/>
      <c r="E640" s="45"/>
      <c r="F640" s="56" t="s">
        <v>70</v>
      </c>
      <c r="G640" s="57">
        <v>0.15</v>
      </c>
      <c r="H640" s="45"/>
      <c r="I640" s="58">
        <v>39.090000000000003</v>
      </c>
      <c r="J640" s="59">
        <v>88.8</v>
      </c>
      <c r="K640" s="60"/>
      <c r="L640" s="60"/>
      <c r="M640" s="59">
        <f>ROUND(ROUND(J640, 2)*I640, 2)</f>
        <v>3471.19</v>
      </c>
      <c r="N640" s="60"/>
      <c r="O640" s="60"/>
      <c r="P640" s="59">
        <v>88.8</v>
      </c>
      <c r="Q640" s="60"/>
      <c r="R640" s="60"/>
      <c r="S640" s="59">
        <f>ROUND(ROUND(P640, 2)*I640, 2)</f>
        <v>3471.19</v>
      </c>
      <c r="T640" s="60"/>
      <c r="U640" s="61"/>
      <c r="V640" s="9">
        <f>ROUND(ROUND(P640, 2)/1.2, 2)</f>
        <v>74</v>
      </c>
      <c r="Y640" s="9">
        <f>ROUND(S640 / 1.2, 2)</f>
        <v>2892.66</v>
      </c>
      <c r="AD640" s="4" t="s">
        <v>2054</v>
      </c>
      <c r="AE640" s="4" t="s">
        <v>2052</v>
      </c>
      <c r="AF640" s="4" t="s">
        <v>436</v>
      </c>
    </row>
    <row r="641" spans="1:35" ht="54" x14ac:dyDescent="0.3">
      <c r="A641" s="37" t="s">
        <v>2055</v>
      </c>
      <c r="B641" s="37" t="s">
        <v>2039</v>
      </c>
      <c r="C641" s="38" t="s">
        <v>2040</v>
      </c>
      <c r="D641" s="39"/>
      <c r="E641" s="39" t="s">
        <v>63</v>
      </c>
      <c r="F641" s="39" t="s">
        <v>64</v>
      </c>
      <c r="G641" s="40">
        <v>1</v>
      </c>
      <c r="H641" s="39"/>
      <c r="I641" s="41">
        <v>0</v>
      </c>
      <c r="J641" s="42">
        <f>IFERROR(ROUND(SUM(M643,M645)/I641, 2),0)</f>
        <v>0</v>
      </c>
      <c r="K641" s="42">
        <v>306</v>
      </c>
      <c r="L641" s="42">
        <f>J641+ROUND(K641, 2)</f>
        <v>306</v>
      </c>
      <c r="M641" s="42">
        <f>ROUND(J641*I641, 2)</f>
        <v>0</v>
      </c>
      <c r="N641" s="42">
        <f>ROUND(I641*ROUND(K641, 2), 2)</f>
        <v>0</v>
      </c>
      <c r="O641" s="42">
        <f>M641+N641</f>
        <v>0</v>
      </c>
      <c r="P641" s="42">
        <f>IFERROR(ROUND(SUM(S643,S645)/I641, 2),0)</f>
        <v>0</v>
      </c>
      <c r="Q641" s="42">
        <v>278</v>
      </c>
      <c r="R641" s="42">
        <f>P641+ROUND(Q641, 2)</f>
        <v>278</v>
      </c>
      <c r="S641" s="42">
        <f>ROUND(P641*I641, 2)</f>
        <v>0</v>
      </c>
      <c r="T641" s="42">
        <f>ROUND(I641*ROUND(Q641, 2), 2)</f>
        <v>0</v>
      </c>
      <c r="U641" s="42">
        <f>S641+T641</f>
        <v>0</v>
      </c>
      <c r="V641" s="9">
        <f>ROUND(P641 / 1.2, 2)</f>
        <v>0</v>
      </c>
      <c r="W641" s="9">
        <f>ROUND(Q641 / 1.2, 2)</f>
        <v>231.67</v>
      </c>
      <c r="X641" s="9">
        <f>ROUND(R641 / 1.2, 2)</f>
        <v>231.67</v>
      </c>
      <c r="Y641" s="9">
        <f>ROUND(S641 / 1.2, 2)</f>
        <v>0</v>
      </c>
      <c r="Z641" s="9">
        <f>ROUND(T641 / 1.2, 2)</f>
        <v>0</v>
      </c>
      <c r="AA641" s="9">
        <f>Y641+Z641</f>
        <v>0</v>
      </c>
      <c r="AD641" s="4">
        <v>298925447</v>
      </c>
      <c r="AE641" s="4">
        <v>16231523</v>
      </c>
      <c r="AG641" s="4" t="s">
        <v>2041</v>
      </c>
      <c r="AH641" s="4" t="s">
        <v>2042</v>
      </c>
      <c r="AI641" s="4" t="s">
        <v>67</v>
      </c>
    </row>
    <row r="642" spans="1:35" ht="54" x14ac:dyDescent="0.3">
      <c r="A642" s="43" t="s">
        <v>2056</v>
      </c>
      <c r="B642" s="43" t="s">
        <v>2039</v>
      </c>
      <c r="C642" s="44" t="s">
        <v>2040</v>
      </c>
      <c r="D642" s="45"/>
      <c r="E642" s="45"/>
      <c r="F642" s="45" t="s">
        <v>64</v>
      </c>
      <c r="G642" s="46">
        <v>1</v>
      </c>
      <c r="H642" s="45"/>
      <c r="I642" s="46">
        <v>45</v>
      </c>
      <c r="J642" s="47">
        <v>0</v>
      </c>
      <c r="K642" s="47">
        <v>278</v>
      </c>
      <c r="L642" s="47"/>
      <c r="M642" s="47">
        <v>0</v>
      </c>
      <c r="N642" s="47"/>
      <c r="O642" s="47"/>
      <c r="P642" s="47">
        <v>0</v>
      </c>
      <c r="Q642" s="47">
        <v>278</v>
      </c>
      <c r="R642" s="47"/>
      <c r="S642" s="47">
        <v>0</v>
      </c>
      <c r="T642" s="47"/>
      <c r="U642" s="47"/>
      <c r="V642" s="9"/>
      <c r="W642" s="9">
        <f>ROUND(Q642 / 1.2, 2)</f>
        <v>231.67</v>
      </c>
      <c r="X642" s="9">
        <f>ROUND(R642 / 1.2, 2)</f>
        <v>0</v>
      </c>
      <c r="Y642" s="9"/>
      <c r="Z642" s="9">
        <f>ROUND(T642 / 1.2, 2)</f>
        <v>0</v>
      </c>
      <c r="AA642" s="9"/>
      <c r="AD642" s="4">
        <v>220089303</v>
      </c>
      <c r="AE642" s="4">
        <v>16231523</v>
      </c>
      <c r="AG642" s="4" t="s">
        <v>2041</v>
      </c>
      <c r="AH642" s="4" t="s">
        <v>2042</v>
      </c>
      <c r="AI642" s="4"/>
    </row>
    <row r="643" spans="1:35" ht="36" x14ac:dyDescent="0.3">
      <c r="A643" s="37" t="s">
        <v>2057</v>
      </c>
      <c r="B643" s="37"/>
      <c r="C643" s="48" t="s">
        <v>433</v>
      </c>
      <c r="D643" s="39"/>
      <c r="E643" s="39"/>
      <c r="F643" s="49" t="s">
        <v>70</v>
      </c>
      <c r="G643" s="50">
        <v>0.15</v>
      </c>
      <c r="H643" s="39"/>
      <c r="I643" s="51">
        <v>0</v>
      </c>
      <c r="J643" s="52">
        <v>88.8</v>
      </c>
      <c r="K643" s="53"/>
      <c r="L643" s="53"/>
      <c r="M643" s="52">
        <f>ROUND(ROUND(J643, 2)*I643, 2)</f>
        <v>0</v>
      </c>
      <c r="N643" s="53"/>
      <c r="O643" s="53"/>
      <c r="P643" s="52">
        <v>88.8</v>
      </c>
      <c r="Q643" s="53"/>
      <c r="R643" s="53"/>
      <c r="S643" s="52">
        <f>ROUND(ROUND(P643, 2)*I643, 2)</f>
        <v>0</v>
      </c>
      <c r="T643" s="53"/>
      <c r="U643" s="54"/>
      <c r="V643" s="9">
        <f>ROUND(ROUND(P643, 2)/1.2, 2)</f>
        <v>74</v>
      </c>
      <c r="Y643" s="9">
        <f>ROUND(S643 / 1.2, 2)</f>
        <v>0</v>
      </c>
      <c r="AD643" s="4" t="s">
        <v>2058</v>
      </c>
      <c r="AE643" s="4" t="s">
        <v>2059</v>
      </c>
      <c r="AF643" s="4" t="s">
        <v>436</v>
      </c>
    </row>
    <row r="644" spans="1:35" ht="36" x14ac:dyDescent="0.3">
      <c r="A644" s="43" t="s">
        <v>2060</v>
      </c>
      <c r="B644" s="43"/>
      <c r="C644" s="55" t="s">
        <v>433</v>
      </c>
      <c r="D644" s="45"/>
      <c r="E644" s="45"/>
      <c r="F644" s="56" t="s">
        <v>70</v>
      </c>
      <c r="G644" s="57">
        <v>0.15</v>
      </c>
      <c r="H644" s="45"/>
      <c r="I644" s="58">
        <v>6.75</v>
      </c>
      <c r="J644" s="59">
        <v>88.8</v>
      </c>
      <c r="K644" s="60"/>
      <c r="L644" s="60"/>
      <c r="M644" s="59">
        <f>ROUND(ROUND(J644, 2)*I644, 2)</f>
        <v>599.4</v>
      </c>
      <c r="N644" s="60"/>
      <c r="O644" s="60"/>
      <c r="P644" s="59">
        <v>88.8</v>
      </c>
      <c r="Q644" s="60"/>
      <c r="R644" s="60"/>
      <c r="S644" s="59">
        <f>ROUND(ROUND(P644, 2)*I644, 2)</f>
        <v>599.4</v>
      </c>
      <c r="T644" s="60"/>
      <c r="U644" s="61"/>
      <c r="V644" s="9">
        <f>ROUND(ROUND(P644, 2)/1.2, 2)</f>
        <v>74</v>
      </c>
      <c r="Y644" s="9">
        <f>ROUND(S644 / 1.2, 2)</f>
        <v>499.5</v>
      </c>
      <c r="AD644" s="4" t="s">
        <v>2061</v>
      </c>
      <c r="AE644" s="4" t="s">
        <v>2059</v>
      </c>
      <c r="AF644" s="4" t="s">
        <v>436</v>
      </c>
    </row>
    <row r="645" spans="1:35" ht="54" x14ac:dyDescent="0.3">
      <c r="A645" s="37" t="s">
        <v>2062</v>
      </c>
      <c r="B645" s="37"/>
      <c r="C645" s="48" t="s">
        <v>2063</v>
      </c>
      <c r="D645" s="39"/>
      <c r="E645" s="39" t="s">
        <v>2064</v>
      </c>
      <c r="F645" s="49" t="s">
        <v>70</v>
      </c>
      <c r="G645" s="50">
        <v>0.3</v>
      </c>
      <c r="H645" s="39"/>
      <c r="I645" s="51">
        <v>0</v>
      </c>
      <c r="J645" s="52">
        <v>226.67</v>
      </c>
      <c r="K645" s="53"/>
      <c r="L645" s="53"/>
      <c r="M645" s="52">
        <f>ROUND(ROUND(J645, 2)*I645, 2)</f>
        <v>0</v>
      </c>
      <c r="N645" s="53"/>
      <c r="O645" s="53"/>
      <c r="P645" s="52">
        <v>226.67</v>
      </c>
      <c r="Q645" s="53"/>
      <c r="R645" s="53"/>
      <c r="S645" s="52">
        <f>ROUND(ROUND(P645, 2)*I645, 2)</f>
        <v>0</v>
      </c>
      <c r="T645" s="53"/>
      <c r="U645" s="54"/>
      <c r="V645" s="9">
        <f>ROUND(ROUND(P645, 2)/1.2, 2)</f>
        <v>188.89</v>
      </c>
      <c r="Y645" s="9">
        <f>ROUND(S645 / 1.2, 2)</f>
        <v>0</v>
      </c>
      <c r="AD645" s="4" t="s">
        <v>2065</v>
      </c>
      <c r="AE645" s="4" t="s">
        <v>2066</v>
      </c>
      <c r="AF645" s="4" t="s">
        <v>2067</v>
      </c>
    </row>
    <row r="646" spans="1:35" ht="54" x14ac:dyDescent="0.3">
      <c r="A646" s="43" t="s">
        <v>2068</v>
      </c>
      <c r="B646" s="43"/>
      <c r="C646" s="55" t="s">
        <v>2063</v>
      </c>
      <c r="D646" s="45"/>
      <c r="E646" s="45" t="s">
        <v>2064</v>
      </c>
      <c r="F646" s="56" t="s">
        <v>70</v>
      </c>
      <c r="G646" s="57">
        <v>0.3</v>
      </c>
      <c r="H646" s="45"/>
      <c r="I646" s="58">
        <v>13.5</v>
      </c>
      <c r="J646" s="59">
        <v>226.67</v>
      </c>
      <c r="K646" s="60"/>
      <c r="L646" s="60"/>
      <c r="M646" s="59">
        <f>ROUND(ROUND(J646, 2)*I646, 2)</f>
        <v>3060.05</v>
      </c>
      <c r="N646" s="60"/>
      <c r="O646" s="60"/>
      <c r="P646" s="59">
        <v>226.67</v>
      </c>
      <c r="Q646" s="60"/>
      <c r="R646" s="60"/>
      <c r="S646" s="59">
        <f>ROUND(ROUND(P646, 2)*I646, 2)</f>
        <v>3060.05</v>
      </c>
      <c r="T646" s="60"/>
      <c r="U646" s="61"/>
      <c r="V646" s="9">
        <f>ROUND(ROUND(P646, 2)/1.2, 2)</f>
        <v>188.89</v>
      </c>
      <c r="Y646" s="9">
        <f>ROUND(S646 / 1.2, 2)</f>
        <v>2550.04</v>
      </c>
      <c r="AD646" s="4" t="s">
        <v>2069</v>
      </c>
      <c r="AE646" s="4" t="s">
        <v>2066</v>
      </c>
      <c r="AF646" s="4" t="s">
        <v>2067</v>
      </c>
    </row>
    <row r="647" spans="1:35" ht="54" x14ac:dyDescent="0.3">
      <c r="A647" s="37" t="s">
        <v>2070</v>
      </c>
      <c r="B647" s="37" t="s">
        <v>2039</v>
      </c>
      <c r="C647" s="38" t="s">
        <v>2040</v>
      </c>
      <c r="D647" s="39"/>
      <c r="E647" s="39" t="s">
        <v>63</v>
      </c>
      <c r="F647" s="39" t="s">
        <v>64</v>
      </c>
      <c r="G647" s="40">
        <v>1</v>
      </c>
      <c r="H647" s="39"/>
      <c r="I647" s="41">
        <v>0</v>
      </c>
      <c r="J647" s="42">
        <f>IFERROR(ROUND(SUM(M649,M651)/I647, 2),0)</f>
        <v>0</v>
      </c>
      <c r="K647" s="42">
        <v>306</v>
      </c>
      <c r="L647" s="42">
        <f>J647+ROUND(K647, 2)</f>
        <v>306</v>
      </c>
      <c r="M647" s="42">
        <f>ROUND(J647*I647, 2)</f>
        <v>0</v>
      </c>
      <c r="N647" s="42">
        <f>ROUND(I647*ROUND(K647, 2), 2)</f>
        <v>0</v>
      </c>
      <c r="O647" s="42">
        <f>M647+N647</f>
        <v>0</v>
      </c>
      <c r="P647" s="42">
        <f>IFERROR(ROUND(SUM(S649,S651)/I647, 2),0)</f>
        <v>0</v>
      </c>
      <c r="Q647" s="42">
        <v>278</v>
      </c>
      <c r="R647" s="42">
        <f>P647+ROUND(Q647, 2)</f>
        <v>278</v>
      </c>
      <c r="S647" s="42">
        <f>ROUND(P647*I647, 2)</f>
        <v>0</v>
      </c>
      <c r="T647" s="42">
        <f>ROUND(I647*ROUND(Q647, 2), 2)</f>
        <v>0</v>
      </c>
      <c r="U647" s="42">
        <f>S647+T647</f>
        <v>0</v>
      </c>
      <c r="V647" s="9">
        <f>ROUND(P647 / 1.2, 2)</f>
        <v>0</v>
      </c>
      <c r="W647" s="9">
        <f>ROUND(Q647 / 1.2, 2)</f>
        <v>231.67</v>
      </c>
      <c r="X647" s="9">
        <f>ROUND(R647 / 1.2, 2)</f>
        <v>231.67</v>
      </c>
      <c r="Y647" s="9">
        <f>ROUND(S647 / 1.2, 2)</f>
        <v>0</v>
      </c>
      <c r="Z647" s="9">
        <f>ROUND(T647 / 1.2, 2)</f>
        <v>0</v>
      </c>
      <c r="AA647" s="9">
        <f>Y647+Z647</f>
        <v>0</v>
      </c>
      <c r="AD647" s="4">
        <v>298925448</v>
      </c>
      <c r="AE647" s="4">
        <v>16231517</v>
      </c>
      <c r="AG647" s="4" t="s">
        <v>2041</v>
      </c>
      <c r="AH647" s="4" t="s">
        <v>2042</v>
      </c>
      <c r="AI647" s="4" t="s">
        <v>67</v>
      </c>
    </row>
    <row r="648" spans="1:35" ht="54" x14ac:dyDescent="0.3">
      <c r="A648" s="43" t="s">
        <v>2071</v>
      </c>
      <c r="B648" s="43" t="s">
        <v>2039</v>
      </c>
      <c r="C648" s="44" t="s">
        <v>2040</v>
      </c>
      <c r="D648" s="45"/>
      <c r="E648" s="45"/>
      <c r="F648" s="45" t="s">
        <v>64</v>
      </c>
      <c r="G648" s="46">
        <v>1</v>
      </c>
      <c r="H648" s="45"/>
      <c r="I648" s="46">
        <v>1174.7</v>
      </c>
      <c r="J648" s="47">
        <v>0</v>
      </c>
      <c r="K648" s="47">
        <v>278</v>
      </c>
      <c r="L648" s="47"/>
      <c r="M648" s="47">
        <v>0</v>
      </c>
      <c r="N648" s="47"/>
      <c r="O648" s="47"/>
      <c r="P648" s="47">
        <v>0</v>
      </c>
      <c r="Q648" s="47">
        <v>278</v>
      </c>
      <c r="R648" s="47"/>
      <c r="S648" s="47">
        <v>0</v>
      </c>
      <c r="T648" s="47"/>
      <c r="U648" s="47"/>
      <c r="V648" s="9"/>
      <c r="W648" s="9">
        <f>ROUND(Q648 / 1.2, 2)</f>
        <v>231.67</v>
      </c>
      <c r="X648" s="9">
        <f>ROUND(R648 / 1.2, 2)</f>
        <v>0</v>
      </c>
      <c r="Y648" s="9"/>
      <c r="Z648" s="9">
        <f>ROUND(T648 / 1.2, 2)</f>
        <v>0</v>
      </c>
      <c r="AA648" s="9"/>
      <c r="AD648" s="4">
        <v>220089304</v>
      </c>
      <c r="AE648" s="4">
        <v>16231517</v>
      </c>
      <c r="AG648" s="4" t="s">
        <v>2041</v>
      </c>
      <c r="AH648" s="4" t="s">
        <v>2042</v>
      </c>
      <c r="AI648" s="4"/>
    </row>
    <row r="649" spans="1:35" ht="54" x14ac:dyDescent="0.3">
      <c r="A649" s="37" t="s">
        <v>2072</v>
      </c>
      <c r="B649" s="37"/>
      <c r="C649" s="48" t="s">
        <v>2063</v>
      </c>
      <c r="D649" s="39"/>
      <c r="E649" s="39" t="s">
        <v>2073</v>
      </c>
      <c r="F649" s="49" t="s">
        <v>70</v>
      </c>
      <c r="G649" s="50">
        <v>0.3</v>
      </c>
      <c r="H649" s="39"/>
      <c r="I649" s="51">
        <v>0</v>
      </c>
      <c r="J649" s="52">
        <v>226.67</v>
      </c>
      <c r="K649" s="53"/>
      <c r="L649" s="53"/>
      <c r="M649" s="52">
        <f>ROUND(ROUND(J649, 2)*I649, 2)</f>
        <v>0</v>
      </c>
      <c r="N649" s="53"/>
      <c r="O649" s="53"/>
      <c r="P649" s="52">
        <v>226.67</v>
      </c>
      <c r="Q649" s="53"/>
      <c r="R649" s="53"/>
      <c r="S649" s="52">
        <f>ROUND(ROUND(P649, 2)*I649, 2)</f>
        <v>0</v>
      </c>
      <c r="T649" s="53"/>
      <c r="U649" s="54"/>
      <c r="V649" s="9">
        <f>ROUND(ROUND(P649, 2)/1.2, 2)</f>
        <v>188.89</v>
      </c>
      <c r="Y649" s="9">
        <f>ROUND(S649 / 1.2, 2)</f>
        <v>0</v>
      </c>
      <c r="AD649" s="4" t="s">
        <v>2074</v>
      </c>
      <c r="AE649" s="4" t="s">
        <v>2075</v>
      </c>
      <c r="AF649" s="4" t="s">
        <v>2067</v>
      </c>
    </row>
    <row r="650" spans="1:35" ht="54" x14ac:dyDescent="0.3">
      <c r="A650" s="43" t="s">
        <v>2076</v>
      </c>
      <c r="B650" s="43"/>
      <c r="C650" s="55" t="s">
        <v>2063</v>
      </c>
      <c r="D650" s="45"/>
      <c r="E650" s="45" t="s">
        <v>2073</v>
      </c>
      <c r="F650" s="56" t="s">
        <v>70</v>
      </c>
      <c r="G650" s="57">
        <v>0.3</v>
      </c>
      <c r="H650" s="45"/>
      <c r="I650" s="58">
        <v>352.41</v>
      </c>
      <c r="J650" s="59">
        <v>226.67</v>
      </c>
      <c r="K650" s="60"/>
      <c r="L650" s="60"/>
      <c r="M650" s="59">
        <f>ROUND(ROUND(J650, 2)*I650, 2)</f>
        <v>79880.77</v>
      </c>
      <c r="N650" s="60"/>
      <c r="O650" s="60"/>
      <c r="P650" s="59">
        <v>226.67</v>
      </c>
      <c r="Q650" s="60"/>
      <c r="R650" s="60"/>
      <c r="S650" s="59">
        <f>ROUND(ROUND(P650, 2)*I650, 2)</f>
        <v>79880.77</v>
      </c>
      <c r="T650" s="60"/>
      <c r="U650" s="61"/>
      <c r="V650" s="9">
        <f>ROUND(ROUND(P650, 2)/1.2, 2)</f>
        <v>188.89</v>
      </c>
      <c r="Y650" s="9">
        <f>ROUND(S650 / 1.2, 2)</f>
        <v>66567.31</v>
      </c>
      <c r="AD650" s="4" t="s">
        <v>2077</v>
      </c>
      <c r="AE650" s="4" t="s">
        <v>2075</v>
      </c>
      <c r="AF650" s="4" t="s">
        <v>2067</v>
      </c>
    </row>
    <row r="651" spans="1:35" ht="36" x14ac:dyDescent="0.3">
      <c r="A651" s="37" t="s">
        <v>2078</v>
      </c>
      <c r="B651" s="37"/>
      <c r="C651" s="48" t="s">
        <v>433</v>
      </c>
      <c r="D651" s="39"/>
      <c r="E651" s="39"/>
      <c r="F651" s="49" t="s">
        <v>70</v>
      </c>
      <c r="G651" s="50">
        <v>0.15</v>
      </c>
      <c r="H651" s="39"/>
      <c r="I651" s="51">
        <v>0</v>
      </c>
      <c r="J651" s="52">
        <v>88.8</v>
      </c>
      <c r="K651" s="53"/>
      <c r="L651" s="53"/>
      <c r="M651" s="52">
        <f>ROUND(ROUND(J651, 2)*I651, 2)</f>
        <v>0</v>
      </c>
      <c r="N651" s="53"/>
      <c r="O651" s="53"/>
      <c r="P651" s="52">
        <v>88.8</v>
      </c>
      <c r="Q651" s="53"/>
      <c r="R651" s="53"/>
      <c r="S651" s="52">
        <f>ROUND(ROUND(P651, 2)*I651, 2)</f>
        <v>0</v>
      </c>
      <c r="T651" s="53"/>
      <c r="U651" s="54"/>
      <c r="V651" s="9">
        <f>ROUND(ROUND(P651, 2)/1.2, 2)</f>
        <v>74</v>
      </c>
      <c r="Y651" s="9">
        <f>ROUND(S651 / 1.2, 2)</f>
        <v>0</v>
      </c>
      <c r="AD651" s="4" t="s">
        <v>2079</v>
      </c>
      <c r="AE651" s="4" t="s">
        <v>2080</v>
      </c>
      <c r="AF651" s="4" t="s">
        <v>436</v>
      </c>
    </row>
    <row r="652" spans="1:35" ht="36" x14ac:dyDescent="0.3">
      <c r="A652" s="43" t="s">
        <v>2081</v>
      </c>
      <c r="B652" s="43"/>
      <c r="C652" s="55" t="s">
        <v>433</v>
      </c>
      <c r="D652" s="45"/>
      <c r="E652" s="45"/>
      <c r="F652" s="56" t="s">
        <v>70</v>
      </c>
      <c r="G652" s="57">
        <v>0.15</v>
      </c>
      <c r="H652" s="45"/>
      <c r="I652" s="58">
        <v>176.20500000000001</v>
      </c>
      <c r="J652" s="59">
        <v>88.8</v>
      </c>
      <c r="K652" s="60"/>
      <c r="L652" s="60"/>
      <c r="M652" s="59">
        <f>ROUND(ROUND(J652, 2)*I652, 2)</f>
        <v>15647</v>
      </c>
      <c r="N652" s="60"/>
      <c r="O652" s="60"/>
      <c r="P652" s="59">
        <v>88.8</v>
      </c>
      <c r="Q652" s="60"/>
      <c r="R652" s="60"/>
      <c r="S652" s="59">
        <f>ROUND(ROUND(P652, 2)*I652, 2)</f>
        <v>15647</v>
      </c>
      <c r="T652" s="60"/>
      <c r="U652" s="61"/>
      <c r="V652" s="9">
        <f>ROUND(ROUND(P652, 2)/1.2, 2)</f>
        <v>74</v>
      </c>
      <c r="Y652" s="9">
        <f>ROUND(S652 / 1.2, 2)</f>
        <v>13039.17</v>
      </c>
      <c r="AD652" s="4" t="s">
        <v>2082</v>
      </c>
      <c r="AE652" s="4" t="s">
        <v>2080</v>
      </c>
      <c r="AF652" s="4" t="s">
        <v>436</v>
      </c>
    </row>
    <row r="653" spans="1:35" ht="54" x14ac:dyDescent="0.3">
      <c r="A653" s="37" t="s">
        <v>2083</v>
      </c>
      <c r="B653" s="37" t="s">
        <v>2039</v>
      </c>
      <c r="C653" s="38" t="s">
        <v>2040</v>
      </c>
      <c r="D653" s="39"/>
      <c r="E653" s="39" t="s">
        <v>63</v>
      </c>
      <c r="F653" s="39" t="s">
        <v>64</v>
      </c>
      <c r="G653" s="40">
        <v>1</v>
      </c>
      <c r="H653" s="39"/>
      <c r="I653" s="41">
        <v>0</v>
      </c>
      <c r="J653" s="42">
        <f>IFERROR(ROUND(SUM(M655,M657)/I653, 2),0)</f>
        <v>0</v>
      </c>
      <c r="K653" s="42">
        <v>306</v>
      </c>
      <c r="L653" s="42">
        <f>J653+ROUND(K653, 2)</f>
        <v>306</v>
      </c>
      <c r="M653" s="42">
        <f>ROUND(J653*I653, 2)</f>
        <v>0</v>
      </c>
      <c r="N653" s="42">
        <f>ROUND(I653*ROUND(K653, 2), 2)</f>
        <v>0</v>
      </c>
      <c r="O653" s="42">
        <f>M653+N653</f>
        <v>0</v>
      </c>
      <c r="P653" s="42">
        <f>IFERROR(ROUND(SUM(S655,S657)/I653, 2),0)</f>
        <v>0</v>
      </c>
      <c r="Q653" s="42">
        <v>278</v>
      </c>
      <c r="R653" s="42">
        <f>P653+ROUND(Q653, 2)</f>
        <v>278</v>
      </c>
      <c r="S653" s="42">
        <f>ROUND(P653*I653, 2)</f>
        <v>0</v>
      </c>
      <c r="T653" s="42">
        <f>ROUND(I653*ROUND(Q653, 2), 2)</f>
        <v>0</v>
      </c>
      <c r="U653" s="42">
        <f>S653+T653</f>
        <v>0</v>
      </c>
      <c r="V653" s="9">
        <f>ROUND(P653 / 1.2, 2)</f>
        <v>0</v>
      </c>
      <c r="W653" s="9">
        <f>ROUND(Q653 / 1.2, 2)</f>
        <v>231.67</v>
      </c>
      <c r="X653" s="9">
        <f>ROUND(R653 / 1.2, 2)</f>
        <v>231.67</v>
      </c>
      <c r="Y653" s="9">
        <f>ROUND(S653 / 1.2, 2)</f>
        <v>0</v>
      </c>
      <c r="Z653" s="9">
        <f>ROUND(T653 / 1.2, 2)</f>
        <v>0</v>
      </c>
      <c r="AA653" s="9">
        <f>Y653+Z653</f>
        <v>0</v>
      </c>
      <c r="AD653" s="4">
        <v>298925449</v>
      </c>
      <c r="AE653" s="4">
        <v>16231518</v>
      </c>
      <c r="AG653" s="4" t="s">
        <v>2041</v>
      </c>
      <c r="AH653" s="4" t="s">
        <v>2042</v>
      </c>
      <c r="AI653" s="4" t="s">
        <v>67</v>
      </c>
    </row>
    <row r="654" spans="1:35" ht="54" x14ac:dyDescent="0.3">
      <c r="A654" s="43" t="s">
        <v>2084</v>
      </c>
      <c r="B654" s="43" t="s">
        <v>2039</v>
      </c>
      <c r="C654" s="44" t="s">
        <v>2040</v>
      </c>
      <c r="D654" s="45"/>
      <c r="E654" s="45"/>
      <c r="F654" s="45" t="s">
        <v>64</v>
      </c>
      <c r="G654" s="46">
        <v>1</v>
      </c>
      <c r="H654" s="45"/>
      <c r="I654" s="46">
        <v>127.1</v>
      </c>
      <c r="J654" s="47">
        <v>0</v>
      </c>
      <c r="K654" s="47">
        <v>278</v>
      </c>
      <c r="L654" s="47"/>
      <c r="M654" s="47">
        <v>0</v>
      </c>
      <c r="N654" s="47"/>
      <c r="O654" s="47"/>
      <c r="P654" s="47">
        <v>0</v>
      </c>
      <c r="Q654" s="47">
        <v>278</v>
      </c>
      <c r="R654" s="47"/>
      <c r="S654" s="47">
        <v>0</v>
      </c>
      <c r="T654" s="47"/>
      <c r="U654" s="47"/>
      <c r="V654" s="9"/>
      <c r="W654" s="9">
        <f>ROUND(Q654 / 1.2, 2)</f>
        <v>231.67</v>
      </c>
      <c r="X654" s="9">
        <f>ROUND(R654 / 1.2, 2)</f>
        <v>0</v>
      </c>
      <c r="Y654" s="9"/>
      <c r="Z654" s="9">
        <f>ROUND(T654 / 1.2, 2)</f>
        <v>0</v>
      </c>
      <c r="AA654" s="9"/>
      <c r="AD654" s="4">
        <v>220089305</v>
      </c>
      <c r="AE654" s="4">
        <v>16231518</v>
      </c>
      <c r="AG654" s="4" t="s">
        <v>2041</v>
      </c>
      <c r="AH654" s="4" t="s">
        <v>2042</v>
      </c>
      <c r="AI654" s="4"/>
    </row>
    <row r="655" spans="1:35" ht="36" x14ac:dyDescent="0.3">
      <c r="A655" s="37" t="s">
        <v>2085</v>
      </c>
      <c r="B655" s="37"/>
      <c r="C655" s="48" t="s">
        <v>433</v>
      </c>
      <c r="D655" s="39"/>
      <c r="E655" s="39"/>
      <c r="F655" s="49" t="s">
        <v>70</v>
      </c>
      <c r="G655" s="50">
        <v>0.15</v>
      </c>
      <c r="H655" s="39"/>
      <c r="I655" s="51">
        <v>0</v>
      </c>
      <c r="J655" s="52">
        <v>88.8</v>
      </c>
      <c r="K655" s="53"/>
      <c r="L655" s="53"/>
      <c r="M655" s="52">
        <f>ROUND(ROUND(J655, 2)*I655, 2)</f>
        <v>0</v>
      </c>
      <c r="N655" s="53"/>
      <c r="O655" s="53"/>
      <c r="P655" s="52">
        <v>88.8</v>
      </c>
      <c r="Q655" s="53"/>
      <c r="R655" s="53"/>
      <c r="S655" s="52">
        <f>ROUND(ROUND(P655, 2)*I655, 2)</f>
        <v>0</v>
      </c>
      <c r="T655" s="53"/>
      <c r="U655" s="54"/>
      <c r="V655" s="9">
        <f>ROUND(ROUND(P655, 2)/1.2, 2)</f>
        <v>74</v>
      </c>
      <c r="Y655" s="9">
        <f>ROUND(S655 / 1.2, 2)</f>
        <v>0</v>
      </c>
      <c r="AD655" s="4" t="s">
        <v>2086</v>
      </c>
      <c r="AE655" s="4" t="s">
        <v>2087</v>
      </c>
      <c r="AF655" s="4" t="s">
        <v>436</v>
      </c>
    </row>
    <row r="656" spans="1:35" ht="36" x14ac:dyDescent="0.3">
      <c r="A656" s="43" t="s">
        <v>2088</v>
      </c>
      <c r="B656" s="43"/>
      <c r="C656" s="55" t="s">
        <v>433</v>
      </c>
      <c r="D656" s="45"/>
      <c r="E656" s="45"/>
      <c r="F656" s="56" t="s">
        <v>70</v>
      </c>
      <c r="G656" s="57">
        <v>0.15</v>
      </c>
      <c r="H656" s="45"/>
      <c r="I656" s="58">
        <v>19.065000000000001</v>
      </c>
      <c r="J656" s="59">
        <v>88.8</v>
      </c>
      <c r="K656" s="60"/>
      <c r="L656" s="60"/>
      <c r="M656" s="59">
        <f>ROUND(ROUND(J656, 2)*I656, 2)</f>
        <v>1692.97</v>
      </c>
      <c r="N656" s="60"/>
      <c r="O656" s="60"/>
      <c r="P656" s="59">
        <v>88.8</v>
      </c>
      <c r="Q656" s="60"/>
      <c r="R656" s="60"/>
      <c r="S656" s="59">
        <f>ROUND(ROUND(P656, 2)*I656, 2)</f>
        <v>1692.97</v>
      </c>
      <c r="T656" s="60"/>
      <c r="U656" s="61"/>
      <c r="V656" s="9">
        <f>ROUND(ROUND(P656, 2)/1.2, 2)</f>
        <v>74</v>
      </c>
      <c r="Y656" s="9">
        <f>ROUND(S656 / 1.2, 2)</f>
        <v>1410.81</v>
      </c>
      <c r="AD656" s="4" t="s">
        <v>2089</v>
      </c>
      <c r="AE656" s="4" t="s">
        <v>2087</v>
      </c>
      <c r="AF656" s="4" t="s">
        <v>436</v>
      </c>
    </row>
    <row r="657" spans="1:35" ht="54" x14ac:dyDescent="0.3">
      <c r="A657" s="37" t="s">
        <v>2090</v>
      </c>
      <c r="B657" s="37"/>
      <c r="C657" s="48" t="s">
        <v>2063</v>
      </c>
      <c r="D657" s="39"/>
      <c r="E657" s="39" t="s">
        <v>2091</v>
      </c>
      <c r="F657" s="49" t="s">
        <v>70</v>
      </c>
      <c r="G657" s="50">
        <v>0.3</v>
      </c>
      <c r="H657" s="39"/>
      <c r="I657" s="51">
        <v>0</v>
      </c>
      <c r="J657" s="52">
        <v>226.67</v>
      </c>
      <c r="K657" s="53"/>
      <c r="L657" s="53"/>
      <c r="M657" s="52">
        <f>ROUND(ROUND(J657, 2)*I657, 2)</f>
        <v>0</v>
      </c>
      <c r="N657" s="53"/>
      <c r="O657" s="53"/>
      <c r="P657" s="52">
        <v>226.67</v>
      </c>
      <c r="Q657" s="53"/>
      <c r="R657" s="53"/>
      <c r="S657" s="52">
        <f>ROUND(ROUND(P657, 2)*I657, 2)</f>
        <v>0</v>
      </c>
      <c r="T657" s="53"/>
      <c r="U657" s="54"/>
      <c r="V657" s="9">
        <f>ROUND(ROUND(P657, 2)/1.2, 2)</f>
        <v>188.89</v>
      </c>
      <c r="Y657" s="9">
        <f>ROUND(S657 / 1.2, 2)</f>
        <v>0</v>
      </c>
      <c r="AD657" s="4" t="s">
        <v>2092</v>
      </c>
      <c r="AE657" s="4" t="s">
        <v>2093</v>
      </c>
      <c r="AF657" s="4" t="s">
        <v>2067</v>
      </c>
    </row>
    <row r="658" spans="1:35" ht="54" x14ac:dyDescent="0.3">
      <c r="A658" s="43" t="s">
        <v>2094</v>
      </c>
      <c r="B658" s="43"/>
      <c r="C658" s="55" t="s">
        <v>2063</v>
      </c>
      <c r="D658" s="45"/>
      <c r="E658" s="45" t="s">
        <v>2091</v>
      </c>
      <c r="F658" s="56" t="s">
        <v>70</v>
      </c>
      <c r="G658" s="57">
        <v>0.3</v>
      </c>
      <c r="H658" s="45"/>
      <c r="I658" s="58">
        <v>38.130000000000003</v>
      </c>
      <c r="J658" s="59">
        <v>226.67</v>
      </c>
      <c r="K658" s="60"/>
      <c r="L658" s="60"/>
      <c r="M658" s="59">
        <f>ROUND(ROUND(J658, 2)*I658, 2)</f>
        <v>8642.93</v>
      </c>
      <c r="N658" s="60"/>
      <c r="O658" s="60"/>
      <c r="P658" s="59">
        <v>226.67</v>
      </c>
      <c r="Q658" s="60"/>
      <c r="R658" s="60"/>
      <c r="S658" s="59">
        <f>ROUND(ROUND(P658, 2)*I658, 2)</f>
        <v>8642.93</v>
      </c>
      <c r="T658" s="60"/>
      <c r="U658" s="61"/>
      <c r="V658" s="9">
        <f>ROUND(ROUND(P658, 2)/1.2, 2)</f>
        <v>188.89</v>
      </c>
      <c r="Y658" s="9">
        <f>ROUND(S658 / 1.2, 2)</f>
        <v>7202.44</v>
      </c>
      <c r="AD658" s="4" t="s">
        <v>2095</v>
      </c>
      <c r="AE658" s="4" t="s">
        <v>2093</v>
      </c>
      <c r="AF658" s="4" t="s">
        <v>2067</v>
      </c>
    </row>
    <row r="659" spans="1:35" ht="54" x14ac:dyDescent="0.3">
      <c r="A659" s="37" t="s">
        <v>2096</v>
      </c>
      <c r="B659" s="37" t="s">
        <v>2039</v>
      </c>
      <c r="C659" s="38" t="s">
        <v>2040</v>
      </c>
      <c r="D659" s="39"/>
      <c r="E659" s="39" t="s">
        <v>63</v>
      </c>
      <c r="F659" s="39" t="s">
        <v>64</v>
      </c>
      <c r="G659" s="40">
        <v>1</v>
      </c>
      <c r="H659" s="39"/>
      <c r="I659" s="41">
        <v>0</v>
      </c>
      <c r="J659" s="42">
        <f>IFERROR(ROUND(SUM(M661,M663)/I659, 2),0)</f>
        <v>0</v>
      </c>
      <c r="K659" s="42">
        <v>306</v>
      </c>
      <c r="L659" s="42">
        <f>J659+ROUND(K659, 2)</f>
        <v>306</v>
      </c>
      <c r="M659" s="42">
        <f>ROUND(J659*I659, 2)</f>
        <v>0</v>
      </c>
      <c r="N659" s="42">
        <f>ROUND(I659*ROUND(K659, 2), 2)</f>
        <v>0</v>
      </c>
      <c r="O659" s="42">
        <f>M659+N659</f>
        <v>0</v>
      </c>
      <c r="P659" s="42">
        <f>IFERROR(ROUND(SUM(S661,S663)/I659, 2),0)</f>
        <v>0</v>
      </c>
      <c r="Q659" s="42">
        <v>278</v>
      </c>
      <c r="R659" s="42">
        <f>P659+ROUND(Q659, 2)</f>
        <v>278</v>
      </c>
      <c r="S659" s="42">
        <f>ROUND(P659*I659, 2)</f>
        <v>0</v>
      </c>
      <c r="T659" s="42">
        <f>ROUND(I659*ROUND(Q659, 2), 2)</f>
        <v>0</v>
      </c>
      <c r="U659" s="42">
        <f>S659+T659</f>
        <v>0</v>
      </c>
      <c r="V659" s="9">
        <f>ROUND(P659 / 1.2, 2)</f>
        <v>0</v>
      </c>
      <c r="W659" s="9">
        <f>ROUND(Q659 / 1.2, 2)</f>
        <v>231.67</v>
      </c>
      <c r="X659" s="9">
        <f>ROUND(R659 / 1.2, 2)</f>
        <v>231.67</v>
      </c>
      <c r="Y659" s="9">
        <f>ROUND(S659 / 1.2, 2)</f>
        <v>0</v>
      </c>
      <c r="Z659" s="9">
        <f>ROUND(T659 / 1.2, 2)</f>
        <v>0</v>
      </c>
      <c r="AA659" s="9">
        <f>Y659+Z659</f>
        <v>0</v>
      </c>
      <c r="AD659" s="4">
        <v>298925450</v>
      </c>
      <c r="AE659" s="4">
        <v>16231519</v>
      </c>
      <c r="AG659" s="4" t="s">
        <v>2041</v>
      </c>
      <c r="AH659" s="4" t="s">
        <v>2042</v>
      </c>
      <c r="AI659" s="4" t="s">
        <v>67</v>
      </c>
    </row>
    <row r="660" spans="1:35" ht="54" x14ac:dyDescent="0.3">
      <c r="A660" s="43" t="s">
        <v>2097</v>
      </c>
      <c r="B660" s="43" t="s">
        <v>2039</v>
      </c>
      <c r="C660" s="44" t="s">
        <v>2040</v>
      </c>
      <c r="D660" s="45"/>
      <c r="E660" s="45"/>
      <c r="F660" s="45" t="s">
        <v>64</v>
      </c>
      <c r="G660" s="46">
        <v>1</v>
      </c>
      <c r="H660" s="45"/>
      <c r="I660" s="46">
        <v>69.2</v>
      </c>
      <c r="J660" s="47">
        <v>0</v>
      </c>
      <c r="K660" s="47">
        <v>278</v>
      </c>
      <c r="L660" s="47"/>
      <c r="M660" s="47">
        <v>0</v>
      </c>
      <c r="N660" s="47"/>
      <c r="O660" s="47"/>
      <c r="P660" s="47">
        <v>0</v>
      </c>
      <c r="Q660" s="47">
        <v>278</v>
      </c>
      <c r="R660" s="47"/>
      <c r="S660" s="47">
        <v>0</v>
      </c>
      <c r="T660" s="47"/>
      <c r="U660" s="47"/>
      <c r="V660" s="9"/>
      <c r="W660" s="9">
        <f>ROUND(Q660 / 1.2, 2)</f>
        <v>231.67</v>
      </c>
      <c r="X660" s="9">
        <f>ROUND(R660 / 1.2, 2)</f>
        <v>0</v>
      </c>
      <c r="Y660" s="9"/>
      <c r="Z660" s="9">
        <f>ROUND(T660 / 1.2, 2)</f>
        <v>0</v>
      </c>
      <c r="AA660" s="9"/>
      <c r="AD660" s="4">
        <v>220089306</v>
      </c>
      <c r="AE660" s="4">
        <v>16231519</v>
      </c>
      <c r="AG660" s="4" t="s">
        <v>2041</v>
      </c>
      <c r="AH660" s="4" t="s">
        <v>2042</v>
      </c>
      <c r="AI660" s="4"/>
    </row>
    <row r="661" spans="1:35" ht="54" x14ac:dyDescent="0.3">
      <c r="A661" s="37" t="s">
        <v>2098</v>
      </c>
      <c r="B661" s="37"/>
      <c r="C661" s="48" t="s">
        <v>2063</v>
      </c>
      <c r="D661" s="39"/>
      <c r="E661" s="39" t="s">
        <v>2099</v>
      </c>
      <c r="F661" s="49" t="s">
        <v>70</v>
      </c>
      <c r="G661" s="50">
        <v>0.3</v>
      </c>
      <c r="H661" s="39"/>
      <c r="I661" s="51">
        <v>0</v>
      </c>
      <c r="J661" s="52">
        <v>226.67</v>
      </c>
      <c r="K661" s="53"/>
      <c r="L661" s="53"/>
      <c r="M661" s="52">
        <f>ROUND(ROUND(J661, 2)*I661, 2)</f>
        <v>0</v>
      </c>
      <c r="N661" s="53"/>
      <c r="O661" s="53"/>
      <c r="P661" s="52">
        <v>226.67</v>
      </c>
      <c r="Q661" s="53"/>
      <c r="R661" s="53"/>
      <c r="S661" s="52">
        <f>ROUND(ROUND(P661, 2)*I661, 2)</f>
        <v>0</v>
      </c>
      <c r="T661" s="53"/>
      <c r="U661" s="54"/>
      <c r="V661" s="9">
        <f>ROUND(ROUND(P661, 2)/1.2, 2)</f>
        <v>188.89</v>
      </c>
      <c r="Y661" s="9">
        <f>ROUND(S661 / 1.2, 2)</f>
        <v>0</v>
      </c>
      <c r="AD661" s="4" t="s">
        <v>2100</v>
      </c>
      <c r="AE661" s="4" t="s">
        <v>2101</v>
      </c>
      <c r="AF661" s="4" t="s">
        <v>2067</v>
      </c>
    </row>
    <row r="662" spans="1:35" ht="54" x14ac:dyDescent="0.3">
      <c r="A662" s="43" t="s">
        <v>2102</v>
      </c>
      <c r="B662" s="43"/>
      <c r="C662" s="55" t="s">
        <v>2063</v>
      </c>
      <c r="D662" s="45"/>
      <c r="E662" s="45" t="s">
        <v>2099</v>
      </c>
      <c r="F662" s="56" t="s">
        <v>70</v>
      </c>
      <c r="G662" s="57">
        <v>0.3</v>
      </c>
      <c r="H662" s="45"/>
      <c r="I662" s="58">
        <v>20.76</v>
      </c>
      <c r="J662" s="59">
        <v>226.67</v>
      </c>
      <c r="K662" s="60"/>
      <c r="L662" s="60"/>
      <c r="M662" s="59">
        <f>ROUND(ROUND(J662, 2)*I662, 2)</f>
        <v>4705.67</v>
      </c>
      <c r="N662" s="60"/>
      <c r="O662" s="60"/>
      <c r="P662" s="59">
        <v>226.67</v>
      </c>
      <c r="Q662" s="60"/>
      <c r="R662" s="60"/>
      <c r="S662" s="59">
        <f>ROUND(ROUND(P662, 2)*I662, 2)</f>
        <v>4705.67</v>
      </c>
      <c r="T662" s="60"/>
      <c r="U662" s="61"/>
      <c r="V662" s="9">
        <f>ROUND(ROUND(P662, 2)/1.2, 2)</f>
        <v>188.89</v>
      </c>
      <c r="Y662" s="9">
        <f>ROUND(S662 / 1.2, 2)</f>
        <v>3921.39</v>
      </c>
      <c r="AD662" s="4" t="s">
        <v>2103</v>
      </c>
      <c r="AE662" s="4" t="s">
        <v>2101</v>
      </c>
      <c r="AF662" s="4" t="s">
        <v>2067</v>
      </c>
    </row>
    <row r="663" spans="1:35" ht="36" x14ac:dyDescent="0.3">
      <c r="A663" s="37" t="s">
        <v>2104</v>
      </c>
      <c r="B663" s="37"/>
      <c r="C663" s="48" t="s">
        <v>433</v>
      </c>
      <c r="D663" s="39"/>
      <c r="E663" s="39"/>
      <c r="F663" s="49" t="s">
        <v>70</v>
      </c>
      <c r="G663" s="50">
        <v>0.15</v>
      </c>
      <c r="H663" s="39"/>
      <c r="I663" s="51">
        <v>0</v>
      </c>
      <c r="J663" s="52">
        <v>88.8</v>
      </c>
      <c r="K663" s="53"/>
      <c r="L663" s="53"/>
      <c r="M663" s="52">
        <f>ROUND(ROUND(J663, 2)*I663, 2)</f>
        <v>0</v>
      </c>
      <c r="N663" s="53"/>
      <c r="O663" s="53"/>
      <c r="P663" s="52">
        <v>88.8</v>
      </c>
      <c r="Q663" s="53"/>
      <c r="R663" s="53"/>
      <c r="S663" s="52">
        <f>ROUND(ROUND(P663, 2)*I663, 2)</f>
        <v>0</v>
      </c>
      <c r="T663" s="53"/>
      <c r="U663" s="54"/>
      <c r="V663" s="9">
        <f>ROUND(ROUND(P663, 2)/1.2, 2)</f>
        <v>74</v>
      </c>
      <c r="Y663" s="9">
        <f>ROUND(S663 / 1.2, 2)</f>
        <v>0</v>
      </c>
      <c r="AD663" s="4" t="s">
        <v>2105</v>
      </c>
      <c r="AE663" s="4" t="s">
        <v>2106</v>
      </c>
      <c r="AF663" s="4" t="s">
        <v>436</v>
      </c>
    </row>
    <row r="664" spans="1:35" ht="36" x14ac:dyDescent="0.3">
      <c r="A664" s="43" t="s">
        <v>2107</v>
      </c>
      <c r="B664" s="43"/>
      <c r="C664" s="55" t="s">
        <v>433</v>
      </c>
      <c r="D664" s="45"/>
      <c r="E664" s="45"/>
      <c r="F664" s="56" t="s">
        <v>70</v>
      </c>
      <c r="G664" s="57">
        <v>0.15</v>
      </c>
      <c r="H664" s="45"/>
      <c r="I664" s="58">
        <v>10.38</v>
      </c>
      <c r="J664" s="59">
        <v>88.8</v>
      </c>
      <c r="K664" s="60"/>
      <c r="L664" s="60"/>
      <c r="M664" s="59">
        <f>ROUND(ROUND(J664, 2)*I664, 2)</f>
        <v>921.74</v>
      </c>
      <c r="N664" s="60"/>
      <c r="O664" s="60"/>
      <c r="P664" s="59">
        <v>88.8</v>
      </c>
      <c r="Q664" s="60"/>
      <c r="R664" s="60"/>
      <c r="S664" s="59">
        <f>ROUND(ROUND(P664, 2)*I664, 2)</f>
        <v>921.74</v>
      </c>
      <c r="T664" s="60"/>
      <c r="U664" s="61"/>
      <c r="V664" s="9">
        <f>ROUND(ROUND(P664, 2)/1.2, 2)</f>
        <v>74</v>
      </c>
      <c r="Y664" s="9">
        <f>ROUND(S664 / 1.2, 2)</f>
        <v>768.12</v>
      </c>
      <c r="AD664" s="4" t="s">
        <v>2108</v>
      </c>
      <c r="AE664" s="4" t="s">
        <v>2106</v>
      </c>
      <c r="AF664" s="4" t="s">
        <v>436</v>
      </c>
    </row>
    <row r="665" spans="1:35" ht="54" x14ac:dyDescent="0.3">
      <c r="A665" s="37" t="s">
        <v>2109</v>
      </c>
      <c r="B665" s="37" t="s">
        <v>2039</v>
      </c>
      <c r="C665" s="38" t="s">
        <v>2040</v>
      </c>
      <c r="D665" s="39"/>
      <c r="E665" s="39" t="s">
        <v>63</v>
      </c>
      <c r="F665" s="39" t="s">
        <v>64</v>
      </c>
      <c r="G665" s="40">
        <v>1</v>
      </c>
      <c r="H665" s="39"/>
      <c r="I665" s="41">
        <v>0</v>
      </c>
      <c r="J665" s="42">
        <f>IFERROR(ROUND(SUM(M667,M669)/I665, 2),0)</f>
        <v>0</v>
      </c>
      <c r="K665" s="42">
        <v>306</v>
      </c>
      <c r="L665" s="42">
        <f>J665+ROUND(K665, 2)</f>
        <v>306</v>
      </c>
      <c r="M665" s="42">
        <f>ROUND(J665*I665, 2)</f>
        <v>0</v>
      </c>
      <c r="N665" s="42">
        <f>ROUND(I665*ROUND(K665, 2), 2)</f>
        <v>0</v>
      </c>
      <c r="O665" s="42">
        <f>M665+N665</f>
        <v>0</v>
      </c>
      <c r="P665" s="42">
        <f>IFERROR(ROUND(SUM(S667,S669)/I665, 2),0)</f>
        <v>0</v>
      </c>
      <c r="Q665" s="42">
        <v>278</v>
      </c>
      <c r="R665" s="42">
        <f>P665+ROUND(Q665, 2)</f>
        <v>278</v>
      </c>
      <c r="S665" s="42">
        <f>ROUND(P665*I665, 2)</f>
        <v>0</v>
      </c>
      <c r="T665" s="42">
        <f>ROUND(I665*ROUND(Q665, 2), 2)</f>
        <v>0</v>
      </c>
      <c r="U665" s="42">
        <f>S665+T665</f>
        <v>0</v>
      </c>
      <c r="V665" s="9">
        <f>ROUND(P665 / 1.2, 2)</f>
        <v>0</v>
      </c>
      <c r="W665" s="9">
        <f>ROUND(Q665 / 1.2, 2)</f>
        <v>231.67</v>
      </c>
      <c r="X665" s="9">
        <f>ROUND(R665 / 1.2, 2)</f>
        <v>231.67</v>
      </c>
      <c r="Y665" s="9">
        <f>ROUND(S665 / 1.2, 2)</f>
        <v>0</v>
      </c>
      <c r="Z665" s="9">
        <f>ROUND(T665 / 1.2, 2)</f>
        <v>0</v>
      </c>
      <c r="AA665" s="9">
        <f>Y665+Z665</f>
        <v>0</v>
      </c>
      <c r="AD665" s="4">
        <v>298925451</v>
      </c>
      <c r="AE665" s="4">
        <v>16231520</v>
      </c>
      <c r="AG665" s="4" t="s">
        <v>2041</v>
      </c>
      <c r="AH665" s="4" t="s">
        <v>2042</v>
      </c>
      <c r="AI665" s="4" t="s">
        <v>67</v>
      </c>
    </row>
    <row r="666" spans="1:35" ht="54" x14ac:dyDescent="0.3">
      <c r="A666" s="43" t="s">
        <v>2110</v>
      </c>
      <c r="B666" s="43" t="s">
        <v>2039</v>
      </c>
      <c r="C666" s="44" t="s">
        <v>2040</v>
      </c>
      <c r="D666" s="45"/>
      <c r="E666" s="45"/>
      <c r="F666" s="45" t="s">
        <v>64</v>
      </c>
      <c r="G666" s="46">
        <v>1</v>
      </c>
      <c r="H666" s="45"/>
      <c r="I666" s="46">
        <v>68.8</v>
      </c>
      <c r="J666" s="47">
        <v>0</v>
      </c>
      <c r="K666" s="47">
        <v>278</v>
      </c>
      <c r="L666" s="47"/>
      <c r="M666" s="47">
        <v>0</v>
      </c>
      <c r="N666" s="47"/>
      <c r="O666" s="47"/>
      <c r="P666" s="47">
        <v>0</v>
      </c>
      <c r="Q666" s="47">
        <v>278</v>
      </c>
      <c r="R666" s="47"/>
      <c r="S666" s="47">
        <v>0</v>
      </c>
      <c r="T666" s="47"/>
      <c r="U666" s="47"/>
      <c r="V666" s="9"/>
      <c r="W666" s="9">
        <f>ROUND(Q666 / 1.2, 2)</f>
        <v>231.67</v>
      </c>
      <c r="X666" s="9">
        <f>ROUND(R666 / 1.2, 2)</f>
        <v>0</v>
      </c>
      <c r="Y666" s="9"/>
      <c r="Z666" s="9">
        <f>ROUND(T666 / 1.2, 2)</f>
        <v>0</v>
      </c>
      <c r="AA666" s="9"/>
      <c r="AD666" s="4">
        <v>220089307</v>
      </c>
      <c r="AE666" s="4">
        <v>16231520</v>
      </c>
      <c r="AG666" s="4" t="s">
        <v>2041</v>
      </c>
      <c r="AH666" s="4" t="s">
        <v>2042</v>
      </c>
      <c r="AI666" s="4"/>
    </row>
    <row r="667" spans="1:35" ht="36" x14ac:dyDescent="0.3">
      <c r="A667" s="37" t="s">
        <v>2111</v>
      </c>
      <c r="B667" s="37"/>
      <c r="C667" s="48" t="s">
        <v>433</v>
      </c>
      <c r="D667" s="39"/>
      <c r="E667" s="39"/>
      <c r="F667" s="49" t="s">
        <v>70</v>
      </c>
      <c r="G667" s="50">
        <v>0.15</v>
      </c>
      <c r="H667" s="39"/>
      <c r="I667" s="51">
        <v>0</v>
      </c>
      <c r="J667" s="52">
        <v>88.8</v>
      </c>
      <c r="K667" s="53"/>
      <c r="L667" s="53"/>
      <c r="M667" s="52">
        <f>ROUND(ROUND(J667, 2)*I667, 2)</f>
        <v>0</v>
      </c>
      <c r="N667" s="53"/>
      <c r="O667" s="53"/>
      <c r="P667" s="52">
        <v>88.8</v>
      </c>
      <c r="Q667" s="53"/>
      <c r="R667" s="53"/>
      <c r="S667" s="52">
        <f>ROUND(ROUND(P667, 2)*I667, 2)</f>
        <v>0</v>
      </c>
      <c r="T667" s="53"/>
      <c r="U667" s="54"/>
      <c r="V667" s="9">
        <f>ROUND(ROUND(P667, 2)/1.2, 2)</f>
        <v>74</v>
      </c>
      <c r="Y667" s="9">
        <f>ROUND(S667 / 1.2, 2)</f>
        <v>0</v>
      </c>
      <c r="AD667" s="4" t="s">
        <v>2112</v>
      </c>
      <c r="AE667" s="4" t="s">
        <v>2113</v>
      </c>
      <c r="AF667" s="4" t="s">
        <v>436</v>
      </c>
    </row>
    <row r="668" spans="1:35" ht="36" x14ac:dyDescent="0.3">
      <c r="A668" s="43" t="s">
        <v>2114</v>
      </c>
      <c r="B668" s="43"/>
      <c r="C668" s="55" t="s">
        <v>433</v>
      </c>
      <c r="D668" s="45"/>
      <c r="E668" s="45"/>
      <c r="F668" s="56" t="s">
        <v>70</v>
      </c>
      <c r="G668" s="57">
        <v>0.15</v>
      </c>
      <c r="H668" s="45"/>
      <c r="I668" s="58">
        <v>10.32</v>
      </c>
      <c r="J668" s="59">
        <v>88.8</v>
      </c>
      <c r="K668" s="60"/>
      <c r="L668" s="60"/>
      <c r="M668" s="59">
        <f>ROUND(ROUND(J668, 2)*I668, 2)</f>
        <v>916.42</v>
      </c>
      <c r="N668" s="60"/>
      <c r="O668" s="60"/>
      <c r="P668" s="59">
        <v>88.8</v>
      </c>
      <c r="Q668" s="60"/>
      <c r="R668" s="60"/>
      <c r="S668" s="59">
        <f>ROUND(ROUND(P668, 2)*I668, 2)</f>
        <v>916.42</v>
      </c>
      <c r="T668" s="60"/>
      <c r="U668" s="61"/>
      <c r="V668" s="9">
        <f>ROUND(ROUND(P668, 2)/1.2, 2)</f>
        <v>74</v>
      </c>
      <c r="Y668" s="9">
        <f>ROUND(S668 / 1.2, 2)</f>
        <v>763.68</v>
      </c>
      <c r="AD668" s="4" t="s">
        <v>2115</v>
      </c>
      <c r="AE668" s="4" t="s">
        <v>2113</v>
      </c>
      <c r="AF668" s="4" t="s">
        <v>436</v>
      </c>
    </row>
    <row r="669" spans="1:35" ht="54" x14ac:dyDescent="0.3">
      <c r="A669" s="37" t="s">
        <v>2116</v>
      </c>
      <c r="B669" s="37"/>
      <c r="C669" s="48" t="s">
        <v>2063</v>
      </c>
      <c r="D669" s="39"/>
      <c r="E669" s="39" t="s">
        <v>2117</v>
      </c>
      <c r="F669" s="49" t="s">
        <v>70</v>
      </c>
      <c r="G669" s="50">
        <v>0.3</v>
      </c>
      <c r="H669" s="39"/>
      <c r="I669" s="51">
        <v>0</v>
      </c>
      <c r="J669" s="52">
        <v>226.67</v>
      </c>
      <c r="K669" s="53"/>
      <c r="L669" s="53"/>
      <c r="M669" s="52">
        <f>ROUND(ROUND(J669, 2)*I669, 2)</f>
        <v>0</v>
      </c>
      <c r="N669" s="53"/>
      <c r="O669" s="53"/>
      <c r="P669" s="52">
        <v>226.67</v>
      </c>
      <c r="Q669" s="53"/>
      <c r="R669" s="53"/>
      <c r="S669" s="52">
        <f>ROUND(ROUND(P669, 2)*I669, 2)</f>
        <v>0</v>
      </c>
      <c r="T669" s="53"/>
      <c r="U669" s="54"/>
      <c r="V669" s="9">
        <f>ROUND(ROUND(P669, 2)/1.2, 2)</f>
        <v>188.89</v>
      </c>
      <c r="Y669" s="9">
        <f>ROUND(S669 / 1.2, 2)</f>
        <v>0</v>
      </c>
      <c r="AD669" s="4" t="s">
        <v>2118</v>
      </c>
      <c r="AE669" s="4" t="s">
        <v>2119</v>
      </c>
      <c r="AF669" s="4" t="s">
        <v>2067</v>
      </c>
    </row>
    <row r="670" spans="1:35" ht="54" x14ac:dyDescent="0.3">
      <c r="A670" s="43" t="s">
        <v>2120</v>
      </c>
      <c r="B670" s="43"/>
      <c r="C670" s="55" t="s">
        <v>2063</v>
      </c>
      <c r="D670" s="45"/>
      <c r="E670" s="45" t="s">
        <v>2117</v>
      </c>
      <c r="F670" s="56" t="s">
        <v>70</v>
      </c>
      <c r="G670" s="57">
        <v>0.3</v>
      </c>
      <c r="H670" s="45"/>
      <c r="I670" s="58">
        <v>20.64</v>
      </c>
      <c r="J670" s="59">
        <v>226.67</v>
      </c>
      <c r="K670" s="60"/>
      <c r="L670" s="60"/>
      <c r="M670" s="59">
        <f>ROUND(ROUND(J670, 2)*I670, 2)</f>
        <v>4678.47</v>
      </c>
      <c r="N670" s="60"/>
      <c r="O670" s="60"/>
      <c r="P670" s="59">
        <v>226.67</v>
      </c>
      <c r="Q670" s="60"/>
      <c r="R670" s="60"/>
      <c r="S670" s="59">
        <f>ROUND(ROUND(P670, 2)*I670, 2)</f>
        <v>4678.47</v>
      </c>
      <c r="T670" s="60"/>
      <c r="U670" s="61"/>
      <c r="V670" s="9">
        <f>ROUND(ROUND(P670, 2)/1.2, 2)</f>
        <v>188.89</v>
      </c>
      <c r="Y670" s="9">
        <f>ROUND(S670 / 1.2, 2)</f>
        <v>3898.73</v>
      </c>
      <c r="AD670" s="4" t="s">
        <v>2121</v>
      </c>
      <c r="AE670" s="4" t="s">
        <v>2119</v>
      </c>
      <c r="AF670" s="4" t="s">
        <v>2067</v>
      </c>
    </row>
    <row r="671" spans="1:35" ht="54" x14ac:dyDescent="0.3">
      <c r="A671" s="37" t="s">
        <v>2122</v>
      </c>
      <c r="B671" s="37" t="s">
        <v>2039</v>
      </c>
      <c r="C671" s="38" t="s">
        <v>2040</v>
      </c>
      <c r="D671" s="39"/>
      <c r="E671" s="39" t="s">
        <v>63</v>
      </c>
      <c r="F671" s="39" t="s">
        <v>64</v>
      </c>
      <c r="G671" s="40">
        <v>1</v>
      </c>
      <c r="H671" s="39"/>
      <c r="I671" s="41">
        <v>0</v>
      </c>
      <c r="J671" s="42">
        <f>IFERROR(ROUND(SUM(M673,M675)/I671, 2),0)</f>
        <v>0</v>
      </c>
      <c r="K671" s="42">
        <v>306</v>
      </c>
      <c r="L671" s="42">
        <f>J671+ROUND(K671, 2)</f>
        <v>306</v>
      </c>
      <c r="M671" s="42">
        <f>ROUND(J671*I671, 2)</f>
        <v>0</v>
      </c>
      <c r="N671" s="42">
        <f>ROUND(I671*ROUND(K671, 2), 2)</f>
        <v>0</v>
      </c>
      <c r="O671" s="42">
        <f>M671+N671</f>
        <v>0</v>
      </c>
      <c r="P671" s="42">
        <f>IFERROR(ROUND(SUM(S673,S675)/I671, 2),0)</f>
        <v>0</v>
      </c>
      <c r="Q671" s="42">
        <v>278</v>
      </c>
      <c r="R671" s="42">
        <f>P671+ROUND(Q671, 2)</f>
        <v>278</v>
      </c>
      <c r="S671" s="42">
        <f>ROUND(P671*I671, 2)</f>
        <v>0</v>
      </c>
      <c r="T671" s="42">
        <f>ROUND(I671*ROUND(Q671, 2), 2)</f>
        <v>0</v>
      </c>
      <c r="U671" s="42">
        <f>S671+T671</f>
        <v>0</v>
      </c>
      <c r="V671" s="9">
        <f>ROUND(P671 / 1.2, 2)</f>
        <v>0</v>
      </c>
      <c r="W671" s="9">
        <f>ROUND(Q671 / 1.2, 2)</f>
        <v>231.67</v>
      </c>
      <c r="X671" s="9">
        <f>ROUND(R671 / 1.2, 2)</f>
        <v>231.67</v>
      </c>
      <c r="Y671" s="9">
        <f>ROUND(S671 / 1.2, 2)</f>
        <v>0</v>
      </c>
      <c r="Z671" s="9">
        <f>ROUND(T671 / 1.2, 2)</f>
        <v>0</v>
      </c>
      <c r="AA671" s="9">
        <f>Y671+Z671</f>
        <v>0</v>
      </c>
      <c r="AD671" s="4">
        <v>298925452</v>
      </c>
      <c r="AE671" s="4">
        <v>16231521</v>
      </c>
      <c r="AG671" s="4" t="s">
        <v>2041</v>
      </c>
      <c r="AH671" s="4" t="s">
        <v>2042</v>
      </c>
      <c r="AI671" s="4" t="s">
        <v>67</v>
      </c>
    </row>
    <row r="672" spans="1:35" ht="54" x14ac:dyDescent="0.3">
      <c r="A672" s="43" t="s">
        <v>2123</v>
      </c>
      <c r="B672" s="43" t="s">
        <v>2039</v>
      </c>
      <c r="C672" s="44" t="s">
        <v>2040</v>
      </c>
      <c r="D672" s="45"/>
      <c r="E672" s="45"/>
      <c r="F672" s="45" t="s">
        <v>64</v>
      </c>
      <c r="G672" s="46">
        <v>1</v>
      </c>
      <c r="H672" s="45"/>
      <c r="I672" s="46">
        <v>57</v>
      </c>
      <c r="J672" s="47">
        <v>0</v>
      </c>
      <c r="K672" s="47">
        <v>278</v>
      </c>
      <c r="L672" s="47"/>
      <c r="M672" s="47">
        <v>0</v>
      </c>
      <c r="N672" s="47"/>
      <c r="O672" s="47"/>
      <c r="P672" s="47">
        <v>0</v>
      </c>
      <c r="Q672" s="47">
        <v>278</v>
      </c>
      <c r="R672" s="47"/>
      <c r="S672" s="47">
        <v>0</v>
      </c>
      <c r="T672" s="47"/>
      <c r="U672" s="47"/>
      <c r="V672" s="9"/>
      <c r="W672" s="9">
        <f>ROUND(Q672 / 1.2, 2)</f>
        <v>231.67</v>
      </c>
      <c r="X672" s="9">
        <f>ROUND(R672 / 1.2, 2)</f>
        <v>0</v>
      </c>
      <c r="Y672" s="9"/>
      <c r="Z672" s="9">
        <f>ROUND(T672 / 1.2, 2)</f>
        <v>0</v>
      </c>
      <c r="AA672" s="9"/>
      <c r="AD672" s="4">
        <v>220089308</v>
      </c>
      <c r="AE672" s="4">
        <v>16231521</v>
      </c>
      <c r="AG672" s="4" t="s">
        <v>2041</v>
      </c>
      <c r="AH672" s="4" t="s">
        <v>2042</v>
      </c>
      <c r="AI672" s="4"/>
    </row>
    <row r="673" spans="1:35" ht="54" x14ac:dyDescent="0.3">
      <c r="A673" s="37" t="s">
        <v>2124</v>
      </c>
      <c r="B673" s="37"/>
      <c r="C673" s="48" t="s">
        <v>2063</v>
      </c>
      <c r="D673" s="39"/>
      <c r="E673" s="39" t="s">
        <v>2125</v>
      </c>
      <c r="F673" s="49" t="s">
        <v>70</v>
      </c>
      <c r="G673" s="50">
        <v>0.3</v>
      </c>
      <c r="H673" s="39"/>
      <c r="I673" s="51">
        <v>0</v>
      </c>
      <c r="J673" s="52">
        <v>226.67</v>
      </c>
      <c r="K673" s="53"/>
      <c r="L673" s="53"/>
      <c r="M673" s="52">
        <f>ROUND(ROUND(J673, 2)*I673, 2)</f>
        <v>0</v>
      </c>
      <c r="N673" s="53"/>
      <c r="O673" s="53"/>
      <c r="P673" s="52">
        <v>226.67</v>
      </c>
      <c r="Q673" s="53"/>
      <c r="R673" s="53"/>
      <c r="S673" s="52">
        <f>ROUND(ROUND(P673, 2)*I673, 2)</f>
        <v>0</v>
      </c>
      <c r="T673" s="53"/>
      <c r="U673" s="54"/>
      <c r="V673" s="9">
        <f>ROUND(ROUND(P673, 2)/1.2, 2)</f>
        <v>188.89</v>
      </c>
      <c r="Y673" s="9">
        <f>ROUND(S673 / 1.2, 2)</f>
        <v>0</v>
      </c>
      <c r="AD673" s="4" t="s">
        <v>2126</v>
      </c>
      <c r="AE673" s="4" t="s">
        <v>2127</v>
      </c>
      <c r="AF673" s="4" t="s">
        <v>2067</v>
      </c>
    </row>
    <row r="674" spans="1:35" ht="54" x14ac:dyDescent="0.3">
      <c r="A674" s="43" t="s">
        <v>2128</v>
      </c>
      <c r="B674" s="43"/>
      <c r="C674" s="55" t="s">
        <v>2063</v>
      </c>
      <c r="D674" s="45"/>
      <c r="E674" s="45" t="s">
        <v>2125</v>
      </c>
      <c r="F674" s="56" t="s">
        <v>70</v>
      </c>
      <c r="G674" s="57">
        <v>0.3</v>
      </c>
      <c r="H674" s="45"/>
      <c r="I674" s="58">
        <v>17.100000000000001</v>
      </c>
      <c r="J674" s="59">
        <v>226.67</v>
      </c>
      <c r="K674" s="60"/>
      <c r="L674" s="60"/>
      <c r="M674" s="59">
        <f>ROUND(ROUND(J674, 2)*I674, 2)</f>
        <v>3876.06</v>
      </c>
      <c r="N674" s="60"/>
      <c r="O674" s="60"/>
      <c r="P674" s="59">
        <v>226.67</v>
      </c>
      <c r="Q674" s="60"/>
      <c r="R674" s="60"/>
      <c r="S674" s="59">
        <f>ROUND(ROUND(P674, 2)*I674, 2)</f>
        <v>3876.06</v>
      </c>
      <c r="T674" s="60"/>
      <c r="U674" s="61"/>
      <c r="V674" s="9">
        <f>ROUND(ROUND(P674, 2)/1.2, 2)</f>
        <v>188.89</v>
      </c>
      <c r="Y674" s="9">
        <f>ROUND(S674 / 1.2, 2)</f>
        <v>3230.05</v>
      </c>
      <c r="AD674" s="4" t="s">
        <v>2129</v>
      </c>
      <c r="AE674" s="4" t="s">
        <v>2127</v>
      </c>
      <c r="AF674" s="4" t="s">
        <v>2067</v>
      </c>
    </row>
    <row r="675" spans="1:35" ht="36" x14ac:dyDescent="0.3">
      <c r="A675" s="37" t="s">
        <v>2130</v>
      </c>
      <c r="B675" s="37"/>
      <c r="C675" s="48" t="s">
        <v>433</v>
      </c>
      <c r="D675" s="39"/>
      <c r="E675" s="39"/>
      <c r="F675" s="49" t="s">
        <v>70</v>
      </c>
      <c r="G675" s="50">
        <v>0.15</v>
      </c>
      <c r="H675" s="39"/>
      <c r="I675" s="51">
        <v>0</v>
      </c>
      <c r="J675" s="52">
        <v>88.8</v>
      </c>
      <c r="K675" s="53"/>
      <c r="L675" s="53"/>
      <c r="M675" s="52">
        <f>ROUND(ROUND(J675, 2)*I675, 2)</f>
        <v>0</v>
      </c>
      <c r="N675" s="53"/>
      <c r="O675" s="53"/>
      <c r="P675" s="52">
        <v>88.8</v>
      </c>
      <c r="Q675" s="53"/>
      <c r="R675" s="53"/>
      <c r="S675" s="52">
        <f>ROUND(ROUND(P675, 2)*I675, 2)</f>
        <v>0</v>
      </c>
      <c r="T675" s="53"/>
      <c r="U675" s="54"/>
      <c r="V675" s="9">
        <f>ROUND(ROUND(P675, 2)/1.2, 2)</f>
        <v>74</v>
      </c>
      <c r="Y675" s="9">
        <f>ROUND(S675 / 1.2, 2)</f>
        <v>0</v>
      </c>
      <c r="AD675" s="4" t="s">
        <v>2131</v>
      </c>
      <c r="AE675" s="4" t="s">
        <v>2132</v>
      </c>
      <c r="AF675" s="4" t="s">
        <v>436</v>
      </c>
    </row>
    <row r="676" spans="1:35" ht="36" x14ac:dyDescent="0.3">
      <c r="A676" s="43" t="s">
        <v>2133</v>
      </c>
      <c r="B676" s="43"/>
      <c r="C676" s="55" t="s">
        <v>433</v>
      </c>
      <c r="D676" s="45"/>
      <c r="E676" s="45"/>
      <c r="F676" s="56" t="s">
        <v>70</v>
      </c>
      <c r="G676" s="57">
        <v>0.15</v>
      </c>
      <c r="H676" s="45"/>
      <c r="I676" s="58">
        <v>8.5500000000000007</v>
      </c>
      <c r="J676" s="59">
        <v>88.8</v>
      </c>
      <c r="K676" s="60"/>
      <c r="L676" s="60"/>
      <c r="M676" s="59">
        <f>ROUND(ROUND(J676, 2)*I676, 2)</f>
        <v>759.24</v>
      </c>
      <c r="N676" s="60"/>
      <c r="O676" s="60"/>
      <c r="P676" s="59">
        <v>88.8</v>
      </c>
      <c r="Q676" s="60"/>
      <c r="R676" s="60"/>
      <c r="S676" s="59">
        <f>ROUND(ROUND(P676, 2)*I676, 2)</f>
        <v>759.24</v>
      </c>
      <c r="T676" s="60"/>
      <c r="U676" s="61"/>
      <c r="V676" s="9">
        <f>ROUND(ROUND(P676, 2)/1.2, 2)</f>
        <v>74</v>
      </c>
      <c r="Y676" s="9">
        <f>ROUND(S676 / 1.2, 2)</f>
        <v>632.70000000000005</v>
      </c>
      <c r="AD676" s="4" t="s">
        <v>2134</v>
      </c>
      <c r="AE676" s="4" t="s">
        <v>2132</v>
      </c>
      <c r="AF676" s="4" t="s">
        <v>436</v>
      </c>
    </row>
    <row r="677" spans="1:35" ht="54" x14ac:dyDescent="0.3">
      <c r="A677" s="37" t="s">
        <v>2135</v>
      </c>
      <c r="B677" s="37" t="s">
        <v>2039</v>
      </c>
      <c r="C677" s="38" t="s">
        <v>2040</v>
      </c>
      <c r="D677" s="39"/>
      <c r="E677" s="39" t="s">
        <v>63</v>
      </c>
      <c r="F677" s="39" t="s">
        <v>64</v>
      </c>
      <c r="G677" s="40">
        <v>1</v>
      </c>
      <c r="H677" s="39"/>
      <c r="I677" s="41">
        <v>0</v>
      </c>
      <c r="J677" s="42">
        <f>IFERROR(ROUND(SUM(M679,M681)/I677, 2),0)</f>
        <v>0</v>
      </c>
      <c r="K677" s="42">
        <v>306</v>
      </c>
      <c r="L677" s="42">
        <f>J677+ROUND(K677, 2)</f>
        <v>306</v>
      </c>
      <c r="M677" s="42">
        <f>ROUND(J677*I677, 2)</f>
        <v>0</v>
      </c>
      <c r="N677" s="42">
        <f>ROUND(I677*ROUND(K677, 2), 2)</f>
        <v>0</v>
      </c>
      <c r="O677" s="42">
        <f>M677+N677</f>
        <v>0</v>
      </c>
      <c r="P677" s="42">
        <f>IFERROR(ROUND(SUM(S679,S681)/I677, 2),0)</f>
        <v>0</v>
      </c>
      <c r="Q677" s="42">
        <v>278</v>
      </c>
      <c r="R677" s="42">
        <f>P677+ROUND(Q677, 2)</f>
        <v>278</v>
      </c>
      <c r="S677" s="42">
        <f>ROUND(P677*I677, 2)</f>
        <v>0</v>
      </c>
      <c r="T677" s="42">
        <f>ROUND(I677*ROUND(Q677, 2), 2)</f>
        <v>0</v>
      </c>
      <c r="U677" s="42">
        <f>S677+T677</f>
        <v>0</v>
      </c>
      <c r="V677" s="9">
        <f>ROUND(P677 / 1.2, 2)</f>
        <v>0</v>
      </c>
      <c r="W677" s="9">
        <f>ROUND(Q677 / 1.2, 2)</f>
        <v>231.67</v>
      </c>
      <c r="X677" s="9">
        <f>ROUND(R677 / 1.2, 2)</f>
        <v>231.67</v>
      </c>
      <c r="Y677" s="9">
        <f>ROUND(S677 / 1.2, 2)</f>
        <v>0</v>
      </c>
      <c r="Z677" s="9">
        <f>ROUND(T677 / 1.2, 2)</f>
        <v>0</v>
      </c>
      <c r="AA677" s="9">
        <f>Y677+Z677</f>
        <v>0</v>
      </c>
      <c r="AD677" s="4">
        <v>298925453</v>
      </c>
      <c r="AE677" s="4">
        <v>16231522</v>
      </c>
      <c r="AG677" s="4" t="s">
        <v>2041</v>
      </c>
      <c r="AH677" s="4" t="s">
        <v>2042</v>
      </c>
      <c r="AI677" s="4" t="s">
        <v>67</v>
      </c>
    </row>
    <row r="678" spans="1:35" ht="54" x14ac:dyDescent="0.3">
      <c r="A678" s="43" t="s">
        <v>2136</v>
      </c>
      <c r="B678" s="43" t="s">
        <v>2039</v>
      </c>
      <c r="C678" s="44" t="s">
        <v>2040</v>
      </c>
      <c r="D678" s="45"/>
      <c r="E678" s="45"/>
      <c r="F678" s="45" t="s">
        <v>64</v>
      </c>
      <c r="G678" s="46">
        <v>1</v>
      </c>
      <c r="H678" s="45"/>
      <c r="I678" s="46">
        <v>25.5</v>
      </c>
      <c r="J678" s="47">
        <v>0</v>
      </c>
      <c r="K678" s="47">
        <v>278</v>
      </c>
      <c r="L678" s="47"/>
      <c r="M678" s="47">
        <v>0</v>
      </c>
      <c r="N678" s="47"/>
      <c r="O678" s="47"/>
      <c r="P678" s="47">
        <v>0</v>
      </c>
      <c r="Q678" s="47">
        <v>278</v>
      </c>
      <c r="R678" s="47"/>
      <c r="S678" s="47">
        <v>0</v>
      </c>
      <c r="T678" s="47"/>
      <c r="U678" s="47"/>
      <c r="V678" s="9"/>
      <c r="W678" s="9">
        <f>ROUND(Q678 / 1.2, 2)</f>
        <v>231.67</v>
      </c>
      <c r="X678" s="9">
        <f>ROUND(R678 / 1.2, 2)</f>
        <v>0</v>
      </c>
      <c r="Y678" s="9"/>
      <c r="Z678" s="9">
        <f>ROUND(T678 / 1.2, 2)</f>
        <v>0</v>
      </c>
      <c r="AA678" s="9"/>
      <c r="AD678" s="4">
        <v>220089309</v>
      </c>
      <c r="AE678" s="4">
        <v>16231522</v>
      </c>
      <c r="AG678" s="4" t="s">
        <v>2041</v>
      </c>
      <c r="AH678" s="4" t="s">
        <v>2042</v>
      </c>
      <c r="AI678" s="4"/>
    </row>
    <row r="679" spans="1:35" ht="36" x14ac:dyDescent="0.3">
      <c r="A679" s="37" t="s">
        <v>2137</v>
      </c>
      <c r="B679" s="37"/>
      <c r="C679" s="48" t="s">
        <v>433</v>
      </c>
      <c r="D679" s="39"/>
      <c r="E679" s="39"/>
      <c r="F679" s="49" t="s">
        <v>70</v>
      </c>
      <c r="G679" s="50">
        <v>0.15</v>
      </c>
      <c r="H679" s="39"/>
      <c r="I679" s="51">
        <v>0</v>
      </c>
      <c r="J679" s="52">
        <v>88.8</v>
      </c>
      <c r="K679" s="53"/>
      <c r="L679" s="53"/>
      <c r="M679" s="52">
        <f>ROUND(ROUND(J679, 2)*I679, 2)</f>
        <v>0</v>
      </c>
      <c r="N679" s="53"/>
      <c r="O679" s="53"/>
      <c r="P679" s="52">
        <v>88.8</v>
      </c>
      <c r="Q679" s="53"/>
      <c r="R679" s="53"/>
      <c r="S679" s="52">
        <f>ROUND(ROUND(P679, 2)*I679, 2)</f>
        <v>0</v>
      </c>
      <c r="T679" s="53"/>
      <c r="U679" s="54"/>
      <c r="V679" s="9">
        <f>ROUND(ROUND(P679, 2)/1.2, 2)</f>
        <v>74</v>
      </c>
      <c r="Y679" s="9">
        <f t="shared" ref="Y679:Y710" si="78">ROUND(S679 / 1.2, 2)</f>
        <v>0</v>
      </c>
      <c r="AD679" s="4" t="s">
        <v>2138</v>
      </c>
      <c r="AE679" s="4" t="s">
        <v>2139</v>
      </c>
      <c r="AF679" s="4" t="s">
        <v>436</v>
      </c>
    </row>
    <row r="680" spans="1:35" ht="36" x14ac:dyDescent="0.3">
      <c r="A680" s="43" t="s">
        <v>2140</v>
      </c>
      <c r="B680" s="43"/>
      <c r="C680" s="55" t="s">
        <v>433</v>
      </c>
      <c r="D680" s="45"/>
      <c r="E680" s="45"/>
      <c r="F680" s="56" t="s">
        <v>70</v>
      </c>
      <c r="G680" s="57">
        <v>0.15</v>
      </c>
      <c r="H680" s="45"/>
      <c r="I680" s="58">
        <v>3.8250000000000002</v>
      </c>
      <c r="J680" s="59">
        <v>88.8</v>
      </c>
      <c r="K680" s="60"/>
      <c r="L680" s="60"/>
      <c r="M680" s="59">
        <f>ROUND(ROUND(J680, 2)*I680, 2)</f>
        <v>339.66</v>
      </c>
      <c r="N680" s="60"/>
      <c r="O680" s="60"/>
      <c r="P680" s="59">
        <v>88.8</v>
      </c>
      <c r="Q680" s="60"/>
      <c r="R680" s="60"/>
      <c r="S680" s="59">
        <f>ROUND(ROUND(P680, 2)*I680, 2)</f>
        <v>339.66</v>
      </c>
      <c r="T680" s="60"/>
      <c r="U680" s="61"/>
      <c r="V680" s="9">
        <f>ROUND(ROUND(P680, 2)/1.2, 2)</f>
        <v>74</v>
      </c>
      <c r="Y680" s="9">
        <f t="shared" si="78"/>
        <v>283.05</v>
      </c>
      <c r="AD680" s="4" t="s">
        <v>2141</v>
      </c>
      <c r="AE680" s="4" t="s">
        <v>2139</v>
      </c>
      <c r="AF680" s="4" t="s">
        <v>436</v>
      </c>
    </row>
    <row r="681" spans="1:35" ht="54" x14ac:dyDescent="0.3">
      <c r="A681" s="37" t="s">
        <v>2142</v>
      </c>
      <c r="B681" s="37"/>
      <c r="C681" s="48" t="s">
        <v>2063</v>
      </c>
      <c r="D681" s="39"/>
      <c r="E681" s="39" t="s">
        <v>2143</v>
      </c>
      <c r="F681" s="49" t="s">
        <v>70</v>
      </c>
      <c r="G681" s="50">
        <v>0.3</v>
      </c>
      <c r="H681" s="39"/>
      <c r="I681" s="51">
        <v>0</v>
      </c>
      <c r="J681" s="52">
        <v>226.67</v>
      </c>
      <c r="K681" s="53"/>
      <c r="L681" s="53"/>
      <c r="M681" s="52">
        <f>ROUND(ROUND(J681, 2)*I681, 2)</f>
        <v>0</v>
      </c>
      <c r="N681" s="53"/>
      <c r="O681" s="53"/>
      <c r="P681" s="52">
        <v>226.67</v>
      </c>
      <c r="Q681" s="53"/>
      <c r="R681" s="53"/>
      <c r="S681" s="52">
        <f>ROUND(ROUND(P681, 2)*I681, 2)</f>
        <v>0</v>
      </c>
      <c r="T681" s="53"/>
      <c r="U681" s="54"/>
      <c r="V681" s="9">
        <f>ROUND(ROUND(P681, 2)/1.2, 2)</f>
        <v>188.89</v>
      </c>
      <c r="Y681" s="9">
        <f t="shared" si="78"/>
        <v>0</v>
      </c>
      <c r="AD681" s="4" t="s">
        <v>2144</v>
      </c>
      <c r="AE681" s="4" t="s">
        <v>2145</v>
      </c>
      <c r="AF681" s="4" t="s">
        <v>2067</v>
      </c>
    </row>
    <row r="682" spans="1:35" ht="54" x14ac:dyDescent="0.3">
      <c r="A682" s="43" t="s">
        <v>2146</v>
      </c>
      <c r="B682" s="43"/>
      <c r="C682" s="55" t="s">
        <v>2063</v>
      </c>
      <c r="D682" s="45"/>
      <c r="E682" s="45" t="s">
        <v>2143</v>
      </c>
      <c r="F682" s="56" t="s">
        <v>70</v>
      </c>
      <c r="G682" s="57">
        <v>0.3</v>
      </c>
      <c r="H682" s="45"/>
      <c r="I682" s="58">
        <v>7.65</v>
      </c>
      <c r="J682" s="59">
        <v>226.67</v>
      </c>
      <c r="K682" s="60"/>
      <c r="L682" s="60"/>
      <c r="M682" s="59">
        <f>ROUND(ROUND(J682, 2)*I682, 2)</f>
        <v>1734.03</v>
      </c>
      <c r="N682" s="60"/>
      <c r="O682" s="60"/>
      <c r="P682" s="59">
        <v>226.67</v>
      </c>
      <c r="Q682" s="60"/>
      <c r="R682" s="60"/>
      <c r="S682" s="59">
        <f>ROUND(ROUND(P682, 2)*I682, 2)</f>
        <v>1734.03</v>
      </c>
      <c r="T682" s="60"/>
      <c r="U682" s="61"/>
      <c r="V682" s="9">
        <f>ROUND(ROUND(P682, 2)/1.2, 2)</f>
        <v>188.89</v>
      </c>
      <c r="Y682" s="9">
        <f t="shared" si="78"/>
        <v>1445.03</v>
      </c>
      <c r="AD682" s="4" t="s">
        <v>2147</v>
      </c>
      <c r="AE682" s="4" t="s">
        <v>2145</v>
      </c>
      <c r="AF682" s="4" t="s">
        <v>2067</v>
      </c>
    </row>
    <row r="683" spans="1:35" ht="36" x14ac:dyDescent="0.3">
      <c r="A683" s="25" t="s">
        <v>2148</v>
      </c>
      <c r="B683" s="25" t="s">
        <v>2149</v>
      </c>
      <c r="C683" s="26" t="s">
        <v>2150</v>
      </c>
      <c r="D683" s="27"/>
      <c r="E683" s="27" t="s">
        <v>2151</v>
      </c>
      <c r="F683" s="27" t="s">
        <v>64</v>
      </c>
      <c r="G683" s="28">
        <v>1</v>
      </c>
      <c r="H683" s="27"/>
      <c r="I683" s="28">
        <v>0.85</v>
      </c>
      <c r="J683" s="29">
        <f>IFERROR(ROUND(SUM(M684,M685)/I683, 2),0)</f>
        <v>13.38</v>
      </c>
      <c r="K683" s="29">
        <v>464</v>
      </c>
      <c r="L683" s="29">
        <f>J683+ROUND(K683, 2)</f>
        <v>477.38</v>
      </c>
      <c r="M683" s="29">
        <f>ROUND(J683*I683, 2)</f>
        <v>11.37</v>
      </c>
      <c r="N683" s="29">
        <f>ROUND(I683*ROUND(K683, 2), 2)</f>
        <v>394.4</v>
      </c>
      <c r="O683" s="29">
        <f>M683+N683</f>
        <v>405.77</v>
      </c>
      <c r="P683" s="29">
        <f>IFERROR(ROUND(SUM(S684,S685)/I683, 2),0)</f>
        <v>75.33</v>
      </c>
      <c r="Q683" s="29">
        <v>464</v>
      </c>
      <c r="R683" s="29">
        <f>P683+ROUND(Q683, 2)</f>
        <v>539.33000000000004</v>
      </c>
      <c r="S683" s="29">
        <f>ROUND(P683*I683, 2)</f>
        <v>64.03</v>
      </c>
      <c r="T683" s="29">
        <f>ROUND(I683*ROUND(Q683, 2), 2)</f>
        <v>394.4</v>
      </c>
      <c r="U683" s="29">
        <f>S683+T683</f>
        <v>458.42999999999995</v>
      </c>
      <c r="V683" s="9">
        <f>ROUND(P683 / 1.2, 2)</f>
        <v>62.78</v>
      </c>
      <c r="W683" s="9">
        <f>ROUND(Q683 / 1.2, 2)</f>
        <v>386.67</v>
      </c>
      <c r="X683" s="9">
        <f>ROUND(R683 / 1.2, 2)</f>
        <v>449.44</v>
      </c>
      <c r="Y683" s="9">
        <f t="shared" si="78"/>
        <v>53.36</v>
      </c>
      <c r="Z683" s="9">
        <f>ROUND(T683 / 1.2, 2)</f>
        <v>328.67</v>
      </c>
      <c r="AA683" s="9">
        <f>Y683+Z683</f>
        <v>382.03000000000003</v>
      </c>
      <c r="AD683" s="4">
        <v>298925351</v>
      </c>
      <c r="AE683" s="4">
        <v>19999841</v>
      </c>
      <c r="AG683" s="4" t="s">
        <v>2152</v>
      </c>
      <c r="AH683" s="4" t="s">
        <v>2153</v>
      </c>
      <c r="AI683" s="4" t="s">
        <v>67</v>
      </c>
    </row>
    <row r="684" spans="1:35" ht="72" x14ac:dyDescent="0.3">
      <c r="A684" s="25" t="s">
        <v>2154</v>
      </c>
      <c r="B684" s="25"/>
      <c r="C684" s="30" t="s">
        <v>2155</v>
      </c>
      <c r="D684" s="27"/>
      <c r="E684" s="27" t="s">
        <v>2156</v>
      </c>
      <c r="F684" s="31" t="s">
        <v>70</v>
      </c>
      <c r="G684" s="32">
        <v>0.3</v>
      </c>
      <c r="H684" s="27"/>
      <c r="I684" s="32">
        <v>0.255</v>
      </c>
      <c r="J684" s="34">
        <v>0</v>
      </c>
      <c r="K684" s="35"/>
      <c r="L684" s="35"/>
      <c r="M684" s="34">
        <f>ROUND(ROUND(J684, 2)*I684, 2)</f>
        <v>0</v>
      </c>
      <c r="N684" s="35"/>
      <c r="O684" s="35"/>
      <c r="P684" s="34">
        <v>206.5</v>
      </c>
      <c r="Q684" s="35"/>
      <c r="R684" s="35"/>
      <c r="S684" s="34">
        <f>ROUND(ROUND(P684, 2)*I684, 2)</f>
        <v>52.66</v>
      </c>
      <c r="T684" s="35"/>
      <c r="U684" s="36"/>
      <c r="V684" s="9">
        <f>ROUND(ROUND(P684, 2)/1.2, 2)</f>
        <v>172.08</v>
      </c>
      <c r="Y684" s="9">
        <f t="shared" si="78"/>
        <v>43.88</v>
      </c>
      <c r="AD684" s="4" t="s">
        <v>2157</v>
      </c>
      <c r="AE684" s="4" t="s">
        <v>2158</v>
      </c>
      <c r="AF684" s="4" t="s">
        <v>2159</v>
      </c>
    </row>
    <row r="685" spans="1:35" ht="36" x14ac:dyDescent="0.3">
      <c r="A685" s="25" t="s">
        <v>2160</v>
      </c>
      <c r="B685" s="25"/>
      <c r="C685" s="30" t="s">
        <v>433</v>
      </c>
      <c r="D685" s="27"/>
      <c r="E685" s="27"/>
      <c r="F685" s="31" t="s">
        <v>70</v>
      </c>
      <c r="G685" s="32">
        <v>0.15</v>
      </c>
      <c r="H685" s="27"/>
      <c r="I685" s="32">
        <v>0.128</v>
      </c>
      <c r="J685" s="34">
        <v>88.8</v>
      </c>
      <c r="K685" s="35"/>
      <c r="L685" s="35"/>
      <c r="M685" s="34">
        <f>ROUND(ROUND(J685, 2)*I685, 2)</f>
        <v>11.37</v>
      </c>
      <c r="N685" s="35"/>
      <c r="O685" s="35"/>
      <c r="P685" s="34">
        <v>88.8</v>
      </c>
      <c r="Q685" s="35"/>
      <c r="R685" s="35"/>
      <c r="S685" s="34">
        <f>ROUND(ROUND(P685, 2)*I685, 2)</f>
        <v>11.37</v>
      </c>
      <c r="T685" s="35"/>
      <c r="U685" s="36"/>
      <c r="V685" s="9">
        <f>ROUND(ROUND(P685, 2)/1.2, 2)</f>
        <v>74</v>
      </c>
      <c r="Y685" s="9">
        <f t="shared" si="78"/>
        <v>9.48</v>
      </c>
      <c r="AD685" s="4" t="s">
        <v>2161</v>
      </c>
      <c r="AE685" s="4" t="s">
        <v>2162</v>
      </c>
      <c r="AF685" s="4" t="s">
        <v>436</v>
      </c>
    </row>
    <row r="686" spans="1:35" ht="36" x14ac:dyDescent="0.3">
      <c r="A686" s="25" t="s">
        <v>2163</v>
      </c>
      <c r="B686" s="25" t="s">
        <v>2149</v>
      </c>
      <c r="C686" s="26" t="s">
        <v>2150</v>
      </c>
      <c r="D686" s="27"/>
      <c r="E686" s="27" t="s">
        <v>2164</v>
      </c>
      <c r="F686" s="27" t="s">
        <v>64</v>
      </c>
      <c r="G686" s="28">
        <v>1</v>
      </c>
      <c r="H686" s="27"/>
      <c r="I686" s="28">
        <v>1.5</v>
      </c>
      <c r="J686" s="29">
        <f>IFERROR(ROUND(SUM(M687,M688)/I686, 2),0)</f>
        <v>13.32</v>
      </c>
      <c r="K686" s="29">
        <v>464</v>
      </c>
      <c r="L686" s="29">
        <f>J686+ROUND(K686, 2)</f>
        <v>477.32</v>
      </c>
      <c r="M686" s="29">
        <f>ROUND(J686*I686, 2)</f>
        <v>19.98</v>
      </c>
      <c r="N686" s="29">
        <f>ROUND(I686*ROUND(K686, 2), 2)</f>
        <v>696</v>
      </c>
      <c r="O686" s="29">
        <f>M686+N686</f>
        <v>715.98</v>
      </c>
      <c r="P686" s="29">
        <f>IFERROR(ROUND(SUM(S687,S688)/I686, 2),0)</f>
        <v>75.27</v>
      </c>
      <c r="Q686" s="29">
        <v>464</v>
      </c>
      <c r="R686" s="29">
        <f>P686+ROUND(Q686, 2)</f>
        <v>539.27</v>
      </c>
      <c r="S686" s="29">
        <f>ROUND(P686*I686, 2)</f>
        <v>112.91</v>
      </c>
      <c r="T686" s="29">
        <f>ROUND(I686*ROUND(Q686, 2), 2)</f>
        <v>696</v>
      </c>
      <c r="U686" s="29">
        <f>S686+T686</f>
        <v>808.91</v>
      </c>
      <c r="V686" s="9">
        <f>ROUND(P686 / 1.2, 2)</f>
        <v>62.73</v>
      </c>
      <c r="W686" s="9">
        <f>ROUND(Q686 / 1.2, 2)</f>
        <v>386.67</v>
      </c>
      <c r="X686" s="9">
        <f>ROUND(R686 / 1.2, 2)</f>
        <v>449.39</v>
      </c>
      <c r="Y686" s="9">
        <f t="shared" si="78"/>
        <v>94.09</v>
      </c>
      <c r="Z686" s="9">
        <f>ROUND(T686 / 1.2, 2)</f>
        <v>580</v>
      </c>
      <c r="AA686" s="9">
        <f>Y686+Z686</f>
        <v>674.09</v>
      </c>
      <c r="AD686" s="4">
        <v>298925454</v>
      </c>
      <c r="AE686" s="4">
        <v>19999842</v>
      </c>
      <c r="AG686" s="4" t="s">
        <v>2152</v>
      </c>
      <c r="AH686" s="4" t="s">
        <v>2153</v>
      </c>
      <c r="AI686" s="4" t="s">
        <v>67</v>
      </c>
    </row>
    <row r="687" spans="1:35" ht="36" x14ac:dyDescent="0.3">
      <c r="A687" s="25" t="s">
        <v>2165</v>
      </c>
      <c r="B687" s="25"/>
      <c r="C687" s="30" t="s">
        <v>433</v>
      </c>
      <c r="D687" s="27"/>
      <c r="E687" s="27"/>
      <c r="F687" s="31" t="s">
        <v>70</v>
      </c>
      <c r="G687" s="32">
        <v>0.15</v>
      </c>
      <c r="H687" s="27"/>
      <c r="I687" s="32">
        <v>0.22500000000000001</v>
      </c>
      <c r="J687" s="34">
        <v>88.8</v>
      </c>
      <c r="K687" s="35"/>
      <c r="L687" s="35"/>
      <c r="M687" s="34">
        <f>ROUND(ROUND(J687, 2)*I687, 2)</f>
        <v>19.98</v>
      </c>
      <c r="N687" s="35"/>
      <c r="O687" s="35"/>
      <c r="P687" s="34">
        <v>88.8</v>
      </c>
      <c r="Q687" s="35"/>
      <c r="R687" s="35"/>
      <c r="S687" s="34">
        <f>ROUND(ROUND(P687, 2)*I687, 2)</f>
        <v>19.98</v>
      </c>
      <c r="T687" s="35"/>
      <c r="U687" s="36"/>
      <c r="V687" s="9">
        <f>ROUND(ROUND(P687, 2)/1.2, 2)</f>
        <v>74</v>
      </c>
      <c r="Y687" s="9">
        <f t="shared" si="78"/>
        <v>16.649999999999999</v>
      </c>
      <c r="AD687" s="4" t="s">
        <v>2166</v>
      </c>
      <c r="AE687" s="4" t="s">
        <v>2167</v>
      </c>
      <c r="AF687" s="4" t="s">
        <v>436</v>
      </c>
    </row>
    <row r="688" spans="1:35" ht="72" x14ac:dyDescent="0.3">
      <c r="A688" s="25" t="s">
        <v>2168</v>
      </c>
      <c r="B688" s="25"/>
      <c r="C688" s="30" t="s">
        <v>2155</v>
      </c>
      <c r="D688" s="27"/>
      <c r="E688" s="27" t="s">
        <v>2169</v>
      </c>
      <c r="F688" s="31" t="s">
        <v>70</v>
      </c>
      <c r="G688" s="32">
        <v>0.3</v>
      </c>
      <c r="H688" s="27"/>
      <c r="I688" s="32">
        <v>0.45</v>
      </c>
      <c r="J688" s="34">
        <v>0</v>
      </c>
      <c r="K688" s="35"/>
      <c r="L688" s="35"/>
      <c r="M688" s="34">
        <f>ROUND(ROUND(J688, 2)*I688, 2)</f>
        <v>0</v>
      </c>
      <c r="N688" s="35"/>
      <c r="O688" s="35"/>
      <c r="P688" s="34">
        <v>206.5</v>
      </c>
      <c r="Q688" s="35"/>
      <c r="R688" s="35"/>
      <c r="S688" s="34">
        <f>ROUND(ROUND(P688, 2)*I688, 2)</f>
        <v>92.93</v>
      </c>
      <c r="T688" s="35"/>
      <c r="U688" s="36"/>
      <c r="V688" s="9">
        <f>ROUND(ROUND(P688, 2)/1.2, 2)</f>
        <v>172.08</v>
      </c>
      <c r="Y688" s="9">
        <f t="shared" si="78"/>
        <v>77.44</v>
      </c>
      <c r="AD688" s="4" t="s">
        <v>2170</v>
      </c>
      <c r="AE688" s="4" t="s">
        <v>2171</v>
      </c>
      <c r="AF688" s="4" t="s">
        <v>2159</v>
      </c>
    </row>
    <row r="689" spans="1:35" ht="36" x14ac:dyDescent="0.3">
      <c r="A689" s="25" t="s">
        <v>2172</v>
      </c>
      <c r="B689" s="25" t="s">
        <v>2149</v>
      </c>
      <c r="C689" s="26" t="s">
        <v>2150</v>
      </c>
      <c r="D689" s="27"/>
      <c r="E689" s="27" t="s">
        <v>2173</v>
      </c>
      <c r="F689" s="27" t="s">
        <v>64</v>
      </c>
      <c r="G689" s="28">
        <v>1</v>
      </c>
      <c r="H689" s="27"/>
      <c r="I689" s="28">
        <v>139.22</v>
      </c>
      <c r="J689" s="29">
        <f>IFERROR(ROUND(SUM(M690,M691)/I689, 2),0)</f>
        <v>13.32</v>
      </c>
      <c r="K689" s="29">
        <v>464</v>
      </c>
      <c r="L689" s="29">
        <f>J689+ROUND(K689, 2)</f>
        <v>477.32</v>
      </c>
      <c r="M689" s="29">
        <f>ROUND(J689*I689, 2)</f>
        <v>1854.41</v>
      </c>
      <c r="N689" s="29">
        <f>ROUND(I689*ROUND(K689, 2), 2)</f>
        <v>64598.080000000002</v>
      </c>
      <c r="O689" s="29">
        <f>M689+N689</f>
        <v>66452.490000000005</v>
      </c>
      <c r="P689" s="29">
        <f>IFERROR(ROUND(SUM(S690,S691)/I689, 2),0)</f>
        <v>68.28</v>
      </c>
      <c r="Q689" s="29">
        <v>464</v>
      </c>
      <c r="R689" s="29">
        <f>P689+ROUND(Q689, 2)</f>
        <v>532.28</v>
      </c>
      <c r="S689" s="29">
        <f>ROUND(P689*I689, 2)</f>
        <v>9505.94</v>
      </c>
      <c r="T689" s="29">
        <f>ROUND(I689*ROUND(Q689, 2), 2)</f>
        <v>64598.080000000002</v>
      </c>
      <c r="U689" s="29">
        <f>S689+T689</f>
        <v>74104.02</v>
      </c>
      <c r="V689" s="9">
        <f>ROUND(P689 / 1.2, 2)</f>
        <v>56.9</v>
      </c>
      <c r="W689" s="9">
        <f>ROUND(Q689 / 1.2, 2)</f>
        <v>386.67</v>
      </c>
      <c r="X689" s="9">
        <f>ROUND(R689 / 1.2, 2)</f>
        <v>443.57</v>
      </c>
      <c r="Y689" s="9">
        <f t="shared" si="78"/>
        <v>7921.62</v>
      </c>
      <c r="Z689" s="9">
        <f>ROUND(T689 / 1.2, 2)</f>
        <v>53831.73</v>
      </c>
      <c r="AA689" s="9">
        <f>Y689+Z689</f>
        <v>61753.350000000006</v>
      </c>
      <c r="AD689" s="4">
        <v>298925455</v>
      </c>
      <c r="AE689" s="4">
        <v>19999840</v>
      </c>
      <c r="AG689" s="4" t="s">
        <v>2152</v>
      </c>
      <c r="AH689" s="4" t="s">
        <v>2153</v>
      </c>
      <c r="AI689" s="4" t="s">
        <v>67</v>
      </c>
    </row>
    <row r="690" spans="1:35" ht="72" x14ac:dyDescent="0.3">
      <c r="A690" s="25" t="s">
        <v>2174</v>
      </c>
      <c r="B690" s="25"/>
      <c r="C690" s="30" t="s">
        <v>2155</v>
      </c>
      <c r="D690" s="27"/>
      <c r="E690" s="27" t="s">
        <v>2175</v>
      </c>
      <c r="F690" s="31" t="s">
        <v>70</v>
      </c>
      <c r="G690" s="32">
        <v>0.3</v>
      </c>
      <c r="H690" s="27"/>
      <c r="I690" s="32">
        <v>41.765999999999998</v>
      </c>
      <c r="J690" s="34">
        <v>0</v>
      </c>
      <c r="K690" s="35"/>
      <c r="L690" s="35"/>
      <c r="M690" s="34">
        <f>ROUND(ROUND(J690, 2)*I690, 2)</f>
        <v>0</v>
      </c>
      <c r="N690" s="35"/>
      <c r="O690" s="35"/>
      <c r="P690" s="34">
        <v>183.2</v>
      </c>
      <c r="Q690" s="35"/>
      <c r="R690" s="35"/>
      <c r="S690" s="34">
        <f>ROUND(ROUND(P690, 2)*I690, 2)</f>
        <v>7651.53</v>
      </c>
      <c r="T690" s="35"/>
      <c r="U690" s="36"/>
      <c r="V690" s="9">
        <f>ROUND(ROUND(P690, 2)/1.2, 2)</f>
        <v>152.66999999999999</v>
      </c>
      <c r="Y690" s="9">
        <f t="shared" si="78"/>
        <v>6376.28</v>
      </c>
      <c r="AD690" s="4" t="s">
        <v>2176</v>
      </c>
      <c r="AE690" s="4" t="s">
        <v>2177</v>
      </c>
      <c r="AF690" s="4" t="s">
        <v>2159</v>
      </c>
    </row>
    <row r="691" spans="1:35" ht="36" x14ac:dyDescent="0.3">
      <c r="A691" s="25" t="s">
        <v>2178</v>
      </c>
      <c r="B691" s="25"/>
      <c r="C691" s="30" t="s">
        <v>433</v>
      </c>
      <c r="D691" s="27"/>
      <c r="E691" s="27"/>
      <c r="F691" s="31" t="s">
        <v>70</v>
      </c>
      <c r="G691" s="32">
        <v>0.15</v>
      </c>
      <c r="H691" s="27"/>
      <c r="I691" s="32">
        <v>20.882999999999999</v>
      </c>
      <c r="J691" s="34">
        <v>88.8</v>
      </c>
      <c r="K691" s="35"/>
      <c r="L691" s="35"/>
      <c r="M691" s="34">
        <f>ROUND(ROUND(J691, 2)*I691, 2)</f>
        <v>1854.41</v>
      </c>
      <c r="N691" s="35"/>
      <c r="O691" s="35"/>
      <c r="P691" s="34">
        <v>88.8</v>
      </c>
      <c r="Q691" s="35"/>
      <c r="R691" s="35"/>
      <c r="S691" s="34">
        <f>ROUND(ROUND(P691, 2)*I691, 2)</f>
        <v>1854.41</v>
      </c>
      <c r="T691" s="35"/>
      <c r="U691" s="36"/>
      <c r="V691" s="9">
        <f>ROUND(ROUND(P691, 2)/1.2, 2)</f>
        <v>74</v>
      </c>
      <c r="Y691" s="9">
        <f t="shared" si="78"/>
        <v>1545.34</v>
      </c>
      <c r="AD691" s="4" t="s">
        <v>2179</v>
      </c>
      <c r="AE691" s="4" t="s">
        <v>2180</v>
      </c>
      <c r="AF691" s="4" t="s">
        <v>436</v>
      </c>
    </row>
    <row r="692" spans="1:35" ht="36" x14ac:dyDescent="0.3">
      <c r="A692" s="25" t="s">
        <v>2181</v>
      </c>
      <c r="B692" s="25" t="s">
        <v>2149</v>
      </c>
      <c r="C692" s="26" t="s">
        <v>2150</v>
      </c>
      <c r="D692" s="27"/>
      <c r="E692" s="27" t="s">
        <v>2182</v>
      </c>
      <c r="F692" s="27" t="s">
        <v>64</v>
      </c>
      <c r="G692" s="28">
        <v>1</v>
      </c>
      <c r="H692" s="27"/>
      <c r="I692" s="28">
        <v>143.96</v>
      </c>
      <c r="J692" s="29">
        <f>IFERROR(ROUND(SUM(M693,M694)/I692, 2),0)</f>
        <v>13.32</v>
      </c>
      <c r="K692" s="29">
        <v>464</v>
      </c>
      <c r="L692" s="29">
        <f>J692+ROUND(K692, 2)</f>
        <v>477.32</v>
      </c>
      <c r="M692" s="29">
        <f>ROUND(J692*I692, 2)</f>
        <v>1917.55</v>
      </c>
      <c r="N692" s="29">
        <f>ROUND(I692*ROUND(K692, 2), 2)</f>
        <v>66797.440000000002</v>
      </c>
      <c r="O692" s="29">
        <f>M692+N692</f>
        <v>68714.990000000005</v>
      </c>
      <c r="P692" s="29">
        <f>IFERROR(ROUND(SUM(S693,S694)/I692, 2),0)</f>
        <v>75.27</v>
      </c>
      <c r="Q692" s="29">
        <v>464</v>
      </c>
      <c r="R692" s="29">
        <f>P692+ROUND(Q692, 2)</f>
        <v>539.27</v>
      </c>
      <c r="S692" s="29">
        <f>ROUND(P692*I692, 2)</f>
        <v>10835.87</v>
      </c>
      <c r="T692" s="29">
        <f>ROUND(I692*ROUND(Q692, 2), 2)</f>
        <v>66797.440000000002</v>
      </c>
      <c r="U692" s="29">
        <f>S692+T692</f>
        <v>77633.31</v>
      </c>
      <c r="V692" s="9">
        <f>ROUND(P692 / 1.2, 2)</f>
        <v>62.73</v>
      </c>
      <c r="W692" s="9">
        <f>ROUND(Q692 / 1.2, 2)</f>
        <v>386.67</v>
      </c>
      <c r="X692" s="9">
        <f>ROUND(R692 / 1.2, 2)</f>
        <v>449.39</v>
      </c>
      <c r="Y692" s="9">
        <f t="shared" si="78"/>
        <v>9029.89</v>
      </c>
      <c r="Z692" s="9">
        <f>ROUND(T692 / 1.2, 2)</f>
        <v>55664.53</v>
      </c>
      <c r="AA692" s="9">
        <f>Y692+Z692</f>
        <v>64694.42</v>
      </c>
      <c r="AD692" s="4">
        <v>298925456</v>
      </c>
      <c r="AE692" s="4">
        <v>19999843</v>
      </c>
      <c r="AG692" s="4" t="s">
        <v>2152</v>
      </c>
      <c r="AH692" s="4" t="s">
        <v>2153</v>
      </c>
      <c r="AI692" s="4" t="s">
        <v>67</v>
      </c>
    </row>
    <row r="693" spans="1:35" ht="36" x14ac:dyDescent="0.3">
      <c r="A693" s="25" t="s">
        <v>2183</v>
      </c>
      <c r="B693" s="25"/>
      <c r="C693" s="30" t="s">
        <v>433</v>
      </c>
      <c r="D693" s="27"/>
      <c r="E693" s="27"/>
      <c r="F693" s="31" t="s">
        <v>70</v>
      </c>
      <c r="G693" s="32">
        <v>0.15</v>
      </c>
      <c r="H693" s="27"/>
      <c r="I693" s="32">
        <v>21.594000000000001</v>
      </c>
      <c r="J693" s="34">
        <v>88.8</v>
      </c>
      <c r="K693" s="35"/>
      <c r="L693" s="35"/>
      <c r="M693" s="34">
        <f>ROUND(ROUND(J693, 2)*I693, 2)</f>
        <v>1917.55</v>
      </c>
      <c r="N693" s="35"/>
      <c r="O693" s="35"/>
      <c r="P693" s="34">
        <v>88.8</v>
      </c>
      <c r="Q693" s="35"/>
      <c r="R693" s="35"/>
      <c r="S693" s="34">
        <f>ROUND(ROUND(P693, 2)*I693, 2)</f>
        <v>1917.55</v>
      </c>
      <c r="T693" s="35"/>
      <c r="U693" s="36"/>
      <c r="V693" s="9">
        <f>ROUND(ROUND(P693, 2)/1.2, 2)</f>
        <v>74</v>
      </c>
      <c r="Y693" s="9">
        <f t="shared" si="78"/>
        <v>1597.96</v>
      </c>
      <c r="AD693" s="4" t="s">
        <v>2184</v>
      </c>
      <c r="AE693" s="4" t="s">
        <v>2185</v>
      </c>
      <c r="AF693" s="4" t="s">
        <v>436</v>
      </c>
    </row>
    <row r="694" spans="1:35" ht="54" x14ac:dyDescent="0.3">
      <c r="A694" s="25" t="s">
        <v>2186</v>
      </c>
      <c r="B694" s="25"/>
      <c r="C694" s="30" t="s">
        <v>2187</v>
      </c>
      <c r="D694" s="27"/>
      <c r="E694" s="27" t="s">
        <v>2188</v>
      </c>
      <c r="F694" s="31" t="s">
        <v>70</v>
      </c>
      <c r="G694" s="32">
        <v>0.3</v>
      </c>
      <c r="H694" s="27"/>
      <c r="I694" s="32">
        <v>43.188000000000002</v>
      </c>
      <c r="J694" s="34">
        <v>0</v>
      </c>
      <c r="K694" s="35"/>
      <c r="L694" s="35"/>
      <c r="M694" s="34">
        <f>ROUND(ROUND(J694, 2)*I694, 2)</f>
        <v>0</v>
      </c>
      <c r="N694" s="35"/>
      <c r="O694" s="35"/>
      <c r="P694" s="34">
        <v>206.5</v>
      </c>
      <c r="Q694" s="35"/>
      <c r="R694" s="35"/>
      <c r="S694" s="34">
        <f>ROUND(ROUND(P694, 2)*I694, 2)</f>
        <v>8918.32</v>
      </c>
      <c r="T694" s="35"/>
      <c r="U694" s="36"/>
      <c r="V694" s="9">
        <f>ROUND(ROUND(P694, 2)/1.2, 2)</f>
        <v>172.08</v>
      </c>
      <c r="Y694" s="9">
        <f t="shared" si="78"/>
        <v>7431.93</v>
      </c>
      <c r="AD694" s="4" t="s">
        <v>2189</v>
      </c>
      <c r="AE694" s="4" t="s">
        <v>2190</v>
      </c>
      <c r="AF694" s="4" t="s">
        <v>2191</v>
      </c>
    </row>
    <row r="695" spans="1:35" ht="36" x14ac:dyDescent="0.3">
      <c r="A695" s="25" t="s">
        <v>2192</v>
      </c>
      <c r="B695" s="25" t="s">
        <v>2149</v>
      </c>
      <c r="C695" s="26" t="s">
        <v>2150</v>
      </c>
      <c r="D695" s="27"/>
      <c r="E695" s="27" t="s">
        <v>2193</v>
      </c>
      <c r="F695" s="27" t="s">
        <v>64</v>
      </c>
      <c r="G695" s="28">
        <v>1</v>
      </c>
      <c r="H695" s="27"/>
      <c r="I695" s="28">
        <v>28.93</v>
      </c>
      <c r="J695" s="29">
        <f>IFERROR(ROUND(SUM(M696,M697)/I695, 2),0)</f>
        <v>13.32</v>
      </c>
      <c r="K695" s="29">
        <v>464</v>
      </c>
      <c r="L695" s="29">
        <f>J695+ROUND(K695, 2)</f>
        <v>477.32</v>
      </c>
      <c r="M695" s="29">
        <f>ROUND(J695*I695, 2)</f>
        <v>385.35</v>
      </c>
      <c r="N695" s="29">
        <f>ROUND(I695*ROUND(K695, 2), 2)</f>
        <v>13423.52</v>
      </c>
      <c r="O695" s="29">
        <f>M695+N695</f>
        <v>13808.87</v>
      </c>
      <c r="P695" s="29">
        <f>IFERROR(ROUND(SUM(S696,S697)/I695, 2),0)</f>
        <v>75.27</v>
      </c>
      <c r="Q695" s="29">
        <v>464</v>
      </c>
      <c r="R695" s="29">
        <f>P695+ROUND(Q695, 2)</f>
        <v>539.27</v>
      </c>
      <c r="S695" s="29">
        <f>ROUND(P695*I695, 2)</f>
        <v>2177.56</v>
      </c>
      <c r="T695" s="29">
        <f>ROUND(I695*ROUND(Q695, 2), 2)</f>
        <v>13423.52</v>
      </c>
      <c r="U695" s="29">
        <f>S695+T695</f>
        <v>15601.08</v>
      </c>
      <c r="V695" s="9">
        <f>ROUND(P695 / 1.2, 2)</f>
        <v>62.73</v>
      </c>
      <c r="W695" s="9">
        <f>ROUND(Q695 / 1.2, 2)</f>
        <v>386.67</v>
      </c>
      <c r="X695" s="9">
        <f>ROUND(R695 / 1.2, 2)</f>
        <v>449.39</v>
      </c>
      <c r="Y695" s="9">
        <f t="shared" si="78"/>
        <v>1814.63</v>
      </c>
      <c r="Z695" s="9">
        <f>ROUND(T695 / 1.2, 2)</f>
        <v>11186.27</v>
      </c>
      <c r="AA695" s="9">
        <f>Y695+Z695</f>
        <v>13000.900000000001</v>
      </c>
      <c r="AD695" s="4">
        <v>298925457</v>
      </c>
      <c r="AE695" s="4">
        <v>19999844</v>
      </c>
      <c r="AG695" s="4" t="s">
        <v>2152</v>
      </c>
      <c r="AH695" s="4" t="s">
        <v>2153</v>
      </c>
      <c r="AI695" s="4" t="s">
        <v>67</v>
      </c>
    </row>
    <row r="696" spans="1:35" ht="54" x14ac:dyDescent="0.3">
      <c r="A696" s="25" t="s">
        <v>2194</v>
      </c>
      <c r="B696" s="25"/>
      <c r="C696" s="30" t="s">
        <v>2187</v>
      </c>
      <c r="D696" s="27"/>
      <c r="E696" s="27" t="s">
        <v>2195</v>
      </c>
      <c r="F696" s="31" t="s">
        <v>70</v>
      </c>
      <c r="G696" s="32">
        <v>0.3</v>
      </c>
      <c r="H696" s="27"/>
      <c r="I696" s="32">
        <v>8.6790000000000003</v>
      </c>
      <c r="J696" s="34">
        <v>0</v>
      </c>
      <c r="K696" s="35"/>
      <c r="L696" s="35"/>
      <c r="M696" s="34">
        <f>ROUND(ROUND(J696, 2)*I696, 2)</f>
        <v>0</v>
      </c>
      <c r="N696" s="35"/>
      <c r="O696" s="35"/>
      <c r="P696" s="34">
        <v>206.5</v>
      </c>
      <c r="Q696" s="35"/>
      <c r="R696" s="35"/>
      <c r="S696" s="34">
        <f>ROUND(ROUND(P696, 2)*I696, 2)</f>
        <v>1792.21</v>
      </c>
      <c r="T696" s="35"/>
      <c r="U696" s="36"/>
      <c r="V696" s="9">
        <f>ROUND(ROUND(P696, 2)/1.2, 2)</f>
        <v>172.08</v>
      </c>
      <c r="Y696" s="9">
        <f t="shared" si="78"/>
        <v>1493.51</v>
      </c>
      <c r="AD696" s="4" t="s">
        <v>2196</v>
      </c>
      <c r="AE696" s="4" t="s">
        <v>2197</v>
      </c>
      <c r="AF696" s="4" t="s">
        <v>2191</v>
      </c>
    </row>
    <row r="697" spans="1:35" ht="36" x14ac:dyDescent="0.3">
      <c r="A697" s="25" t="s">
        <v>2198</v>
      </c>
      <c r="B697" s="25"/>
      <c r="C697" s="30" t="s">
        <v>433</v>
      </c>
      <c r="D697" s="27"/>
      <c r="E697" s="27"/>
      <c r="F697" s="31" t="s">
        <v>70</v>
      </c>
      <c r="G697" s="32">
        <v>0.15</v>
      </c>
      <c r="H697" s="27"/>
      <c r="I697" s="32">
        <v>4.34</v>
      </c>
      <c r="J697" s="34">
        <v>88.8</v>
      </c>
      <c r="K697" s="35"/>
      <c r="L697" s="35"/>
      <c r="M697" s="34">
        <f>ROUND(ROUND(J697, 2)*I697, 2)</f>
        <v>385.39</v>
      </c>
      <c r="N697" s="35"/>
      <c r="O697" s="35"/>
      <c r="P697" s="34">
        <v>88.8</v>
      </c>
      <c r="Q697" s="35"/>
      <c r="R697" s="35"/>
      <c r="S697" s="34">
        <f>ROUND(ROUND(P697, 2)*I697, 2)</f>
        <v>385.39</v>
      </c>
      <c r="T697" s="35"/>
      <c r="U697" s="36"/>
      <c r="V697" s="9">
        <f>ROUND(ROUND(P697, 2)/1.2, 2)</f>
        <v>74</v>
      </c>
      <c r="Y697" s="9">
        <f t="shared" si="78"/>
        <v>321.16000000000003</v>
      </c>
      <c r="AD697" s="4" t="s">
        <v>2199</v>
      </c>
      <c r="AE697" s="4" t="s">
        <v>2200</v>
      </c>
      <c r="AF697" s="4" t="s">
        <v>436</v>
      </c>
    </row>
    <row r="698" spans="1:35" ht="36" x14ac:dyDescent="0.3">
      <c r="A698" s="25" t="s">
        <v>2201</v>
      </c>
      <c r="B698" s="25" t="s">
        <v>2149</v>
      </c>
      <c r="C698" s="26" t="s">
        <v>2150</v>
      </c>
      <c r="D698" s="27"/>
      <c r="E698" s="27" t="s">
        <v>2202</v>
      </c>
      <c r="F698" s="27" t="s">
        <v>64</v>
      </c>
      <c r="G698" s="28">
        <v>1</v>
      </c>
      <c r="H698" s="27"/>
      <c r="I698" s="28">
        <v>28.7</v>
      </c>
      <c r="J698" s="29">
        <f>IFERROR(ROUND(SUM(M699,M700)/I698, 2),0)</f>
        <v>13.32</v>
      </c>
      <c r="K698" s="29">
        <v>464</v>
      </c>
      <c r="L698" s="29">
        <f>J698+ROUND(K698, 2)</f>
        <v>477.32</v>
      </c>
      <c r="M698" s="29">
        <f>ROUND(J698*I698, 2)</f>
        <v>382.28</v>
      </c>
      <c r="N698" s="29">
        <f>ROUND(I698*ROUND(K698, 2), 2)</f>
        <v>13316.8</v>
      </c>
      <c r="O698" s="29">
        <f>M698+N698</f>
        <v>13699.08</v>
      </c>
      <c r="P698" s="29">
        <f>IFERROR(ROUND(SUM(S699,S700)/I698, 2),0)</f>
        <v>75.27</v>
      </c>
      <c r="Q698" s="29">
        <v>464</v>
      </c>
      <c r="R698" s="29">
        <f>P698+ROUND(Q698, 2)</f>
        <v>539.27</v>
      </c>
      <c r="S698" s="29">
        <f>ROUND(P698*I698, 2)</f>
        <v>2160.25</v>
      </c>
      <c r="T698" s="29">
        <f>ROUND(I698*ROUND(Q698, 2), 2)</f>
        <v>13316.8</v>
      </c>
      <c r="U698" s="29">
        <f>S698+T698</f>
        <v>15477.05</v>
      </c>
      <c r="V698" s="9">
        <f>ROUND(P698 / 1.2, 2)</f>
        <v>62.73</v>
      </c>
      <c r="W698" s="9">
        <f>ROUND(Q698 / 1.2, 2)</f>
        <v>386.67</v>
      </c>
      <c r="X698" s="9">
        <f>ROUND(R698 / 1.2, 2)</f>
        <v>449.39</v>
      </c>
      <c r="Y698" s="9">
        <f t="shared" si="78"/>
        <v>1800.21</v>
      </c>
      <c r="Z698" s="9">
        <f>ROUND(T698 / 1.2, 2)</f>
        <v>11097.33</v>
      </c>
      <c r="AA698" s="9">
        <f>Y698+Z698</f>
        <v>12897.54</v>
      </c>
      <c r="AD698" s="4">
        <v>298925458</v>
      </c>
      <c r="AE698" s="4">
        <v>19999845</v>
      </c>
      <c r="AG698" s="4" t="s">
        <v>2152</v>
      </c>
      <c r="AH698" s="4" t="s">
        <v>2153</v>
      </c>
      <c r="AI698" s="4" t="s">
        <v>67</v>
      </c>
    </row>
    <row r="699" spans="1:35" ht="36" x14ac:dyDescent="0.3">
      <c r="A699" s="25" t="s">
        <v>2203</v>
      </c>
      <c r="B699" s="25"/>
      <c r="C699" s="30" t="s">
        <v>433</v>
      </c>
      <c r="D699" s="27"/>
      <c r="E699" s="27"/>
      <c r="F699" s="31" t="s">
        <v>70</v>
      </c>
      <c r="G699" s="32">
        <v>0.15</v>
      </c>
      <c r="H699" s="27"/>
      <c r="I699" s="32">
        <v>4.3049999999999997</v>
      </c>
      <c r="J699" s="34">
        <v>88.8</v>
      </c>
      <c r="K699" s="35"/>
      <c r="L699" s="35"/>
      <c r="M699" s="34">
        <f>ROUND(ROUND(J699, 2)*I699, 2)</f>
        <v>382.28</v>
      </c>
      <c r="N699" s="35"/>
      <c r="O699" s="35"/>
      <c r="P699" s="34">
        <v>88.8</v>
      </c>
      <c r="Q699" s="35"/>
      <c r="R699" s="35"/>
      <c r="S699" s="34">
        <f>ROUND(ROUND(P699, 2)*I699, 2)</f>
        <v>382.28</v>
      </c>
      <c r="T699" s="35"/>
      <c r="U699" s="36"/>
      <c r="V699" s="9">
        <f>ROUND(ROUND(P699, 2)/1.2, 2)</f>
        <v>74</v>
      </c>
      <c r="Y699" s="9">
        <f t="shared" si="78"/>
        <v>318.57</v>
      </c>
      <c r="AD699" s="4" t="s">
        <v>2204</v>
      </c>
      <c r="AE699" s="4" t="s">
        <v>2205</v>
      </c>
      <c r="AF699" s="4" t="s">
        <v>436</v>
      </c>
    </row>
    <row r="700" spans="1:35" ht="54" x14ac:dyDescent="0.3">
      <c r="A700" s="25" t="s">
        <v>2206</v>
      </c>
      <c r="B700" s="25"/>
      <c r="C700" s="30" t="s">
        <v>2187</v>
      </c>
      <c r="D700" s="27"/>
      <c r="E700" s="27" t="s">
        <v>2207</v>
      </c>
      <c r="F700" s="31" t="s">
        <v>70</v>
      </c>
      <c r="G700" s="32">
        <v>0.3</v>
      </c>
      <c r="H700" s="27"/>
      <c r="I700" s="32">
        <v>8.61</v>
      </c>
      <c r="J700" s="34">
        <v>0</v>
      </c>
      <c r="K700" s="35"/>
      <c r="L700" s="35"/>
      <c r="M700" s="34">
        <f>ROUND(ROUND(J700, 2)*I700, 2)</f>
        <v>0</v>
      </c>
      <c r="N700" s="35"/>
      <c r="O700" s="35"/>
      <c r="P700" s="34">
        <v>206.5</v>
      </c>
      <c r="Q700" s="35"/>
      <c r="R700" s="35"/>
      <c r="S700" s="34">
        <f>ROUND(ROUND(P700, 2)*I700, 2)</f>
        <v>1777.97</v>
      </c>
      <c r="T700" s="35"/>
      <c r="U700" s="36"/>
      <c r="V700" s="9">
        <f>ROUND(ROUND(P700, 2)/1.2, 2)</f>
        <v>172.08</v>
      </c>
      <c r="Y700" s="9">
        <f t="shared" si="78"/>
        <v>1481.64</v>
      </c>
      <c r="AD700" s="4" t="s">
        <v>2208</v>
      </c>
      <c r="AE700" s="4" t="s">
        <v>2209</v>
      </c>
      <c r="AF700" s="4" t="s">
        <v>2191</v>
      </c>
    </row>
    <row r="701" spans="1:35" ht="36" x14ac:dyDescent="0.3">
      <c r="A701" s="25" t="s">
        <v>2210</v>
      </c>
      <c r="B701" s="25" t="s">
        <v>2149</v>
      </c>
      <c r="C701" s="26" t="s">
        <v>2150</v>
      </c>
      <c r="D701" s="27"/>
      <c r="E701" s="27" t="s">
        <v>2211</v>
      </c>
      <c r="F701" s="27" t="s">
        <v>64</v>
      </c>
      <c r="G701" s="28">
        <v>1</v>
      </c>
      <c r="H701" s="27"/>
      <c r="I701" s="28">
        <v>29.42</v>
      </c>
      <c r="J701" s="29">
        <f>IFERROR(ROUND(SUM(M702,M703)/I701, 2),0)</f>
        <v>13.32</v>
      </c>
      <c r="K701" s="29">
        <v>464</v>
      </c>
      <c r="L701" s="29">
        <f>J701+ROUND(K701, 2)</f>
        <v>477.32</v>
      </c>
      <c r="M701" s="29">
        <f>ROUND(J701*I701, 2)</f>
        <v>391.87</v>
      </c>
      <c r="N701" s="29">
        <f>ROUND(I701*ROUND(K701, 2), 2)</f>
        <v>13650.88</v>
      </c>
      <c r="O701" s="29">
        <f>M701+N701</f>
        <v>14042.75</v>
      </c>
      <c r="P701" s="29">
        <f>IFERROR(ROUND(SUM(S702,S703)/I701, 2),0)</f>
        <v>75.27</v>
      </c>
      <c r="Q701" s="29">
        <v>464</v>
      </c>
      <c r="R701" s="29">
        <f>P701+ROUND(Q701, 2)</f>
        <v>539.27</v>
      </c>
      <c r="S701" s="29">
        <f>ROUND(P701*I701, 2)</f>
        <v>2214.44</v>
      </c>
      <c r="T701" s="29">
        <f>ROUND(I701*ROUND(Q701, 2), 2)</f>
        <v>13650.88</v>
      </c>
      <c r="U701" s="29">
        <f>S701+T701</f>
        <v>15865.32</v>
      </c>
      <c r="V701" s="9">
        <f>ROUND(P701 / 1.2, 2)</f>
        <v>62.73</v>
      </c>
      <c r="W701" s="9">
        <f>ROUND(Q701 / 1.2, 2)</f>
        <v>386.67</v>
      </c>
      <c r="X701" s="9">
        <f>ROUND(R701 / 1.2, 2)</f>
        <v>449.39</v>
      </c>
      <c r="Y701" s="9">
        <f t="shared" si="78"/>
        <v>1845.37</v>
      </c>
      <c r="Z701" s="9">
        <f>ROUND(T701 / 1.2, 2)</f>
        <v>11375.73</v>
      </c>
      <c r="AA701" s="9">
        <f>Y701+Z701</f>
        <v>13221.099999999999</v>
      </c>
      <c r="AD701" s="4">
        <v>298925459</v>
      </c>
      <c r="AE701" s="4">
        <v>19999846</v>
      </c>
      <c r="AG701" s="4" t="s">
        <v>2152</v>
      </c>
      <c r="AH701" s="4" t="s">
        <v>2153</v>
      </c>
      <c r="AI701" s="4" t="s">
        <v>67</v>
      </c>
    </row>
    <row r="702" spans="1:35" ht="54" x14ac:dyDescent="0.3">
      <c r="A702" s="25" t="s">
        <v>2212</v>
      </c>
      <c r="B702" s="25"/>
      <c r="C702" s="30" t="s">
        <v>2187</v>
      </c>
      <c r="D702" s="27"/>
      <c r="E702" s="27" t="s">
        <v>2213</v>
      </c>
      <c r="F702" s="31" t="s">
        <v>70</v>
      </c>
      <c r="G702" s="32">
        <v>0.3</v>
      </c>
      <c r="H702" s="27"/>
      <c r="I702" s="32">
        <v>8.8260000000000005</v>
      </c>
      <c r="J702" s="34">
        <v>0</v>
      </c>
      <c r="K702" s="35"/>
      <c r="L702" s="35"/>
      <c r="M702" s="34">
        <f>ROUND(ROUND(J702, 2)*I702, 2)</f>
        <v>0</v>
      </c>
      <c r="N702" s="35"/>
      <c r="O702" s="35"/>
      <c r="P702" s="34">
        <v>206.5</v>
      </c>
      <c r="Q702" s="35"/>
      <c r="R702" s="35"/>
      <c r="S702" s="34">
        <f>ROUND(ROUND(P702, 2)*I702, 2)</f>
        <v>1822.57</v>
      </c>
      <c r="T702" s="35"/>
      <c r="U702" s="36"/>
      <c r="V702" s="9">
        <f>ROUND(ROUND(P702, 2)/1.2, 2)</f>
        <v>172.08</v>
      </c>
      <c r="Y702" s="9">
        <f t="shared" si="78"/>
        <v>1518.81</v>
      </c>
      <c r="AD702" s="4" t="s">
        <v>2214</v>
      </c>
      <c r="AE702" s="4" t="s">
        <v>2215</v>
      </c>
      <c r="AF702" s="4" t="s">
        <v>2191</v>
      </c>
    </row>
    <row r="703" spans="1:35" ht="36" x14ac:dyDescent="0.3">
      <c r="A703" s="25" t="s">
        <v>2216</v>
      </c>
      <c r="B703" s="25"/>
      <c r="C703" s="30" t="s">
        <v>433</v>
      </c>
      <c r="D703" s="27"/>
      <c r="E703" s="27"/>
      <c r="F703" s="31" t="s">
        <v>70</v>
      </c>
      <c r="G703" s="32">
        <v>0.15</v>
      </c>
      <c r="H703" s="27"/>
      <c r="I703" s="32">
        <v>4.4130000000000003</v>
      </c>
      <c r="J703" s="34">
        <v>88.8</v>
      </c>
      <c r="K703" s="35"/>
      <c r="L703" s="35"/>
      <c r="M703" s="34">
        <f>ROUND(ROUND(J703, 2)*I703, 2)</f>
        <v>391.87</v>
      </c>
      <c r="N703" s="35"/>
      <c r="O703" s="35"/>
      <c r="P703" s="34">
        <v>88.8</v>
      </c>
      <c r="Q703" s="35"/>
      <c r="R703" s="35"/>
      <c r="S703" s="34">
        <f>ROUND(ROUND(P703, 2)*I703, 2)</f>
        <v>391.87</v>
      </c>
      <c r="T703" s="35"/>
      <c r="U703" s="36"/>
      <c r="V703" s="9">
        <f>ROUND(ROUND(P703, 2)/1.2, 2)</f>
        <v>74</v>
      </c>
      <c r="Y703" s="9">
        <f t="shared" si="78"/>
        <v>326.56</v>
      </c>
      <c r="AD703" s="4" t="s">
        <v>2217</v>
      </c>
      <c r="AE703" s="4" t="s">
        <v>2218</v>
      </c>
      <c r="AF703" s="4" t="s">
        <v>436</v>
      </c>
    </row>
    <row r="704" spans="1:35" ht="36" x14ac:dyDescent="0.3">
      <c r="A704" s="25" t="s">
        <v>2219</v>
      </c>
      <c r="B704" s="25" t="s">
        <v>2149</v>
      </c>
      <c r="C704" s="26" t="s">
        <v>2150</v>
      </c>
      <c r="D704" s="27"/>
      <c r="E704" s="27" t="s">
        <v>2220</v>
      </c>
      <c r="F704" s="27" t="s">
        <v>64</v>
      </c>
      <c r="G704" s="28">
        <v>1</v>
      </c>
      <c r="H704" s="27"/>
      <c r="I704" s="28">
        <v>316.79000000000002</v>
      </c>
      <c r="J704" s="29">
        <f>IFERROR(ROUND(SUM(M705,M706)/I704, 2),0)</f>
        <v>13.32</v>
      </c>
      <c r="K704" s="29">
        <v>464</v>
      </c>
      <c r="L704" s="29">
        <f>J704+ROUND(K704, 2)</f>
        <v>477.32</v>
      </c>
      <c r="M704" s="29">
        <f>ROUND(J704*I704, 2)</f>
        <v>4219.6400000000003</v>
      </c>
      <c r="N704" s="29">
        <f>ROUND(I704*ROUND(K704, 2), 2)</f>
        <v>146990.56</v>
      </c>
      <c r="O704" s="29">
        <f>M704+N704</f>
        <v>151210.20000000001</v>
      </c>
      <c r="P704" s="29">
        <f>IFERROR(ROUND(SUM(S705,S706)/I704, 2),0)</f>
        <v>75.27</v>
      </c>
      <c r="Q704" s="29">
        <v>464</v>
      </c>
      <c r="R704" s="29">
        <f>P704+ROUND(Q704, 2)</f>
        <v>539.27</v>
      </c>
      <c r="S704" s="29">
        <f>ROUND(P704*I704, 2)</f>
        <v>23844.78</v>
      </c>
      <c r="T704" s="29">
        <f>ROUND(I704*ROUND(Q704, 2), 2)</f>
        <v>146990.56</v>
      </c>
      <c r="U704" s="29">
        <f>S704+T704</f>
        <v>170835.34</v>
      </c>
      <c r="V704" s="9">
        <f>ROUND(P704 / 1.2, 2)</f>
        <v>62.73</v>
      </c>
      <c r="W704" s="9">
        <f>ROUND(Q704 / 1.2, 2)</f>
        <v>386.67</v>
      </c>
      <c r="X704" s="9">
        <f>ROUND(R704 / 1.2, 2)</f>
        <v>449.39</v>
      </c>
      <c r="Y704" s="9">
        <f t="shared" si="78"/>
        <v>19870.650000000001</v>
      </c>
      <c r="Z704" s="9">
        <f>ROUND(T704 / 1.2, 2)</f>
        <v>122492.13</v>
      </c>
      <c r="AA704" s="9">
        <f>Y704+Z704</f>
        <v>142362.78</v>
      </c>
      <c r="AD704" s="4">
        <v>298925460</v>
      </c>
      <c r="AE704" s="4">
        <v>20002013</v>
      </c>
      <c r="AG704" s="4" t="s">
        <v>2152</v>
      </c>
      <c r="AH704" s="4" t="s">
        <v>2153</v>
      </c>
      <c r="AI704" s="4" t="s">
        <v>67</v>
      </c>
    </row>
    <row r="705" spans="1:35" ht="36" x14ac:dyDescent="0.3">
      <c r="A705" s="25" t="s">
        <v>2221</v>
      </c>
      <c r="B705" s="25"/>
      <c r="C705" s="30" t="s">
        <v>433</v>
      </c>
      <c r="D705" s="27"/>
      <c r="E705" s="27"/>
      <c r="F705" s="31" t="s">
        <v>70</v>
      </c>
      <c r="G705" s="32">
        <v>0.15</v>
      </c>
      <c r="H705" s="27"/>
      <c r="I705" s="32">
        <v>47.518999999999998</v>
      </c>
      <c r="J705" s="34">
        <v>88.8</v>
      </c>
      <c r="K705" s="35"/>
      <c r="L705" s="35"/>
      <c r="M705" s="34">
        <f>ROUND(ROUND(J705, 2)*I705, 2)</f>
        <v>4219.6899999999996</v>
      </c>
      <c r="N705" s="35"/>
      <c r="O705" s="35"/>
      <c r="P705" s="34">
        <v>88.8</v>
      </c>
      <c r="Q705" s="35"/>
      <c r="R705" s="35"/>
      <c r="S705" s="34">
        <f>ROUND(ROUND(P705, 2)*I705, 2)</f>
        <v>4219.6899999999996</v>
      </c>
      <c r="T705" s="35"/>
      <c r="U705" s="36"/>
      <c r="V705" s="9">
        <f>ROUND(ROUND(P705, 2)/1.2, 2)</f>
        <v>74</v>
      </c>
      <c r="Y705" s="9">
        <f t="shared" si="78"/>
        <v>3516.41</v>
      </c>
      <c r="AD705" s="4" t="s">
        <v>2222</v>
      </c>
      <c r="AE705" s="4" t="s">
        <v>2223</v>
      </c>
      <c r="AF705" s="4" t="s">
        <v>436</v>
      </c>
    </row>
    <row r="706" spans="1:35" ht="90" x14ac:dyDescent="0.3">
      <c r="A706" s="25" t="s">
        <v>2224</v>
      </c>
      <c r="B706" s="25"/>
      <c r="C706" s="30" t="s">
        <v>2155</v>
      </c>
      <c r="D706" s="27"/>
      <c r="E706" s="27" t="s">
        <v>2225</v>
      </c>
      <c r="F706" s="31" t="s">
        <v>70</v>
      </c>
      <c r="G706" s="32">
        <v>0.3</v>
      </c>
      <c r="H706" s="27"/>
      <c r="I706" s="32">
        <v>95.037000000000006</v>
      </c>
      <c r="J706" s="34">
        <v>0</v>
      </c>
      <c r="K706" s="35"/>
      <c r="L706" s="35"/>
      <c r="M706" s="34">
        <f>ROUND(ROUND(J706, 2)*I706, 2)</f>
        <v>0</v>
      </c>
      <c r="N706" s="35"/>
      <c r="O706" s="35"/>
      <c r="P706" s="34">
        <v>206.5</v>
      </c>
      <c r="Q706" s="35"/>
      <c r="R706" s="35"/>
      <c r="S706" s="34">
        <f>ROUND(ROUND(P706, 2)*I706, 2)</f>
        <v>19625.14</v>
      </c>
      <c r="T706" s="35"/>
      <c r="U706" s="36"/>
      <c r="V706" s="9">
        <f>ROUND(ROUND(P706, 2)/1.2, 2)</f>
        <v>172.08</v>
      </c>
      <c r="Y706" s="9">
        <f t="shared" si="78"/>
        <v>16354.28</v>
      </c>
      <c r="AD706" s="4" t="s">
        <v>2226</v>
      </c>
      <c r="AE706" s="4" t="s">
        <v>2227</v>
      </c>
      <c r="AF706" s="4" t="s">
        <v>2159</v>
      </c>
    </row>
    <row r="707" spans="1:35" ht="36" x14ac:dyDescent="0.3">
      <c r="A707" s="25" t="s">
        <v>2228</v>
      </c>
      <c r="B707" s="25" t="s">
        <v>2149</v>
      </c>
      <c r="C707" s="26" t="s">
        <v>2150</v>
      </c>
      <c r="D707" s="27"/>
      <c r="E707" s="27" t="s">
        <v>2229</v>
      </c>
      <c r="F707" s="27" t="s">
        <v>64</v>
      </c>
      <c r="G707" s="28">
        <v>1</v>
      </c>
      <c r="H707" s="27"/>
      <c r="I707" s="28">
        <v>564.55999999999995</v>
      </c>
      <c r="J707" s="29">
        <f>IFERROR(ROUND(SUM(M708,M709)/I707, 2),0)</f>
        <v>13.32</v>
      </c>
      <c r="K707" s="29">
        <v>464</v>
      </c>
      <c r="L707" s="29">
        <f>J707+ROUND(K707, 2)</f>
        <v>477.32</v>
      </c>
      <c r="M707" s="29">
        <f>ROUND(J707*I707, 2)</f>
        <v>7519.94</v>
      </c>
      <c r="N707" s="29">
        <f>ROUND(I707*ROUND(K707, 2), 2)</f>
        <v>261955.84</v>
      </c>
      <c r="O707" s="29">
        <f>M707+N707</f>
        <v>269475.77999999997</v>
      </c>
      <c r="P707" s="29">
        <f>IFERROR(ROUND(SUM(S708,S709)/I707, 2),0)</f>
        <v>68.28</v>
      </c>
      <c r="Q707" s="29">
        <v>464</v>
      </c>
      <c r="R707" s="29">
        <f>P707+ROUND(Q707, 2)</f>
        <v>532.28</v>
      </c>
      <c r="S707" s="29">
        <f>ROUND(P707*I707, 2)</f>
        <v>38548.160000000003</v>
      </c>
      <c r="T707" s="29">
        <f>ROUND(I707*ROUND(Q707, 2), 2)</f>
        <v>261955.84</v>
      </c>
      <c r="U707" s="29">
        <f>S707+T707</f>
        <v>300504</v>
      </c>
      <c r="V707" s="9">
        <f>ROUND(P707 / 1.2, 2)</f>
        <v>56.9</v>
      </c>
      <c r="W707" s="9">
        <f>ROUND(Q707 / 1.2, 2)</f>
        <v>386.67</v>
      </c>
      <c r="X707" s="9">
        <f>ROUND(R707 / 1.2, 2)</f>
        <v>443.57</v>
      </c>
      <c r="Y707" s="9">
        <f t="shared" si="78"/>
        <v>32123.47</v>
      </c>
      <c r="Z707" s="9">
        <f>ROUND(T707 / 1.2, 2)</f>
        <v>218296.53</v>
      </c>
      <c r="AA707" s="9">
        <f>Y707+Z707</f>
        <v>250420</v>
      </c>
      <c r="AD707" s="4">
        <v>298925461</v>
      </c>
      <c r="AE707" s="4">
        <v>20002014</v>
      </c>
      <c r="AG707" s="4" t="s">
        <v>2152</v>
      </c>
      <c r="AH707" s="4" t="s">
        <v>2153</v>
      </c>
      <c r="AI707" s="4" t="s">
        <v>67</v>
      </c>
    </row>
    <row r="708" spans="1:35" ht="54" x14ac:dyDescent="0.3">
      <c r="A708" s="25" t="s">
        <v>2230</v>
      </c>
      <c r="B708" s="25"/>
      <c r="C708" s="30" t="s">
        <v>2187</v>
      </c>
      <c r="D708" s="27"/>
      <c r="E708" s="27" t="s">
        <v>2231</v>
      </c>
      <c r="F708" s="31" t="s">
        <v>70</v>
      </c>
      <c r="G708" s="32">
        <v>0.3</v>
      </c>
      <c r="H708" s="27"/>
      <c r="I708" s="32">
        <v>169.36799999999999</v>
      </c>
      <c r="J708" s="34">
        <v>0</v>
      </c>
      <c r="K708" s="35"/>
      <c r="L708" s="35"/>
      <c r="M708" s="34">
        <f>ROUND(ROUND(J708, 2)*I708, 2)</f>
        <v>0</v>
      </c>
      <c r="N708" s="35"/>
      <c r="O708" s="35"/>
      <c r="P708" s="34">
        <v>183.2</v>
      </c>
      <c r="Q708" s="35"/>
      <c r="R708" s="35"/>
      <c r="S708" s="34">
        <f>ROUND(ROUND(P708, 2)*I708, 2)</f>
        <v>31028.22</v>
      </c>
      <c r="T708" s="35"/>
      <c r="U708" s="36"/>
      <c r="V708" s="9">
        <f>ROUND(ROUND(P708, 2)/1.2, 2)</f>
        <v>152.66999999999999</v>
      </c>
      <c r="Y708" s="9">
        <f t="shared" si="78"/>
        <v>25856.85</v>
      </c>
      <c r="AD708" s="4" t="s">
        <v>2232</v>
      </c>
      <c r="AE708" s="4" t="s">
        <v>2233</v>
      </c>
      <c r="AF708" s="4" t="s">
        <v>2191</v>
      </c>
    </row>
    <row r="709" spans="1:35" ht="36" x14ac:dyDescent="0.3">
      <c r="A709" s="25" t="s">
        <v>2234</v>
      </c>
      <c r="B709" s="25"/>
      <c r="C709" s="30" t="s">
        <v>433</v>
      </c>
      <c r="D709" s="27"/>
      <c r="E709" s="27"/>
      <c r="F709" s="31" t="s">
        <v>70</v>
      </c>
      <c r="G709" s="32">
        <v>0.15</v>
      </c>
      <c r="H709" s="27"/>
      <c r="I709" s="32">
        <v>84.683999999999997</v>
      </c>
      <c r="J709" s="34">
        <v>88.8</v>
      </c>
      <c r="K709" s="35"/>
      <c r="L709" s="35"/>
      <c r="M709" s="34">
        <f>ROUND(ROUND(J709, 2)*I709, 2)</f>
        <v>7519.94</v>
      </c>
      <c r="N709" s="35"/>
      <c r="O709" s="35"/>
      <c r="P709" s="34">
        <v>88.8</v>
      </c>
      <c r="Q709" s="35"/>
      <c r="R709" s="35"/>
      <c r="S709" s="34">
        <f>ROUND(ROUND(P709, 2)*I709, 2)</f>
        <v>7519.94</v>
      </c>
      <c r="T709" s="35"/>
      <c r="U709" s="36"/>
      <c r="V709" s="9">
        <f>ROUND(ROUND(P709, 2)/1.2, 2)</f>
        <v>74</v>
      </c>
      <c r="Y709" s="9">
        <f t="shared" si="78"/>
        <v>6266.62</v>
      </c>
      <c r="AD709" s="4" t="s">
        <v>2235</v>
      </c>
      <c r="AE709" s="4" t="s">
        <v>2236</v>
      </c>
      <c r="AF709" s="4" t="s">
        <v>436</v>
      </c>
    </row>
    <row r="710" spans="1:35" ht="36" x14ac:dyDescent="0.3">
      <c r="A710" s="25" t="s">
        <v>2237</v>
      </c>
      <c r="B710" s="25" t="s">
        <v>2149</v>
      </c>
      <c r="C710" s="26" t="s">
        <v>2150</v>
      </c>
      <c r="D710" s="27"/>
      <c r="E710" s="27" t="s">
        <v>2238</v>
      </c>
      <c r="F710" s="27" t="s">
        <v>64</v>
      </c>
      <c r="G710" s="28">
        <v>1</v>
      </c>
      <c r="H710" s="27"/>
      <c r="I710" s="28">
        <v>32.17</v>
      </c>
      <c r="J710" s="29">
        <f>IFERROR(ROUND(SUM(M711,M712)/I710, 2),0)</f>
        <v>12</v>
      </c>
      <c r="K710" s="29">
        <v>464</v>
      </c>
      <c r="L710" s="29">
        <f>J710+ROUND(K710, 2)</f>
        <v>476</v>
      </c>
      <c r="M710" s="29">
        <f>ROUND(J710*I710, 2)</f>
        <v>386.04</v>
      </c>
      <c r="N710" s="29">
        <f>ROUND(I710*ROUND(K710, 2), 2)</f>
        <v>14926.88</v>
      </c>
      <c r="O710" s="29">
        <f>M710+N710</f>
        <v>15312.92</v>
      </c>
      <c r="P710" s="29">
        <f>IFERROR(ROUND(SUM(S711,S712)/I710, 2),0)</f>
        <v>73.95</v>
      </c>
      <c r="Q710" s="29">
        <v>464</v>
      </c>
      <c r="R710" s="29">
        <f>P710+ROUND(Q710, 2)</f>
        <v>537.95000000000005</v>
      </c>
      <c r="S710" s="29">
        <f>ROUND(P710*I710, 2)</f>
        <v>2378.9699999999998</v>
      </c>
      <c r="T710" s="29">
        <f>ROUND(I710*ROUND(Q710, 2), 2)</f>
        <v>14926.88</v>
      </c>
      <c r="U710" s="29">
        <f>S710+T710</f>
        <v>17305.849999999999</v>
      </c>
      <c r="V710" s="9">
        <f>ROUND(P710 / 1.2, 2)</f>
        <v>61.63</v>
      </c>
      <c r="W710" s="9">
        <f>ROUND(Q710 / 1.2, 2)</f>
        <v>386.67</v>
      </c>
      <c r="X710" s="9">
        <f>ROUND(R710 / 1.2, 2)</f>
        <v>448.29</v>
      </c>
      <c r="Y710" s="9">
        <f t="shared" si="78"/>
        <v>1982.48</v>
      </c>
      <c r="Z710" s="9">
        <f>ROUND(T710 / 1.2, 2)</f>
        <v>12439.07</v>
      </c>
      <c r="AA710" s="9">
        <f>Y710+Z710</f>
        <v>14421.55</v>
      </c>
      <c r="AD710" s="4">
        <v>298925462</v>
      </c>
      <c r="AE710" s="4">
        <v>20002017</v>
      </c>
      <c r="AG710" s="4" t="s">
        <v>2152</v>
      </c>
      <c r="AH710" s="4" t="s">
        <v>2153</v>
      </c>
      <c r="AI710" s="4" t="s">
        <v>67</v>
      </c>
    </row>
    <row r="711" spans="1:35" ht="36" x14ac:dyDescent="0.3">
      <c r="A711" s="25" t="s">
        <v>2239</v>
      </c>
      <c r="B711" s="25"/>
      <c r="C711" s="30" t="s">
        <v>2240</v>
      </c>
      <c r="D711" s="27"/>
      <c r="E711" s="27"/>
      <c r="F711" s="31" t="s">
        <v>70</v>
      </c>
      <c r="G711" s="32">
        <v>0.15</v>
      </c>
      <c r="H711" s="27"/>
      <c r="I711" s="32">
        <v>4.8259999999999996</v>
      </c>
      <c r="J711" s="34">
        <v>80</v>
      </c>
      <c r="K711" s="35"/>
      <c r="L711" s="35"/>
      <c r="M711" s="34">
        <f>ROUND(ROUND(J711, 2)*I711, 2)</f>
        <v>386.08</v>
      </c>
      <c r="N711" s="35"/>
      <c r="O711" s="35"/>
      <c r="P711" s="34">
        <v>80</v>
      </c>
      <c r="Q711" s="35"/>
      <c r="R711" s="35"/>
      <c r="S711" s="34">
        <f>ROUND(ROUND(P711, 2)*I711, 2)</f>
        <v>386.08</v>
      </c>
      <c r="T711" s="35"/>
      <c r="U711" s="36"/>
      <c r="V711" s="9">
        <f>ROUND(ROUND(P711, 2)/1.2, 2)</f>
        <v>66.67</v>
      </c>
      <c r="Y711" s="9">
        <f t="shared" ref="Y711:Y742" si="79">ROUND(S711 / 1.2, 2)</f>
        <v>321.73</v>
      </c>
      <c r="AD711" s="4" t="s">
        <v>2241</v>
      </c>
      <c r="AE711" s="4" t="s">
        <v>2242</v>
      </c>
      <c r="AF711" s="4" t="s">
        <v>2243</v>
      </c>
    </row>
    <row r="712" spans="1:35" ht="72" x14ac:dyDescent="0.3">
      <c r="A712" s="25" t="s">
        <v>2244</v>
      </c>
      <c r="B712" s="25"/>
      <c r="C712" s="30" t="s">
        <v>2187</v>
      </c>
      <c r="D712" s="27"/>
      <c r="E712" s="27" t="s">
        <v>2245</v>
      </c>
      <c r="F712" s="31" t="s">
        <v>70</v>
      </c>
      <c r="G712" s="32">
        <v>0.3</v>
      </c>
      <c r="H712" s="27"/>
      <c r="I712" s="32">
        <v>9.6509999999999998</v>
      </c>
      <c r="J712" s="34">
        <v>0</v>
      </c>
      <c r="K712" s="35"/>
      <c r="L712" s="35"/>
      <c r="M712" s="34">
        <f>ROUND(ROUND(J712, 2)*I712, 2)</f>
        <v>0</v>
      </c>
      <c r="N712" s="35"/>
      <c r="O712" s="35"/>
      <c r="P712" s="34">
        <v>206.5</v>
      </c>
      <c r="Q712" s="35"/>
      <c r="R712" s="35"/>
      <c r="S712" s="34">
        <f>ROUND(ROUND(P712, 2)*I712, 2)</f>
        <v>1992.93</v>
      </c>
      <c r="T712" s="35"/>
      <c r="U712" s="36"/>
      <c r="V712" s="9">
        <f>ROUND(ROUND(P712, 2)/1.2, 2)</f>
        <v>172.08</v>
      </c>
      <c r="Y712" s="9">
        <f t="shared" si="79"/>
        <v>1660.78</v>
      </c>
      <c r="AD712" s="4" t="s">
        <v>2246</v>
      </c>
      <c r="AE712" s="4" t="s">
        <v>2247</v>
      </c>
      <c r="AF712" s="4" t="s">
        <v>2191</v>
      </c>
    </row>
    <row r="713" spans="1:35" ht="36" x14ac:dyDescent="0.3">
      <c r="A713" s="25" t="s">
        <v>2248</v>
      </c>
      <c r="B713" s="25" t="s">
        <v>2149</v>
      </c>
      <c r="C713" s="26" t="s">
        <v>2150</v>
      </c>
      <c r="D713" s="27"/>
      <c r="E713" s="27" t="s">
        <v>2249</v>
      </c>
      <c r="F713" s="27" t="s">
        <v>64</v>
      </c>
      <c r="G713" s="28">
        <v>1</v>
      </c>
      <c r="H713" s="27"/>
      <c r="I713" s="28">
        <v>38.729999999999997</v>
      </c>
      <c r="J713" s="29">
        <f>IFERROR(ROUND(SUM(M714,M715)/I713, 2),0)</f>
        <v>13.32</v>
      </c>
      <c r="K713" s="29">
        <v>464</v>
      </c>
      <c r="L713" s="29">
        <f>J713+ROUND(K713, 2)</f>
        <v>477.32</v>
      </c>
      <c r="M713" s="29">
        <f>ROUND(J713*I713, 2)</f>
        <v>515.88</v>
      </c>
      <c r="N713" s="29">
        <f>ROUND(I713*ROUND(K713, 2), 2)</f>
        <v>17970.72</v>
      </c>
      <c r="O713" s="29">
        <f>M713+N713</f>
        <v>18486.600000000002</v>
      </c>
      <c r="P713" s="29">
        <f>IFERROR(ROUND(SUM(S714,S715)/I713, 2),0)</f>
        <v>75.27</v>
      </c>
      <c r="Q713" s="29">
        <v>464</v>
      </c>
      <c r="R713" s="29">
        <f>P713+ROUND(Q713, 2)</f>
        <v>539.27</v>
      </c>
      <c r="S713" s="29">
        <f>ROUND(P713*I713, 2)</f>
        <v>2915.21</v>
      </c>
      <c r="T713" s="29">
        <f>ROUND(I713*ROUND(Q713, 2), 2)</f>
        <v>17970.72</v>
      </c>
      <c r="U713" s="29">
        <f>S713+T713</f>
        <v>20885.93</v>
      </c>
      <c r="V713" s="9">
        <f>ROUND(P713 / 1.2, 2)</f>
        <v>62.73</v>
      </c>
      <c r="W713" s="9">
        <f>ROUND(Q713 / 1.2, 2)</f>
        <v>386.67</v>
      </c>
      <c r="X713" s="9">
        <f>ROUND(R713 / 1.2, 2)</f>
        <v>449.39</v>
      </c>
      <c r="Y713" s="9">
        <f t="shared" si="79"/>
        <v>2429.34</v>
      </c>
      <c r="Z713" s="9">
        <f>ROUND(T713 / 1.2, 2)</f>
        <v>14975.6</v>
      </c>
      <c r="AA713" s="9">
        <f>Y713+Z713</f>
        <v>17404.940000000002</v>
      </c>
      <c r="AD713" s="4">
        <v>298925463</v>
      </c>
      <c r="AE713" s="4">
        <v>20002018</v>
      </c>
      <c r="AG713" s="4" t="s">
        <v>2152</v>
      </c>
      <c r="AH713" s="4" t="s">
        <v>2153</v>
      </c>
      <c r="AI713" s="4" t="s">
        <v>67</v>
      </c>
    </row>
    <row r="714" spans="1:35" ht="54" x14ac:dyDescent="0.3">
      <c r="A714" s="25" t="s">
        <v>2250</v>
      </c>
      <c r="B714" s="25"/>
      <c r="C714" s="30" t="s">
        <v>2187</v>
      </c>
      <c r="D714" s="27"/>
      <c r="E714" s="27" t="s">
        <v>2251</v>
      </c>
      <c r="F714" s="31" t="s">
        <v>70</v>
      </c>
      <c r="G714" s="32">
        <v>0.3</v>
      </c>
      <c r="H714" s="27"/>
      <c r="I714" s="32">
        <v>11.619</v>
      </c>
      <c r="J714" s="34">
        <v>0</v>
      </c>
      <c r="K714" s="35"/>
      <c r="L714" s="35"/>
      <c r="M714" s="34">
        <f>ROUND(ROUND(J714, 2)*I714, 2)</f>
        <v>0</v>
      </c>
      <c r="N714" s="35"/>
      <c r="O714" s="35"/>
      <c r="P714" s="34">
        <v>206.5</v>
      </c>
      <c r="Q714" s="35"/>
      <c r="R714" s="35"/>
      <c r="S714" s="34">
        <f>ROUND(ROUND(P714, 2)*I714, 2)</f>
        <v>2399.3200000000002</v>
      </c>
      <c r="T714" s="35"/>
      <c r="U714" s="36"/>
      <c r="V714" s="9">
        <f>ROUND(ROUND(P714, 2)/1.2, 2)</f>
        <v>172.08</v>
      </c>
      <c r="Y714" s="9">
        <f t="shared" si="79"/>
        <v>1999.43</v>
      </c>
      <c r="AD714" s="4" t="s">
        <v>2252</v>
      </c>
      <c r="AE714" s="4" t="s">
        <v>2253</v>
      </c>
      <c r="AF714" s="4" t="s">
        <v>2191</v>
      </c>
    </row>
    <row r="715" spans="1:35" ht="36" x14ac:dyDescent="0.3">
      <c r="A715" s="25" t="s">
        <v>2254</v>
      </c>
      <c r="B715" s="25"/>
      <c r="C715" s="30" t="s">
        <v>433</v>
      </c>
      <c r="D715" s="27"/>
      <c r="E715" s="27"/>
      <c r="F715" s="31" t="s">
        <v>70</v>
      </c>
      <c r="G715" s="32">
        <v>0.15</v>
      </c>
      <c r="H715" s="27"/>
      <c r="I715" s="32">
        <v>5.81</v>
      </c>
      <c r="J715" s="34">
        <v>88.8</v>
      </c>
      <c r="K715" s="35"/>
      <c r="L715" s="35"/>
      <c r="M715" s="34">
        <f>ROUND(ROUND(J715, 2)*I715, 2)</f>
        <v>515.92999999999995</v>
      </c>
      <c r="N715" s="35"/>
      <c r="O715" s="35"/>
      <c r="P715" s="34">
        <v>88.8</v>
      </c>
      <c r="Q715" s="35"/>
      <c r="R715" s="35"/>
      <c r="S715" s="34">
        <f>ROUND(ROUND(P715, 2)*I715, 2)</f>
        <v>515.92999999999995</v>
      </c>
      <c r="T715" s="35"/>
      <c r="U715" s="36"/>
      <c r="V715" s="9">
        <f>ROUND(ROUND(P715, 2)/1.2, 2)</f>
        <v>74</v>
      </c>
      <c r="Y715" s="9">
        <f t="shared" si="79"/>
        <v>429.94</v>
      </c>
      <c r="AD715" s="4" t="s">
        <v>2255</v>
      </c>
      <c r="AE715" s="4" t="s">
        <v>2256</v>
      </c>
      <c r="AF715" s="4" t="s">
        <v>436</v>
      </c>
    </row>
    <row r="716" spans="1:35" ht="36" x14ac:dyDescent="0.3">
      <c r="A716" s="25" t="s">
        <v>2257</v>
      </c>
      <c r="B716" s="25" t="s">
        <v>2149</v>
      </c>
      <c r="C716" s="26" t="s">
        <v>2150</v>
      </c>
      <c r="D716" s="27"/>
      <c r="E716" s="27" t="s">
        <v>2211</v>
      </c>
      <c r="F716" s="27" t="s">
        <v>64</v>
      </c>
      <c r="G716" s="28">
        <v>1</v>
      </c>
      <c r="H716" s="27"/>
      <c r="I716" s="28">
        <v>38.74</v>
      </c>
      <c r="J716" s="29">
        <f>IFERROR(ROUND(SUM(M717,M718)/I716, 2),0)</f>
        <v>13.32</v>
      </c>
      <c r="K716" s="29">
        <v>464</v>
      </c>
      <c r="L716" s="29">
        <f>J716+ROUND(K716, 2)</f>
        <v>477.32</v>
      </c>
      <c r="M716" s="29">
        <f>ROUND(J716*I716, 2)</f>
        <v>516.02</v>
      </c>
      <c r="N716" s="29">
        <f>ROUND(I716*ROUND(K716, 2), 2)</f>
        <v>17975.36</v>
      </c>
      <c r="O716" s="29">
        <f>M716+N716</f>
        <v>18491.38</v>
      </c>
      <c r="P716" s="29">
        <f>IFERROR(ROUND(SUM(S717,S718)/I716, 2),0)</f>
        <v>75.27</v>
      </c>
      <c r="Q716" s="29">
        <v>464</v>
      </c>
      <c r="R716" s="29">
        <f>P716+ROUND(Q716, 2)</f>
        <v>539.27</v>
      </c>
      <c r="S716" s="29">
        <f>ROUND(P716*I716, 2)</f>
        <v>2915.96</v>
      </c>
      <c r="T716" s="29">
        <f>ROUND(I716*ROUND(Q716, 2), 2)</f>
        <v>17975.36</v>
      </c>
      <c r="U716" s="29">
        <f>S716+T716</f>
        <v>20891.32</v>
      </c>
      <c r="V716" s="9">
        <f>ROUND(P716 / 1.2, 2)</f>
        <v>62.73</v>
      </c>
      <c r="W716" s="9">
        <f>ROUND(Q716 / 1.2, 2)</f>
        <v>386.67</v>
      </c>
      <c r="X716" s="9">
        <f>ROUND(R716 / 1.2, 2)</f>
        <v>449.39</v>
      </c>
      <c r="Y716" s="9">
        <f t="shared" si="79"/>
        <v>2429.9699999999998</v>
      </c>
      <c r="Z716" s="9">
        <f>ROUND(T716 / 1.2, 2)</f>
        <v>14979.47</v>
      </c>
      <c r="AA716" s="9">
        <f>Y716+Z716</f>
        <v>17409.439999999999</v>
      </c>
      <c r="AD716" s="4">
        <v>298925464</v>
      </c>
      <c r="AE716" s="4">
        <v>20002019</v>
      </c>
      <c r="AG716" s="4" t="s">
        <v>2152</v>
      </c>
      <c r="AH716" s="4" t="s">
        <v>2153</v>
      </c>
      <c r="AI716" s="4" t="s">
        <v>67</v>
      </c>
    </row>
    <row r="717" spans="1:35" ht="36" x14ac:dyDescent="0.3">
      <c r="A717" s="25" t="s">
        <v>2258</v>
      </c>
      <c r="B717" s="25"/>
      <c r="C717" s="30" t="s">
        <v>433</v>
      </c>
      <c r="D717" s="27"/>
      <c r="E717" s="27"/>
      <c r="F717" s="31" t="s">
        <v>70</v>
      </c>
      <c r="G717" s="32">
        <v>0.15</v>
      </c>
      <c r="H717" s="27"/>
      <c r="I717" s="32">
        <v>5.8109999999999999</v>
      </c>
      <c r="J717" s="34">
        <v>88.8</v>
      </c>
      <c r="K717" s="35"/>
      <c r="L717" s="35"/>
      <c r="M717" s="34">
        <f>ROUND(ROUND(J717, 2)*I717, 2)</f>
        <v>516.02</v>
      </c>
      <c r="N717" s="35"/>
      <c r="O717" s="35"/>
      <c r="P717" s="34">
        <v>88.8</v>
      </c>
      <c r="Q717" s="35"/>
      <c r="R717" s="35"/>
      <c r="S717" s="34">
        <f>ROUND(ROUND(P717, 2)*I717, 2)</f>
        <v>516.02</v>
      </c>
      <c r="T717" s="35"/>
      <c r="U717" s="36"/>
      <c r="V717" s="9">
        <f>ROUND(ROUND(P717, 2)/1.2, 2)</f>
        <v>74</v>
      </c>
      <c r="Y717" s="9">
        <f t="shared" si="79"/>
        <v>430.02</v>
      </c>
      <c r="AD717" s="4" t="s">
        <v>2259</v>
      </c>
      <c r="AE717" s="4" t="s">
        <v>2260</v>
      </c>
      <c r="AF717" s="4" t="s">
        <v>436</v>
      </c>
    </row>
    <row r="718" spans="1:35" ht="72" x14ac:dyDescent="0.3">
      <c r="A718" s="25" t="s">
        <v>2261</v>
      </c>
      <c r="B718" s="25"/>
      <c r="C718" s="30" t="s">
        <v>2187</v>
      </c>
      <c r="D718" s="27"/>
      <c r="E718" s="27" t="s">
        <v>2262</v>
      </c>
      <c r="F718" s="31" t="s">
        <v>70</v>
      </c>
      <c r="G718" s="32">
        <v>0.3</v>
      </c>
      <c r="H718" s="27"/>
      <c r="I718" s="32">
        <v>11.622</v>
      </c>
      <c r="J718" s="34">
        <v>0</v>
      </c>
      <c r="K718" s="35"/>
      <c r="L718" s="35"/>
      <c r="M718" s="34">
        <f>ROUND(ROUND(J718, 2)*I718, 2)</f>
        <v>0</v>
      </c>
      <c r="N718" s="35"/>
      <c r="O718" s="35"/>
      <c r="P718" s="34">
        <v>206.5</v>
      </c>
      <c r="Q718" s="35"/>
      <c r="R718" s="35"/>
      <c r="S718" s="34">
        <f>ROUND(ROUND(P718, 2)*I718, 2)</f>
        <v>2399.94</v>
      </c>
      <c r="T718" s="35"/>
      <c r="U718" s="36"/>
      <c r="V718" s="9">
        <f>ROUND(ROUND(P718, 2)/1.2, 2)</f>
        <v>172.08</v>
      </c>
      <c r="Y718" s="9">
        <f t="shared" si="79"/>
        <v>1999.95</v>
      </c>
      <c r="AD718" s="4" t="s">
        <v>2263</v>
      </c>
      <c r="AE718" s="4" t="s">
        <v>2264</v>
      </c>
      <c r="AF718" s="4" t="s">
        <v>2191</v>
      </c>
    </row>
    <row r="719" spans="1:35" ht="36" x14ac:dyDescent="0.3">
      <c r="A719" s="25" t="s">
        <v>2265</v>
      </c>
      <c r="B719" s="25" t="s">
        <v>2149</v>
      </c>
      <c r="C719" s="26" t="s">
        <v>2150</v>
      </c>
      <c r="D719" s="27"/>
      <c r="E719" s="27" t="s">
        <v>2266</v>
      </c>
      <c r="F719" s="27" t="s">
        <v>64</v>
      </c>
      <c r="G719" s="28">
        <v>1</v>
      </c>
      <c r="H719" s="27"/>
      <c r="I719" s="28">
        <v>33.549999999999997</v>
      </c>
      <c r="J719" s="29">
        <f>IFERROR(ROUND(SUM(M720,M721)/I719, 2),0)</f>
        <v>13.32</v>
      </c>
      <c r="K719" s="29">
        <v>464</v>
      </c>
      <c r="L719" s="29">
        <f>J719+ROUND(K719, 2)</f>
        <v>477.32</v>
      </c>
      <c r="M719" s="29">
        <f>ROUND(J719*I719, 2)</f>
        <v>446.89</v>
      </c>
      <c r="N719" s="29">
        <f>ROUND(I719*ROUND(K719, 2), 2)</f>
        <v>15567.2</v>
      </c>
      <c r="O719" s="29">
        <f>M719+N719</f>
        <v>16014.09</v>
      </c>
      <c r="P719" s="29">
        <f>IFERROR(ROUND(SUM(S720,S721)/I719, 2),0)</f>
        <v>75.27</v>
      </c>
      <c r="Q719" s="29">
        <v>464</v>
      </c>
      <c r="R719" s="29">
        <f>P719+ROUND(Q719, 2)</f>
        <v>539.27</v>
      </c>
      <c r="S719" s="29">
        <f>ROUND(P719*I719, 2)</f>
        <v>2525.31</v>
      </c>
      <c r="T719" s="29">
        <f>ROUND(I719*ROUND(Q719, 2), 2)</f>
        <v>15567.2</v>
      </c>
      <c r="U719" s="29">
        <f>S719+T719</f>
        <v>18092.510000000002</v>
      </c>
      <c r="V719" s="9">
        <f>ROUND(P719 / 1.2, 2)</f>
        <v>62.73</v>
      </c>
      <c r="W719" s="9">
        <f>ROUND(Q719 / 1.2, 2)</f>
        <v>386.67</v>
      </c>
      <c r="X719" s="9">
        <f>ROUND(R719 / 1.2, 2)</f>
        <v>449.39</v>
      </c>
      <c r="Y719" s="9">
        <f t="shared" si="79"/>
        <v>2104.4299999999998</v>
      </c>
      <c r="Z719" s="9">
        <f>ROUND(T719 / 1.2, 2)</f>
        <v>12972.67</v>
      </c>
      <c r="AA719" s="9">
        <f>Y719+Z719</f>
        <v>15077.1</v>
      </c>
      <c r="AD719" s="4">
        <v>298925465</v>
      </c>
      <c r="AE719" s="4">
        <v>20002015</v>
      </c>
      <c r="AG719" s="4" t="s">
        <v>2152</v>
      </c>
      <c r="AH719" s="4" t="s">
        <v>2153</v>
      </c>
      <c r="AI719" s="4" t="s">
        <v>67</v>
      </c>
    </row>
    <row r="720" spans="1:35" ht="54" x14ac:dyDescent="0.3">
      <c r="A720" s="25" t="s">
        <v>2267</v>
      </c>
      <c r="B720" s="25"/>
      <c r="C720" s="30" t="s">
        <v>2187</v>
      </c>
      <c r="D720" s="27"/>
      <c r="E720" s="27" t="s">
        <v>2268</v>
      </c>
      <c r="F720" s="31" t="s">
        <v>70</v>
      </c>
      <c r="G720" s="32">
        <v>0.3</v>
      </c>
      <c r="H720" s="27"/>
      <c r="I720" s="32">
        <v>10.065</v>
      </c>
      <c r="J720" s="34">
        <v>0</v>
      </c>
      <c r="K720" s="35"/>
      <c r="L720" s="35"/>
      <c r="M720" s="34">
        <f>ROUND(ROUND(J720, 2)*I720, 2)</f>
        <v>0</v>
      </c>
      <c r="N720" s="35"/>
      <c r="O720" s="35"/>
      <c r="P720" s="34">
        <v>206.5</v>
      </c>
      <c r="Q720" s="35"/>
      <c r="R720" s="35"/>
      <c r="S720" s="34">
        <f>ROUND(ROUND(P720, 2)*I720, 2)</f>
        <v>2078.42</v>
      </c>
      <c r="T720" s="35"/>
      <c r="U720" s="36"/>
      <c r="V720" s="9">
        <f>ROUND(ROUND(P720, 2)/1.2, 2)</f>
        <v>172.08</v>
      </c>
      <c r="Y720" s="9">
        <f t="shared" si="79"/>
        <v>1732.02</v>
      </c>
      <c r="AD720" s="4" t="s">
        <v>2269</v>
      </c>
      <c r="AE720" s="4" t="s">
        <v>2270</v>
      </c>
      <c r="AF720" s="4" t="s">
        <v>2191</v>
      </c>
    </row>
    <row r="721" spans="1:35" ht="36" x14ac:dyDescent="0.3">
      <c r="A721" s="25" t="s">
        <v>2271</v>
      </c>
      <c r="B721" s="25"/>
      <c r="C721" s="30" t="s">
        <v>433</v>
      </c>
      <c r="D721" s="27"/>
      <c r="E721" s="27"/>
      <c r="F721" s="31" t="s">
        <v>70</v>
      </c>
      <c r="G721" s="32">
        <v>0.15</v>
      </c>
      <c r="H721" s="27"/>
      <c r="I721" s="32">
        <v>5.0330000000000004</v>
      </c>
      <c r="J721" s="34">
        <v>88.8</v>
      </c>
      <c r="K721" s="35"/>
      <c r="L721" s="35"/>
      <c r="M721" s="34">
        <f>ROUND(ROUND(J721, 2)*I721, 2)</f>
        <v>446.93</v>
      </c>
      <c r="N721" s="35"/>
      <c r="O721" s="35"/>
      <c r="P721" s="34">
        <v>88.8</v>
      </c>
      <c r="Q721" s="35"/>
      <c r="R721" s="35"/>
      <c r="S721" s="34">
        <f>ROUND(ROUND(P721, 2)*I721, 2)</f>
        <v>446.93</v>
      </c>
      <c r="T721" s="35"/>
      <c r="U721" s="36"/>
      <c r="V721" s="9">
        <f>ROUND(ROUND(P721, 2)/1.2, 2)</f>
        <v>74</v>
      </c>
      <c r="Y721" s="9">
        <f t="shared" si="79"/>
        <v>372.44</v>
      </c>
      <c r="AD721" s="4" t="s">
        <v>2272</v>
      </c>
      <c r="AE721" s="4" t="s">
        <v>2273</v>
      </c>
      <c r="AF721" s="4" t="s">
        <v>436</v>
      </c>
    </row>
    <row r="722" spans="1:35" ht="36" x14ac:dyDescent="0.3">
      <c r="A722" s="25" t="s">
        <v>2274</v>
      </c>
      <c r="B722" s="25" t="s">
        <v>2149</v>
      </c>
      <c r="C722" s="26" t="s">
        <v>2150</v>
      </c>
      <c r="D722" s="27"/>
      <c r="E722" s="27" t="s">
        <v>2275</v>
      </c>
      <c r="F722" s="27" t="s">
        <v>64</v>
      </c>
      <c r="G722" s="28">
        <v>1</v>
      </c>
      <c r="H722" s="27"/>
      <c r="I722" s="28">
        <v>1504.31</v>
      </c>
      <c r="J722" s="29">
        <f>IFERROR(ROUND(SUM(M723,M724)/I722, 2),0)</f>
        <v>13.32</v>
      </c>
      <c r="K722" s="29">
        <v>464</v>
      </c>
      <c r="L722" s="29">
        <f>J722+ROUND(K722, 2)</f>
        <v>477.32</v>
      </c>
      <c r="M722" s="29">
        <f>ROUND(J722*I722, 2)</f>
        <v>20037.41</v>
      </c>
      <c r="N722" s="29">
        <f>ROUND(I722*ROUND(K722, 2), 2)</f>
        <v>697999.84</v>
      </c>
      <c r="O722" s="29">
        <f>M722+N722</f>
        <v>718037.25</v>
      </c>
      <c r="P722" s="29">
        <f>IFERROR(ROUND(SUM(S723,S724)/I722, 2),0)</f>
        <v>75.27</v>
      </c>
      <c r="Q722" s="29">
        <v>464</v>
      </c>
      <c r="R722" s="29">
        <f>P722+ROUND(Q722, 2)</f>
        <v>539.27</v>
      </c>
      <c r="S722" s="29">
        <f>ROUND(P722*I722, 2)</f>
        <v>113229.41</v>
      </c>
      <c r="T722" s="29">
        <f>ROUND(I722*ROUND(Q722, 2), 2)</f>
        <v>697999.84</v>
      </c>
      <c r="U722" s="29">
        <f>S722+T722</f>
        <v>811229.25</v>
      </c>
      <c r="V722" s="9">
        <f>ROUND(P722 / 1.2, 2)</f>
        <v>62.73</v>
      </c>
      <c r="W722" s="9">
        <f>ROUND(Q722 / 1.2, 2)</f>
        <v>386.67</v>
      </c>
      <c r="X722" s="9">
        <f>ROUND(R722 / 1.2, 2)</f>
        <v>449.39</v>
      </c>
      <c r="Y722" s="9">
        <f t="shared" si="79"/>
        <v>94357.84</v>
      </c>
      <c r="Z722" s="9">
        <f>ROUND(T722 / 1.2, 2)</f>
        <v>581666.53</v>
      </c>
      <c r="AA722" s="9">
        <f>Y722+Z722</f>
        <v>676024.37</v>
      </c>
      <c r="AD722" s="4">
        <v>298925466</v>
      </c>
      <c r="AE722" s="4">
        <v>20002016</v>
      </c>
      <c r="AG722" s="4" t="s">
        <v>2152</v>
      </c>
      <c r="AH722" s="4" t="s">
        <v>2153</v>
      </c>
      <c r="AI722" s="4" t="s">
        <v>67</v>
      </c>
    </row>
    <row r="723" spans="1:35" ht="36" x14ac:dyDescent="0.3">
      <c r="A723" s="25" t="s">
        <v>2276</v>
      </c>
      <c r="B723" s="25"/>
      <c r="C723" s="30" t="s">
        <v>433</v>
      </c>
      <c r="D723" s="27"/>
      <c r="E723" s="27"/>
      <c r="F723" s="31" t="s">
        <v>70</v>
      </c>
      <c r="G723" s="32">
        <v>0.15</v>
      </c>
      <c r="H723" s="27"/>
      <c r="I723" s="32">
        <v>225.64699999999999</v>
      </c>
      <c r="J723" s="34">
        <v>88.8</v>
      </c>
      <c r="K723" s="35"/>
      <c r="L723" s="35"/>
      <c r="M723" s="34">
        <f>ROUND(ROUND(J723, 2)*I723, 2)</f>
        <v>20037.45</v>
      </c>
      <c r="N723" s="35"/>
      <c r="O723" s="35"/>
      <c r="P723" s="34">
        <v>88.8</v>
      </c>
      <c r="Q723" s="35"/>
      <c r="R723" s="35"/>
      <c r="S723" s="34">
        <f>ROUND(ROUND(P723, 2)*I723, 2)</f>
        <v>20037.45</v>
      </c>
      <c r="T723" s="35"/>
      <c r="U723" s="36"/>
      <c r="V723" s="9">
        <f>ROUND(ROUND(P723, 2)/1.2, 2)</f>
        <v>74</v>
      </c>
      <c r="Y723" s="9">
        <f t="shared" si="79"/>
        <v>16697.88</v>
      </c>
      <c r="AD723" s="4" t="s">
        <v>2277</v>
      </c>
      <c r="AE723" s="4" t="s">
        <v>2278</v>
      </c>
      <c r="AF723" s="4" t="s">
        <v>436</v>
      </c>
    </row>
    <row r="724" spans="1:35" ht="90" x14ac:dyDescent="0.3">
      <c r="A724" s="25" t="s">
        <v>2279</v>
      </c>
      <c r="B724" s="25"/>
      <c r="C724" s="30" t="s">
        <v>2187</v>
      </c>
      <c r="D724" s="27"/>
      <c r="E724" s="27" t="s">
        <v>2280</v>
      </c>
      <c r="F724" s="31" t="s">
        <v>70</v>
      </c>
      <c r="G724" s="32">
        <v>0.3</v>
      </c>
      <c r="H724" s="27"/>
      <c r="I724" s="32">
        <v>451.29300000000001</v>
      </c>
      <c r="J724" s="34">
        <v>0</v>
      </c>
      <c r="K724" s="35"/>
      <c r="L724" s="35"/>
      <c r="M724" s="34">
        <f>ROUND(ROUND(J724, 2)*I724, 2)</f>
        <v>0</v>
      </c>
      <c r="N724" s="35"/>
      <c r="O724" s="35"/>
      <c r="P724" s="34">
        <v>206.5</v>
      </c>
      <c r="Q724" s="35"/>
      <c r="R724" s="35"/>
      <c r="S724" s="34">
        <f>ROUND(ROUND(P724, 2)*I724, 2)</f>
        <v>93192</v>
      </c>
      <c r="T724" s="35"/>
      <c r="U724" s="36"/>
      <c r="V724" s="9">
        <f>ROUND(ROUND(P724, 2)/1.2, 2)</f>
        <v>172.08</v>
      </c>
      <c r="Y724" s="9">
        <f t="shared" si="79"/>
        <v>77660</v>
      </c>
      <c r="AD724" s="4" t="s">
        <v>2281</v>
      </c>
      <c r="AE724" s="4" t="s">
        <v>2282</v>
      </c>
      <c r="AF724" s="4" t="s">
        <v>2191</v>
      </c>
    </row>
    <row r="725" spans="1:35" ht="36" x14ac:dyDescent="0.3">
      <c r="A725" s="25" t="s">
        <v>2283</v>
      </c>
      <c r="B725" s="25" t="s">
        <v>2149</v>
      </c>
      <c r="C725" s="26" t="s">
        <v>2150</v>
      </c>
      <c r="D725" s="27"/>
      <c r="E725" s="27" t="s">
        <v>2284</v>
      </c>
      <c r="F725" s="27" t="s">
        <v>64</v>
      </c>
      <c r="G725" s="28">
        <v>1</v>
      </c>
      <c r="H725" s="27"/>
      <c r="I725" s="28">
        <v>229.48</v>
      </c>
      <c r="J725" s="29">
        <f>IFERROR(ROUND(SUM(M726,M727)/I725, 2),0)</f>
        <v>13.32</v>
      </c>
      <c r="K725" s="29">
        <v>464</v>
      </c>
      <c r="L725" s="29">
        <f>J725+ROUND(K725, 2)</f>
        <v>477.32</v>
      </c>
      <c r="M725" s="29">
        <f>ROUND(J725*I725, 2)</f>
        <v>3056.67</v>
      </c>
      <c r="N725" s="29">
        <f>ROUND(I725*ROUND(K725, 2), 2)</f>
        <v>106478.72</v>
      </c>
      <c r="O725" s="29">
        <f>M725+N725</f>
        <v>109535.39</v>
      </c>
      <c r="P725" s="29">
        <f>IFERROR(ROUND(SUM(S726,S727)/I725, 2),0)</f>
        <v>68.28</v>
      </c>
      <c r="Q725" s="29">
        <v>464</v>
      </c>
      <c r="R725" s="29">
        <f>P725+ROUND(Q725, 2)</f>
        <v>532.28</v>
      </c>
      <c r="S725" s="29">
        <f>ROUND(P725*I725, 2)</f>
        <v>15668.89</v>
      </c>
      <c r="T725" s="29">
        <f>ROUND(I725*ROUND(Q725, 2), 2)</f>
        <v>106478.72</v>
      </c>
      <c r="U725" s="29">
        <f>S725+T725</f>
        <v>122147.61</v>
      </c>
      <c r="V725" s="9">
        <f>ROUND(P725 / 1.2, 2)</f>
        <v>56.9</v>
      </c>
      <c r="W725" s="9">
        <f>ROUND(Q725 / 1.2, 2)</f>
        <v>386.67</v>
      </c>
      <c r="X725" s="9">
        <f>ROUND(R725 / 1.2, 2)</f>
        <v>443.57</v>
      </c>
      <c r="Y725" s="9">
        <f t="shared" si="79"/>
        <v>13057.41</v>
      </c>
      <c r="Z725" s="9">
        <f>ROUND(T725 / 1.2, 2)</f>
        <v>88732.27</v>
      </c>
      <c r="AA725" s="9">
        <f>Y725+Z725</f>
        <v>101789.68000000001</v>
      </c>
      <c r="AD725" s="4">
        <v>298925467</v>
      </c>
      <c r="AE725" s="4">
        <v>20002020</v>
      </c>
      <c r="AG725" s="4" t="s">
        <v>2152</v>
      </c>
      <c r="AH725" s="4" t="s">
        <v>2153</v>
      </c>
      <c r="AI725" s="4" t="s">
        <v>67</v>
      </c>
    </row>
    <row r="726" spans="1:35" ht="54" x14ac:dyDescent="0.3">
      <c r="A726" s="25" t="s">
        <v>2285</v>
      </c>
      <c r="B726" s="25"/>
      <c r="C726" s="30" t="s">
        <v>2155</v>
      </c>
      <c r="D726" s="27"/>
      <c r="E726" s="27" t="s">
        <v>2286</v>
      </c>
      <c r="F726" s="31" t="s">
        <v>70</v>
      </c>
      <c r="G726" s="32">
        <v>0.3</v>
      </c>
      <c r="H726" s="27"/>
      <c r="I726" s="32">
        <v>68.843999999999994</v>
      </c>
      <c r="J726" s="34">
        <v>0</v>
      </c>
      <c r="K726" s="35"/>
      <c r="L726" s="35"/>
      <c r="M726" s="34">
        <f>ROUND(ROUND(J726, 2)*I726, 2)</f>
        <v>0</v>
      </c>
      <c r="N726" s="35"/>
      <c r="O726" s="35"/>
      <c r="P726" s="34">
        <v>183.2</v>
      </c>
      <c r="Q726" s="35"/>
      <c r="R726" s="35"/>
      <c r="S726" s="34">
        <f>ROUND(ROUND(P726, 2)*I726, 2)</f>
        <v>12612.22</v>
      </c>
      <c r="T726" s="35"/>
      <c r="U726" s="36"/>
      <c r="V726" s="9">
        <f>ROUND(ROUND(P726, 2)/1.2, 2)</f>
        <v>152.66999999999999</v>
      </c>
      <c r="Y726" s="9">
        <f t="shared" si="79"/>
        <v>10510.18</v>
      </c>
      <c r="AD726" s="4" t="s">
        <v>2287</v>
      </c>
      <c r="AE726" s="4" t="s">
        <v>2288</v>
      </c>
      <c r="AF726" s="4" t="s">
        <v>2159</v>
      </c>
    </row>
    <row r="727" spans="1:35" ht="36" x14ac:dyDescent="0.3">
      <c r="A727" s="25" t="s">
        <v>2289</v>
      </c>
      <c r="B727" s="25"/>
      <c r="C727" s="30" t="s">
        <v>433</v>
      </c>
      <c r="D727" s="27"/>
      <c r="E727" s="27"/>
      <c r="F727" s="31" t="s">
        <v>70</v>
      </c>
      <c r="G727" s="32">
        <v>0.15</v>
      </c>
      <c r="H727" s="27"/>
      <c r="I727" s="32">
        <v>34.421999999999997</v>
      </c>
      <c r="J727" s="34">
        <v>88.8</v>
      </c>
      <c r="K727" s="35"/>
      <c r="L727" s="35"/>
      <c r="M727" s="34">
        <f>ROUND(ROUND(J727, 2)*I727, 2)</f>
        <v>3056.67</v>
      </c>
      <c r="N727" s="35"/>
      <c r="O727" s="35"/>
      <c r="P727" s="34">
        <v>88.8</v>
      </c>
      <c r="Q727" s="35"/>
      <c r="R727" s="35"/>
      <c r="S727" s="34">
        <f>ROUND(ROUND(P727, 2)*I727, 2)</f>
        <v>3056.67</v>
      </c>
      <c r="T727" s="35"/>
      <c r="U727" s="36"/>
      <c r="V727" s="9">
        <f>ROUND(ROUND(P727, 2)/1.2, 2)</f>
        <v>74</v>
      </c>
      <c r="Y727" s="9">
        <f t="shared" si="79"/>
        <v>2547.23</v>
      </c>
      <c r="AD727" s="4" t="s">
        <v>2290</v>
      </c>
      <c r="AE727" s="4" t="s">
        <v>2291</v>
      </c>
      <c r="AF727" s="4" t="s">
        <v>436</v>
      </c>
    </row>
    <row r="728" spans="1:35" ht="36" x14ac:dyDescent="0.3">
      <c r="A728" s="25" t="s">
        <v>2292</v>
      </c>
      <c r="B728" s="25" t="s">
        <v>2149</v>
      </c>
      <c r="C728" s="26" t="s">
        <v>2150</v>
      </c>
      <c r="D728" s="27"/>
      <c r="E728" s="27" t="s">
        <v>2293</v>
      </c>
      <c r="F728" s="27" t="s">
        <v>64</v>
      </c>
      <c r="G728" s="28">
        <v>1</v>
      </c>
      <c r="H728" s="27"/>
      <c r="I728" s="28">
        <v>16.88</v>
      </c>
      <c r="J728" s="29">
        <f>IFERROR(ROUND(SUM(M729,M730)/I728, 2),0)</f>
        <v>13.32</v>
      </c>
      <c r="K728" s="29">
        <v>464</v>
      </c>
      <c r="L728" s="29">
        <f>J728+ROUND(K728, 2)</f>
        <v>477.32</v>
      </c>
      <c r="M728" s="29">
        <f>ROUND(J728*I728, 2)</f>
        <v>224.84</v>
      </c>
      <c r="N728" s="29">
        <f>ROUND(I728*ROUND(K728, 2), 2)</f>
        <v>7832.32</v>
      </c>
      <c r="O728" s="29">
        <f>M728+N728</f>
        <v>8057.16</v>
      </c>
      <c r="P728" s="29">
        <f>IFERROR(ROUND(SUM(S729,S730)/I728, 2),0)</f>
        <v>75.27</v>
      </c>
      <c r="Q728" s="29">
        <v>464</v>
      </c>
      <c r="R728" s="29">
        <f>P728+ROUND(Q728, 2)</f>
        <v>539.27</v>
      </c>
      <c r="S728" s="29">
        <f>ROUND(P728*I728, 2)</f>
        <v>1270.56</v>
      </c>
      <c r="T728" s="29">
        <f>ROUND(I728*ROUND(Q728, 2), 2)</f>
        <v>7832.32</v>
      </c>
      <c r="U728" s="29">
        <f>S728+T728</f>
        <v>9102.8799999999992</v>
      </c>
      <c r="V728" s="9">
        <f>ROUND(P728 / 1.2, 2)</f>
        <v>62.73</v>
      </c>
      <c r="W728" s="9">
        <f>ROUND(Q728 / 1.2, 2)</f>
        <v>386.67</v>
      </c>
      <c r="X728" s="9">
        <f>ROUND(R728 / 1.2, 2)</f>
        <v>449.39</v>
      </c>
      <c r="Y728" s="9">
        <f t="shared" si="79"/>
        <v>1058.8</v>
      </c>
      <c r="Z728" s="9">
        <f>ROUND(T728 / 1.2, 2)</f>
        <v>6526.93</v>
      </c>
      <c r="AA728" s="9">
        <f>Y728+Z728</f>
        <v>7585.7300000000005</v>
      </c>
      <c r="AD728" s="4">
        <v>298925468</v>
      </c>
      <c r="AE728" s="4">
        <v>20002021</v>
      </c>
      <c r="AG728" s="4" t="s">
        <v>2152</v>
      </c>
      <c r="AH728" s="4" t="s">
        <v>2153</v>
      </c>
      <c r="AI728" s="4" t="s">
        <v>67</v>
      </c>
    </row>
    <row r="729" spans="1:35" ht="36" x14ac:dyDescent="0.3">
      <c r="A729" s="25" t="s">
        <v>2294</v>
      </c>
      <c r="B729" s="25"/>
      <c r="C729" s="30" t="s">
        <v>433</v>
      </c>
      <c r="D729" s="27"/>
      <c r="E729" s="27"/>
      <c r="F729" s="31" t="s">
        <v>70</v>
      </c>
      <c r="G729" s="32">
        <v>0.15</v>
      </c>
      <c r="H729" s="27"/>
      <c r="I729" s="32">
        <v>2.532</v>
      </c>
      <c r="J729" s="34">
        <v>88.8</v>
      </c>
      <c r="K729" s="35"/>
      <c r="L729" s="35"/>
      <c r="M729" s="34">
        <f>ROUND(ROUND(J729, 2)*I729, 2)</f>
        <v>224.84</v>
      </c>
      <c r="N729" s="35"/>
      <c r="O729" s="35"/>
      <c r="P729" s="34">
        <v>88.8</v>
      </c>
      <c r="Q729" s="35"/>
      <c r="R729" s="35"/>
      <c r="S729" s="34">
        <f>ROUND(ROUND(P729, 2)*I729, 2)</f>
        <v>224.84</v>
      </c>
      <c r="T729" s="35"/>
      <c r="U729" s="36"/>
      <c r="V729" s="9">
        <f>ROUND(ROUND(P729, 2)/1.2, 2)</f>
        <v>74</v>
      </c>
      <c r="Y729" s="9">
        <f t="shared" si="79"/>
        <v>187.37</v>
      </c>
      <c r="AD729" s="4" t="s">
        <v>2295</v>
      </c>
      <c r="AE729" s="4" t="s">
        <v>2296</v>
      </c>
      <c r="AF729" s="4" t="s">
        <v>436</v>
      </c>
    </row>
    <row r="730" spans="1:35" ht="54" x14ac:dyDescent="0.3">
      <c r="A730" s="25" t="s">
        <v>2297</v>
      </c>
      <c r="B730" s="25"/>
      <c r="C730" s="30" t="s">
        <v>2155</v>
      </c>
      <c r="D730" s="27"/>
      <c r="E730" s="27" t="s">
        <v>2298</v>
      </c>
      <c r="F730" s="31" t="s">
        <v>70</v>
      </c>
      <c r="G730" s="32">
        <v>0.3</v>
      </c>
      <c r="H730" s="27"/>
      <c r="I730" s="32">
        <v>5.0640000000000001</v>
      </c>
      <c r="J730" s="34">
        <v>0</v>
      </c>
      <c r="K730" s="35"/>
      <c r="L730" s="35"/>
      <c r="M730" s="34">
        <f>ROUND(ROUND(J730, 2)*I730, 2)</f>
        <v>0</v>
      </c>
      <c r="N730" s="35"/>
      <c r="O730" s="35"/>
      <c r="P730" s="34">
        <v>206.5</v>
      </c>
      <c r="Q730" s="35"/>
      <c r="R730" s="35"/>
      <c r="S730" s="34">
        <f>ROUND(ROUND(P730, 2)*I730, 2)</f>
        <v>1045.72</v>
      </c>
      <c r="T730" s="35"/>
      <c r="U730" s="36"/>
      <c r="V730" s="9">
        <f>ROUND(ROUND(P730, 2)/1.2, 2)</f>
        <v>172.08</v>
      </c>
      <c r="Y730" s="9">
        <f t="shared" si="79"/>
        <v>871.43</v>
      </c>
      <c r="AD730" s="4" t="s">
        <v>2299</v>
      </c>
      <c r="AE730" s="4" t="s">
        <v>2300</v>
      </c>
      <c r="AF730" s="4" t="s">
        <v>2159</v>
      </c>
    </row>
    <row r="731" spans="1:35" ht="36" x14ac:dyDescent="0.3">
      <c r="A731" s="25" t="s">
        <v>2301</v>
      </c>
      <c r="B731" s="25" t="s">
        <v>2149</v>
      </c>
      <c r="C731" s="26" t="s">
        <v>2150</v>
      </c>
      <c r="D731" s="27"/>
      <c r="E731" s="27" t="s">
        <v>2302</v>
      </c>
      <c r="F731" s="27" t="s">
        <v>64</v>
      </c>
      <c r="G731" s="28">
        <v>1</v>
      </c>
      <c r="H731" s="27"/>
      <c r="I731" s="28">
        <v>107.24</v>
      </c>
      <c r="J731" s="29">
        <f>IFERROR(ROUND(SUM(M732,M733)/I731, 2),0)</f>
        <v>13.32</v>
      </c>
      <c r="K731" s="29">
        <v>464</v>
      </c>
      <c r="L731" s="29">
        <f>J731+ROUND(K731, 2)</f>
        <v>477.32</v>
      </c>
      <c r="M731" s="29">
        <f>ROUND(J731*I731, 2)</f>
        <v>1428.44</v>
      </c>
      <c r="N731" s="29">
        <f>ROUND(I731*ROUND(K731, 2), 2)</f>
        <v>49759.360000000001</v>
      </c>
      <c r="O731" s="29">
        <f>M731+N731</f>
        <v>51187.8</v>
      </c>
      <c r="P731" s="29">
        <f>IFERROR(ROUND(SUM(S732,S733)/I731, 2),0)</f>
        <v>68.31</v>
      </c>
      <c r="Q731" s="29">
        <v>464</v>
      </c>
      <c r="R731" s="29">
        <f>P731+ROUND(Q731, 2)</f>
        <v>532.30999999999995</v>
      </c>
      <c r="S731" s="29">
        <f>ROUND(P731*I731, 2)</f>
        <v>7325.56</v>
      </c>
      <c r="T731" s="29">
        <f>ROUND(I731*ROUND(Q731, 2), 2)</f>
        <v>49759.360000000001</v>
      </c>
      <c r="U731" s="29">
        <f>S731+T731</f>
        <v>57084.92</v>
      </c>
      <c r="V731" s="9">
        <f>ROUND(P731 / 1.2, 2)</f>
        <v>56.93</v>
      </c>
      <c r="W731" s="9">
        <f>ROUND(Q731 / 1.2, 2)</f>
        <v>386.67</v>
      </c>
      <c r="X731" s="9">
        <f>ROUND(R731 / 1.2, 2)</f>
        <v>443.59</v>
      </c>
      <c r="Y731" s="9">
        <f t="shared" si="79"/>
        <v>6104.63</v>
      </c>
      <c r="Z731" s="9">
        <f>ROUND(T731 / 1.2, 2)</f>
        <v>41466.129999999997</v>
      </c>
      <c r="AA731" s="9">
        <f>Y731+Z731</f>
        <v>47570.759999999995</v>
      </c>
      <c r="AD731" s="4">
        <v>298925469</v>
      </c>
      <c r="AE731" s="4">
        <v>20002022</v>
      </c>
      <c r="AG731" s="4" t="s">
        <v>2152</v>
      </c>
      <c r="AH731" s="4" t="s">
        <v>2153</v>
      </c>
      <c r="AI731" s="4" t="s">
        <v>67</v>
      </c>
    </row>
    <row r="732" spans="1:35" ht="54" x14ac:dyDescent="0.3">
      <c r="A732" s="25" t="s">
        <v>2303</v>
      </c>
      <c r="B732" s="25"/>
      <c r="C732" s="30" t="s">
        <v>2187</v>
      </c>
      <c r="D732" s="27"/>
      <c r="E732" s="27" t="s">
        <v>2304</v>
      </c>
      <c r="F732" s="31" t="s">
        <v>70</v>
      </c>
      <c r="G732" s="32">
        <v>0.3</v>
      </c>
      <c r="H732" s="27"/>
      <c r="I732" s="32">
        <v>32.171999999999997</v>
      </c>
      <c r="J732" s="34">
        <v>0</v>
      </c>
      <c r="K732" s="35"/>
      <c r="L732" s="35"/>
      <c r="M732" s="34">
        <f>ROUND(ROUND(J732, 2)*I732, 2)</f>
        <v>0</v>
      </c>
      <c r="N732" s="35"/>
      <c r="O732" s="35"/>
      <c r="P732" s="34">
        <v>183.3</v>
      </c>
      <c r="Q732" s="35"/>
      <c r="R732" s="35"/>
      <c r="S732" s="34">
        <f>ROUND(ROUND(P732, 2)*I732, 2)</f>
        <v>5897.13</v>
      </c>
      <c r="T732" s="35"/>
      <c r="U732" s="36"/>
      <c r="V732" s="9">
        <f>ROUND(ROUND(P732, 2)/1.2, 2)</f>
        <v>152.75</v>
      </c>
      <c r="Y732" s="9">
        <f t="shared" si="79"/>
        <v>4914.28</v>
      </c>
      <c r="AD732" s="4" t="s">
        <v>2305</v>
      </c>
      <c r="AE732" s="4" t="s">
        <v>2306</v>
      </c>
      <c r="AF732" s="4" t="s">
        <v>2191</v>
      </c>
    </row>
    <row r="733" spans="1:35" ht="36" x14ac:dyDescent="0.3">
      <c r="A733" s="25" t="s">
        <v>2307</v>
      </c>
      <c r="B733" s="25"/>
      <c r="C733" s="30" t="s">
        <v>433</v>
      </c>
      <c r="D733" s="27"/>
      <c r="E733" s="27"/>
      <c r="F733" s="31" t="s">
        <v>70</v>
      </c>
      <c r="G733" s="32">
        <v>0.15</v>
      </c>
      <c r="H733" s="27"/>
      <c r="I733" s="32">
        <v>16.085999999999999</v>
      </c>
      <c r="J733" s="34">
        <v>88.8</v>
      </c>
      <c r="K733" s="35"/>
      <c r="L733" s="35"/>
      <c r="M733" s="34">
        <f>ROUND(ROUND(J733, 2)*I733, 2)</f>
        <v>1428.44</v>
      </c>
      <c r="N733" s="35"/>
      <c r="O733" s="35"/>
      <c r="P733" s="34">
        <v>88.8</v>
      </c>
      <c r="Q733" s="35"/>
      <c r="R733" s="35"/>
      <c r="S733" s="34">
        <f>ROUND(ROUND(P733, 2)*I733, 2)</f>
        <v>1428.44</v>
      </c>
      <c r="T733" s="35"/>
      <c r="U733" s="36"/>
      <c r="V733" s="9">
        <f>ROUND(ROUND(P733, 2)/1.2, 2)</f>
        <v>74</v>
      </c>
      <c r="Y733" s="9">
        <f t="shared" si="79"/>
        <v>1190.3699999999999</v>
      </c>
      <c r="AD733" s="4" t="s">
        <v>2308</v>
      </c>
      <c r="AE733" s="4" t="s">
        <v>2309</v>
      </c>
      <c r="AF733" s="4" t="s">
        <v>436</v>
      </c>
    </row>
    <row r="734" spans="1:35" ht="36" x14ac:dyDescent="0.3">
      <c r="A734" s="25" t="s">
        <v>2310</v>
      </c>
      <c r="B734" s="25" t="s">
        <v>2149</v>
      </c>
      <c r="C734" s="26" t="s">
        <v>2150</v>
      </c>
      <c r="D734" s="27"/>
      <c r="E734" s="27" t="s">
        <v>2311</v>
      </c>
      <c r="F734" s="27" t="s">
        <v>64</v>
      </c>
      <c r="G734" s="28">
        <v>1</v>
      </c>
      <c r="H734" s="27"/>
      <c r="I734" s="28">
        <v>3.42</v>
      </c>
      <c r="J734" s="29">
        <f>IFERROR(ROUND(SUM(M735,M736)/I734, 2),0)</f>
        <v>13.32</v>
      </c>
      <c r="K734" s="29">
        <v>464</v>
      </c>
      <c r="L734" s="29">
        <f>J734+ROUND(K734, 2)</f>
        <v>477.32</v>
      </c>
      <c r="M734" s="29">
        <f>ROUND(J734*I734, 2)</f>
        <v>45.55</v>
      </c>
      <c r="N734" s="29">
        <f>ROUND(I734*ROUND(K734, 2), 2)</f>
        <v>1586.88</v>
      </c>
      <c r="O734" s="29">
        <f>M734+N734</f>
        <v>1632.43</v>
      </c>
      <c r="P734" s="29">
        <f>IFERROR(ROUND(SUM(S735,S736)/I734, 2),0)</f>
        <v>75.27</v>
      </c>
      <c r="Q734" s="29">
        <v>464</v>
      </c>
      <c r="R734" s="29">
        <f>P734+ROUND(Q734, 2)</f>
        <v>539.27</v>
      </c>
      <c r="S734" s="29">
        <f>ROUND(P734*I734, 2)</f>
        <v>257.42</v>
      </c>
      <c r="T734" s="29">
        <f>ROUND(I734*ROUND(Q734, 2), 2)</f>
        <v>1586.88</v>
      </c>
      <c r="U734" s="29">
        <f>S734+T734</f>
        <v>1844.3000000000002</v>
      </c>
      <c r="V734" s="9">
        <f>ROUND(P734 / 1.2, 2)</f>
        <v>62.73</v>
      </c>
      <c r="W734" s="9">
        <f>ROUND(Q734 / 1.2, 2)</f>
        <v>386.67</v>
      </c>
      <c r="X734" s="9">
        <f>ROUND(R734 / 1.2, 2)</f>
        <v>449.39</v>
      </c>
      <c r="Y734" s="9">
        <f t="shared" si="79"/>
        <v>214.52</v>
      </c>
      <c r="Z734" s="9">
        <f>ROUND(T734 / 1.2, 2)</f>
        <v>1322.4</v>
      </c>
      <c r="AA734" s="9">
        <f>Y734+Z734</f>
        <v>1536.92</v>
      </c>
      <c r="AD734" s="4">
        <v>298925470</v>
      </c>
      <c r="AE734" s="4">
        <v>20002023</v>
      </c>
      <c r="AG734" s="4" t="s">
        <v>2152</v>
      </c>
      <c r="AH734" s="4" t="s">
        <v>2153</v>
      </c>
      <c r="AI734" s="4" t="s">
        <v>67</v>
      </c>
    </row>
    <row r="735" spans="1:35" ht="36" x14ac:dyDescent="0.3">
      <c r="A735" s="25" t="s">
        <v>2312</v>
      </c>
      <c r="B735" s="25"/>
      <c r="C735" s="30" t="s">
        <v>433</v>
      </c>
      <c r="D735" s="27"/>
      <c r="E735" s="27"/>
      <c r="F735" s="31" t="s">
        <v>70</v>
      </c>
      <c r="G735" s="32">
        <v>0.15</v>
      </c>
      <c r="H735" s="27"/>
      <c r="I735" s="32">
        <v>0.51300000000000001</v>
      </c>
      <c r="J735" s="34">
        <v>88.8</v>
      </c>
      <c r="K735" s="35"/>
      <c r="L735" s="35"/>
      <c r="M735" s="34">
        <f>ROUND(ROUND(J735, 2)*I735, 2)</f>
        <v>45.55</v>
      </c>
      <c r="N735" s="35"/>
      <c r="O735" s="35"/>
      <c r="P735" s="34">
        <v>88.8</v>
      </c>
      <c r="Q735" s="35"/>
      <c r="R735" s="35"/>
      <c r="S735" s="34">
        <f>ROUND(ROUND(P735, 2)*I735, 2)</f>
        <v>45.55</v>
      </c>
      <c r="T735" s="35"/>
      <c r="U735" s="36"/>
      <c r="V735" s="9">
        <f>ROUND(ROUND(P735, 2)/1.2, 2)</f>
        <v>74</v>
      </c>
      <c r="Y735" s="9">
        <f t="shared" si="79"/>
        <v>37.96</v>
      </c>
      <c r="AD735" s="4" t="s">
        <v>2313</v>
      </c>
      <c r="AE735" s="4" t="s">
        <v>2314</v>
      </c>
      <c r="AF735" s="4" t="s">
        <v>436</v>
      </c>
    </row>
    <row r="736" spans="1:35" ht="54" x14ac:dyDescent="0.3">
      <c r="A736" s="25" t="s">
        <v>2315</v>
      </c>
      <c r="B736" s="25"/>
      <c r="C736" s="30" t="s">
        <v>2187</v>
      </c>
      <c r="D736" s="27"/>
      <c r="E736" s="27" t="s">
        <v>2316</v>
      </c>
      <c r="F736" s="31" t="s">
        <v>70</v>
      </c>
      <c r="G736" s="32">
        <v>0.3</v>
      </c>
      <c r="H736" s="27"/>
      <c r="I736" s="32">
        <v>1.026</v>
      </c>
      <c r="J736" s="34">
        <v>0</v>
      </c>
      <c r="K736" s="35"/>
      <c r="L736" s="35"/>
      <c r="M736" s="34">
        <f>ROUND(ROUND(J736, 2)*I736, 2)</f>
        <v>0</v>
      </c>
      <c r="N736" s="35"/>
      <c r="O736" s="35"/>
      <c r="P736" s="34">
        <v>206.5</v>
      </c>
      <c r="Q736" s="35"/>
      <c r="R736" s="35"/>
      <c r="S736" s="34">
        <f>ROUND(ROUND(P736, 2)*I736, 2)</f>
        <v>211.87</v>
      </c>
      <c r="T736" s="35"/>
      <c r="U736" s="36"/>
      <c r="V736" s="9">
        <f>ROUND(ROUND(P736, 2)/1.2, 2)</f>
        <v>172.08</v>
      </c>
      <c r="Y736" s="9">
        <f t="shared" si="79"/>
        <v>176.56</v>
      </c>
      <c r="AD736" s="4" t="s">
        <v>2317</v>
      </c>
      <c r="AE736" s="4" t="s">
        <v>2318</v>
      </c>
      <c r="AF736" s="4" t="s">
        <v>2191</v>
      </c>
    </row>
    <row r="737" spans="1:35" ht="36" x14ac:dyDescent="0.3">
      <c r="A737" s="25" t="s">
        <v>2319</v>
      </c>
      <c r="B737" s="25" t="s">
        <v>2149</v>
      </c>
      <c r="C737" s="26" t="s">
        <v>2150</v>
      </c>
      <c r="D737" s="27"/>
      <c r="E737" s="27" t="s">
        <v>2320</v>
      </c>
      <c r="F737" s="27" t="s">
        <v>64</v>
      </c>
      <c r="G737" s="28">
        <v>1</v>
      </c>
      <c r="H737" s="27"/>
      <c r="I737" s="28">
        <v>357.68</v>
      </c>
      <c r="J737" s="29">
        <f>IFERROR(ROUND(SUM(M738,M739)/I737, 2),0)</f>
        <v>13.32</v>
      </c>
      <c r="K737" s="29">
        <v>464</v>
      </c>
      <c r="L737" s="29">
        <f>J737+ROUND(K737, 2)</f>
        <v>477.32</v>
      </c>
      <c r="M737" s="29">
        <f>ROUND(J737*I737, 2)</f>
        <v>4764.3</v>
      </c>
      <c r="N737" s="29">
        <f>ROUND(I737*ROUND(K737, 2), 2)</f>
        <v>165963.51999999999</v>
      </c>
      <c r="O737" s="29">
        <f>M737+N737</f>
        <v>170727.81999999998</v>
      </c>
      <c r="P737" s="29">
        <f>IFERROR(ROUND(SUM(S738,S739)/I737, 2),0)</f>
        <v>75.27</v>
      </c>
      <c r="Q737" s="29">
        <v>464</v>
      </c>
      <c r="R737" s="29">
        <f>P737+ROUND(Q737, 2)</f>
        <v>539.27</v>
      </c>
      <c r="S737" s="29">
        <f>ROUND(P737*I737, 2)</f>
        <v>26922.57</v>
      </c>
      <c r="T737" s="29">
        <f>ROUND(I737*ROUND(Q737, 2), 2)</f>
        <v>165963.51999999999</v>
      </c>
      <c r="U737" s="29">
        <f>S737+T737</f>
        <v>192886.09</v>
      </c>
      <c r="V737" s="9">
        <f>ROUND(P737 / 1.2, 2)</f>
        <v>62.73</v>
      </c>
      <c r="W737" s="9">
        <f>ROUND(Q737 / 1.2, 2)</f>
        <v>386.67</v>
      </c>
      <c r="X737" s="9">
        <f>ROUND(R737 / 1.2, 2)</f>
        <v>449.39</v>
      </c>
      <c r="Y737" s="9">
        <f t="shared" si="79"/>
        <v>22435.48</v>
      </c>
      <c r="Z737" s="9">
        <f>ROUND(T737 / 1.2, 2)</f>
        <v>138302.93</v>
      </c>
      <c r="AA737" s="9">
        <f>Y737+Z737</f>
        <v>160738.41</v>
      </c>
      <c r="AD737" s="4">
        <v>298925471</v>
      </c>
      <c r="AE737" s="4">
        <v>20002024</v>
      </c>
      <c r="AG737" s="4" t="s">
        <v>2152</v>
      </c>
      <c r="AH737" s="4" t="s">
        <v>2153</v>
      </c>
      <c r="AI737" s="4" t="s">
        <v>67</v>
      </c>
    </row>
    <row r="738" spans="1:35" ht="72" x14ac:dyDescent="0.3">
      <c r="A738" s="25" t="s">
        <v>2321</v>
      </c>
      <c r="B738" s="25"/>
      <c r="C738" s="30" t="s">
        <v>2155</v>
      </c>
      <c r="D738" s="27"/>
      <c r="E738" s="27" t="s">
        <v>2175</v>
      </c>
      <c r="F738" s="31" t="s">
        <v>70</v>
      </c>
      <c r="G738" s="32">
        <v>0.3</v>
      </c>
      <c r="H738" s="27"/>
      <c r="I738" s="32">
        <v>107.304</v>
      </c>
      <c r="J738" s="34">
        <v>0</v>
      </c>
      <c r="K738" s="35"/>
      <c r="L738" s="35"/>
      <c r="M738" s="34">
        <f>ROUND(ROUND(J738, 2)*I738, 2)</f>
        <v>0</v>
      </c>
      <c r="N738" s="35"/>
      <c r="O738" s="35"/>
      <c r="P738" s="34">
        <v>206.5</v>
      </c>
      <c r="Q738" s="35"/>
      <c r="R738" s="35"/>
      <c r="S738" s="34">
        <f>ROUND(ROUND(P738, 2)*I738, 2)</f>
        <v>22158.28</v>
      </c>
      <c r="T738" s="35"/>
      <c r="U738" s="36"/>
      <c r="V738" s="9">
        <f>ROUND(ROUND(P738, 2)/1.2, 2)</f>
        <v>172.08</v>
      </c>
      <c r="Y738" s="9">
        <f t="shared" si="79"/>
        <v>18465.23</v>
      </c>
      <c r="AD738" s="4" t="s">
        <v>2322</v>
      </c>
      <c r="AE738" s="4" t="s">
        <v>2323</v>
      </c>
      <c r="AF738" s="4" t="s">
        <v>2159</v>
      </c>
    </row>
    <row r="739" spans="1:35" ht="36" x14ac:dyDescent="0.3">
      <c r="A739" s="25" t="s">
        <v>2324</v>
      </c>
      <c r="B739" s="25"/>
      <c r="C739" s="30" t="s">
        <v>433</v>
      </c>
      <c r="D739" s="27"/>
      <c r="E739" s="27"/>
      <c r="F739" s="31" t="s">
        <v>70</v>
      </c>
      <c r="G739" s="32">
        <v>0.15</v>
      </c>
      <c r="H739" s="27"/>
      <c r="I739" s="32">
        <v>53.652000000000001</v>
      </c>
      <c r="J739" s="34">
        <v>88.8</v>
      </c>
      <c r="K739" s="35"/>
      <c r="L739" s="35"/>
      <c r="M739" s="34">
        <f>ROUND(ROUND(J739, 2)*I739, 2)</f>
        <v>4764.3</v>
      </c>
      <c r="N739" s="35"/>
      <c r="O739" s="35"/>
      <c r="P739" s="34">
        <v>88.8</v>
      </c>
      <c r="Q739" s="35"/>
      <c r="R739" s="35"/>
      <c r="S739" s="34">
        <f>ROUND(ROUND(P739, 2)*I739, 2)</f>
        <v>4764.3</v>
      </c>
      <c r="T739" s="35"/>
      <c r="U739" s="36"/>
      <c r="V739" s="9">
        <f>ROUND(ROUND(P739, 2)/1.2, 2)</f>
        <v>74</v>
      </c>
      <c r="Y739" s="9">
        <f t="shared" si="79"/>
        <v>3970.25</v>
      </c>
      <c r="AD739" s="4" t="s">
        <v>2325</v>
      </c>
      <c r="AE739" s="4" t="s">
        <v>2326</v>
      </c>
      <c r="AF739" s="4" t="s">
        <v>436</v>
      </c>
    </row>
    <row r="740" spans="1:35" ht="36" x14ac:dyDescent="0.3">
      <c r="A740" s="25" t="s">
        <v>2327</v>
      </c>
      <c r="B740" s="25" t="s">
        <v>2149</v>
      </c>
      <c r="C740" s="26" t="s">
        <v>2150</v>
      </c>
      <c r="D740" s="27"/>
      <c r="E740" s="27" t="s">
        <v>2328</v>
      </c>
      <c r="F740" s="27" t="s">
        <v>64</v>
      </c>
      <c r="G740" s="28">
        <v>1</v>
      </c>
      <c r="H740" s="27"/>
      <c r="I740" s="28">
        <v>577.95000000000005</v>
      </c>
      <c r="J740" s="29">
        <f>IFERROR(ROUND(SUM(M741,M742)/I740, 2),0)</f>
        <v>13.32</v>
      </c>
      <c r="K740" s="29">
        <v>464</v>
      </c>
      <c r="L740" s="29">
        <f>J740+ROUND(K740, 2)</f>
        <v>477.32</v>
      </c>
      <c r="M740" s="29">
        <f>ROUND(J740*I740, 2)</f>
        <v>7698.29</v>
      </c>
      <c r="N740" s="29">
        <f>ROUND(I740*ROUND(K740, 2), 2)</f>
        <v>268168.8</v>
      </c>
      <c r="O740" s="29">
        <f>M740+N740</f>
        <v>275867.08999999997</v>
      </c>
      <c r="P740" s="29">
        <f>IFERROR(ROUND(SUM(S741,S742)/I740, 2),0)</f>
        <v>75.27</v>
      </c>
      <c r="Q740" s="29">
        <v>464</v>
      </c>
      <c r="R740" s="29">
        <f>P740+ROUND(Q740, 2)</f>
        <v>539.27</v>
      </c>
      <c r="S740" s="29">
        <f>ROUND(P740*I740, 2)</f>
        <v>43502.3</v>
      </c>
      <c r="T740" s="29">
        <f>ROUND(I740*ROUND(Q740, 2), 2)</f>
        <v>268168.8</v>
      </c>
      <c r="U740" s="29">
        <f>S740+T740</f>
        <v>311671.09999999998</v>
      </c>
      <c r="V740" s="9">
        <f>ROUND(P740 / 1.2, 2)</f>
        <v>62.73</v>
      </c>
      <c r="W740" s="9">
        <f>ROUND(Q740 / 1.2, 2)</f>
        <v>386.67</v>
      </c>
      <c r="X740" s="9">
        <f>ROUND(R740 / 1.2, 2)</f>
        <v>449.39</v>
      </c>
      <c r="Y740" s="9">
        <f t="shared" si="79"/>
        <v>36251.919999999998</v>
      </c>
      <c r="Z740" s="9">
        <f>ROUND(T740 / 1.2, 2)</f>
        <v>223474</v>
      </c>
      <c r="AA740" s="9">
        <f>Y740+Z740</f>
        <v>259725.91999999998</v>
      </c>
      <c r="AD740" s="4">
        <v>298925472</v>
      </c>
      <c r="AE740" s="4">
        <v>20002025</v>
      </c>
      <c r="AG740" s="4" t="s">
        <v>2152</v>
      </c>
      <c r="AH740" s="4" t="s">
        <v>2153</v>
      </c>
      <c r="AI740" s="4" t="s">
        <v>67</v>
      </c>
    </row>
    <row r="741" spans="1:35" ht="36" x14ac:dyDescent="0.3">
      <c r="A741" s="25" t="s">
        <v>2329</v>
      </c>
      <c r="B741" s="25"/>
      <c r="C741" s="30" t="s">
        <v>433</v>
      </c>
      <c r="D741" s="27"/>
      <c r="E741" s="27"/>
      <c r="F741" s="31" t="s">
        <v>70</v>
      </c>
      <c r="G741" s="32">
        <v>0.15</v>
      </c>
      <c r="H741" s="27"/>
      <c r="I741" s="32">
        <v>86.692999999999998</v>
      </c>
      <c r="J741" s="34">
        <v>88.8</v>
      </c>
      <c r="K741" s="35"/>
      <c r="L741" s="35"/>
      <c r="M741" s="34">
        <f>ROUND(ROUND(J741, 2)*I741, 2)</f>
        <v>7698.34</v>
      </c>
      <c r="N741" s="35"/>
      <c r="O741" s="35"/>
      <c r="P741" s="34">
        <v>88.8</v>
      </c>
      <c r="Q741" s="35"/>
      <c r="R741" s="35"/>
      <c r="S741" s="34">
        <f>ROUND(ROUND(P741, 2)*I741, 2)</f>
        <v>7698.34</v>
      </c>
      <c r="T741" s="35"/>
      <c r="U741" s="36"/>
      <c r="V741" s="9">
        <f>ROUND(ROUND(P741, 2)/1.2, 2)</f>
        <v>74</v>
      </c>
      <c r="Y741" s="9">
        <f t="shared" si="79"/>
        <v>6415.28</v>
      </c>
      <c r="AD741" s="4" t="s">
        <v>2330</v>
      </c>
      <c r="AE741" s="4" t="s">
        <v>2331</v>
      </c>
      <c r="AF741" s="4" t="s">
        <v>436</v>
      </c>
    </row>
    <row r="742" spans="1:35" ht="90" x14ac:dyDescent="0.3">
      <c r="A742" s="25" t="s">
        <v>2332</v>
      </c>
      <c r="B742" s="25"/>
      <c r="C742" s="30" t="s">
        <v>2155</v>
      </c>
      <c r="D742" s="27"/>
      <c r="E742" s="27" t="s">
        <v>2225</v>
      </c>
      <c r="F742" s="31" t="s">
        <v>70</v>
      </c>
      <c r="G742" s="32">
        <v>0.3</v>
      </c>
      <c r="H742" s="27"/>
      <c r="I742" s="32">
        <v>173.38499999999999</v>
      </c>
      <c r="J742" s="34">
        <v>0</v>
      </c>
      <c r="K742" s="35"/>
      <c r="L742" s="35"/>
      <c r="M742" s="34">
        <f>ROUND(ROUND(J742, 2)*I742, 2)</f>
        <v>0</v>
      </c>
      <c r="N742" s="35"/>
      <c r="O742" s="35"/>
      <c r="P742" s="34">
        <v>206.5</v>
      </c>
      <c r="Q742" s="35"/>
      <c r="R742" s="35"/>
      <c r="S742" s="34">
        <f>ROUND(ROUND(P742, 2)*I742, 2)</f>
        <v>35804</v>
      </c>
      <c r="T742" s="35"/>
      <c r="U742" s="36"/>
      <c r="V742" s="9">
        <f>ROUND(ROUND(P742, 2)/1.2, 2)</f>
        <v>172.08</v>
      </c>
      <c r="Y742" s="9">
        <f t="shared" si="79"/>
        <v>29836.67</v>
      </c>
      <c r="AD742" s="4" t="s">
        <v>2333</v>
      </c>
      <c r="AE742" s="4" t="s">
        <v>2334</v>
      </c>
      <c r="AF742" s="4" t="s">
        <v>2159</v>
      </c>
    </row>
    <row r="743" spans="1:35" ht="36" x14ac:dyDescent="0.3">
      <c r="A743" s="25" t="s">
        <v>2335</v>
      </c>
      <c r="B743" s="25" t="s">
        <v>2149</v>
      </c>
      <c r="C743" s="26" t="s">
        <v>2150</v>
      </c>
      <c r="D743" s="27"/>
      <c r="E743" s="27" t="s">
        <v>2336</v>
      </c>
      <c r="F743" s="27" t="s">
        <v>64</v>
      </c>
      <c r="G743" s="28">
        <v>1</v>
      </c>
      <c r="H743" s="27"/>
      <c r="I743" s="28">
        <v>0.73</v>
      </c>
      <c r="J743" s="29">
        <f>IFERROR(ROUND(SUM(M744,M745)/I743, 2),0)</f>
        <v>13.38</v>
      </c>
      <c r="K743" s="29">
        <v>464</v>
      </c>
      <c r="L743" s="29">
        <f>J743+ROUND(K743, 2)</f>
        <v>477.38</v>
      </c>
      <c r="M743" s="29">
        <f>ROUND(J743*I743, 2)</f>
        <v>9.77</v>
      </c>
      <c r="N743" s="29">
        <f>ROUND(I743*ROUND(K743, 2), 2)</f>
        <v>338.72</v>
      </c>
      <c r="O743" s="29">
        <f>M743+N743</f>
        <v>348.49</v>
      </c>
      <c r="P743" s="29">
        <f>IFERROR(ROUND(SUM(S744,S745)/I743, 2),0)</f>
        <v>75.33</v>
      </c>
      <c r="Q743" s="29">
        <v>464</v>
      </c>
      <c r="R743" s="29">
        <f>P743+ROUND(Q743, 2)</f>
        <v>539.33000000000004</v>
      </c>
      <c r="S743" s="29">
        <f>ROUND(P743*I743, 2)</f>
        <v>54.99</v>
      </c>
      <c r="T743" s="29">
        <f>ROUND(I743*ROUND(Q743, 2), 2)</f>
        <v>338.72</v>
      </c>
      <c r="U743" s="29">
        <f>S743+T743</f>
        <v>393.71000000000004</v>
      </c>
      <c r="V743" s="9">
        <f>ROUND(P743 / 1.2, 2)</f>
        <v>62.78</v>
      </c>
      <c r="W743" s="9">
        <f>ROUND(Q743 / 1.2, 2)</f>
        <v>386.67</v>
      </c>
      <c r="X743" s="9">
        <f>ROUND(R743 / 1.2, 2)</f>
        <v>449.44</v>
      </c>
      <c r="Y743" s="9">
        <f t="shared" ref="Y743:Y774" si="80">ROUND(S743 / 1.2, 2)</f>
        <v>45.83</v>
      </c>
      <c r="Z743" s="9">
        <f>ROUND(T743 / 1.2, 2)</f>
        <v>282.27</v>
      </c>
      <c r="AA743" s="9">
        <f>Y743+Z743</f>
        <v>328.09999999999997</v>
      </c>
      <c r="AD743" s="4">
        <v>298925473</v>
      </c>
      <c r="AE743" s="4">
        <v>20002274</v>
      </c>
      <c r="AG743" s="4" t="s">
        <v>2152</v>
      </c>
      <c r="AH743" s="4" t="s">
        <v>2153</v>
      </c>
      <c r="AI743" s="4" t="s">
        <v>67</v>
      </c>
    </row>
    <row r="744" spans="1:35" ht="72" x14ac:dyDescent="0.3">
      <c r="A744" s="25" t="s">
        <v>2337</v>
      </c>
      <c r="B744" s="25"/>
      <c r="C744" s="30" t="s">
        <v>2155</v>
      </c>
      <c r="D744" s="27"/>
      <c r="E744" s="27" t="s">
        <v>2156</v>
      </c>
      <c r="F744" s="31" t="s">
        <v>70</v>
      </c>
      <c r="G744" s="32">
        <v>0.3</v>
      </c>
      <c r="H744" s="27"/>
      <c r="I744" s="32">
        <v>0.219</v>
      </c>
      <c r="J744" s="34">
        <v>0</v>
      </c>
      <c r="K744" s="35"/>
      <c r="L744" s="35"/>
      <c r="M744" s="34">
        <f>ROUND(ROUND(J744, 2)*I744, 2)</f>
        <v>0</v>
      </c>
      <c r="N744" s="35"/>
      <c r="O744" s="35"/>
      <c r="P744" s="34">
        <v>206.5</v>
      </c>
      <c r="Q744" s="35"/>
      <c r="R744" s="35"/>
      <c r="S744" s="34">
        <f>ROUND(ROUND(P744, 2)*I744, 2)</f>
        <v>45.22</v>
      </c>
      <c r="T744" s="35"/>
      <c r="U744" s="36"/>
      <c r="V744" s="9">
        <f>ROUND(ROUND(P744, 2)/1.2, 2)</f>
        <v>172.08</v>
      </c>
      <c r="Y744" s="9">
        <f t="shared" si="80"/>
        <v>37.68</v>
      </c>
      <c r="AD744" s="4" t="s">
        <v>2338</v>
      </c>
      <c r="AE744" s="4" t="s">
        <v>2339</v>
      </c>
      <c r="AF744" s="4" t="s">
        <v>2159</v>
      </c>
    </row>
    <row r="745" spans="1:35" ht="36" x14ac:dyDescent="0.3">
      <c r="A745" s="25" t="s">
        <v>2340</v>
      </c>
      <c r="B745" s="25"/>
      <c r="C745" s="30" t="s">
        <v>433</v>
      </c>
      <c r="D745" s="27"/>
      <c r="E745" s="27"/>
      <c r="F745" s="31" t="s">
        <v>70</v>
      </c>
      <c r="G745" s="32">
        <v>0.15</v>
      </c>
      <c r="H745" s="27"/>
      <c r="I745" s="32">
        <v>0.11</v>
      </c>
      <c r="J745" s="34">
        <v>88.8</v>
      </c>
      <c r="K745" s="35"/>
      <c r="L745" s="35"/>
      <c r="M745" s="34">
        <f>ROUND(ROUND(J745, 2)*I745, 2)</f>
        <v>9.77</v>
      </c>
      <c r="N745" s="35"/>
      <c r="O745" s="35"/>
      <c r="P745" s="34">
        <v>88.8</v>
      </c>
      <c r="Q745" s="35"/>
      <c r="R745" s="35"/>
      <c r="S745" s="34">
        <f>ROUND(ROUND(P745, 2)*I745, 2)</f>
        <v>9.77</v>
      </c>
      <c r="T745" s="35"/>
      <c r="U745" s="36"/>
      <c r="V745" s="9">
        <f>ROUND(ROUND(P745, 2)/1.2, 2)</f>
        <v>74</v>
      </c>
      <c r="Y745" s="9">
        <f t="shared" si="80"/>
        <v>8.14</v>
      </c>
      <c r="AD745" s="4" t="s">
        <v>2341</v>
      </c>
      <c r="AE745" s="4" t="s">
        <v>2342</v>
      </c>
      <c r="AF745" s="4" t="s">
        <v>436</v>
      </c>
    </row>
    <row r="746" spans="1:35" ht="36" x14ac:dyDescent="0.3">
      <c r="A746" s="25" t="s">
        <v>2343</v>
      </c>
      <c r="B746" s="25" t="s">
        <v>2149</v>
      </c>
      <c r="C746" s="26" t="s">
        <v>2150</v>
      </c>
      <c r="D746" s="27"/>
      <c r="E746" s="27" t="s">
        <v>2344</v>
      </c>
      <c r="F746" s="27" t="s">
        <v>64</v>
      </c>
      <c r="G746" s="28">
        <v>1</v>
      </c>
      <c r="H746" s="27"/>
      <c r="I746" s="28">
        <v>1.5</v>
      </c>
      <c r="J746" s="29">
        <f>IFERROR(ROUND(SUM(M747,M748)/I746, 2),0)</f>
        <v>13.32</v>
      </c>
      <c r="K746" s="29">
        <v>464</v>
      </c>
      <c r="L746" s="29">
        <f>J746+ROUND(K746, 2)</f>
        <v>477.32</v>
      </c>
      <c r="M746" s="29">
        <f>ROUND(J746*I746, 2)</f>
        <v>19.98</v>
      </c>
      <c r="N746" s="29">
        <f>ROUND(I746*ROUND(K746, 2), 2)</f>
        <v>696</v>
      </c>
      <c r="O746" s="29">
        <f>M746+N746</f>
        <v>715.98</v>
      </c>
      <c r="P746" s="29">
        <f>IFERROR(ROUND(SUM(S747,S748)/I746, 2),0)</f>
        <v>75.27</v>
      </c>
      <c r="Q746" s="29">
        <v>464</v>
      </c>
      <c r="R746" s="29">
        <f>P746+ROUND(Q746, 2)</f>
        <v>539.27</v>
      </c>
      <c r="S746" s="29">
        <f>ROUND(P746*I746, 2)</f>
        <v>112.91</v>
      </c>
      <c r="T746" s="29">
        <f>ROUND(I746*ROUND(Q746, 2), 2)</f>
        <v>696</v>
      </c>
      <c r="U746" s="29">
        <f>S746+T746</f>
        <v>808.91</v>
      </c>
      <c r="V746" s="9">
        <f>ROUND(P746 / 1.2, 2)</f>
        <v>62.73</v>
      </c>
      <c r="W746" s="9">
        <f>ROUND(Q746 / 1.2, 2)</f>
        <v>386.67</v>
      </c>
      <c r="X746" s="9">
        <f>ROUND(R746 / 1.2, 2)</f>
        <v>449.39</v>
      </c>
      <c r="Y746" s="9">
        <f t="shared" si="80"/>
        <v>94.09</v>
      </c>
      <c r="Z746" s="9">
        <f>ROUND(T746 / 1.2, 2)</f>
        <v>580</v>
      </c>
      <c r="AA746" s="9">
        <f>Y746+Z746</f>
        <v>674.09</v>
      </c>
      <c r="AD746" s="4">
        <v>298925474</v>
      </c>
      <c r="AE746" s="4">
        <v>20002275</v>
      </c>
      <c r="AG746" s="4" t="s">
        <v>2152</v>
      </c>
      <c r="AH746" s="4" t="s">
        <v>2153</v>
      </c>
      <c r="AI746" s="4" t="s">
        <v>67</v>
      </c>
    </row>
    <row r="747" spans="1:35" ht="36" x14ac:dyDescent="0.3">
      <c r="A747" s="25" t="s">
        <v>2345</v>
      </c>
      <c r="B747" s="25"/>
      <c r="C747" s="30" t="s">
        <v>433</v>
      </c>
      <c r="D747" s="27"/>
      <c r="E747" s="27"/>
      <c r="F747" s="31" t="s">
        <v>70</v>
      </c>
      <c r="G747" s="32">
        <v>0.15</v>
      </c>
      <c r="H747" s="27"/>
      <c r="I747" s="32">
        <v>0.22500000000000001</v>
      </c>
      <c r="J747" s="34">
        <v>88.8</v>
      </c>
      <c r="K747" s="35"/>
      <c r="L747" s="35"/>
      <c r="M747" s="34">
        <f>ROUND(ROUND(J747, 2)*I747, 2)</f>
        <v>19.98</v>
      </c>
      <c r="N747" s="35"/>
      <c r="O747" s="35"/>
      <c r="P747" s="34">
        <v>88.8</v>
      </c>
      <c r="Q747" s="35"/>
      <c r="R747" s="35"/>
      <c r="S747" s="34">
        <f>ROUND(ROUND(P747, 2)*I747, 2)</f>
        <v>19.98</v>
      </c>
      <c r="T747" s="35"/>
      <c r="U747" s="36"/>
      <c r="V747" s="9">
        <f>ROUND(ROUND(P747, 2)/1.2, 2)</f>
        <v>74</v>
      </c>
      <c r="Y747" s="9">
        <f t="shared" si="80"/>
        <v>16.649999999999999</v>
      </c>
      <c r="AD747" s="4" t="s">
        <v>2346</v>
      </c>
      <c r="AE747" s="4" t="s">
        <v>2347</v>
      </c>
      <c r="AF747" s="4" t="s">
        <v>436</v>
      </c>
    </row>
    <row r="748" spans="1:35" ht="72" x14ac:dyDescent="0.3">
      <c r="A748" s="25" t="s">
        <v>2348</v>
      </c>
      <c r="B748" s="25"/>
      <c r="C748" s="30" t="s">
        <v>2155</v>
      </c>
      <c r="D748" s="27"/>
      <c r="E748" s="27" t="s">
        <v>2169</v>
      </c>
      <c r="F748" s="31" t="s">
        <v>70</v>
      </c>
      <c r="G748" s="32">
        <v>0.3</v>
      </c>
      <c r="H748" s="27"/>
      <c r="I748" s="32">
        <v>0.45</v>
      </c>
      <c r="J748" s="34">
        <v>0</v>
      </c>
      <c r="K748" s="35"/>
      <c r="L748" s="35"/>
      <c r="M748" s="34">
        <f>ROUND(ROUND(J748, 2)*I748, 2)</f>
        <v>0</v>
      </c>
      <c r="N748" s="35"/>
      <c r="O748" s="35"/>
      <c r="P748" s="34">
        <v>206.5</v>
      </c>
      <c r="Q748" s="35"/>
      <c r="R748" s="35"/>
      <c r="S748" s="34">
        <f>ROUND(ROUND(P748, 2)*I748, 2)</f>
        <v>92.93</v>
      </c>
      <c r="T748" s="35"/>
      <c r="U748" s="36"/>
      <c r="V748" s="9">
        <f>ROUND(ROUND(P748, 2)/1.2, 2)</f>
        <v>172.08</v>
      </c>
      <c r="Y748" s="9">
        <f t="shared" si="80"/>
        <v>77.44</v>
      </c>
      <c r="AD748" s="4" t="s">
        <v>2349</v>
      </c>
      <c r="AE748" s="4" t="s">
        <v>2350</v>
      </c>
      <c r="AF748" s="4" t="s">
        <v>2159</v>
      </c>
    </row>
    <row r="749" spans="1:35" ht="36" x14ac:dyDescent="0.3">
      <c r="A749" s="25" t="s">
        <v>2351</v>
      </c>
      <c r="B749" s="25" t="s">
        <v>2149</v>
      </c>
      <c r="C749" s="26" t="s">
        <v>2150</v>
      </c>
      <c r="D749" s="27"/>
      <c r="E749" s="27" t="s">
        <v>2352</v>
      </c>
      <c r="F749" s="27" t="s">
        <v>64</v>
      </c>
      <c r="G749" s="28">
        <v>1</v>
      </c>
      <c r="H749" s="27"/>
      <c r="I749" s="28">
        <v>79.66</v>
      </c>
      <c r="J749" s="29">
        <f>IFERROR(ROUND(SUM(M750,M751)/I749, 2),0)</f>
        <v>13.32</v>
      </c>
      <c r="K749" s="29">
        <v>464</v>
      </c>
      <c r="L749" s="29">
        <f>J749+ROUND(K749, 2)</f>
        <v>477.32</v>
      </c>
      <c r="M749" s="29">
        <f>ROUND(J749*I749, 2)</f>
        <v>1061.07</v>
      </c>
      <c r="N749" s="29">
        <f>ROUND(I749*ROUND(K749, 2), 2)</f>
        <v>36962.239999999998</v>
      </c>
      <c r="O749" s="29">
        <f>M749+N749</f>
        <v>38023.31</v>
      </c>
      <c r="P749" s="29">
        <f>IFERROR(ROUND(SUM(S750,S751)/I749, 2),0)</f>
        <v>68.28</v>
      </c>
      <c r="Q749" s="29">
        <v>464</v>
      </c>
      <c r="R749" s="29">
        <f>P749+ROUND(Q749, 2)</f>
        <v>532.28</v>
      </c>
      <c r="S749" s="29">
        <f>ROUND(P749*I749, 2)</f>
        <v>5439.18</v>
      </c>
      <c r="T749" s="29">
        <f>ROUND(I749*ROUND(Q749, 2), 2)</f>
        <v>36962.239999999998</v>
      </c>
      <c r="U749" s="29">
        <f>S749+T749</f>
        <v>42401.42</v>
      </c>
      <c r="V749" s="9">
        <f>ROUND(P749 / 1.2, 2)</f>
        <v>56.9</v>
      </c>
      <c r="W749" s="9">
        <f>ROUND(Q749 / 1.2, 2)</f>
        <v>386.67</v>
      </c>
      <c r="X749" s="9">
        <f>ROUND(R749 / 1.2, 2)</f>
        <v>443.57</v>
      </c>
      <c r="Y749" s="9">
        <f t="shared" si="80"/>
        <v>4532.6499999999996</v>
      </c>
      <c r="Z749" s="9">
        <f>ROUND(T749 / 1.2, 2)</f>
        <v>30801.87</v>
      </c>
      <c r="AA749" s="9">
        <f>Y749+Z749</f>
        <v>35334.519999999997</v>
      </c>
      <c r="AD749" s="4">
        <v>298925475</v>
      </c>
      <c r="AE749" s="4">
        <v>20002276</v>
      </c>
      <c r="AG749" s="4" t="s">
        <v>2152</v>
      </c>
      <c r="AH749" s="4" t="s">
        <v>2153</v>
      </c>
      <c r="AI749" s="4" t="s">
        <v>67</v>
      </c>
    </row>
    <row r="750" spans="1:35" ht="54" x14ac:dyDescent="0.3">
      <c r="A750" s="25" t="s">
        <v>2353</v>
      </c>
      <c r="B750" s="25"/>
      <c r="C750" s="30" t="s">
        <v>2187</v>
      </c>
      <c r="D750" s="27"/>
      <c r="E750" s="27" t="s">
        <v>2231</v>
      </c>
      <c r="F750" s="31" t="s">
        <v>70</v>
      </c>
      <c r="G750" s="32">
        <v>0.3</v>
      </c>
      <c r="H750" s="27"/>
      <c r="I750" s="32">
        <v>23.898</v>
      </c>
      <c r="J750" s="34">
        <v>0</v>
      </c>
      <c r="K750" s="35"/>
      <c r="L750" s="35"/>
      <c r="M750" s="34">
        <f>ROUND(ROUND(J750, 2)*I750, 2)</f>
        <v>0</v>
      </c>
      <c r="N750" s="35"/>
      <c r="O750" s="35"/>
      <c r="P750" s="34">
        <v>183.2</v>
      </c>
      <c r="Q750" s="35"/>
      <c r="R750" s="35"/>
      <c r="S750" s="34">
        <f>ROUND(ROUND(P750, 2)*I750, 2)</f>
        <v>4378.1099999999997</v>
      </c>
      <c r="T750" s="35"/>
      <c r="U750" s="36"/>
      <c r="V750" s="9">
        <f>ROUND(ROUND(P750, 2)/1.2, 2)</f>
        <v>152.66999999999999</v>
      </c>
      <c r="Y750" s="9">
        <f t="shared" si="80"/>
        <v>3648.43</v>
      </c>
      <c r="AD750" s="4" t="s">
        <v>2354</v>
      </c>
      <c r="AE750" s="4" t="s">
        <v>2355</v>
      </c>
      <c r="AF750" s="4" t="s">
        <v>2191</v>
      </c>
    </row>
    <row r="751" spans="1:35" ht="36" x14ac:dyDescent="0.3">
      <c r="A751" s="25" t="s">
        <v>2356</v>
      </c>
      <c r="B751" s="25"/>
      <c r="C751" s="30" t="s">
        <v>433</v>
      </c>
      <c r="D751" s="27"/>
      <c r="E751" s="27"/>
      <c r="F751" s="31" t="s">
        <v>70</v>
      </c>
      <c r="G751" s="32">
        <v>0.15</v>
      </c>
      <c r="H751" s="27"/>
      <c r="I751" s="32">
        <v>11.949</v>
      </c>
      <c r="J751" s="34">
        <v>88.8</v>
      </c>
      <c r="K751" s="35"/>
      <c r="L751" s="35"/>
      <c r="M751" s="34">
        <f>ROUND(ROUND(J751, 2)*I751, 2)</f>
        <v>1061.07</v>
      </c>
      <c r="N751" s="35"/>
      <c r="O751" s="35"/>
      <c r="P751" s="34">
        <v>88.8</v>
      </c>
      <c r="Q751" s="35"/>
      <c r="R751" s="35"/>
      <c r="S751" s="34">
        <f>ROUND(ROUND(P751, 2)*I751, 2)</f>
        <v>1061.07</v>
      </c>
      <c r="T751" s="35"/>
      <c r="U751" s="36"/>
      <c r="V751" s="9">
        <f>ROUND(ROUND(P751, 2)/1.2, 2)</f>
        <v>74</v>
      </c>
      <c r="Y751" s="9">
        <f t="shared" si="80"/>
        <v>884.23</v>
      </c>
      <c r="AD751" s="4" t="s">
        <v>2357</v>
      </c>
      <c r="AE751" s="4" t="s">
        <v>2358</v>
      </c>
      <c r="AF751" s="4" t="s">
        <v>436</v>
      </c>
    </row>
    <row r="752" spans="1:35" ht="36" x14ac:dyDescent="0.3">
      <c r="A752" s="25" t="s">
        <v>2359</v>
      </c>
      <c r="B752" s="25" t="s">
        <v>2149</v>
      </c>
      <c r="C752" s="26" t="s">
        <v>2150</v>
      </c>
      <c r="D752" s="27"/>
      <c r="E752" s="27" t="s">
        <v>2360</v>
      </c>
      <c r="F752" s="27" t="s">
        <v>64</v>
      </c>
      <c r="G752" s="28">
        <v>1</v>
      </c>
      <c r="H752" s="27"/>
      <c r="I752" s="28">
        <v>80.790000000000006</v>
      </c>
      <c r="J752" s="29">
        <f>IFERROR(ROUND(SUM(M753,M754)/I752, 2),0)</f>
        <v>13.32</v>
      </c>
      <c r="K752" s="29">
        <v>464</v>
      </c>
      <c r="L752" s="29">
        <f>J752+ROUND(K752, 2)</f>
        <v>477.32</v>
      </c>
      <c r="M752" s="29">
        <f>ROUND(J752*I752, 2)</f>
        <v>1076.1199999999999</v>
      </c>
      <c r="N752" s="29">
        <f>ROUND(I752*ROUND(K752, 2), 2)</f>
        <v>37486.559999999998</v>
      </c>
      <c r="O752" s="29">
        <f>M752+N752</f>
        <v>38562.68</v>
      </c>
      <c r="P752" s="29">
        <f>IFERROR(ROUND(SUM(S753,S754)/I752, 2),0)</f>
        <v>75.27</v>
      </c>
      <c r="Q752" s="29">
        <v>464</v>
      </c>
      <c r="R752" s="29">
        <f>P752+ROUND(Q752, 2)</f>
        <v>539.27</v>
      </c>
      <c r="S752" s="29">
        <f>ROUND(P752*I752, 2)</f>
        <v>6081.06</v>
      </c>
      <c r="T752" s="29">
        <f>ROUND(I752*ROUND(Q752, 2), 2)</f>
        <v>37486.559999999998</v>
      </c>
      <c r="U752" s="29">
        <f>S752+T752</f>
        <v>43567.619999999995</v>
      </c>
      <c r="V752" s="9">
        <f>ROUND(P752 / 1.2, 2)</f>
        <v>62.73</v>
      </c>
      <c r="W752" s="9">
        <f>ROUND(Q752 / 1.2, 2)</f>
        <v>386.67</v>
      </c>
      <c r="X752" s="9">
        <f>ROUND(R752 / 1.2, 2)</f>
        <v>449.39</v>
      </c>
      <c r="Y752" s="9">
        <f t="shared" si="80"/>
        <v>5067.55</v>
      </c>
      <c r="Z752" s="9">
        <f>ROUND(T752 / 1.2, 2)</f>
        <v>31238.799999999999</v>
      </c>
      <c r="AA752" s="9">
        <f>Y752+Z752</f>
        <v>36306.35</v>
      </c>
      <c r="AD752" s="4">
        <v>298925476</v>
      </c>
      <c r="AE752" s="4">
        <v>20002277</v>
      </c>
      <c r="AG752" s="4" t="s">
        <v>2152</v>
      </c>
      <c r="AH752" s="4" t="s">
        <v>2153</v>
      </c>
      <c r="AI752" s="4" t="s">
        <v>67</v>
      </c>
    </row>
    <row r="753" spans="1:35" ht="36" x14ac:dyDescent="0.3">
      <c r="A753" s="25" t="s">
        <v>2361</v>
      </c>
      <c r="B753" s="25"/>
      <c r="C753" s="30" t="s">
        <v>433</v>
      </c>
      <c r="D753" s="27"/>
      <c r="E753" s="27"/>
      <c r="F753" s="31" t="s">
        <v>70</v>
      </c>
      <c r="G753" s="32">
        <v>0.15</v>
      </c>
      <c r="H753" s="27"/>
      <c r="I753" s="32">
        <v>12.119</v>
      </c>
      <c r="J753" s="34">
        <v>88.8</v>
      </c>
      <c r="K753" s="35"/>
      <c r="L753" s="35"/>
      <c r="M753" s="34">
        <f>ROUND(ROUND(J753, 2)*I753, 2)</f>
        <v>1076.17</v>
      </c>
      <c r="N753" s="35"/>
      <c r="O753" s="35"/>
      <c r="P753" s="34">
        <v>88.8</v>
      </c>
      <c r="Q753" s="35"/>
      <c r="R753" s="35"/>
      <c r="S753" s="34">
        <f>ROUND(ROUND(P753, 2)*I753, 2)</f>
        <v>1076.17</v>
      </c>
      <c r="T753" s="35"/>
      <c r="U753" s="36"/>
      <c r="V753" s="9">
        <f>ROUND(ROUND(P753, 2)/1.2, 2)</f>
        <v>74</v>
      </c>
      <c r="Y753" s="9">
        <f t="shared" si="80"/>
        <v>896.81</v>
      </c>
      <c r="AD753" s="4" t="s">
        <v>2362</v>
      </c>
      <c r="AE753" s="4" t="s">
        <v>2363</v>
      </c>
      <c r="AF753" s="4" t="s">
        <v>436</v>
      </c>
    </row>
    <row r="754" spans="1:35" ht="54" x14ac:dyDescent="0.3">
      <c r="A754" s="25" t="s">
        <v>2364</v>
      </c>
      <c r="B754" s="25"/>
      <c r="C754" s="30" t="s">
        <v>2187</v>
      </c>
      <c r="D754" s="27"/>
      <c r="E754" s="27" t="s">
        <v>2188</v>
      </c>
      <c r="F754" s="31" t="s">
        <v>70</v>
      </c>
      <c r="G754" s="32">
        <v>0.3</v>
      </c>
      <c r="H754" s="27"/>
      <c r="I754" s="32">
        <v>24.236999999999998</v>
      </c>
      <c r="J754" s="34">
        <v>0</v>
      </c>
      <c r="K754" s="35"/>
      <c r="L754" s="35"/>
      <c r="M754" s="34">
        <f>ROUND(ROUND(J754, 2)*I754, 2)</f>
        <v>0</v>
      </c>
      <c r="N754" s="35"/>
      <c r="O754" s="35"/>
      <c r="P754" s="34">
        <v>206.5</v>
      </c>
      <c r="Q754" s="35"/>
      <c r="R754" s="35"/>
      <c r="S754" s="34">
        <f>ROUND(ROUND(P754, 2)*I754, 2)</f>
        <v>5004.9399999999996</v>
      </c>
      <c r="T754" s="35"/>
      <c r="U754" s="36"/>
      <c r="V754" s="9">
        <f>ROUND(ROUND(P754, 2)/1.2, 2)</f>
        <v>172.08</v>
      </c>
      <c r="Y754" s="9">
        <f t="shared" si="80"/>
        <v>4170.78</v>
      </c>
      <c r="AD754" s="4" t="s">
        <v>2365</v>
      </c>
      <c r="AE754" s="4" t="s">
        <v>2366</v>
      </c>
      <c r="AF754" s="4" t="s">
        <v>2191</v>
      </c>
    </row>
    <row r="755" spans="1:35" ht="36" x14ac:dyDescent="0.3">
      <c r="A755" s="25" t="s">
        <v>2367</v>
      </c>
      <c r="B755" s="25" t="s">
        <v>2149</v>
      </c>
      <c r="C755" s="26" t="s">
        <v>2150</v>
      </c>
      <c r="D755" s="27"/>
      <c r="E755" s="27" t="s">
        <v>2368</v>
      </c>
      <c r="F755" s="27" t="s">
        <v>64</v>
      </c>
      <c r="G755" s="28">
        <v>1</v>
      </c>
      <c r="H755" s="27"/>
      <c r="I755" s="28">
        <v>26.92</v>
      </c>
      <c r="J755" s="29">
        <f>IFERROR(ROUND(SUM(M756,M757)/I755, 2),0)</f>
        <v>13.32</v>
      </c>
      <c r="K755" s="29">
        <v>464</v>
      </c>
      <c r="L755" s="29">
        <f>J755+ROUND(K755, 2)</f>
        <v>477.32</v>
      </c>
      <c r="M755" s="29">
        <f>ROUND(J755*I755, 2)</f>
        <v>358.57</v>
      </c>
      <c r="N755" s="29">
        <f>ROUND(I755*ROUND(K755, 2), 2)</f>
        <v>12490.88</v>
      </c>
      <c r="O755" s="29">
        <f>M755+N755</f>
        <v>12849.449999999999</v>
      </c>
      <c r="P755" s="29">
        <f>IFERROR(ROUND(SUM(S756,S757)/I755, 2),0)</f>
        <v>75.27</v>
      </c>
      <c r="Q755" s="29">
        <v>464</v>
      </c>
      <c r="R755" s="29">
        <f>P755+ROUND(Q755, 2)</f>
        <v>539.27</v>
      </c>
      <c r="S755" s="29">
        <f>ROUND(P755*I755, 2)</f>
        <v>2026.27</v>
      </c>
      <c r="T755" s="29">
        <f>ROUND(I755*ROUND(Q755, 2), 2)</f>
        <v>12490.88</v>
      </c>
      <c r="U755" s="29">
        <f>S755+T755</f>
        <v>14517.15</v>
      </c>
      <c r="V755" s="9">
        <f>ROUND(P755 / 1.2, 2)</f>
        <v>62.73</v>
      </c>
      <c r="W755" s="9">
        <f>ROUND(Q755 / 1.2, 2)</f>
        <v>386.67</v>
      </c>
      <c r="X755" s="9">
        <f>ROUND(R755 / 1.2, 2)</f>
        <v>449.39</v>
      </c>
      <c r="Y755" s="9">
        <f t="shared" si="80"/>
        <v>1688.56</v>
      </c>
      <c r="Z755" s="9">
        <f>ROUND(T755 / 1.2, 2)</f>
        <v>10409.07</v>
      </c>
      <c r="AA755" s="9">
        <f>Y755+Z755</f>
        <v>12097.63</v>
      </c>
      <c r="AD755" s="4">
        <v>298925477</v>
      </c>
      <c r="AE755" s="4">
        <v>20002410</v>
      </c>
      <c r="AG755" s="4" t="s">
        <v>2152</v>
      </c>
      <c r="AH755" s="4" t="s">
        <v>2153</v>
      </c>
      <c r="AI755" s="4" t="s">
        <v>67</v>
      </c>
    </row>
    <row r="756" spans="1:35" ht="72" x14ac:dyDescent="0.3">
      <c r="A756" s="25" t="s">
        <v>2369</v>
      </c>
      <c r="B756" s="25"/>
      <c r="C756" s="30" t="s">
        <v>2187</v>
      </c>
      <c r="D756" s="27"/>
      <c r="E756" s="27" t="s">
        <v>2370</v>
      </c>
      <c r="F756" s="31" t="s">
        <v>70</v>
      </c>
      <c r="G756" s="32">
        <v>0.3</v>
      </c>
      <c r="H756" s="27"/>
      <c r="I756" s="32">
        <v>8.0760000000000005</v>
      </c>
      <c r="J756" s="34">
        <v>0</v>
      </c>
      <c r="K756" s="35"/>
      <c r="L756" s="35"/>
      <c r="M756" s="34">
        <f>ROUND(ROUND(J756, 2)*I756, 2)</f>
        <v>0</v>
      </c>
      <c r="N756" s="35"/>
      <c r="O756" s="35"/>
      <c r="P756" s="34">
        <v>206.5</v>
      </c>
      <c r="Q756" s="35"/>
      <c r="R756" s="35"/>
      <c r="S756" s="34">
        <f>ROUND(ROUND(P756, 2)*I756, 2)</f>
        <v>1667.69</v>
      </c>
      <c r="T756" s="35"/>
      <c r="U756" s="36"/>
      <c r="V756" s="9">
        <f>ROUND(ROUND(P756, 2)/1.2, 2)</f>
        <v>172.08</v>
      </c>
      <c r="Y756" s="9">
        <f t="shared" si="80"/>
        <v>1389.74</v>
      </c>
      <c r="AD756" s="4" t="s">
        <v>2371</v>
      </c>
      <c r="AE756" s="4" t="s">
        <v>2372</v>
      </c>
      <c r="AF756" s="4" t="s">
        <v>2191</v>
      </c>
    </row>
    <row r="757" spans="1:35" ht="36" x14ac:dyDescent="0.3">
      <c r="A757" s="25" t="s">
        <v>2373</v>
      </c>
      <c r="B757" s="25"/>
      <c r="C757" s="30" t="s">
        <v>433</v>
      </c>
      <c r="D757" s="27"/>
      <c r="E757" s="27"/>
      <c r="F757" s="31" t="s">
        <v>70</v>
      </c>
      <c r="G757" s="32">
        <v>0.15</v>
      </c>
      <c r="H757" s="27"/>
      <c r="I757" s="32">
        <v>4.0380000000000003</v>
      </c>
      <c r="J757" s="34">
        <v>88.8</v>
      </c>
      <c r="K757" s="35"/>
      <c r="L757" s="35"/>
      <c r="M757" s="34">
        <f>ROUND(ROUND(J757, 2)*I757, 2)</f>
        <v>358.57</v>
      </c>
      <c r="N757" s="35"/>
      <c r="O757" s="35"/>
      <c r="P757" s="34">
        <v>88.8</v>
      </c>
      <c r="Q757" s="35"/>
      <c r="R757" s="35"/>
      <c r="S757" s="34">
        <f>ROUND(ROUND(P757, 2)*I757, 2)</f>
        <v>358.57</v>
      </c>
      <c r="T757" s="35"/>
      <c r="U757" s="36"/>
      <c r="V757" s="9">
        <f>ROUND(ROUND(P757, 2)/1.2, 2)</f>
        <v>74</v>
      </c>
      <c r="Y757" s="9">
        <f t="shared" si="80"/>
        <v>298.81</v>
      </c>
      <c r="AD757" s="4" t="s">
        <v>2374</v>
      </c>
      <c r="AE757" s="4" t="s">
        <v>2375</v>
      </c>
      <c r="AF757" s="4" t="s">
        <v>436</v>
      </c>
    </row>
    <row r="758" spans="1:35" ht="36" x14ac:dyDescent="0.3">
      <c r="A758" s="25" t="s">
        <v>2376</v>
      </c>
      <c r="B758" s="25" t="s">
        <v>2149</v>
      </c>
      <c r="C758" s="26" t="s">
        <v>2150</v>
      </c>
      <c r="D758" s="27"/>
      <c r="E758" s="27" t="s">
        <v>2377</v>
      </c>
      <c r="F758" s="27" t="s">
        <v>64</v>
      </c>
      <c r="G758" s="28">
        <v>1</v>
      </c>
      <c r="H758" s="27"/>
      <c r="I758" s="28">
        <v>28.35</v>
      </c>
      <c r="J758" s="29">
        <f>IFERROR(ROUND(SUM(M759,M760)/I758, 2),0)</f>
        <v>13.32</v>
      </c>
      <c r="K758" s="29">
        <v>464</v>
      </c>
      <c r="L758" s="29">
        <f>J758+ROUND(K758, 2)</f>
        <v>477.32</v>
      </c>
      <c r="M758" s="29">
        <f>ROUND(J758*I758, 2)</f>
        <v>377.62</v>
      </c>
      <c r="N758" s="29">
        <f>ROUND(I758*ROUND(K758, 2), 2)</f>
        <v>13154.4</v>
      </c>
      <c r="O758" s="29">
        <f>M758+N758</f>
        <v>13532.02</v>
      </c>
      <c r="P758" s="29">
        <f>IFERROR(ROUND(SUM(S759,S760)/I758, 2),0)</f>
        <v>75.27</v>
      </c>
      <c r="Q758" s="29">
        <v>464</v>
      </c>
      <c r="R758" s="29">
        <f>P758+ROUND(Q758, 2)</f>
        <v>539.27</v>
      </c>
      <c r="S758" s="29">
        <f>ROUND(P758*I758, 2)</f>
        <v>2133.9</v>
      </c>
      <c r="T758" s="29">
        <f>ROUND(I758*ROUND(Q758, 2), 2)</f>
        <v>13154.4</v>
      </c>
      <c r="U758" s="29">
        <f>S758+T758</f>
        <v>15288.3</v>
      </c>
      <c r="V758" s="9">
        <f>ROUND(P758 / 1.2, 2)</f>
        <v>62.73</v>
      </c>
      <c r="W758" s="9">
        <f>ROUND(Q758 / 1.2, 2)</f>
        <v>386.67</v>
      </c>
      <c r="X758" s="9">
        <f>ROUND(R758 / 1.2, 2)</f>
        <v>449.39</v>
      </c>
      <c r="Y758" s="9">
        <f t="shared" si="80"/>
        <v>1778.25</v>
      </c>
      <c r="Z758" s="9">
        <f>ROUND(T758 / 1.2, 2)</f>
        <v>10962</v>
      </c>
      <c r="AA758" s="9">
        <f>Y758+Z758</f>
        <v>12740.25</v>
      </c>
      <c r="AD758" s="4">
        <v>298925478</v>
      </c>
      <c r="AE758" s="4">
        <v>20002411</v>
      </c>
      <c r="AG758" s="4" t="s">
        <v>2152</v>
      </c>
      <c r="AH758" s="4" t="s">
        <v>2153</v>
      </c>
      <c r="AI758" s="4" t="s">
        <v>67</v>
      </c>
    </row>
    <row r="759" spans="1:35" ht="36" x14ac:dyDescent="0.3">
      <c r="A759" s="25" t="s">
        <v>2378</v>
      </c>
      <c r="B759" s="25"/>
      <c r="C759" s="30" t="s">
        <v>433</v>
      </c>
      <c r="D759" s="27"/>
      <c r="E759" s="27"/>
      <c r="F759" s="31" t="s">
        <v>70</v>
      </c>
      <c r="G759" s="32">
        <v>0.15</v>
      </c>
      <c r="H759" s="27"/>
      <c r="I759" s="32">
        <v>4.2530000000000001</v>
      </c>
      <c r="J759" s="34">
        <v>88.8</v>
      </c>
      <c r="K759" s="35"/>
      <c r="L759" s="35"/>
      <c r="M759" s="34">
        <f>ROUND(ROUND(J759, 2)*I759, 2)</f>
        <v>377.67</v>
      </c>
      <c r="N759" s="35"/>
      <c r="O759" s="35"/>
      <c r="P759" s="34">
        <v>88.8</v>
      </c>
      <c r="Q759" s="35"/>
      <c r="R759" s="35"/>
      <c r="S759" s="34">
        <f>ROUND(ROUND(P759, 2)*I759, 2)</f>
        <v>377.67</v>
      </c>
      <c r="T759" s="35"/>
      <c r="U759" s="36"/>
      <c r="V759" s="9">
        <f>ROUND(ROUND(P759, 2)/1.2, 2)</f>
        <v>74</v>
      </c>
      <c r="Y759" s="9">
        <f t="shared" si="80"/>
        <v>314.73</v>
      </c>
      <c r="AD759" s="4" t="s">
        <v>2379</v>
      </c>
      <c r="AE759" s="4" t="s">
        <v>2380</v>
      </c>
      <c r="AF759" s="4" t="s">
        <v>436</v>
      </c>
    </row>
    <row r="760" spans="1:35" ht="54" x14ac:dyDescent="0.3">
      <c r="A760" s="25" t="s">
        <v>2381</v>
      </c>
      <c r="B760" s="25"/>
      <c r="C760" s="30" t="s">
        <v>2187</v>
      </c>
      <c r="D760" s="27"/>
      <c r="E760" s="27" t="s">
        <v>2382</v>
      </c>
      <c r="F760" s="31" t="s">
        <v>70</v>
      </c>
      <c r="G760" s="32">
        <v>0.3</v>
      </c>
      <c r="H760" s="27"/>
      <c r="I760" s="32">
        <v>8.5050000000000008</v>
      </c>
      <c r="J760" s="34">
        <v>0</v>
      </c>
      <c r="K760" s="35"/>
      <c r="L760" s="35"/>
      <c r="M760" s="34">
        <f>ROUND(ROUND(J760, 2)*I760, 2)</f>
        <v>0</v>
      </c>
      <c r="N760" s="35"/>
      <c r="O760" s="35"/>
      <c r="P760" s="34">
        <v>206.5</v>
      </c>
      <c r="Q760" s="35"/>
      <c r="R760" s="35"/>
      <c r="S760" s="34">
        <f>ROUND(ROUND(P760, 2)*I760, 2)</f>
        <v>1756.28</v>
      </c>
      <c r="T760" s="35"/>
      <c r="U760" s="36"/>
      <c r="V760" s="9">
        <f>ROUND(ROUND(P760, 2)/1.2, 2)</f>
        <v>172.08</v>
      </c>
      <c r="Y760" s="9">
        <f t="shared" si="80"/>
        <v>1463.57</v>
      </c>
      <c r="AD760" s="4" t="s">
        <v>2383</v>
      </c>
      <c r="AE760" s="4" t="s">
        <v>2384</v>
      </c>
      <c r="AF760" s="4" t="s">
        <v>2191</v>
      </c>
    </row>
    <row r="761" spans="1:35" ht="36" x14ac:dyDescent="0.3">
      <c r="A761" s="25" t="s">
        <v>2385</v>
      </c>
      <c r="B761" s="25" t="s">
        <v>2149</v>
      </c>
      <c r="C761" s="26" t="s">
        <v>2150</v>
      </c>
      <c r="D761" s="27"/>
      <c r="E761" s="27" t="s">
        <v>2386</v>
      </c>
      <c r="F761" s="27" t="s">
        <v>64</v>
      </c>
      <c r="G761" s="28">
        <v>1</v>
      </c>
      <c r="H761" s="27"/>
      <c r="I761" s="28">
        <v>26.03</v>
      </c>
      <c r="J761" s="29">
        <f>IFERROR(ROUND(SUM(M762,M763)/I761, 2),0)</f>
        <v>13.32</v>
      </c>
      <c r="K761" s="29">
        <v>464</v>
      </c>
      <c r="L761" s="29">
        <f>J761+ROUND(K761, 2)</f>
        <v>477.32</v>
      </c>
      <c r="M761" s="29">
        <f>ROUND(J761*I761, 2)</f>
        <v>346.72</v>
      </c>
      <c r="N761" s="29">
        <f>ROUND(I761*ROUND(K761, 2), 2)</f>
        <v>12077.92</v>
      </c>
      <c r="O761" s="29">
        <f>M761+N761</f>
        <v>12424.64</v>
      </c>
      <c r="P761" s="29">
        <f>IFERROR(ROUND(SUM(S762,S763)/I761, 2),0)</f>
        <v>75.27</v>
      </c>
      <c r="Q761" s="29">
        <v>464</v>
      </c>
      <c r="R761" s="29">
        <f>P761+ROUND(Q761, 2)</f>
        <v>539.27</v>
      </c>
      <c r="S761" s="29">
        <f>ROUND(P761*I761, 2)</f>
        <v>1959.28</v>
      </c>
      <c r="T761" s="29">
        <f>ROUND(I761*ROUND(Q761, 2), 2)</f>
        <v>12077.92</v>
      </c>
      <c r="U761" s="29">
        <f>S761+T761</f>
        <v>14037.2</v>
      </c>
      <c r="V761" s="9">
        <f>ROUND(P761 / 1.2, 2)</f>
        <v>62.73</v>
      </c>
      <c r="W761" s="9">
        <f>ROUND(Q761 / 1.2, 2)</f>
        <v>386.67</v>
      </c>
      <c r="X761" s="9">
        <f>ROUND(R761 / 1.2, 2)</f>
        <v>449.39</v>
      </c>
      <c r="Y761" s="9">
        <f t="shared" si="80"/>
        <v>1632.73</v>
      </c>
      <c r="Z761" s="9">
        <f>ROUND(T761 / 1.2, 2)</f>
        <v>10064.93</v>
      </c>
      <c r="AA761" s="9">
        <f>Y761+Z761</f>
        <v>11697.66</v>
      </c>
      <c r="AD761" s="4">
        <v>298925479</v>
      </c>
      <c r="AE761" s="4">
        <v>20002412</v>
      </c>
      <c r="AG761" s="4" t="s">
        <v>2152</v>
      </c>
      <c r="AH761" s="4" t="s">
        <v>2153</v>
      </c>
      <c r="AI761" s="4" t="s">
        <v>67</v>
      </c>
    </row>
    <row r="762" spans="1:35" ht="54" x14ac:dyDescent="0.3">
      <c r="A762" s="25" t="s">
        <v>2387</v>
      </c>
      <c r="B762" s="25"/>
      <c r="C762" s="30" t="s">
        <v>2187</v>
      </c>
      <c r="D762" s="27"/>
      <c r="E762" s="27" t="s">
        <v>2207</v>
      </c>
      <c r="F762" s="31" t="s">
        <v>70</v>
      </c>
      <c r="G762" s="32">
        <v>0.3</v>
      </c>
      <c r="H762" s="27"/>
      <c r="I762" s="32">
        <v>7.8090000000000002</v>
      </c>
      <c r="J762" s="34">
        <v>0</v>
      </c>
      <c r="K762" s="35"/>
      <c r="L762" s="35"/>
      <c r="M762" s="34">
        <f>ROUND(ROUND(J762, 2)*I762, 2)</f>
        <v>0</v>
      </c>
      <c r="N762" s="35"/>
      <c r="O762" s="35"/>
      <c r="P762" s="34">
        <v>206.5</v>
      </c>
      <c r="Q762" s="35"/>
      <c r="R762" s="35"/>
      <c r="S762" s="34">
        <f>ROUND(ROUND(P762, 2)*I762, 2)</f>
        <v>1612.56</v>
      </c>
      <c r="T762" s="35"/>
      <c r="U762" s="36"/>
      <c r="V762" s="9">
        <f>ROUND(ROUND(P762, 2)/1.2, 2)</f>
        <v>172.08</v>
      </c>
      <c r="Y762" s="9">
        <f t="shared" si="80"/>
        <v>1343.8</v>
      </c>
      <c r="AD762" s="4" t="s">
        <v>2388</v>
      </c>
      <c r="AE762" s="4" t="s">
        <v>2389</v>
      </c>
      <c r="AF762" s="4" t="s">
        <v>2191</v>
      </c>
    </row>
    <row r="763" spans="1:35" ht="36" x14ac:dyDescent="0.3">
      <c r="A763" s="25" t="s">
        <v>2390</v>
      </c>
      <c r="B763" s="25"/>
      <c r="C763" s="30" t="s">
        <v>433</v>
      </c>
      <c r="D763" s="27"/>
      <c r="E763" s="27"/>
      <c r="F763" s="31" t="s">
        <v>70</v>
      </c>
      <c r="G763" s="32">
        <v>0.15</v>
      </c>
      <c r="H763" s="27"/>
      <c r="I763" s="32">
        <v>3.9049999999999998</v>
      </c>
      <c r="J763" s="34">
        <v>88.8</v>
      </c>
      <c r="K763" s="35"/>
      <c r="L763" s="35"/>
      <c r="M763" s="34">
        <f>ROUND(ROUND(J763, 2)*I763, 2)</f>
        <v>346.76</v>
      </c>
      <c r="N763" s="35"/>
      <c r="O763" s="35"/>
      <c r="P763" s="34">
        <v>88.8</v>
      </c>
      <c r="Q763" s="35"/>
      <c r="R763" s="35"/>
      <c r="S763" s="34">
        <f>ROUND(ROUND(P763, 2)*I763, 2)</f>
        <v>346.76</v>
      </c>
      <c r="T763" s="35"/>
      <c r="U763" s="36"/>
      <c r="V763" s="9">
        <f>ROUND(ROUND(P763, 2)/1.2, 2)</f>
        <v>74</v>
      </c>
      <c r="Y763" s="9">
        <f t="shared" si="80"/>
        <v>288.97000000000003</v>
      </c>
      <c r="AD763" s="4" t="s">
        <v>2391</v>
      </c>
      <c r="AE763" s="4" t="s">
        <v>2392</v>
      </c>
      <c r="AF763" s="4" t="s">
        <v>436</v>
      </c>
    </row>
    <row r="764" spans="1:35" ht="36" x14ac:dyDescent="0.3">
      <c r="A764" s="25" t="s">
        <v>2393</v>
      </c>
      <c r="B764" s="25" t="s">
        <v>2149</v>
      </c>
      <c r="C764" s="26" t="s">
        <v>2150</v>
      </c>
      <c r="D764" s="27"/>
      <c r="E764" s="27" t="s">
        <v>2394</v>
      </c>
      <c r="F764" s="27" t="s">
        <v>64</v>
      </c>
      <c r="G764" s="28">
        <v>1</v>
      </c>
      <c r="H764" s="27"/>
      <c r="I764" s="28">
        <v>34.79</v>
      </c>
      <c r="J764" s="29">
        <f>IFERROR(ROUND(SUM(M765,M766)/I764, 2),0)</f>
        <v>13.32</v>
      </c>
      <c r="K764" s="29">
        <v>464</v>
      </c>
      <c r="L764" s="29">
        <f>J764+ROUND(K764, 2)</f>
        <v>477.32</v>
      </c>
      <c r="M764" s="29">
        <f>ROUND(J764*I764, 2)</f>
        <v>463.4</v>
      </c>
      <c r="N764" s="29">
        <f>ROUND(I764*ROUND(K764, 2), 2)</f>
        <v>16142.56</v>
      </c>
      <c r="O764" s="29">
        <f>M764+N764</f>
        <v>16605.96</v>
      </c>
      <c r="P764" s="29">
        <f>IFERROR(ROUND(SUM(S765,S766)/I764, 2),0)</f>
        <v>75.27</v>
      </c>
      <c r="Q764" s="29">
        <v>464</v>
      </c>
      <c r="R764" s="29">
        <f>P764+ROUND(Q764, 2)</f>
        <v>539.27</v>
      </c>
      <c r="S764" s="29">
        <f>ROUND(P764*I764, 2)</f>
        <v>2618.64</v>
      </c>
      <c r="T764" s="29">
        <f>ROUND(I764*ROUND(Q764, 2), 2)</f>
        <v>16142.56</v>
      </c>
      <c r="U764" s="29">
        <f>S764+T764</f>
        <v>18761.2</v>
      </c>
      <c r="V764" s="9">
        <f>ROUND(P764 / 1.2, 2)</f>
        <v>62.73</v>
      </c>
      <c r="W764" s="9">
        <f>ROUND(Q764 / 1.2, 2)</f>
        <v>386.67</v>
      </c>
      <c r="X764" s="9">
        <f>ROUND(R764 / 1.2, 2)</f>
        <v>449.39</v>
      </c>
      <c r="Y764" s="9">
        <f t="shared" si="80"/>
        <v>2182.1999999999998</v>
      </c>
      <c r="Z764" s="9">
        <f>ROUND(T764 / 1.2, 2)</f>
        <v>13452.13</v>
      </c>
      <c r="AA764" s="9">
        <f>Y764+Z764</f>
        <v>15634.329999999998</v>
      </c>
      <c r="AD764" s="4">
        <v>298925480</v>
      </c>
      <c r="AE764" s="4">
        <v>20003313</v>
      </c>
      <c r="AG764" s="4" t="s">
        <v>2152</v>
      </c>
      <c r="AH764" s="4" t="s">
        <v>2153</v>
      </c>
      <c r="AI764" s="4" t="s">
        <v>67</v>
      </c>
    </row>
    <row r="765" spans="1:35" ht="36" x14ac:dyDescent="0.3">
      <c r="A765" s="25" t="s">
        <v>2395</v>
      </c>
      <c r="B765" s="25"/>
      <c r="C765" s="30" t="s">
        <v>433</v>
      </c>
      <c r="D765" s="27"/>
      <c r="E765" s="27"/>
      <c r="F765" s="31" t="s">
        <v>70</v>
      </c>
      <c r="G765" s="32">
        <v>0.15</v>
      </c>
      <c r="H765" s="27"/>
      <c r="I765" s="32">
        <v>5.2190000000000003</v>
      </c>
      <c r="J765" s="34">
        <v>88.8</v>
      </c>
      <c r="K765" s="35"/>
      <c r="L765" s="35"/>
      <c r="M765" s="34">
        <f>ROUND(ROUND(J765, 2)*I765, 2)</f>
        <v>463.45</v>
      </c>
      <c r="N765" s="35"/>
      <c r="O765" s="35"/>
      <c r="P765" s="34">
        <v>88.8</v>
      </c>
      <c r="Q765" s="35"/>
      <c r="R765" s="35"/>
      <c r="S765" s="34">
        <f>ROUND(ROUND(P765, 2)*I765, 2)</f>
        <v>463.45</v>
      </c>
      <c r="T765" s="35"/>
      <c r="U765" s="36"/>
      <c r="V765" s="9">
        <f>ROUND(ROUND(P765, 2)/1.2, 2)</f>
        <v>74</v>
      </c>
      <c r="Y765" s="9">
        <f t="shared" si="80"/>
        <v>386.21</v>
      </c>
      <c r="AD765" s="4" t="s">
        <v>2396</v>
      </c>
      <c r="AE765" s="4" t="s">
        <v>2397</v>
      </c>
      <c r="AF765" s="4" t="s">
        <v>436</v>
      </c>
    </row>
    <row r="766" spans="1:35" ht="54" x14ac:dyDescent="0.3">
      <c r="A766" s="25" t="s">
        <v>2398</v>
      </c>
      <c r="B766" s="25"/>
      <c r="C766" s="30" t="s">
        <v>2399</v>
      </c>
      <c r="D766" s="27"/>
      <c r="E766" s="27" t="s">
        <v>2251</v>
      </c>
      <c r="F766" s="31" t="s">
        <v>70</v>
      </c>
      <c r="G766" s="32">
        <v>0.3</v>
      </c>
      <c r="H766" s="27"/>
      <c r="I766" s="32">
        <v>10.436999999999999</v>
      </c>
      <c r="J766" s="34">
        <v>0</v>
      </c>
      <c r="K766" s="35"/>
      <c r="L766" s="35"/>
      <c r="M766" s="34">
        <f>ROUND(ROUND(J766, 2)*I766, 2)</f>
        <v>0</v>
      </c>
      <c r="N766" s="35"/>
      <c r="O766" s="35"/>
      <c r="P766" s="34">
        <v>206.5</v>
      </c>
      <c r="Q766" s="35"/>
      <c r="R766" s="35"/>
      <c r="S766" s="34">
        <f>ROUND(ROUND(P766, 2)*I766, 2)</f>
        <v>2155.2399999999998</v>
      </c>
      <c r="T766" s="35"/>
      <c r="U766" s="36"/>
      <c r="V766" s="9">
        <f>ROUND(ROUND(P766, 2)/1.2, 2)</f>
        <v>172.08</v>
      </c>
      <c r="Y766" s="9">
        <f t="shared" si="80"/>
        <v>1796.03</v>
      </c>
      <c r="AD766" s="4" t="s">
        <v>2400</v>
      </c>
      <c r="AE766" s="4" t="s">
        <v>2401</v>
      </c>
      <c r="AF766" s="4" t="s">
        <v>2402</v>
      </c>
    </row>
    <row r="767" spans="1:35" ht="36" x14ac:dyDescent="0.3">
      <c r="A767" s="25" t="s">
        <v>2403</v>
      </c>
      <c r="B767" s="25" t="s">
        <v>2149</v>
      </c>
      <c r="C767" s="26" t="s">
        <v>2150</v>
      </c>
      <c r="D767" s="27"/>
      <c r="E767" s="27" t="s">
        <v>2404</v>
      </c>
      <c r="F767" s="27" t="s">
        <v>64</v>
      </c>
      <c r="G767" s="28">
        <v>1</v>
      </c>
      <c r="H767" s="27"/>
      <c r="I767" s="28">
        <v>58.73</v>
      </c>
      <c r="J767" s="29">
        <f>IFERROR(ROUND(SUM(M768,M769)/I767, 2),0)</f>
        <v>13.32</v>
      </c>
      <c r="K767" s="29">
        <v>464</v>
      </c>
      <c r="L767" s="29">
        <f>J767+ROUND(K767, 2)</f>
        <v>477.32</v>
      </c>
      <c r="M767" s="29">
        <f>ROUND(J767*I767, 2)</f>
        <v>782.28</v>
      </c>
      <c r="N767" s="29">
        <f>ROUND(I767*ROUND(K767, 2), 2)</f>
        <v>27250.720000000001</v>
      </c>
      <c r="O767" s="29">
        <f>M767+N767</f>
        <v>28033</v>
      </c>
      <c r="P767" s="29">
        <f>IFERROR(ROUND(SUM(S768,S769)/I767, 2),0)</f>
        <v>75.27</v>
      </c>
      <c r="Q767" s="29">
        <v>464</v>
      </c>
      <c r="R767" s="29">
        <f>P767+ROUND(Q767, 2)</f>
        <v>539.27</v>
      </c>
      <c r="S767" s="29">
        <f>ROUND(P767*I767, 2)</f>
        <v>4420.6099999999997</v>
      </c>
      <c r="T767" s="29">
        <f>ROUND(I767*ROUND(Q767, 2), 2)</f>
        <v>27250.720000000001</v>
      </c>
      <c r="U767" s="29">
        <f>S767+T767</f>
        <v>31671.33</v>
      </c>
      <c r="V767" s="9">
        <f>ROUND(P767 / 1.2, 2)</f>
        <v>62.73</v>
      </c>
      <c r="W767" s="9">
        <f>ROUND(Q767 / 1.2, 2)</f>
        <v>386.67</v>
      </c>
      <c r="X767" s="9">
        <f>ROUND(R767 / 1.2, 2)</f>
        <v>449.39</v>
      </c>
      <c r="Y767" s="9">
        <f t="shared" si="80"/>
        <v>3683.84</v>
      </c>
      <c r="Z767" s="9">
        <f>ROUND(T767 / 1.2, 2)</f>
        <v>22708.93</v>
      </c>
      <c r="AA767" s="9">
        <f>Y767+Z767</f>
        <v>26392.77</v>
      </c>
      <c r="AD767" s="4">
        <v>298925481</v>
      </c>
      <c r="AE767" s="4">
        <v>20003314</v>
      </c>
      <c r="AG767" s="4" t="s">
        <v>2152</v>
      </c>
      <c r="AH767" s="4" t="s">
        <v>2153</v>
      </c>
      <c r="AI767" s="4" t="s">
        <v>67</v>
      </c>
    </row>
    <row r="768" spans="1:35" ht="54" x14ac:dyDescent="0.3">
      <c r="A768" s="25" t="s">
        <v>2405</v>
      </c>
      <c r="B768" s="25"/>
      <c r="C768" s="30" t="s">
        <v>2187</v>
      </c>
      <c r="D768" s="27"/>
      <c r="E768" s="27" t="s">
        <v>2406</v>
      </c>
      <c r="F768" s="31" t="s">
        <v>70</v>
      </c>
      <c r="G768" s="32">
        <v>0.3</v>
      </c>
      <c r="H768" s="27"/>
      <c r="I768" s="32">
        <v>17.619</v>
      </c>
      <c r="J768" s="34">
        <v>0</v>
      </c>
      <c r="K768" s="35"/>
      <c r="L768" s="35"/>
      <c r="M768" s="34">
        <f>ROUND(ROUND(J768, 2)*I768, 2)</f>
        <v>0</v>
      </c>
      <c r="N768" s="35"/>
      <c r="O768" s="35"/>
      <c r="P768" s="34">
        <v>206.5</v>
      </c>
      <c r="Q768" s="35"/>
      <c r="R768" s="35"/>
      <c r="S768" s="34">
        <f>ROUND(ROUND(P768, 2)*I768, 2)</f>
        <v>3638.32</v>
      </c>
      <c r="T768" s="35"/>
      <c r="U768" s="36"/>
      <c r="V768" s="9">
        <f>ROUND(ROUND(P768, 2)/1.2, 2)</f>
        <v>172.08</v>
      </c>
      <c r="Y768" s="9">
        <f t="shared" si="80"/>
        <v>3031.93</v>
      </c>
      <c r="AD768" s="4" t="s">
        <v>2407</v>
      </c>
      <c r="AE768" s="4" t="s">
        <v>2408</v>
      </c>
      <c r="AF768" s="4" t="s">
        <v>2191</v>
      </c>
    </row>
    <row r="769" spans="1:35" ht="36" x14ac:dyDescent="0.3">
      <c r="A769" s="25" t="s">
        <v>2409</v>
      </c>
      <c r="B769" s="25"/>
      <c r="C769" s="30" t="s">
        <v>433</v>
      </c>
      <c r="D769" s="27"/>
      <c r="E769" s="27"/>
      <c r="F769" s="31" t="s">
        <v>70</v>
      </c>
      <c r="G769" s="32">
        <v>0.15</v>
      </c>
      <c r="H769" s="27"/>
      <c r="I769" s="32">
        <v>8.81</v>
      </c>
      <c r="J769" s="34">
        <v>88.8</v>
      </c>
      <c r="K769" s="35"/>
      <c r="L769" s="35"/>
      <c r="M769" s="34">
        <f>ROUND(ROUND(J769, 2)*I769, 2)</f>
        <v>782.33</v>
      </c>
      <c r="N769" s="35"/>
      <c r="O769" s="35"/>
      <c r="P769" s="34">
        <v>88.8</v>
      </c>
      <c r="Q769" s="35"/>
      <c r="R769" s="35"/>
      <c r="S769" s="34">
        <f>ROUND(ROUND(P769, 2)*I769, 2)</f>
        <v>782.33</v>
      </c>
      <c r="T769" s="35"/>
      <c r="U769" s="36"/>
      <c r="V769" s="9">
        <f>ROUND(ROUND(P769, 2)/1.2, 2)</f>
        <v>74</v>
      </c>
      <c r="Y769" s="9">
        <f t="shared" si="80"/>
        <v>651.94000000000005</v>
      </c>
      <c r="AD769" s="4" t="s">
        <v>2410</v>
      </c>
      <c r="AE769" s="4" t="s">
        <v>2411</v>
      </c>
      <c r="AF769" s="4" t="s">
        <v>436</v>
      </c>
    </row>
    <row r="770" spans="1:35" ht="36" x14ac:dyDescent="0.3">
      <c r="A770" s="25" t="s">
        <v>2412</v>
      </c>
      <c r="B770" s="25" t="s">
        <v>2149</v>
      </c>
      <c r="C770" s="26" t="s">
        <v>2150</v>
      </c>
      <c r="D770" s="27"/>
      <c r="E770" s="27" t="s">
        <v>2413</v>
      </c>
      <c r="F770" s="27" t="s">
        <v>64</v>
      </c>
      <c r="G770" s="28">
        <v>1</v>
      </c>
      <c r="H770" s="27"/>
      <c r="I770" s="28">
        <v>30.71</v>
      </c>
      <c r="J770" s="29">
        <f>IFERROR(ROUND(SUM(M771,M772)/I770, 2),0)</f>
        <v>13.32</v>
      </c>
      <c r="K770" s="29">
        <v>464</v>
      </c>
      <c r="L770" s="29">
        <f>J770+ROUND(K770, 2)</f>
        <v>477.32</v>
      </c>
      <c r="M770" s="29">
        <f>ROUND(J770*I770, 2)</f>
        <v>409.06</v>
      </c>
      <c r="N770" s="29">
        <f>ROUND(I770*ROUND(K770, 2), 2)</f>
        <v>14249.44</v>
      </c>
      <c r="O770" s="29">
        <f>M770+N770</f>
        <v>14658.5</v>
      </c>
      <c r="P770" s="29">
        <f>IFERROR(ROUND(SUM(S771,S772)/I770, 2),0)</f>
        <v>75.27</v>
      </c>
      <c r="Q770" s="29">
        <v>464</v>
      </c>
      <c r="R770" s="29">
        <f>P770+ROUND(Q770, 2)</f>
        <v>539.27</v>
      </c>
      <c r="S770" s="29">
        <f>ROUND(P770*I770, 2)</f>
        <v>2311.54</v>
      </c>
      <c r="T770" s="29">
        <f>ROUND(I770*ROUND(Q770, 2), 2)</f>
        <v>14249.44</v>
      </c>
      <c r="U770" s="29">
        <f>S770+T770</f>
        <v>16560.98</v>
      </c>
      <c r="V770" s="9">
        <f>ROUND(P770 / 1.2, 2)</f>
        <v>62.73</v>
      </c>
      <c r="W770" s="9">
        <f>ROUND(Q770 / 1.2, 2)</f>
        <v>386.67</v>
      </c>
      <c r="X770" s="9">
        <f>ROUND(R770 / 1.2, 2)</f>
        <v>449.39</v>
      </c>
      <c r="Y770" s="9">
        <f t="shared" si="80"/>
        <v>1926.28</v>
      </c>
      <c r="Z770" s="9">
        <f>ROUND(T770 / 1.2, 2)</f>
        <v>11874.53</v>
      </c>
      <c r="AA770" s="9">
        <f>Y770+Z770</f>
        <v>13800.810000000001</v>
      </c>
      <c r="AD770" s="4">
        <v>298925482</v>
      </c>
      <c r="AE770" s="4">
        <v>20003315</v>
      </c>
      <c r="AG770" s="4" t="s">
        <v>2152</v>
      </c>
      <c r="AH770" s="4" t="s">
        <v>2153</v>
      </c>
      <c r="AI770" s="4" t="s">
        <v>67</v>
      </c>
    </row>
    <row r="771" spans="1:35" ht="36" x14ac:dyDescent="0.3">
      <c r="A771" s="25" t="s">
        <v>2414</v>
      </c>
      <c r="B771" s="25"/>
      <c r="C771" s="30" t="s">
        <v>433</v>
      </c>
      <c r="D771" s="27"/>
      <c r="E771" s="27"/>
      <c r="F771" s="31" t="s">
        <v>70</v>
      </c>
      <c r="G771" s="32">
        <v>0.15</v>
      </c>
      <c r="H771" s="27"/>
      <c r="I771" s="32">
        <v>4.6070000000000002</v>
      </c>
      <c r="J771" s="34">
        <v>88.8</v>
      </c>
      <c r="K771" s="35"/>
      <c r="L771" s="35"/>
      <c r="M771" s="34">
        <f>ROUND(ROUND(J771, 2)*I771, 2)</f>
        <v>409.1</v>
      </c>
      <c r="N771" s="35"/>
      <c r="O771" s="35"/>
      <c r="P771" s="34">
        <v>88.8</v>
      </c>
      <c r="Q771" s="35"/>
      <c r="R771" s="35"/>
      <c r="S771" s="34">
        <f>ROUND(ROUND(P771, 2)*I771, 2)</f>
        <v>409.1</v>
      </c>
      <c r="T771" s="35"/>
      <c r="U771" s="36"/>
      <c r="V771" s="9">
        <f>ROUND(ROUND(P771, 2)/1.2, 2)</f>
        <v>74</v>
      </c>
      <c r="Y771" s="9">
        <f t="shared" si="80"/>
        <v>340.92</v>
      </c>
      <c r="AD771" s="4" t="s">
        <v>2415</v>
      </c>
      <c r="AE771" s="4" t="s">
        <v>2416</v>
      </c>
      <c r="AF771" s="4" t="s">
        <v>436</v>
      </c>
    </row>
    <row r="772" spans="1:35" ht="54" x14ac:dyDescent="0.3">
      <c r="A772" s="25" t="s">
        <v>2417</v>
      </c>
      <c r="B772" s="25"/>
      <c r="C772" s="30" t="s">
        <v>2187</v>
      </c>
      <c r="D772" s="27"/>
      <c r="E772" s="27" t="s">
        <v>2268</v>
      </c>
      <c r="F772" s="31" t="s">
        <v>70</v>
      </c>
      <c r="G772" s="32">
        <v>0.3</v>
      </c>
      <c r="H772" s="27"/>
      <c r="I772" s="32">
        <v>9.2129999999999992</v>
      </c>
      <c r="J772" s="34">
        <v>0</v>
      </c>
      <c r="K772" s="35"/>
      <c r="L772" s="35"/>
      <c r="M772" s="34">
        <f>ROUND(ROUND(J772, 2)*I772, 2)</f>
        <v>0</v>
      </c>
      <c r="N772" s="35"/>
      <c r="O772" s="35"/>
      <c r="P772" s="34">
        <v>206.5</v>
      </c>
      <c r="Q772" s="35"/>
      <c r="R772" s="35"/>
      <c r="S772" s="34">
        <f>ROUND(ROUND(P772, 2)*I772, 2)</f>
        <v>1902.48</v>
      </c>
      <c r="T772" s="35"/>
      <c r="U772" s="36"/>
      <c r="V772" s="9">
        <f>ROUND(ROUND(P772, 2)/1.2, 2)</f>
        <v>172.08</v>
      </c>
      <c r="Y772" s="9">
        <f t="shared" si="80"/>
        <v>1585.4</v>
      </c>
      <c r="AD772" s="4" t="s">
        <v>2418</v>
      </c>
      <c r="AE772" s="4" t="s">
        <v>2419</v>
      </c>
      <c r="AF772" s="4" t="s">
        <v>2191</v>
      </c>
    </row>
    <row r="773" spans="1:35" ht="36" x14ac:dyDescent="0.3">
      <c r="A773" s="25" t="s">
        <v>2420</v>
      </c>
      <c r="B773" s="25" t="s">
        <v>2149</v>
      </c>
      <c r="C773" s="26" t="s">
        <v>2150</v>
      </c>
      <c r="D773" s="27"/>
      <c r="E773" s="27" t="s">
        <v>2421</v>
      </c>
      <c r="F773" s="27" t="s">
        <v>64</v>
      </c>
      <c r="G773" s="28">
        <v>1</v>
      </c>
      <c r="H773" s="27"/>
      <c r="I773" s="28">
        <v>1281.17</v>
      </c>
      <c r="J773" s="29">
        <f>IFERROR(ROUND(SUM(M774,M775)/I773, 2),0)</f>
        <v>13.32</v>
      </c>
      <c r="K773" s="29">
        <v>464</v>
      </c>
      <c r="L773" s="29">
        <f>J773+ROUND(K773, 2)</f>
        <v>477.32</v>
      </c>
      <c r="M773" s="29">
        <f>ROUND(J773*I773, 2)</f>
        <v>17065.18</v>
      </c>
      <c r="N773" s="29">
        <f>ROUND(I773*ROUND(K773, 2), 2)</f>
        <v>594462.88</v>
      </c>
      <c r="O773" s="29">
        <f>M773+N773</f>
        <v>611528.06000000006</v>
      </c>
      <c r="P773" s="29">
        <f>IFERROR(ROUND(SUM(S774,S775)/I773, 2),0)</f>
        <v>68.28</v>
      </c>
      <c r="Q773" s="29">
        <v>464</v>
      </c>
      <c r="R773" s="29">
        <f>P773+ROUND(Q773, 2)</f>
        <v>532.28</v>
      </c>
      <c r="S773" s="29">
        <f>ROUND(P773*I773, 2)</f>
        <v>87478.29</v>
      </c>
      <c r="T773" s="29">
        <f>ROUND(I773*ROUND(Q773, 2), 2)</f>
        <v>594462.88</v>
      </c>
      <c r="U773" s="29">
        <f>S773+T773</f>
        <v>681941.17</v>
      </c>
      <c r="V773" s="9">
        <f>ROUND(P773 / 1.2, 2)</f>
        <v>56.9</v>
      </c>
      <c r="W773" s="9">
        <f>ROUND(Q773 / 1.2, 2)</f>
        <v>386.67</v>
      </c>
      <c r="X773" s="9">
        <f>ROUND(R773 / 1.2, 2)</f>
        <v>443.57</v>
      </c>
      <c r="Y773" s="9">
        <f t="shared" si="80"/>
        <v>72898.58</v>
      </c>
      <c r="Z773" s="9">
        <f>ROUND(T773 / 1.2, 2)</f>
        <v>495385.73</v>
      </c>
      <c r="AA773" s="9">
        <f>Y773+Z773</f>
        <v>568284.30999999994</v>
      </c>
      <c r="AD773" s="4">
        <v>298925483</v>
      </c>
      <c r="AE773" s="4">
        <v>20003316</v>
      </c>
      <c r="AG773" s="4" t="s">
        <v>2152</v>
      </c>
      <c r="AH773" s="4" t="s">
        <v>2153</v>
      </c>
      <c r="AI773" s="4" t="s">
        <v>67</v>
      </c>
    </row>
    <row r="774" spans="1:35" ht="18" x14ac:dyDescent="0.3">
      <c r="A774" s="25" t="s">
        <v>2422</v>
      </c>
      <c r="B774" s="25"/>
      <c r="C774" s="30" t="s">
        <v>2155</v>
      </c>
      <c r="D774" s="27"/>
      <c r="E774" s="27"/>
      <c r="F774" s="31" t="s">
        <v>70</v>
      </c>
      <c r="G774" s="32">
        <v>0.3</v>
      </c>
      <c r="H774" s="27"/>
      <c r="I774" s="32">
        <v>384.351</v>
      </c>
      <c r="J774" s="34">
        <v>0</v>
      </c>
      <c r="K774" s="35"/>
      <c r="L774" s="35"/>
      <c r="M774" s="34">
        <f>ROUND(ROUND(J774, 2)*I774, 2)</f>
        <v>0</v>
      </c>
      <c r="N774" s="35"/>
      <c r="O774" s="35"/>
      <c r="P774" s="34">
        <v>183.2</v>
      </c>
      <c r="Q774" s="35"/>
      <c r="R774" s="35"/>
      <c r="S774" s="34">
        <f>ROUND(ROUND(P774, 2)*I774, 2)</f>
        <v>70413.100000000006</v>
      </c>
      <c r="T774" s="35"/>
      <c r="U774" s="36"/>
      <c r="V774" s="9">
        <f>ROUND(ROUND(P774, 2)/1.2, 2)</f>
        <v>152.66999999999999</v>
      </c>
      <c r="Y774" s="9">
        <f t="shared" si="80"/>
        <v>58677.58</v>
      </c>
      <c r="AD774" s="4" t="s">
        <v>2423</v>
      </c>
      <c r="AE774" s="4" t="s">
        <v>2424</v>
      </c>
      <c r="AF774" s="4" t="s">
        <v>2159</v>
      </c>
    </row>
    <row r="775" spans="1:35" ht="36" x14ac:dyDescent="0.3">
      <c r="A775" s="25" t="s">
        <v>2425</v>
      </c>
      <c r="B775" s="25"/>
      <c r="C775" s="30" t="s">
        <v>433</v>
      </c>
      <c r="D775" s="27"/>
      <c r="E775" s="27"/>
      <c r="F775" s="31" t="s">
        <v>70</v>
      </c>
      <c r="G775" s="32">
        <v>0.15</v>
      </c>
      <c r="H775" s="27"/>
      <c r="I775" s="32">
        <v>192.17599999999999</v>
      </c>
      <c r="J775" s="34">
        <v>88.8</v>
      </c>
      <c r="K775" s="35"/>
      <c r="L775" s="35"/>
      <c r="M775" s="34">
        <f>ROUND(ROUND(J775, 2)*I775, 2)</f>
        <v>17065.23</v>
      </c>
      <c r="N775" s="35"/>
      <c r="O775" s="35"/>
      <c r="P775" s="34">
        <v>88.8</v>
      </c>
      <c r="Q775" s="35"/>
      <c r="R775" s="35"/>
      <c r="S775" s="34">
        <f>ROUND(ROUND(P775, 2)*I775, 2)</f>
        <v>17065.23</v>
      </c>
      <c r="T775" s="35"/>
      <c r="U775" s="36"/>
      <c r="V775" s="9">
        <f>ROUND(ROUND(P775, 2)/1.2, 2)</f>
        <v>74</v>
      </c>
      <c r="Y775" s="9">
        <f t="shared" ref="Y775:Y787" si="81">ROUND(S775 / 1.2, 2)</f>
        <v>14221.03</v>
      </c>
      <c r="AD775" s="4" t="s">
        <v>2426</v>
      </c>
      <c r="AE775" s="4" t="s">
        <v>2427</v>
      </c>
      <c r="AF775" s="4" t="s">
        <v>436</v>
      </c>
    </row>
    <row r="776" spans="1:35" ht="36" x14ac:dyDescent="0.3">
      <c r="A776" s="25" t="s">
        <v>2428</v>
      </c>
      <c r="B776" s="25" t="s">
        <v>2149</v>
      </c>
      <c r="C776" s="26" t="s">
        <v>2150</v>
      </c>
      <c r="D776" s="27"/>
      <c r="E776" s="27" t="s">
        <v>2429</v>
      </c>
      <c r="F776" s="27" t="s">
        <v>64</v>
      </c>
      <c r="G776" s="28">
        <v>1</v>
      </c>
      <c r="H776" s="27"/>
      <c r="I776" s="28">
        <v>8.82</v>
      </c>
      <c r="J776" s="29">
        <f>IFERROR(ROUND(SUM(M777,M778)/I776, 2),0)</f>
        <v>13.32</v>
      </c>
      <c r="K776" s="29">
        <v>464</v>
      </c>
      <c r="L776" s="29">
        <f>J776+ROUND(K776, 2)</f>
        <v>477.32</v>
      </c>
      <c r="M776" s="29">
        <f>ROUND(J776*I776, 2)</f>
        <v>117.48</v>
      </c>
      <c r="N776" s="29">
        <f>ROUND(I776*ROUND(K776, 2), 2)</f>
        <v>4092.48</v>
      </c>
      <c r="O776" s="29">
        <f>M776+N776</f>
        <v>4209.96</v>
      </c>
      <c r="P776" s="29">
        <f>IFERROR(ROUND(SUM(S777,S778)/I776, 2),0)</f>
        <v>75.27</v>
      </c>
      <c r="Q776" s="29">
        <v>464</v>
      </c>
      <c r="R776" s="29">
        <f>P776+ROUND(Q776, 2)</f>
        <v>539.27</v>
      </c>
      <c r="S776" s="29">
        <f>ROUND(P776*I776, 2)</f>
        <v>663.88</v>
      </c>
      <c r="T776" s="29">
        <f>ROUND(I776*ROUND(Q776, 2), 2)</f>
        <v>4092.48</v>
      </c>
      <c r="U776" s="29">
        <f>S776+T776</f>
        <v>4756.3599999999997</v>
      </c>
      <c r="V776" s="9">
        <f>ROUND(P776 / 1.2, 2)</f>
        <v>62.73</v>
      </c>
      <c r="W776" s="9">
        <f>ROUND(Q776 / 1.2, 2)</f>
        <v>386.67</v>
      </c>
      <c r="X776" s="9">
        <f>ROUND(R776 / 1.2, 2)</f>
        <v>449.39</v>
      </c>
      <c r="Y776" s="9">
        <f t="shared" si="81"/>
        <v>553.23</v>
      </c>
      <c r="Z776" s="9">
        <f>ROUND(T776 / 1.2, 2)</f>
        <v>3410.4</v>
      </c>
      <c r="AA776" s="9">
        <f>Y776+Z776</f>
        <v>3963.63</v>
      </c>
      <c r="AD776" s="4">
        <v>298925484</v>
      </c>
      <c r="AE776" s="4">
        <v>20003311</v>
      </c>
      <c r="AG776" s="4" t="s">
        <v>2152</v>
      </c>
      <c r="AH776" s="4" t="s">
        <v>2153</v>
      </c>
      <c r="AI776" s="4" t="s">
        <v>67</v>
      </c>
    </row>
    <row r="777" spans="1:35" ht="36" x14ac:dyDescent="0.3">
      <c r="A777" s="25" t="s">
        <v>2430</v>
      </c>
      <c r="B777" s="25"/>
      <c r="C777" s="30" t="s">
        <v>433</v>
      </c>
      <c r="D777" s="27"/>
      <c r="E777" s="27"/>
      <c r="F777" s="31" t="s">
        <v>70</v>
      </c>
      <c r="G777" s="32">
        <v>0.15</v>
      </c>
      <c r="H777" s="27"/>
      <c r="I777" s="32">
        <v>1.323</v>
      </c>
      <c r="J777" s="34">
        <v>88.8</v>
      </c>
      <c r="K777" s="35"/>
      <c r="L777" s="35"/>
      <c r="M777" s="34">
        <f>ROUND(ROUND(J777, 2)*I777, 2)</f>
        <v>117.48</v>
      </c>
      <c r="N777" s="35"/>
      <c r="O777" s="35"/>
      <c r="P777" s="34">
        <v>88.8</v>
      </c>
      <c r="Q777" s="35"/>
      <c r="R777" s="35"/>
      <c r="S777" s="34">
        <f>ROUND(ROUND(P777, 2)*I777, 2)</f>
        <v>117.48</v>
      </c>
      <c r="T777" s="35"/>
      <c r="U777" s="36"/>
      <c r="V777" s="9">
        <f>ROUND(ROUND(P777, 2)/1.2, 2)</f>
        <v>74</v>
      </c>
      <c r="Y777" s="9">
        <f t="shared" si="81"/>
        <v>97.9</v>
      </c>
      <c r="AD777" s="4" t="s">
        <v>2431</v>
      </c>
      <c r="AE777" s="4" t="s">
        <v>2432</v>
      </c>
      <c r="AF777" s="4" t="s">
        <v>436</v>
      </c>
    </row>
    <row r="778" spans="1:35" ht="54" x14ac:dyDescent="0.3">
      <c r="A778" s="25" t="s">
        <v>2433</v>
      </c>
      <c r="B778" s="25"/>
      <c r="C778" s="30" t="s">
        <v>2155</v>
      </c>
      <c r="D778" s="27"/>
      <c r="E778" s="27" t="s">
        <v>2286</v>
      </c>
      <c r="F778" s="31" t="s">
        <v>70</v>
      </c>
      <c r="G778" s="32">
        <v>0.3</v>
      </c>
      <c r="H778" s="27"/>
      <c r="I778" s="32">
        <v>2.6459999999999999</v>
      </c>
      <c r="J778" s="34">
        <v>0</v>
      </c>
      <c r="K778" s="35"/>
      <c r="L778" s="35"/>
      <c r="M778" s="34">
        <f>ROUND(ROUND(J778, 2)*I778, 2)</f>
        <v>0</v>
      </c>
      <c r="N778" s="35"/>
      <c r="O778" s="35"/>
      <c r="P778" s="34">
        <v>206.5</v>
      </c>
      <c r="Q778" s="35"/>
      <c r="R778" s="35"/>
      <c r="S778" s="34">
        <f>ROUND(ROUND(P778, 2)*I778, 2)</f>
        <v>546.4</v>
      </c>
      <c r="T778" s="35"/>
      <c r="U778" s="36"/>
      <c r="V778" s="9">
        <f>ROUND(ROUND(P778, 2)/1.2, 2)</f>
        <v>172.08</v>
      </c>
      <c r="Y778" s="9">
        <f t="shared" si="81"/>
        <v>455.33</v>
      </c>
      <c r="AD778" s="4" t="s">
        <v>2434</v>
      </c>
      <c r="AE778" s="4" t="s">
        <v>2435</v>
      </c>
      <c r="AF778" s="4" t="s">
        <v>2159</v>
      </c>
    </row>
    <row r="779" spans="1:35" ht="36" x14ac:dyDescent="0.3">
      <c r="A779" s="25" t="s">
        <v>2436</v>
      </c>
      <c r="B779" s="25" t="s">
        <v>2149</v>
      </c>
      <c r="C779" s="26" t="s">
        <v>2150</v>
      </c>
      <c r="D779" s="27"/>
      <c r="E779" s="27" t="s">
        <v>2437</v>
      </c>
      <c r="F779" s="27" t="s">
        <v>64</v>
      </c>
      <c r="G779" s="28">
        <v>1</v>
      </c>
      <c r="H779" s="27"/>
      <c r="I779" s="28">
        <v>24.88</v>
      </c>
      <c r="J779" s="29">
        <f>IFERROR(ROUND(SUM(M780,M781)/I779, 2),0)</f>
        <v>13.32</v>
      </c>
      <c r="K779" s="29">
        <v>464</v>
      </c>
      <c r="L779" s="29">
        <f>J779+ROUND(K779, 2)</f>
        <v>477.32</v>
      </c>
      <c r="M779" s="29">
        <f>ROUND(J779*I779, 2)</f>
        <v>331.4</v>
      </c>
      <c r="N779" s="29">
        <f>ROUND(I779*ROUND(K779, 2), 2)</f>
        <v>11544.32</v>
      </c>
      <c r="O779" s="29">
        <f>M779+N779</f>
        <v>11875.72</v>
      </c>
      <c r="P779" s="29">
        <f>IFERROR(ROUND(SUM(S780,S781)/I779, 2),0)</f>
        <v>75.27</v>
      </c>
      <c r="Q779" s="29">
        <v>464</v>
      </c>
      <c r="R779" s="29">
        <f>P779+ROUND(Q779, 2)</f>
        <v>539.27</v>
      </c>
      <c r="S779" s="29">
        <f>ROUND(P779*I779, 2)</f>
        <v>1872.72</v>
      </c>
      <c r="T779" s="29">
        <f>ROUND(I779*ROUND(Q779, 2), 2)</f>
        <v>11544.32</v>
      </c>
      <c r="U779" s="29">
        <f>S779+T779</f>
        <v>13417.039999999999</v>
      </c>
      <c r="V779" s="9">
        <f>ROUND(P779 / 1.2, 2)</f>
        <v>62.73</v>
      </c>
      <c r="W779" s="9">
        <f>ROUND(Q779 / 1.2, 2)</f>
        <v>386.67</v>
      </c>
      <c r="X779" s="9">
        <f>ROUND(R779 / 1.2, 2)</f>
        <v>449.39</v>
      </c>
      <c r="Y779" s="9">
        <f t="shared" si="81"/>
        <v>1560.6</v>
      </c>
      <c r="Z779" s="9">
        <f>ROUND(T779 / 1.2, 2)</f>
        <v>9620.27</v>
      </c>
      <c r="AA779" s="9">
        <f>Y779+Z779</f>
        <v>11180.87</v>
      </c>
      <c r="AD779" s="4">
        <v>298925485</v>
      </c>
      <c r="AE779" s="4">
        <v>20003312</v>
      </c>
      <c r="AG779" s="4" t="s">
        <v>2152</v>
      </c>
      <c r="AH779" s="4" t="s">
        <v>2153</v>
      </c>
      <c r="AI779" s="4" t="s">
        <v>67</v>
      </c>
    </row>
    <row r="780" spans="1:35" ht="72" x14ac:dyDescent="0.3">
      <c r="A780" s="25" t="s">
        <v>2438</v>
      </c>
      <c r="B780" s="25"/>
      <c r="C780" s="30" t="s">
        <v>2155</v>
      </c>
      <c r="D780" s="27"/>
      <c r="E780" s="27" t="s">
        <v>2439</v>
      </c>
      <c r="F780" s="31" t="s">
        <v>70</v>
      </c>
      <c r="G780" s="32">
        <v>0.3</v>
      </c>
      <c r="H780" s="27"/>
      <c r="I780" s="32">
        <v>7.4640000000000004</v>
      </c>
      <c r="J780" s="34">
        <v>0</v>
      </c>
      <c r="K780" s="35"/>
      <c r="L780" s="35"/>
      <c r="M780" s="34">
        <f>ROUND(ROUND(J780, 2)*I780, 2)</f>
        <v>0</v>
      </c>
      <c r="N780" s="35"/>
      <c r="O780" s="35"/>
      <c r="P780" s="34">
        <v>206.5</v>
      </c>
      <c r="Q780" s="35"/>
      <c r="R780" s="35"/>
      <c r="S780" s="34">
        <f>ROUND(ROUND(P780, 2)*I780, 2)</f>
        <v>1541.32</v>
      </c>
      <c r="T780" s="35"/>
      <c r="U780" s="36"/>
      <c r="V780" s="9">
        <f>ROUND(ROUND(P780, 2)/1.2, 2)</f>
        <v>172.08</v>
      </c>
      <c r="Y780" s="9">
        <f t="shared" si="81"/>
        <v>1284.43</v>
      </c>
      <c r="AD780" s="4" t="s">
        <v>2440</v>
      </c>
      <c r="AE780" s="4" t="s">
        <v>2441</v>
      </c>
      <c r="AF780" s="4" t="s">
        <v>2159</v>
      </c>
    </row>
    <row r="781" spans="1:35" ht="36" x14ac:dyDescent="0.3">
      <c r="A781" s="25" t="s">
        <v>2442</v>
      </c>
      <c r="B781" s="25"/>
      <c r="C781" s="30" t="s">
        <v>433</v>
      </c>
      <c r="D781" s="27"/>
      <c r="E781" s="27"/>
      <c r="F781" s="31" t="s">
        <v>70</v>
      </c>
      <c r="G781" s="32">
        <v>0.15</v>
      </c>
      <c r="H781" s="27"/>
      <c r="I781" s="32">
        <v>3.7320000000000002</v>
      </c>
      <c r="J781" s="34">
        <v>88.8</v>
      </c>
      <c r="K781" s="35"/>
      <c r="L781" s="35"/>
      <c r="M781" s="34">
        <f>ROUND(ROUND(J781, 2)*I781, 2)</f>
        <v>331.4</v>
      </c>
      <c r="N781" s="35"/>
      <c r="O781" s="35"/>
      <c r="P781" s="34">
        <v>88.8</v>
      </c>
      <c r="Q781" s="35"/>
      <c r="R781" s="35"/>
      <c r="S781" s="34">
        <f>ROUND(ROUND(P781, 2)*I781, 2)</f>
        <v>331.4</v>
      </c>
      <c r="T781" s="35"/>
      <c r="U781" s="36"/>
      <c r="V781" s="9">
        <f>ROUND(ROUND(P781, 2)/1.2, 2)</f>
        <v>74</v>
      </c>
      <c r="Y781" s="9">
        <f t="shared" si="81"/>
        <v>276.17</v>
      </c>
      <c r="AD781" s="4" t="s">
        <v>2443</v>
      </c>
      <c r="AE781" s="4" t="s">
        <v>2444</v>
      </c>
      <c r="AF781" s="4" t="s">
        <v>436</v>
      </c>
    </row>
    <row r="782" spans="1:35" ht="36" x14ac:dyDescent="0.3">
      <c r="A782" s="25" t="s">
        <v>2445</v>
      </c>
      <c r="B782" s="25" t="s">
        <v>2149</v>
      </c>
      <c r="C782" s="26" t="s">
        <v>2150</v>
      </c>
      <c r="D782" s="27"/>
      <c r="E782" s="27" t="s">
        <v>2446</v>
      </c>
      <c r="F782" s="27" t="s">
        <v>64</v>
      </c>
      <c r="G782" s="28">
        <v>1</v>
      </c>
      <c r="H782" s="27"/>
      <c r="I782" s="28">
        <v>28.85</v>
      </c>
      <c r="J782" s="29">
        <f>IFERROR(ROUND(SUM(M783,M784)/I782, 2),0)</f>
        <v>13.32</v>
      </c>
      <c r="K782" s="29">
        <v>464</v>
      </c>
      <c r="L782" s="29">
        <f>J782+ROUND(K782, 2)</f>
        <v>477.32</v>
      </c>
      <c r="M782" s="29">
        <f>ROUND(J782*I782, 2)</f>
        <v>384.28</v>
      </c>
      <c r="N782" s="29">
        <f>ROUND(I782*ROUND(K782, 2), 2)</f>
        <v>13386.4</v>
      </c>
      <c r="O782" s="29">
        <f>M782+N782</f>
        <v>13770.68</v>
      </c>
      <c r="P782" s="29">
        <f>IFERROR(ROUND(SUM(S783,S784)/I782, 2),0)</f>
        <v>68.28</v>
      </c>
      <c r="Q782" s="29">
        <v>464</v>
      </c>
      <c r="R782" s="29">
        <f>P782+ROUND(Q782, 2)</f>
        <v>532.28</v>
      </c>
      <c r="S782" s="29">
        <f>ROUND(P782*I782, 2)</f>
        <v>1969.88</v>
      </c>
      <c r="T782" s="29">
        <f>ROUND(I782*ROUND(Q782, 2), 2)</f>
        <v>13386.4</v>
      </c>
      <c r="U782" s="29">
        <f>S782+T782</f>
        <v>15356.279999999999</v>
      </c>
      <c r="V782" s="9">
        <f>ROUND(P782 / 1.2, 2)</f>
        <v>56.9</v>
      </c>
      <c r="W782" s="9">
        <f>ROUND(Q782 / 1.2, 2)</f>
        <v>386.67</v>
      </c>
      <c r="X782" s="9">
        <f>ROUND(R782 / 1.2, 2)</f>
        <v>443.57</v>
      </c>
      <c r="Y782" s="9">
        <f t="shared" si="81"/>
        <v>1641.57</v>
      </c>
      <c r="Z782" s="9">
        <f>ROUND(T782 / 1.2, 2)</f>
        <v>11155.33</v>
      </c>
      <c r="AA782" s="9">
        <f>Y782+Z782</f>
        <v>12796.9</v>
      </c>
      <c r="AD782" s="4">
        <v>298925486</v>
      </c>
      <c r="AE782" s="4">
        <v>20003317</v>
      </c>
      <c r="AG782" s="4" t="s">
        <v>2152</v>
      </c>
      <c r="AH782" s="4" t="s">
        <v>2153</v>
      </c>
      <c r="AI782" s="4" t="s">
        <v>67</v>
      </c>
    </row>
    <row r="783" spans="1:35" ht="36" x14ac:dyDescent="0.3">
      <c r="A783" s="25" t="s">
        <v>2447</v>
      </c>
      <c r="B783" s="25"/>
      <c r="C783" s="30" t="s">
        <v>433</v>
      </c>
      <c r="D783" s="27"/>
      <c r="E783" s="27"/>
      <c r="F783" s="31" t="s">
        <v>70</v>
      </c>
      <c r="G783" s="32">
        <v>0.15</v>
      </c>
      <c r="H783" s="27"/>
      <c r="I783" s="32">
        <v>4.3280000000000003</v>
      </c>
      <c r="J783" s="34">
        <v>88.8</v>
      </c>
      <c r="K783" s="35"/>
      <c r="L783" s="35"/>
      <c r="M783" s="34">
        <f>ROUND(ROUND(J783, 2)*I783, 2)</f>
        <v>384.33</v>
      </c>
      <c r="N783" s="35"/>
      <c r="O783" s="35"/>
      <c r="P783" s="34">
        <v>88.8</v>
      </c>
      <c r="Q783" s="35"/>
      <c r="R783" s="35"/>
      <c r="S783" s="34">
        <f>ROUND(ROUND(P783, 2)*I783, 2)</f>
        <v>384.33</v>
      </c>
      <c r="T783" s="35"/>
      <c r="U783" s="36"/>
      <c r="V783" s="9">
        <f>ROUND(ROUND(P783, 2)/1.2, 2)</f>
        <v>74</v>
      </c>
      <c r="Y783" s="9">
        <f t="shared" si="81"/>
        <v>320.27999999999997</v>
      </c>
      <c r="AD783" s="4" t="s">
        <v>2448</v>
      </c>
      <c r="AE783" s="4" t="s">
        <v>2449</v>
      </c>
      <c r="AF783" s="4" t="s">
        <v>436</v>
      </c>
    </row>
    <row r="784" spans="1:35" ht="54" x14ac:dyDescent="0.3">
      <c r="A784" s="25" t="s">
        <v>2450</v>
      </c>
      <c r="B784" s="25"/>
      <c r="C784" s="30" t="s">
        <v>2187</v>
      </c>
      <c r="D784" s="27"/>
      <c r="E784" s="27" t="s">
        <v>2451</v>
      </c>
      <c r="F784" s="31" t="s">
        <v>70</v>
      </c>
      <c r="G784" s="32">
        <v>0.3</v>
      </c>
      <c r="H784" s="27"/>
      <c r="I784" s="32">
        <v>8.6549999999999994</v>
      </c>
      <c r="J784" s="34">
        <v>0</v>
      </c>
      <c r="K784" s="35"/>
      <c r="L784" s="35"/>
      <c r="M784" s="34">
        <f>ROUND(ROUND(J784, 2)*I784, 2)</f>
        <v>0</v>
      </c>
      <c r="N784" s="35"/>
      <c r="O784" s="35"/>
      <c r="P784" s="34">
        <v>183.2</v>
      </c>
      <c r="Q784" s="35"/>
      <c r="R784" s="35"/>
      <c r="S784" s="34">
        <f>ROUND(ROUND(P784, 2)*I784, 2)</f>
        <v>1585.6</v>
      </c>
      <c r="T784" s="35"/>
      <c r="U784" s="36"/>
      <c r="V784" s="9">
        <f>ROUND(ROUND(P784, 2)/1.2, 2)</f>
        <v>152.66999999999999</v>
      </c>
      <c r="Y784" s="9">
        <f t="shared" si="81"/>
        <v>1321.33</v>
      </c>
      <c r="AD784" s="4" t="s">
        <v>2452</v>
      </c>
      <c r="AE784" s="4" t="s">
        <v>2453</v>
      </c>
      <c r="AF784" s="4" t="s">
        <v>2191</v>
      </c>
    </row>
    <row r="785" spans="1:35" ht="36" x14ac:dyDescent="0.3">
      <c r="A785" s="25" t="s">
        <v>2454</v>
      </c>
      <c r="B785" s="25" t="s">
        <v>2149</v>
      </c>
      <c r="C785" s="26" t="s">
        <v>2150</v>
      </c>
      <c r="D785" s="27"/>
      <c r="E785" s="27" t="s">
        <v>2455</v>
      </c>
      <c r="F785" s="27" t="s">
        <v>64</v>
      </c>
      <c r="G785" s="28">
        <v>1</v>
      </c>
      <c r="H785" s="27"/>
      <c r="I785" s="28">
        <v>3.12</v>
      </c>
      <c r="J785" s="29">
        <f>IFERROR(ROUND(SUM(M786,M787)/I785, 2),0)</f>
        <v>13.32</v>
      </c>
      <c r="K785" s="29">
        <v>464</v>
      </c>
      <c r="L785" s="29">
        <f>J785+ROUND(K785, 2)</f>
        <v>477.32</v>
      </c>
      <c r="M785" s="29">
        <f>ROUND(J785*I785, 2)</f>
        <v>41.56</v>
      </c>
      <c r="N785" s="29">
        <f>ROUND(I785*ROUND(K785, 2), 2)</f>
        <v>1447.68</v>
      </c>
      <c r="O785" s="29">
        <f>M785+N785</f>
        <v>1489.24</v>
      </c>
      <c r="P785" s="29">
        <f>IFERROR(ROUND(SUM(S786,S787)/I785, 2),0)</f>
        <v>75.27</v>
      </c>
      <c r="Q785" s="29">
        <v>464</v>
      </c>
      <c r="R785" s="29">
        <f>P785+ROUND(Q785, 2)</f>
        <v>539.27</v>
      </c>
      <c r="S785" s="29">
        <f>ROUND(P785*I785, 2)</f>
        <v>234.84</v>
      </c>
      <c r="T785" s="29">
        <f>ROUND(I785*ROUND(Q785, 2), 2)</f>
        <v>1447.68</v>
      </c>
      <c r="U785" s="29">
        <f>S785+T785</f>
        <v>1682.52</v>
      </c>
      <c r="V785" s="9">
        <f>ROUND(P785 / 1.2, 2)</f>
        <v>62.73</v>
      </c>
      <c r="W785" s="9">
        <f>ROUND(Q785 / 1.2, 2)</f>
        <v>386.67</v>
      </c>
      <c r="X785" s="9">
        <f>ROUND(R785 / 1.2, 2)</f>
        <v>449.39</v>
      </c>
      <c r="Y785" s="9">
        <f t="shared" si="81"/>
        <v>195.7</v>
      </c>
      <c r="Z785" s="9">
        <f>ROUND(T785 / 1.2, 2)</f>
        <v>1206.4000000000001</v>
      </c>
      <c r="AA785" s="9">
        <f>Y785+Z785</f>
        <v>1402.1000000000001</v>
      </c>
      <c r="AD785" s="4">
        <v>298925487</v>
      </c>
      <c r="AE785" s="4">
        <v>20003318</v>
      </c>
      <c r="AG785" s="4" t="s">
        <v>2152</v>
      </c>
      <c r="AH785" s="4" t="s">
        <v>2153</v>
      </c>
      <c r="AI785" s="4" t="s">
        <v>67</v>
      </c>
    </row>
    <row r="786" spans="1:35" ht="54" x14ac:dyDescent="0.3">
      <c r="A786" s="25" t="s">
        <v>2456</v>
      </c>
      <c r="B786" s="25"/>
      <c r="C786" s="30" t="s">
        <v>2187</v>
      </c>
      <c r="D786" s="27"/>
      <c r="E786" s="27" t="s">
        <v>2316</v>
      </c>
      <c r="F786" s="31" t="s">
        <v>70</v>
      </c>
      <c r="G786" s="32">
        <v>0.3</v>
      </c>
      <c r="H786" s="27"/>
      <c r="I786" s="32">
        <v>0.93600000000000005</v>
      </c>
      <c r="J786" s="34">
        <v>0</v>
      </c>
      <c r="K786" s="35"/>
      <c r="L786" s="35"/>
      <c r="M786" s="34">
        <f>ROUND(ROUND(J786, 2)*I786, 2)</f>
        <v>0</v>
      </c>
      <c r="N786" s="35"/>
      <c r="O786" s="35"/>
      <c r="P786" s="34">
        <v>206.5</v>
      </c>
      <c r="Q786" s="35"/>
      <c r="R786" s="35"/>
      <c r="S786" s="34">
        <f>ROUND(ROUND(P786, 2)*I786, 2)</f>
        <v>193.28</v>
      </c>
      <c r="T786" s="35"/>
      <c r="U786" s="36"/>
      <c r="V786" s="9">
        <f>ROUND(ROUND(P786, 2)/1.2, 2)</f>
        <v>172.08</v>
      </c>
      <c r="Y786" s="9">
        <f t="shared" si="81"/>
        <v>161.07</v>
      </c>
      <c r="AD786" s="4" t="s">
        <v>2457</v>
      </c>
      <c r="AE786" s="4" t="s">
        <v>2458</v>
      </c>
      <c r="AF786" s="4" t="s">
        <v>2191</v>
      </c>
    </row>
    <row r="787" spans="1:35" ht="36" x14ac:dyDescent="0.3">
      <c r="A787" s="25" t="s">
        <v>2459</v>
      </c>
      <c r="B787" s="25"/>
      <c r="C787" s="30" t="s">
        <v>433</v>
      </c>
      <c r="D787" s="27"/>
      <c r="E787" s="27"/>
      <c r="F787" s="31" t="s">
        <v>70</v>
      </c>
      <c r="G787" s="32">
        <v>0.15</v>
      </c>
      <c r="H787" s="27"/>
      <c r="I787" s="32">
        <v>0.46800000000000003</v>
      </c>
      <c r="J787" s="34">
        <v>88.8</v>
      </c>
      <c r="K787" s="35"/>
      <c r="L787" s="35"/>
      <c r="M787" s="34">
        <f>ROUND(ROUND(J787, 2)*I787, 2)</f>
        <v>41.56</v>
      </c>
      <c r="N787" s="35"/>
      <c r="O787" s="35"/>
      <c r="P787" s="34">
        <v>88.8</v>
      </c>
      <c r="Q787" s="35"/>
      <c r="R787" s="35"/>
      <c r="S787" s="34">
        <f>ROUND(ROUND(P787, 2)*I787, 2)</f>
        <v>41.56</v>
      </c>
      <c r="T787" s="35"/>
      <c r="U787" s="36"/>
      <c r="V787" s="9">
        <f>ROUND(ROUND(P787, 2)/1.2, 2)</f>
        <v>74</v>
      </c>
      <c r="Y787" s="9">
        <f t="shared" si="81"/>
        <v>34.630000000000003</v>
      </c>
      <c r="AD787" s="4" t="s">
        <v>2460</v>
      </c>
      <c r="AE787" s="4" t="s">
        <v>2461</v>
      </c>
      <c r="AF787" s="4" t="s">
        <v>436</v>
      </c>
    </row>
    <row r="788" spans="1:35" ht="16.95" customHeight="1" x14ac:dyDescent="0.3">
      <c r="A788" s="25" t="s">
        <v>2462</v>
      </c>
      <c r="B788" s="25" t="s">
        <v>2463</v>
      </c>
      <c r="C788" s="355" t="s">
        <v>2464</v>
      </c>
      <c r="D788" s="356"/>
      <c r="E788" s="356"/>
      <c r="F788" s="356"/>
      <c r="G788" s="356"/>
      <c r="H788" s="356"/>
      <c r="I788" s="357"/>
      <c r="J788" s="35"/>
      <c r="K788" s="35"/>
      <c r="L788" s="35"/>
      <c r="M788" s="67">
        <f>SUM(M789,M791,M793,M795,M797,M799,M801,M803,M805,M807,M809,M823,M836,M848,M860)</f>
        <v>19358677.419999998</v>
      </c>
      <c r="N788" s="67">
        <f>SUM(N789,N791,N793,N795,N797,N799,N801,N803,N805,N807,N809,N823,N836,N848,N860)</f>
        <v>4064165.0399999991</v>
      </c>
      <c r="O788" s="67">
        <f>SUM(O789,O791,O793,O795,O797,O799,O801,O803,O805,O807,O809,O823,O836,O848,O860)</f>
        <v>23422842.460000001</v>
      </c>
      <c r="P788" s="35"/>
      <c r="Q788" s="35"/>
      <c r="R788" s="35"/>
      <c r="S788" s="67">
        <f>SUM(S789,S791,S793,S795,S797,S799,S801,S803,S805,S807,S809,S823,S836,S848,S860)</f>
        <v>9422514.9199999999</v>
      </c>
      <c r="T788" s="67">
        <f>SUM(T789,T791,T793,T795,T797,T799,T801,T803,T805,T807,T809,T823,T836,T848,T860)</f>
        <v>4064165.0399999991</v>
      </c>
      <c r="U788" s="67">
        <f>SUM(U789,U791,U793,U795,U797,U799,U801,U803,U805,U807,U809,U823,U836,U848,U860)</f>
        <v>13486679.960000001</v>
      </c>
      <c r="Y788" s="9">
        <f>SUM(Y789,Y791,Y793,Y795,Y797,Y799,Y801,Y803,Y805,Y807,Y809,Y823,Y836,Y848,Y860)</f>
        <v>7852095.7699999996</v>
      </c>
      <c r="Z788" s="9">
        <f>SUM(Z789,Z791,Z793,Z795,Z797,Z799,Z801,Z803,Z805,Z807,Z809,Z823,Z836,Z848,Z860)</f>
        <v>3386804.23</v>
      </c>
      <c r="AA788" s="9">
        <f>SUM(AA789,AA791,AA793,AA795,AA797,AA799,AA801,AA803,AA805,AA807,AA809,AA823,AA836,AA848,AA860)</f>
        <v>11238900.000000002</v>
      </c>
      <c r="AD788" s="4">
        <v>298925352</v>
      </c>
      <c r="AE788" s="4">
        <v>16233244</v>
      </c>
    </row>
    <row r="789" spans="1:35" ht="36" x14ac:dyDescent="0.3">
      <c r="A789" s="25" t="s">
        <v>2465</v>
      </c>
      <c r="B789" s="25" t="s">
        <v>2466</v>
      </c>
      <c r="C789" s="26" t="s">
        <v>2467</v>
      </c>
      <c r="D789" s="27"/>
      <c r="E789" s="27" t="s">
        <v>2468</v>
      </c>
      <c r="F789" s="27" t="s">
        <v>64</v>
      </c>
      <c r="G789" s="28">
        <v>1</v>
      </c>
      <c r="H789" s="27"/>
      <c r="I789" s="28">
        <v>433.87</v>
      </c>
      <c r="J789" s="29">
        <f>IFERROR(ROUND(SUM(M790)/I789, 2),0)</f>
        <v>0</v>
      </c>
      <c r="K789" s="29">
        <v>837</v>
      </c>
      <c r="L789" s="29">
        <f>J789+ROUND(K789, 2)</f>
        <v>837</v>
      </c>
      <c r="M789" s="29">
        <f>ROUND(J789*I789, 2)</f>
        <v>0</v>
      </c>
      <c r="N789" s="29">
        <f>ROUND(I789*ROUND(K789, 2), 2)</f>
        <v>363149.19</v>
      </c>
      <c r="O789" s="29">
        <f>M789+N789</f>
        <v>363149.19</v>
      </c>
      <c r="P789" s="29">
        <f>IFERROR(ROUND(SUM(S790)/I789, 2),0)</f>
        <v>2300</v>
      </c>
      <c r="Q789" s="29">
        <v>837</v>
      </c>
      <c r="R789" s="29">
        <f>P789+ROUND(Q789, 2)</f>
        <v>3137</v>
      </c>
      <c r="S789" s="29">
        <f>ROUND(P789*I789, 2)</f>
        <v>997901</v>
      </c>
      <c r="T789" s="29">
        <f>ROUND(I789*ROUND(Q789, 2), 2)</f>
        <v>363149.19</v>
      </c>
      <c r="U789" s="29">
        <f>S789+T789</f>
        <v>1361050.19</v>
      </c>
      <c r="V789" s="9">
        <f>ROUND(P789 / 1.2, 2)</f>
        <v>1916.67</v>
      </c>
      <c r="W789" s="9">
        <f>ROUND(Q789 / 1.2, 2)</f>
        <v>697.5</v>
      </c>
      <c r="X789" s="9">
        <f>ROUND(R789 / 1.2, 2)</f>
        <v>2614.17</v>
      </c>
      <c r="Y789" s="9">
        <f>ROUND(S789 / 1.2, 2)</f>
        <v>831584.17</v>
      </c>
      <c r="Z789" s="9">
        <f>ROUND(T789 / 1.2, 2)</f>
        <v>302624.33</v>
      </c>
      <c r="AA789" s="9">
        <f>Y789+Z789</f>
        <v>1134208.5</v>
      </c>
      <c r="AD789" s="4">
        <v>298925354</v>
      </c>
      <c r="AE789" s="4">
        <v>16233248</v>
      </c>
      <c r="AG789" s="4" t="s">
        <v>2469</v>
      </c>
      <c r="AH789" s="4" t="s">
        <v>2470</v>
      </c>
      <c r="AI789" s="4" t="s">
        <v>67</v>
      </c>
    </row>
    <row r="790" spans="1:35" ht="108" x14ac:dyDescent="0.3">
      <c r="A790" s="25" t="s">
        <v>2471</v>
      </c>
      <c r="B790" s="25"/>
      <c r="C790" s="30" t="s">
        <v>2472</v>
      </c>
      <c r="D790" s="27"/>
      <c r="E790" s="27" t="s">
        <v>2473</v>
      </c>
      <c r="F790" s="31" t="s">
        <v>64</v>
      </c>
      <c r="G790" s="32">
        <v>1</v>
      </c>
      <c r="H790" s="27"/>
      <c r="I790" s="33">
        <v>433.87</v>
      </c>
      <c r="J790" s="34">
        <v>0</v>
      </c>
      <c r="K790" s="35"/>
      <c r="L790" s="35"/>
      <c r="M790" s="34">
        <f>ROUND(ROUND(J790, 2)*I790, 2)</f>
        <v>0</v>
      </c>
      <c r="N790" s="35"/>
      <c r="O790" s="35"/>
      <c r="P790" s="34">
        <v>2300</v>
      </c>
      <c r="Q790" s="35"/>
      <c r="R790" s="35"/>
      <c r="S790" s="34">
        <f>ROUND(ROUND(P790, 2)*I790, 2)</f>
        <v>997901</v>
      </c>
      <c r="T790" s="35"/>
      <c r="U790" s="36"/>
      <c r="V790" s="9">
        <f>ROUND(ROUND(P790, 2)/1.2, 2)</f>
        <v>1916.67</v>
      </c>
      <c r="Y790" s="9">
        <f t="shared" ref="Y790:Y821" si="82">ROUND(S790 / 1.2, 2)</f>
        <v>831584.17</v>
      </c>
      <c r="AD790" s="4" t="s">
        <v>2474</v>
      </c>
      <c r="AE790" s="4" t="s">
        <v>2475</v>
      </c>
      <c r="AF790" s="4" t="s">
        <v>2476</v>
      </c>
    </row>
    <row r="791" spans="1:35" ht="36" x14ac:dyDescent="0.3">
      <c r="A791" s="25" t="s">
        <v>2477</v>
      </c>
      <c r="B791" s="25" t="s">
        <v>2466</v>
      </c>
      <c r="C791" s="26" t="s">
        <v>2467</v>
      </c>
      <c r="D791" s="27"/>
      <c r="E791" s="27" t="s">
        <v>2478</v>
      </c>
      <c r="F791" s="27" t="s">
        <v>64</v>
      </c>
      <c r="G791" s="28">
        <v>1</v>
      </c>
      <c r="H791" s="27"/>
      <c r="I791" s="28">
        <v>1422.4</v>
      </c>
      <c r="J791" s="29">
        <f>IFERROR(ROUND(SUM(M792)/I791, 2),0)</f>
        <v>7126.9</v>
      </c>
      <c r="K791" s="29">
        <v>837</v>
      </c>
      <c r="L791" s="29">
        <f>J791+ROUND(K791, 2)</f>
        <v>7963.9</v>
      </c>
      <c r="M791" s="29">
        <f>ROUND(J791*I791, 2)</f>
        <v>10137302.560000001</v>
      </c>
      <c r="N791" s="29">
        <f>ROUND(I791*ROUND(K791, 2), 2)</f>
        <v>1190548.8</v>
      </c>
      <c r="O791" s="29">
        <f>M791+N791</f>
        <v>11327851.360000001</v>
      </c>
      <c r="P791" s="29">
        <f>IFERROR(ROUND(SUM(S792)/I791, 2),0)</f>
        <v>2530</v>
      </c>
      <c r="Q791" s="29">
        <v>837</v>
      </c>
      <c r="R791" s="29">
        <f>P791+ROUND(Q791, 2)</f>
        <v>3367</v>
      </c>
      <c r="S791" s="29">
        <f>ROUND(P791*I791, 2)</f>
        <v>3598672</v>
      </c>
      <c r="T791" s="29">
        <f>ROUND(I791*ROUND(Q791, 2), 2)</f>
        <v>1190548.8</v>
      </c>
      <c r="U791" s="29">
        <f>S791+T791</f>
        <v>4789220.8</v>
      </c>
      <c r="V791" s="9">
        <f>ROUND(P791 / 1.2, 2)</f>
        <v>2108.33</v>
      </c>
      <c r="W791" s="9">
        <f>ROUND(Q791 / 1.2, 2)</f>
        <v>697.5</v>
      </c>
      <c r="X791" s="9">
        <f>ROUND(R791 / 1.2, 2)</f>
        <v>2805.83</v>
      </c>
      <c r="Y791" s="9">
        <f t="shared" si="82"/>
        <v>2998893.33</v>
      </c>
      <c r="Z791" s="9">
        <f>ROUND(T791 / 1.2, 2)</f>
        <v>992124</v>
      </c>
      <c r="AA791" s="9">
        <f>Y791+Z791</f>
        <v>3991017.33</v>
      </c>
      <c r="AD791" s="4">
        <v>298925488</v>
      </c>
      <c r="AE791" s="4">
        <v>16236255</v>
      </c>
      <c r="AG791" s="4" t="s">
        <v>2469</v>
      </c>
      <c r="AH791" s="4" t="s">
        <v>2470</v>
      </c>
      <c r="AI791" s="4" t="s">
        <v>67</v>
      </c>
    </row>
    <row r="792" spans="1:35" ht="72" x14ac:dyDescent="0.3">
      <c r="A792" s="25" t="s">
        <v>2479</v>
      </c>
      <c r="B792" s="25"/>
      <c r="C792" s="30" t="s">
        <v>2480</v>
      </c>
      <c r="D792" s="27"/>
      <c r="E792" s="27" t="s">
        <v>2481</v>
      </c>
      <c r="F792" s="31" t="s">
        <v>64</v>
      </c>
      <c r="G792" s="32">
        <v>1.1000000000000001</v>
      </c>
      <c r="H792" s="27"/>
      <c r="I792" s="33">
        <v>1564.64</v>
      </c>
      <c r="J792" s="34">
        <v>6479</v>
      </c>
      <c r="K792" s="35"/>
      <c r="L792" s="35"/>
      <c r="M792" s="34">
        <f>ROUND(ROUND(J792, 2)*I792, 2)</f>
        <v>10137302.560000001</v>
      </c>
      <c r="N792" s="35"/>
      <c r="O792" s="35"/>
      <c r="P792" s="34">
        <v>2300</v>
      </c>
      <c r="Q792" s="35"/>
      <c r="R792" s="35"/>
      <c r="S792" s="34">
        <f>ROUND(ROUND(P792, 2)*I792, 2)</f>
        <v>3598672</v>
      </c>
      <c r="T792" s="35"/>
      <c r="U792" s="36"/>
      <c r="V792" s="9">
        <f>ROUND(ROUND(P792, 2)/1.2, 2)</f>
        <v>1916.67</v>
      </c>
      <c r="Y792" s="9">
        <f t="shared" si="82"/>
        <v>2998893.33</v>
      </c>
      <c r="AD792" s="4" t="s">
        <v>2482</v>
      </c>
      <c r="AE792" s="4" t="s">
        <v>2483</v>
      </c>
      <c r="AF792" s="4" t="s">
        <v>2484</v>
      </c>
    </row>
    <row r="793" spans="1:35" ht="36" x14ac:dyDescent="0.3">
      <c r="A793" s="25" t="s">
        <v>2485</v>
      </c>
      <c r="B793" s="25" t="s">
        <v>2466</v>
      </c>
      <c r="C793" s="26" t="s">
        <v>2467</v>
      </c>
      <c r="D793" s="27"/>
      <c r="E793" s="27" t="s">
        <v>2486</v>
      </c>
      <c r="F793" s="27" t="s">
        <v>64</v>
      </c>
      <c r="G793" s="28">
        <v>1</v>
      </c>
      <c r="H793" s="27"/>
      <c r="I793" s="28">
        <v>34.450000000000003</v>
      </c>
      <c r="J793" s="29">
        <f>IFERROR(ROUND(SUM(M794)/I793, 2),0)</f>
        <v>855.89</v>
      </c>
      <c r="K793" s="29">
        <v>837</v>
      </c>
      <c r="L793" s="29">
        <f>J793+ROUND(K793, 2)</f>
        <v>1692.8899999999999</v>
      </c>
      <c r="M793" s="29">
        <f>ROUND(J793*I793, 2)</f>
        <v>29485.41</v>
      </c>
      <c r="N793" s="29">
        <f>ROUND(I793*ROUND(K793, 2), 2)</f>
        <v>28834.65</v>
      </c>
      <c r="O793" s="29">
        <f>M793+N793</f>
        <v>58320.06</v>
      </c>
      <c r="P793" s="29">
        <f>IFERROR(ROUND(SUM(S794)/I793, 2),0)</f>
        <v>855.89</v>
      </c>
      <c r="Q793" s="29">
        <v>837</v>
      </c>
      <c r="R793" s="29">
        <f>P793+ROUND(Q793, 2)</f>
        <v>1692.8899999999999</v>
      </c>
      <c r="S793" s="29">
        <f>ROUND(P793*I793, 2)</f>
        <v>29485.41</v>
      </c>
      <c r="T793" s="29">
        <f>ROUND(I793*ROUND(Q793, 2), 2)</f>
        <v>28834.65</v>
      </c>
      <c r="U793" s="29">
        <f>S793+T793</f>
        <v>58320.06</v>
      </c>
      <c r="V793" s="9">
        <f>ROUND(P793 / 1.2, 2)</f>
        <v>713.24</v>
      </c>
      <c r="W793" s="9">
        <f>ROUND(Q793 / 1.2, 2)</f>
        <v>697.5</v>
      </c>
      <c r="X793" s="9">
        <f>ROUND(R793 / 1.2, 2)</f>
        <v>1410.74</v>
      </c>
      <c r="Y793" s="9">
        <f t="shared" si="82"/>
        <v>24571.18</v>
      </c>
      <c r="Z793" s="9">
        <f>ROUND(T793 / 1.2, 2)</f>
        <v>24028.880000000001</v>
      </c>
      <c r="AA793" s="9">
        <f>Y793+Z793</f>
        <v>48600.06</v>
      </c>
      <c r="AD793" s="4">
        <v>298925489</v>
      </c>
      <c r="AE793" s="4">
        <v>16236256</v>
      </c>
      <c r="AG793" s="4" t="s">
        <v>2469</v>
      </c>
      <c r="AH793" s="4" t="s">
        <v>2470</v>
      </c>
      <c r="AI793" s="4" t="s">
        <v>67</v>
      </c>
    </row>
    <row r="794" spans="1:35" ht="90" x14ac:dyDescent="0.3">
      <c r="A794" s="25" t="s">
        <v>2487</v>
      </c>
      <c r="B794" s="25"/>
      <c r="C794" s="17" t="s">
        <v>2488</v>
      </c>
      <c r="D794" s="27"/>
      <c r="E794" s="27" t="s">
        <v>2489</v>
      </c>
      <c r="F794" s="31" t="s">
        <v>64</v>
      </c>
      <c r="G794" s="32">
        <v>1.1000000000000001</v>
      </c>
      <c r="H794" s="27"/>
      <c r="I794" s="33">
        <v>37.895000000000003</v>
      </c>
      <c r="J794" s="34">
        <v>778.08</v>
      </c>
      <c r="K794" s="35"/>
      <c r="L794" s="35"/>
      <c r="M794" s="34">
        <f>ROUND(ROUND(J794, 2)*I794, 2)</f>
        <v>29485.34</v>
      </c>
      <c r="N794" s="35"/>
      <c r="O794" s="35"/>
      <c r="P794" s="34">
        <v>778.08</v>
      </c>
      <c r="Q794" s="35"/>
      <c r="R794" s="35"/>
      <c r="S794" s="34">
        <f>ROUND(ROUND(P794, 2)*I794, 2)</f>
        <v>29485.34</v>
      </c>
      <c r="T794" s="35"/>
      <c r="U794" s="36"/>
      <c r="V794" s="9">
        <f>ROUND(ROUND(P794, 2)/1.2, 2)</f>
        <v>648.4</v>
      </c>
      <c r="Y794" s="9">
        <f t="shared" si="82"/>
        <v>24571.119999999999</v>
      </c>
      <c r="AD794" s="4" t="s">
        <v>2490</v>
      </c>
      <c r="AE794" s="4" t="s">
        <v>2491</v>
      </c>
      <c r="AF794" s="4" t="s">
        <v>2492</v>
      </c>
    </row>
    <row r="795" spans="1:35" ht="36" x14ac:dyDescent="0.3">
      <c r="A795" s="25" t="s">
        <v>2493</v>
      </c>
      <c r="B795" s="25" t="s">
        <v>2466</v>
      </c>
      <c r="C795" s="26" t="s">
        <v>2467</v>
      </c>
      <c r="D795" s="27"/>
      <c r="E795" s="27" t="s">
        <v>2494</v>
      </c>
      <c r="F795" s="27" t="s">
        <v>64</v>
      </c>
      <c r="G795" s="28">
        <v>1</v>
      </c>
      <c r="H795" s="27"/>
      <c r="I795" s="28">
        <v>83.7</v>
      </c>
      <c r="J795" s="29">
        <f>IFERROR(ROUND(SUM(M796)/I795, 2),0)</f>
        <v>902.98</v>
      </c>
      <c r="K795" s="29">
        <v>837</v>
      </c>
      <c r="L795" s="29">
        <f>J795+ROUND(K795, 2)</f>
        <v>1739.98</v>
      </c>
      <c r="M795" s="29">
        <f>ROUND(J795*I795, 2)</f>
        <v>75579.429999999993</v>
      </c>
      <c r="N795" s="29">
        <f>ROUND(I795*ROUND(K795, 2), 2)</f>
        <v>70056.899999999994</v>
      </c>
      <c r="O795" s="29">
        <f>M795+N795</f>
        <v>145636.32999999999</v>
      </c>
      <c r="P795" s="29">
        <f>IFERROR(ROUND(SUM(S796)/I795, 2),0)</f>
        <v>902.98</v>
      </c>
      <c r="Q795" s="29">
        <v>837</v>
      </c>
      <c r="R795" s="29">
        <f>P795+ROUND(Q795, 2)</f>
        <v>1739.98</v>
      </c>
      <c r="S795" s="29">
        <f>ROUND(P795*I795, 2)</f>
        <v>75579.429999999993</v>
      </c>
      <c r="T795" s="29">
        <f>ROUND(I795*ROUND(Q795, 2), 2)</f>
        <v>70056.899999999994</v>
      </c>
      <c r="U795" s="29">
        <f>S795+T795</f>
        <v>145636.32999999999</v>
      </c>
      <c r="V795" s="9">
        <f>ROUND(P795 / 1.2, 2)</f>
        <v>752.48</v>
      </c>
      <c r="W795" s="9">
        <f>ROUND(Q795 / 1.2, 2)</f>
        <v>697.5</v>
      </c>
      <c r="X795" s="9">
        <f>ROUND(R795 / 1.2, 2)</f>
        <v>1449.98</v>
      </c>
      <c r="Y795" s="9">
        <f t="shared" si="82"/>
        <v>62982.86</v>
      </c>
      <c r="Z795" s="9">
        <f>ROUND(T795 / 1.2, 2)</f>
        <v>58380.75</v>
      </c>
      <c r="AA795" s="9">
        <f>Y795+Z795</f>
        <v>121363.61</v>
      </c>
      <c r="AD795" s="4">
        <v>298925490</v>
      </c>
      <c r="AE795" s="4">
        <v>16238731</v>
      </c>
      <c r="AG795" s="4" t="s">
        <v>2469</v>
      </c>
      <c r="AH795" s="4" t="s">
        <v>2470</v>
      </c>
      <c r="AI795" s="4" t="s">
        <v>67</v>
      </c>
    </row>
    <row r="796" spans="1:35" ht="36" x14ac:dyDescent="0.3">
      <c r="A796" s="25" t="s">
        <v>2495</v>
      </c>
      <c r="B796" s="25"/>
      <c r="C796" s="17" t="s">
        <v>2496</v>
      </c>
      <c r="D796" s="27"/>
      <c r="E796" s="27"/>
      <c r="F796" s="31" t="s">
        <v>64</v>
      </c>
      <c r="G796" s="32">
        <v>1.1000000000000001</v>
      </c>
      <c r="H796" s="27"/>
      <c r="I796" s="33">
        <v>92.07</v>
      </c>
      <c r="J796" s="34">
        <v>820.89</v>
      </c>
      <c r="K796" s="35"/>
      <c r="L796" s="35"/>
      <c r="M796" s="34">
        <f>ROUND(ROUND(J796, 2)*I796, 2)</f>
        <v>75579.34</v>
      </c>
      <c r="N796" s="35"/>
      <c r="O796" s="35"/>
      <c r="P796" s="34">
        <v>820.89</v>
      </c>
      <c r="Q796" s="35"/>
      <c r="R796" s="35"/>
      <c r="S796" s="34">
        <f>ROUND(ROUND(P796, 2)*I796, 2)</f>
        <v>75579.34</v>
      </c>
      <c r="T796" s="35"/>
      <c r="U796" s="36"/>
      <c r="V796" s="9">
        <f>ROUND(ROUND(P796, 2)/1.2, 2)</f>
        <v>684.08</v>
      </c>
      <c r="Y796" s="9">
        <f t="shared" si="82"/>
        <v>62982.78</v>
      </c>
      <c r="AD796" s="4" t="s">
        <v>2497</v>
      </c>
      <c r="AE796" s="4" t="s">
        <v>2498</v>
      </c>
      <c r="AF796" s="4" t="s">
        <v>2499</v>
      </c>
    </row>
    <row r="797" spans="1:35" ht="36" x14ac:dyDescent="0.3">
      <c r="A797" s="25" t="s">
        <v>2500</v>
      </c>
      <c r="B797" s="25" t="s">
        <v>2466</v>
      </c>
      <c r="C797" s="26" t="s">
        <v>2467</v>
      </c>
      <c r="D797" s="27"/>
      <c r="E797" s="27" t="s">
        <v>2501</v>
      </c>
      <c r="F797" s="27" t="s">
        <v>64</v>
      </c>
      <c r="G797" s="28">
        <v>1</v>
      </c>
      <c r="H797" s="27"/>
      <c r="I797" s="28">
        <v>54.99</v>
      </c>
      <c r="J797" s="29">
        <f>IFERROR(ROUND(SUM(M798)/I797, 2),0)</f>
        <v>901.26</v>
      </c>
      <c r="K797" s="29">
        <v>837</v>
      </c>
      <c r="L797" s="29">
        <f>J797+ROUND(K797, 2)</f>
        <v>1738.26</v>
      </c>
      <c r="M797" s="29">
        <f>ROUND(J797*I797, 2)</f>
        <v>49560.29</v>
      </c>
      <c r="N797" s="29">
        <f>ROUND(I797*ROUND(K797, 2), 2)</f>
        <v>46026.63</v>
      </c>
      <c r="O797" s="29">
        <f>M797+N797</f>
        <v>95586.92</v>
      </c>
      <c r="P797" s="29">
        <f>IFERROR(ROUND(SUM(S798)/I797, 2),0)</f>
        <v>901.26</v>
      </c>
      <c r="Q797" s="29">
        <v>837</v>
      </c>
      <c r="R797" s="29">
        <f>P797+ROUND(Q797, 2)</f>
        <v>1738.26</v>
      </c>
      <c r="S797" s="29">
        <f>ROUND(P797*I797, 2)</f>
        <v>49560.29</v>
      </c>
      <c r="T797" s="29">
        <f>ROUND(I797*ROUND(Q797, 2), 2)</f>
        <v>46026.63</v>
      </c>
      <c r="U797" s="29">
        <f>S797+T797</f>
        <v>95586.92</v>
      </c>
      <c r="V797" s="9">
        <f>ROUND(P797 / 1.2, 2)</f>
        <v>751.05</v>
      </c>
      <c r="W797" s="9">
        <f>ROUND(Q797 / 1.2, 2)</f>
        <v>697.5</v>
      </c>
      <c r="X797" s="9">
        <f>ROUND(R797 / 1.2, 2)</f>
        <v>1448.55</v>
      </c>
      <c r="Y797" s="9">
        <f t="shared" si="82"/>
        <v>41300.239999999998</v>
      </c>
      <c r="Z797" s="9">
        <f>ROUND(T797 / 1.2, 2)</f>
        <v>38355.53</v>
      </c>
      <c r="AA797" s="9">
        <f>Y797+Z797</f>
        <v>79655.76999999999</v>
      </c>
      <c r="AD797" s="4">
        <v>298925491</v>
      </c>
      <c r="AE797" s="4">
        <v>19825204</v>
      </c>
      <c r="AG797" s="4" t="s">
        <v>2469</v>
      </c>
      <c r="AH797" s="4" t="s">
        <v>2470</v>
      </c>
      <c r="AI797" s="4" t="s">
        <v>67</v>
      </c>
    </row>
    <row r="798" spans="1:35" ht="36" x14ac:dyDescent="0.3">
      <c r="A798" s="25" t="s">
        <v>2502</v>
      </c>
      <c r="B798" s="25"/>
      <c r="C798" s="17" t="s">
        <v>2503</v>
      </c>
      <c r="D798" s="27"/>
      <c r="E798" s="27"/>
      <c r="F798" s="31" t="s">
        <v>64</v>
      </c>
      <c r="G798" s="32">
        <v>1.1000000000000001</v>
      </c>
      <c r="H798" s="27"/>
      <c r="I798" s="33">
        <v>60.488999999999997</v>
      </c>
      <c r="J798" s="34">
        <v>819.33</v>
      </c>
      <c r="K798" s="35"/>
      <c r="L798" s="35"/>
      <c r="M798" s="34">
        <f>ROUND(ROUND(J798, 2)*I798, 2)</f>
        <v>49560.45</v>
      </c>
      <c r="N798" s="35"/>
      <c r="O798" s="35"/>
      <c r="P798" s="34">
        <v>819.33</v>
      </c>
      <c r="Q798" s="35"/>
      <c r="R798" s="35"/>
      <c r="S798" s="34">
        <f>ROUND(ROUND(P798, 2)*I798, 2)</f>
        <v>49560.45</v>
      </c>
      <c r="T798" s="35"/>
      <c r="U798" s="36"/>
      <c r="V798" s="9">
        <f>ROUND(ROUND(P798, 2)/1.2, 2)</f>
        <v>682.78</v>
      </c>
      <c r="Y798" s="9">
        <f t="shared" si="82"/>
        <v>41300.379999999997</v>
      </c>
      <c r="AD798" s="4" t="s">
        <v>2504</v>
      </c>
      <c r="AE798" s="4" t="s">
        <v>2505</v>
      </c>
      <c r="AF798" s="4" t="s">
        <v>2506</v>
      </c>
    </row>
    <row r="799" spans="1:35" ht="36" x14ac:dyDescent="0.3">
      <c r="A799" s="25" t="s">
        <v>2507</v>
      </c>
      <c r="B799" s="25" t="s">
        <v>2466</v>
      </c>
      <c r="C799" s="26" t="s">
        <v>2467</v>
      </c>
      <c r="D799" s="27"/>
      <c r="E799" s="27" t="s">
        <v>2508</v>
      </c>
      <c r="F799" s="27" t="s">
        <v>64</v>
      </c>
      <c r="G799" s="28">
        <v>1</v>
      </c>
      <c r="H799" s="27"/>
      <c r="I799" s="28">
        <v>388.35</v>
      </c>
      <c r="J799" s="29">
        <f>IFERROR(ROUND(SUM(M800)/I799, 2),0)</f>
        <v>0</v>
      </c>
      <c r="K799" s="29">
        <v>837</v>
      </c>
      <c r="L799" s="29">
        <f>J799+ROUND(K799, 2)</f>
        <v>837</v>
      </c>
      <c r="M799" s="29">
        <f>ROUND(J799*I799, 2)</f>
        <v>0</v>
      </c>
      <c r="N799" s="29">
        <f>ROUND(I799*ROUND(K799, 2), 2)</f>
        <v>325048.95</v>
      </c>
      <c r="O799" s="29">
        <f>M799+N799</f>
        <v>325048.95</v>
      </c>
      <c r="P799" s="29">
        <f>IFERROR(ROUND(SUM(S800)/I799, 2),0)</f>
        <v>2300</v>
      </c>
      <c r="Q799" s="29">
        <v>837</v>
      </c>
      <c r="R799" s="29">
        <f>P799+ROUND(Q799, 2)</f>
        <v>3137</v>
      </c>
      <c r="S799" s="29">
        <f>ROUND(P799*I799, 2)</f>
        <v>893205</v>
      </c>
      <c r="T799" s="29">
        <f>ROUND(I799*ROUND(Q799, 2), 2)</f>
        <v>325048.95</v>
      </c>
      <c r="U799" s="29">
        <f>S799+T799</f>
        <v>1218253.95</v>
      </c>
      <c r="V799" s="9">
        <f>ROUND(P799 / 1.2, 2)</f>
        <v>1916.67</v>
      </c>
      <c r="W799" s="9">
        <f>ROUND(Q799 / 1.2, 2)</f>
        <v>697.5</v>
      </c>
      <c r="X799" s="9">
        <f>ROUND(R799 / 1.2, 2)</f>
        <v>2614.17</v>
      </c>
      <c r="Y799" s="9">
        <f t="shared" si="82"/>
        <v>744337.5</v>
      </c>
      <c r="Z799" s="9">
        <f>ROUND(T799 / 1.2, 2)</f>
        <v>270874.13</v>
      </c>
      <c r="AA799" s="9">
        <f>Y799+Z799</f>
        <v>1015211.63</v>
      </c>
      <c r="AD799" s="4">
        <v>298925492</v>
      </c>
      <c r="AE799" s="4">
        <v>20004793</v>
      </c>
      <c r="AG799" s="4" t="s">
        <v>2469</v>
      </c>
      <c r="AH799" s="4" t="s">
        <v>2470</v>
      </c>
      <c r="AI799" s="4" t="s">
        <v>67</v>
      </c>
    </row>
    <row r="800" spans="1:35" ht="90" x14ac:dyDescent="0.3">
      <c r="A800" s="25" t="s">
        <v>2509</v>
      </c>
      <c r="B800" s="25"/>
      <c r="C800" s="30" t="s">
        <v>2472</v>
      </c>
      <c r="D800" s="27"/>
      <c r="E800" s="27" t="s">
        <v>2510</v>
      </c>
      <c r="F800" s="31" t="s">
        <v>64</v>
      </c>
      <c r="G800" s="32">
        <v>1</v>
      </c>
      <c r="H800" s="27"/>
      <c r="I800" s="33">
        <v>388.35</v>
      </c>
      <c r="J800" s="34">
        <v>0</v>
      </c>
      <c r="K800" s="35"/>
      <c r="L800" s="35"/>
      <c r="M800" s="34">
        <f>ROUND(ROUND(J800, 2)*I800, 2)</f>
        <v>0</v>
      </c>
      <c r="N800" s="35"/>
      <c r="O800" s="35"/>
      <c r="P800" s="34">
        <v>2300</v>
      </c>
      <c r="Q800" s="35"/>
      <c r="R800" s="35"/>
      <c r="S800" s="34">
        <f>ROUND(ROUND(P800, 2)*I800, 2)</f>
        <v>893205</v>
      </c>
      <c r="T800" s="35"/>
      <c r="U800" s="36"/>
      <c r="V800" s="9">
        <f>ROUND(ROUND(P800, 2)/1.2, 2)</f>
        <v>1916.67</v>
      </c>
      <c r="Y800" s="9">
        <f t="shared" si="82"/>
        <v>744337.5</v>
      </c>
      <c r="AD800" s="4" t="s">
        <v>2511</v>
      </c>
      <c r="AE800" s="4" t="s">
        <v>2512</v>
      </c>
      <c r="AF800" s="4" t="s">
        <v>2476</v>
      </c>
    </row>
    <row r="801" spans="1:35" ht="36" x14ac:dyDescent="0.3">
      <c r="A801" s="25" t="s">
        <v>2513</v>
      </c>
      <c r="B801" s="25" t="s">
        <v>2466</v>
      </c>
      <c r="C801" s="26" t="s">
        <v>2467</v>
      </c>
      <c r="D801" s="27"/>
      <c r="E801" s="27" t="s">
        <v>2514</v>
      </c>
      <c r="F801" s="27" t="s">
        <v>64</v>
      </c>
      <c r="G801" s="28">
        <v>1</v>
      </c>
      <c r="H801" s="27"/>
      <c r="I801" s="28">
        <v>1200.01</v>
      </c>
      <c r="J801" s="29">
        <f>IFERROR(ROUND(SUM(M802)/I801, 2),0)</f>
        <v>7126.9</v>
      </c>
      <c r="K801" s="29">
        <v>837</v>
      </c>
      <c r="L801" s="29">
        <f>J801+ROUND(K801, 2)</f>
        <v>7963.9</v>
      </c>
      <c r="M801" s="29">
        <f>ROUND(J801*I801, 2)</f>
        <v>8552351.2699999996</v>
      </c>
      <c r="N801" s="29">
        <f>ROUND(I801*ROUND(K801, 2), 2)</f>
        <v>1004408.37</v>
      </c>
      <c r="O801" s="29">
        <f>M801+N801</f>
        <v>9556759.6399999987</v>
      </c>
      <c r="P801" s="29">
        <f>IFERROR(ROUND(SUM(S802)/I801, 2),0)</f>
        <v>2530</v>
      </c>
      <c r="Q801" s="29">
        <v>837</v>
      </c>
      <c r="R801" s="29">
        <f>P801+ROUND(Q801, 2)</f>
        <v>3367</v>
      </c>
      <c r="S801" s="29">
        <f>ROUND(P801*I801, 2)</f>
        <v>3036025.3</v>
      </c>
      <c r="T801" s="29">
        <f>ROUND(I801*ROUND(Q801, 2), 2)</f>
        <v>1004408.37</v>
      </c>
      <c r="U801" s="29">
        <f>S801+T801</f>
        <v>4040433.67</v>
      </c>
      <c r="V801" s="9">
        <f>ROUND(P801 / 1.2, 2)</f>
        <v>2108.33</v>
      </c>
      <c r="W801" s="9">
        <f>ROUND(Q801 / 1.2, 2)</f>
        <v>697.5</v>
      </c>
      <c r="X801" s="9">
        <f>ROUND(R801 / 1.2, 2)</f>
        <v>2805.83</v>
      </c>
      <c r="Y801" s="9">
        <f t="shared" si="82"/>
        <v>2530021.08</v>
      </c>
      <c r="Z801" s="9">
        <f>ROUND(T801 / 1.2, 2)</f>
        <v>837006.98</v>
      </c>
      <c r="AA801" s="9">
        <f>Y801+Z801</f>
        <v>3367028.06</v>
      </c>
      <c r="AD801" s="4">
        <v>298925493</v>
      </c>
      <c r="AE801" s="4">
        <v>20004794</v>
      </c>
      <c r="AG801" s="4" t="s">
        <v>2469</v>
      </c>
      <c r="AH801" s="4" t="s">
        <v>2470</v>
      </c>
      <c r="AI801" s="4" t="s">
        <v>67</v>
      </c>
    </row>
    <row r="802" spans="1:35" ht="72" x14ac:dyDescent="0.3">
      <c r="A802" s="25" t="s">
        <v>2515</v>
      </c>
      <c r="B802" s="25"/>
      <c r="C802" s="30" t="s">
        <v>2480</v>
      </c>
      <c r="D802" s="27"/>
      <c r="E802" s="27" t="s">
        <v>2481</v>
      </c>
      <c r="F802" s="31" t="s">
        <v>64</v>
      </c>
      <c r="G802" s="32">
        <v>1.1000000000000001</v>
      </c>
      <c r="H802" s="27"/>
      <c r="I802" s="33">
        <v>1320.011</v>
      </c>
      <c r="J802" s="34">
        <v>6479</v>
      </c>
      <c r="K802" s="35"/>
      <c r="L802" s="35"/>
      <c r="M802" s="34">
        <f>ROUND(ROUND(J802, 2)*I802, 2)</f>
        <v>8552351.2699999996</v>
      </c>
      <c r="N802" s="35"/>
      <c r="O802" s="35"/>
      <c r="P802" s="34">
        <v>2300</v>
      </c>
      <c r="Q802" s="35"/>
      <c r="R802" s="35"/>
      <c r="S802" s="34">
        <f>ROUND(ROUND(P802, 2)*I802, 2)</f>
        <v>3036025.3</v>
      </c>
      <c r="T802" s="35"/>
      <c r="U802" s="36"/>
      <c r="V802" s="9">
        <f>ROUND(ROUND(P802, 2)/1.2, 2)</f>
        <v>1916.67</v>
      </c>
      <c r="Y802" s="9">
        <f t="shared" si="82"/>
        <v>2530021.08</v>
      </c>
      <c r="AD802" s="4" t="s">
        <v>2516</v>
      </c>
      <c r="AE802" s="4" t="s">
        <v>2517</v>
      </c>
      <c r="AF802" s="4" t="s">
        <v>2484</v>
      </c>
    </row>
    <row r="803" spans="1:35" ht="36" x14ac:dyDescent="0.3">
      <c r="A803" s="25" t="s">
        <v>2518</v>
      </c>
      <c r="B803" s="25" t="s">
        <v>2466</v>
      </c>
      <c r="C803" s="26" t="s">
        <v>2467</v>
      </c>
      <c r="D803" s="27"/>
      <c r="E803" s="27" t="s">
        <v>2519</v>
      </c>
      <c r="F803" s="27" t="s">
        <v>64</v>
      </c>
      <c r="G803" s="28">
        <v>1</v>
      </c>
      <c r="H803" s="27"/>
      <c r="I803" s="28">
        <v>163.46</v>
      </c>
      <c r="J803" s="29">
        <f>IFERROR(ROUND(SUM(M804)/I803, 2),0)</f>
        <v>855.89</v>
      </c>
      <c r="K803" s="29">
        <v>837</v>
      </c>
      <c r="L803" s="29">
        <f>J803+ROUND(K803, 2)</f>
        <v>1692.8899999999999</v>
      </c>
      <c r="M803" s="29">
        <f>ROUND(J803*I803, 2)</f>
        <v>139903.78</v>
      </c>
      <c r="N803" s="29">
        <f>ROUND(I803*ROUND(K803, 2), 2)</f>
        <v>136816.01999999999</v>
      </c>
      <c r="O803" s="29">
        <f>M803+N803</f>
        <v>276719.8</v>
      </c>
      <c r="P803" s="29">
        <f>IFERROR(ROUND(SUM(S804)/I803, 2),0)</f>
        <v>855.89</v>
      </c>
      <c r="Q803" s="29">
        <v>837</v>
      </c>
      <c r="R803" s="29">
        <f>P803+ROUND(Q803, 2)</f>
        <v>1692.8899999999999</v>
      </c>
      <c r="S803" s="29">
        <f>ROUND(P803*I803, 2)</f>
        <v>139903.78</v>
      </c>
      <c r="T803" s="29">
        <f>ROUND(I803*ROUND(Q803, 2), 2)</f>
        <v>136816.01999999999</v>
      </c>
      <c r="U803" s="29">
        <f>S803+T803</f>
        <v>276719.8</v>
      </c>
      <c r="V803" s="9">
        <f>ROUND(P803 / 1.2, 2)</f>
        <v>713.24</v>
      </c>
      <c r="W803" s="9">
        <f>ROUND(Q803 / 1.2, 2)</f>
        <v>697.5</v>
      </c>
      <c r="X803" s="9">
        <f>ROUND(R803 / 1.2, 2)</f>
        <v>1410.74</v>
      </c>
      <c r="Y803" s="9">
        <f t="shared" si="82"/>
        <v>116586.48</v>
      </c>
      <c r="Z803" s="9">
        <f>ROUND(T803 / 1.2, 2)</f>
        <v>114013.35</v>
      </c>
      <c r="AA803" s="9">
        <f>Y803+Z803</f>
        <v>230599.83000000002</v>
      </c>
      <c r="AD803" s="4">
        <v>298925494</v>
      </c>
      <c r="AE803" s="4">
        <v>20004795</v>
      </c>
      <c r="AG803" s="4" t="s">
        <v>2469</v>
      </c>
      <c r="AH803" s="4" t="s">
        <v>2470</v>
      </c>
      <c r="AI803" s="4" t="s">
        <v>67</v>
      </c>
    </row>
    <row r="804" spans="1:35" ht="90" x14ac:dyDescent="0.3">
      <c r="A804" s="25" t="s">
        <v>2520</v>
      </c>
      <c r="B804" s="25"/>
      <c r="C804" s="17" t="s">
        <v>2488</v>
      </c>
      <c r="D804" s="27"/>
      <c r="E804" s="27" t="s">
        <v>2489</v>
      </c>
      <c r="F804" s="31" t="s">
        <v>64</v>
      </c>
      <c r="G804" s="32">
        <v>1.1000000000000001</v>
      </c>
      <c r="H804" s="27"/>
      <c r="I804" s="33">
        <v>179.80600000000001</v>
      </c>
      <c r="J804" s="34">
        <v>778.08</v>
      </c>
      <c r="K804" s="35"/>
      <c r="L804" s="35"/>
      <c r="M804" s="34">
        <f>ROUND(ROUND(J804, 2)*I804, 2)</f>
        <v>139903.45000000001</v>
      </c>
      <c r="N804" s="35"/>
      <c r="O804" s="35"/>
      <c r="P804" s="34">
        <v>778.08</v>
      </c>
      <c r="Q804" s="35"/>
      <c r="R804" s="35"/>
      <c r="S804" s="34">
        <f>ROUND(ROUND(P804, 2)*I804, 2)</f>
        <v>139903.45000000001</v>
      </c>
      <c r="T804" s="35"/>
      <c r="U804" s="36"/>
      <c r="V804" s="9">
        <f>ROUND(ROUND(P804, 2)/1.2, 2)</f>
        <v>648.4</v>
      </c>
      <c r="Y804" s="9">
        <f t="shared" si="82"/>
        <v>116586.21</v>
      </c>
      <c r="AD804" s="4" t="s">
        <v>2521</v>
      </c>
      <c r="AE804" s="4" t="s">
        <v>2522</v>
      </c>
      <c r="AF804" s="4" t="s">
        <v>2492</v>
      </c>
    </row>
    <row r="805" spans="1:35" ht="36" x14ac:dyDescent="0.3">
      <c r="A805" s="25" t="s">
        <v>2523</v>
      </c>
      <c r="B805" s="25" t="s">
        <v>2466</v>
      </c>
      <c r="C805" s="26" t="s">
        <v>2467</v>
      </c>
      <c r="D805" s="27"/>
      <c r="E805" s="27" t="s">
        <v>2524</v>
      </c>
      <c r="F805" s="27" t="s">
        <v>64</v>
      </c>
      <c r="G805" s="28">
        <v>1</v>
      </c>
      <c r="H805" s="27"/>
      <c r="I805" s="28">
        <v>92.54</v>
      </c>
      <c r="J805" s="29">
        <f>IFERROR(ROUND(SUM(M806)/I805, 2),0)</f>
        <v>902.98</v>
      </c>
      <c r="K805" s="29">
        <v>837</v>
      </c>
      <c r="L805" s="29">
        <f>J805+ROUND(K805, 2)</f>
        <v>1739.98</v>
      </c>
      <c r="M805" s="29">
        <f>ROUND(J805*I805, 2)</f>
        <v>83561.77</v>
      </c>
      <c r="N805" s="29">
        <f>ROUND(I805*ROUND(K805, 2), 2)</f>
        <v>77455.98</v>
      </c>
      <c r="O805" s="29">
        <f>M805+N805</f>
        <v>161017.75</v>
      </c>
      <c r="P805" s="29">
        <f>IFERROR(ROUND(SUM(S806)/I805, 2),0)</f>
        <v>902.98</v>
      </c>
      <c r="Q805" s="29">
        <v>837</v>
      </c>
      <c r="R805" s="29">
        <f>P805+ROUND(Q805, 2)</f>
        <v>1739.98</v>
      </c>
      <c r="S805" s="29">
        <f>ROUND(P805*I805, 2)</f>
        <v>83561.77</v>
      </c>
      <c r="T805" s="29">
        <f>ROUND(I805*ROUND(Q805, 2), 2)</f>
        <v>77455.98</v>
      </c>
      <c r="U805" s="29">
        <f>S805+T805</f>
        <v>161017.75</v>
      </c>
      <c r="V805" s="9">
        <f>ROUND(P805 / 1.2, 2)</f>
        <v>752.48</v>
      </c>
      <c r="W805" s="9">
        <f>ROUND(Q805 / 1.2, 2)</f>
        <v>697.5</v>
      </c>
      <c r="X805" s="9">
        <f>ROUND(R805 / 1.2, 2)</f>
        <v>1449.98</v>
      </c>
      <c r="Y805" s="9">
        <f t="shared" si="82"/>
        <v>69634.81</v>
      </c>
      <c r="Z805" s="9">
        <f>ROUND(T805 / 1.2, 2)</f>
        <v>64546.65</v>
      </c>
      <c r="AA805" s="9">
        <f>Y805+Z805</f>
        <v>134181.46</v>
      </c>
      <c r="AD805" s="4">
        <v>298925495</v>
      </c>
      <c r="AE805" s="4">
        <v>20004796</v>
      </c>
      <c r="AG805" s="4" t="s">
        <v>2469</v>
      </c>
      <c r="AH805" s="4" t="s">
        <v>2470</v>
      </c>
      <c r="AI805" s="4" t="s">
        <v>67</v>
      </c>
    </row>
    <row r="806" spans="1:35" ht="36" x14ac:dyDescent="0.3">
      <c r="A806" s="25" t="s">
        <v>2525</v>
      </c>
      <c r="B806" s="25"/>
      <c r="C806" s="17" t="s">
        <v>2496</v>
      </c>
      <c r="D806" s="27"/>
      <c r="E806" s="27"/>
      <c r="F806" s="31" t="s">
        <v>64</v>
      </c>
      <c r="G806" s="32">
        <v>1.1000000000000001</v>
      </c>
      <c r="H806" s="27"/>
      <c r="I806" s="33">
        <v>101.794</v>
      </c>
      <c r="J806" s="34">
        <v>820.89</v>
      </c>
      <c r="K806" s="35"/>
      <c r="L806" s="35"/>
      <c r="M806" s="34">
        <f>ROUND(ROUND(J806, 2)*I806, 2)</f>
        <v>83561.679999999993</v>
      </c>
      <c r="N806" s="35"/>
      <c r="O806" s="35"/>
      <c r="P806" s="34">
        <v>820.89</v>
      </c>
      <c r="Q806" s="35"/>
      <c r="R806" s="35"/>
      <c r="S806" s="34">
        <f>ROUND(ROUND(P806, 2)*I806, 2)</f>
        <v>83561.679999999993</v>
      </c>
      <c r="T806" s="35"/>
      <c r="U806" s="36"/>
      <c r="V806" s="9">
        <f>ROUND(ROUND(P806, 2)/1.2, 2)</f>
        <v>684.08</v>
      </c>
      <c r="Y806" s="9">
        <f t="shared" si="82"/>
        <v>69634.73</v>
      </c>
      <c r="AD806" s="4" t="s">
        <v>2526</v>
      </c>
      <c r="AE806" s="4" t="s">
        <v>2527</v>
      </c>
      <c r="AF806" s="4" t="s">
        <v>2499</v>
      </c>
    </row>
    <row r="807" spans="1:35" ht="36" x14ac:dyDescent="0.3">
      <c r="A807" s="25" t="s">
        <v>2528</v>
      </c>
      <c r="B807" s="25" t="s">
        <v>2466</v>
      </c>
      <c r="C807" s="26" t="s">
        <v>2467</v>
      </c>
      <c r="D807" s="27"/>
      <c r="E807" s="27" t="s">
        <v>2529</v>
      </c>
      <c r="F807" s="27" t="s">
        <v>64</v>
      </c>
      <c r="G807" s="28">
        <v>1</v>
      </c>
      <c r="H807" s="27"/>
      <c r="I807" s="28">
        <v>67.19</v>
      </c>
      <c r="J807" s="29">
        <f>IFERROR(ROUND(SUM(M808)/I807, 2),0)</f>
        <v>901.26</v>
      </c>
      <c r="K807" s="29">
        <v>837</v>
      </c>
      <c r="L807" s="29">
        <f>J807+ROUND(K807, 2)</f>
        <v>1738.26</v>
      </c>
      <c r="M807" s="29">
        <f>ROUND(J807*I807, 2)</f>
        <v>60555.66</v>
      </c>
      <c r="N807" s="29">
        <f>ROUND(I807*ROUND(K807, 2), 2)</f>
        <v>56238.03</v>
      </c>
      <c r="O807" s="29">
        <f>M807+N807</f>
        <v>116793.69</v>
      </c>
      <c r="P807" s="29">
        <f>IFERROR(ROUND(SUM(S808)/I807, 2),0)</f>
        <v>901.26</v>
      </c>
      <c r="Q807" s="29">
        <v>837</v>
      </c>
      <c r="R807" s="29">
        <f>P807+ROUND(Q807, 2)</f>
        <v>1738.26</v>
      </c>
      <c r="S807" s="29">
        <f>ROUND(P807*I807, 2)</f>
        <v>60555.66</v>
      </c>
      <c r="T807" s="29">
        <f>ROUND(I807*ROUND(Q807, 2), 2)</f>
        <v>56238.03</v>
      </c>
      <c r="U807" s="29">
        <f>S807+T807</f>
        <v>116793.69</v>
      </c>
      <c r="V807" s="9">
        <f>ROUND(P807 / 1.2, 2)</f>
        <v>751.05</v>
      </c>
      <c r="W807" s="9">
        <f>ROUND(Q807 / 1.2, 2)</f>
        <v>697.5</v>
      </c>
      <c r="X807" s="9">
        <f>ROUND(R807 / 1.2, 2)</f>
        <v>1448.55</v>
      </c>
      <c r="Y807" s="9">
        <f t="shared" si="82"/>
        <v>50463.05</v>
      </c>
      <c r="Z807" s="9">
        <f>ROUND(T807 / 1.2, 2)</f>
        <v>46865.03</v>
      </c>
      <c r="AA807" s="9">
        <f>Y807+Z807</f>
        <v>97328.08</v>
      </c>
      <c r="AD807" s="4">
        <v>298925496</v>
      </c>
      <c r="AE807" s="4">
        <v>20004797</v>
      </c>
      <c r="AG807" s="4" t="s">
        <v>2469</v>
      </c>
      <c r="AH807" s="4" t="s">
        <v>2470</v>
      </c>
      <c r="AI807" s="4" t="s">
        <v>67</v>
      </c>
    </row>
    <row r="808" spans="1:35" ht="36" x14ac:dyDescent="0.3">
      <c r="A808" s="25" t="s">
        <v>2530</v>
      </c>
      <c r="B808" s="25"/>
      <c r="C808" s="17" t="s">
        <v>2503</v>
      </c>
      <c r="D808" s="27"/>
      <c r="E808" s="27"/>
      <c r="F808" s="31" t="s">
        <v>64</v>
      </c>
      <c r="G808" s="32">
        <v>1.1000000000000001</v>
      </c>
      <c r="H808" s="27"/>
      <c r="I808" s="33">
        <v>73.909000000000006</v>
      </c>
      <c r="J808" s="34">
        <v>819.33</v>
      </c>
      <c r="K808" s="35"/>
      <c r="L808" s="35"/>
      <c r="M808" s="34">
        <f>ROUND(ROUND(J808, 2)*I808, 2)</f>
        <v>60555.86</v>
      </c>
      <c r="N808" s="35"/>
      <c r="O808" s="35"/>
      <c r="P808" s="34">
        <v>819.33</v>
      </c>
      <c r="Q808" s="35"/>
      <c r="R808" s="35"/>
      <c r="S808" s="34">
        <f>ROUND(ROUND(P808, 2)*I808, 2)</f>
        <v>60555.86</v>
      </c>
      <c r="T808" s="35"/>
      <c r="U808" s="36"/>
      <c r="V808" s="9">
        <f>ROUND(ROUND(P808, 2)/1.2, 2)</f>
        <v>682.78</v>
      </c>
      <c r="Y808" s="9">
        <f t="shared" si="82"/>
        <v>50463.22</v>
      </c>
      <c r="AD808" s="4" t="s">
        <v>2531</v>
      </c>
      <c r="AE808" s="4" t="s">
        <v>2532</v>
      </c>
      <c r="AF808" s="4" t="s">
        <v>2506</v>
      </c>
    </row>
    <row r="809" spans="1:35" ht="36" x14ac:dyDescent="0.3">
      <c r="A809" s="25" t="s">
        <v>2533</v>
      </c>
      <c r="B809" s="25" t="s">
        <v>2534</v>
      </c>
      <c r="C809" s="26" t="s">
        <v>2535</v>
      </c>
      <c r="D809" s="27"/>
      <c r="E809" s="27" t="s">
        <v>2536</v>
      </c>
      <c r="F809" s="27" t="s">
        <v>64</v>
      </c>
      <c r="G809" s="28">
        <v>1</v>
      </c>
      <c r="H809" s="27"/>
      <c r="I809" s="28">
        <v>37.700000000000003</v>
      </c>
      <c r="J809" s="29">
        <f>IFERROR(ROUND(SUM(M810,M811,M812,M813,M814,M815,M816,M817,M818,M819,M820,M821,M822)/I809, 2),0)</f>
        <v>611.15</v>
      </c>
      <c r="K809" s="29">
        <v>1199</v>
      </c>
      <c r="L809" s="29">
        <f>J809+ROUND(K809, 2)</f>
        <v>1810.15</v>
      </c>
      <c r="M809" s="29">
        <f>ROUND(J809*I809, 2)</f>
        <v>23040.36</v>
      </c>
      <c r="N809" s="29">
        <f>ROUND(I809*ROUND(K809, 2), 2)</f>
        <v>45202.3</v>
      </c>
      <c r="O809" s="29">
        <f>M809+N809</f>
        <v>68242.66</v>
      </c>
      <c r="P809" s="29">
        <f>IFERROR(ROUND(SUM(S810,S811,S812,S813,S814,S815,S816,S817,S818,S819,S820,S821,S822)/I809, 2),0)</f>
        <v>611.15</v>
      </c>
      <c r="Q809" s="29">
        <v>1199</v>
      </c>
      <c r="R809" s="29">
        <f>P809+ROUND(Q809, 2)</f>
        <v>1810.15</v>
      </c>
      <c r="S809" s="29">
        <f>ROUND(P809*I809, 2)</f>
        <v>23040.36</v>
      </c>
      <c r="T809" s="29">
        <f>ROUND(I809*ROUND(Q809, 2), 2)</f>
        <v>45202.3</v>
      </c>
      <c r="U809" s="29">
        <f>S809+T809</f>
        <v>68242.66</v>
      </c>
      <c r="V809" s="9">
        <f>ROUND(P809 / 1.2, 2)</f>
        <v>509.29</v>
      </c>
      <c r="W809" s="9">
        <f>ROUND(Q809 / 1.2, 2)</f>
        <v>999.17</v>
      </c>
      <c r="X809" s="9">
        <f>ROUND(R809 / 1.2, 2)</f>
        <v>1508.46</v>
      </c>
      <c r="Y809" s="9">
        <f t="shared" si="82"/>
        <v>19200.3</v>
      </c>
      <c r="Z809" s="9">
        <f>ROUND(T809 / 1.2, 2)</f>
        <v>37668.58</v>
      </c>
      <c r="AA809" s="9">
        <f>Y809+Z809</f>
        <v>56868.880000000005</v>
      </c>
      <c r="AD809" s="4">
        <v>298925355</v>
      </c>
      <c r="AE809" s="4">
        <v>19825683</v>
      </c>
      <c r="AG809" s="4" t="s">
        <v>2537</v>
      </c>
      <c r="AH809" s="4" t="s">
        <v>2538</v>
      </c>
      <c r="AI809" s="4" t="s">
        <v>67</v>
      </c>
    </row>
    <row r="810" spans="1:35" ht="18" x14ac:dyDescent="0.3">
      <c r="A810" s="25" t="s">
        <v>2539</v>
      </c>
      <c r="B810" s="25"/>
      <c r="C810" s="30" t="s">
        <v>2540</v>
      </c>
      <c r="D810" s="27"/>
      <c r="E810" s="27"/>
      <c r="F810" s="31" t="s">
        <v>116</v>
      </c>
      <c r="G810" s="32">
        <v>0.3</v>
      </c>
      <c r="H810" s="27"/>
      <c r="I810" s="32">
        <v>11.31</v>
      </c>
      <c r="J810" s="34">
        <v>5.6</v>
      </c>
      <c r="K810" s="35"/>
      <c r="L810" s="35"/>
      <c r="M810" s="34">
        <f t="shared" ref="M810:M822" si="83">ROUND(ROUND(J810, 2)*I810, 2)</f>
        <v>63.34</v>
      </c>
      <c r="N810" s="35"/>
      <c r="O810" s="35"/>
      <c r="P810" s="34">
        <v>5.6</v>
      </c>
      <c r="Q810" s="35"/>
      <c r="R810" s="35"/>
      <c r="S810" s="34">
        <f t="shared" ref="S810:S822" si="84">ROUND(ROUND(P810, 2)*I810, 2)</f>
        <v>63.34</v>
      </c>
      <c r="T810" s="35"/>
      <c r="U810" s="36"/>
      <c r="V810" s="9">
        <f t="shared" ref="V810:V822" si="85">ROUND(ROUND(P810, 2)/1.2, 2)</f>
        <v>4.67</v>
      </c>
      <c r="Y810" s="9">
        <f t="shared" si="82"/>
        <v>52.78</v>
      </c>
      <c r="AD810" s="4" t="s">
        <v>2541</v>
      </c>
      <c r="AE810" s="4" t="s">
        <v>2542</v>
      </c>
      <c r="AF810" s="4" t="s">
        <v>2543</v>
      </c>
    </row>
    <row r="811" spans="1:35" ht="18" x14ac:dyDescent="0.3">
      <c r="A811" s="25" t="s">
        <v>2544</v>
      </c>
      <c r="B811" s="25"/>
      <c r="C811" s="30" t="s">
        <v>2545</v>
      </c>
      <c r="D811" s="27"/>
      <c r="E811" s="27"/>
      <c r="F811" s="31" t="s">
        <v>116</v>
      </c>
      <c r="G811" s="32">
        <v>15</v>
      </c>
      <c r="H811" s="27"/>
      <c r="I811" s="32">
        <v>565.5</v>
      </c>
      <c r="J811" s="34">
        <v>0.95</v>
      </c>
      <c r="K811" s="35"/>
      <c r="L811" s="35"/>
      <c r="M811" s="34">
        <f t="shared" si="83"/>
        <v>537.23</v>
      </c>
      <c r="N811" s="35"/>
      <c r="O811" s="35"/>
      <c r="P811" s="34">
        <v>0.95</v>
      </c>
      <c r="Q811" s="35"/>
      <c r="R811" s="35"/>
      <c r="S811" s="34">
        <f t="shared" si="84"/>
        <v>537.23</v>
      </c>
      <c r="T811" s="35"/>
      <c r="U811" s="36"/>
      <c r="V811" s="9">
        <f t="shared" si="85"/>
        <v>0.79</v>
      </c>
      <c r="Y811" s="9">
        <f t="shared" si="82"/>
        <v>447.69</v>
      </c>
      <c r="AD811" s="4" t="s">
        <v>2546</v>
      </c>
      <c r="AE811" s="4" t="s">
        <v>2547</v>
      </c>
      <c r="AF811" s="4" t="s">
        <v>2548</v>
      </c>
    </row>
    <row r="812" spans="1:35" ht="18" x14ac:dyDescent="0.3">
      <c r="A812" s="25" t="s">
        <v>2549</v>
      </c>
      <c r="B812" s="25"/>
      <c r="C812" s="30" t="s">
        <v>1920</v>
      </c>
      <c r="D812" s="27"/>
      <c r="E812" s="27"/>
      <c r="F812" s="31" t="s">
        <v>116</v>
      </c>
      <c r="G812" s="32">
        <v>30</v>
      </c>
      <c r="H812" s="27"/>
      <c r="I812" s="32">
        <v>1131</v>
      </c>
      <c r="J812" s="34">
        <v>0.28000000000000003</v>
      </c>
      <c r="K812" s="35"/>
      <c r="L812" s="35"/>
      <c r="M812" s="34">
        <f t="shared" si="83"/>
        <v>316.68</v>
      </c>
      <c r="N812" s="35"/>
      <c r="O812" s="35"/>
      <c r="P812" s="34">
        <v>0.28000000000000003</v>
      </c>
      <c r="Q812" s="35"/>
      <c r="R812" s="35"/>
      <c r="S812" s="34">
        <f t="shared" si="84"/>
        <v>316.68</v>
      </c>
      <c r="T812" s="35"/>
      <c r="U812" s="36"/>
      <c r="V812" s="9">
        <f t="shared" si="85"/>
        <v>0.23</v>
      </c>
      <c r="Y812" s="9">
        <f t="shared" si="82"/>
        <v>263.89999999999998</v>
      </c>
      <c r="AD812" s="4" t="s">
        <v>2550</v>
      </c>
      <c r="AE812" s="4" t="s">
        <v>2551</v>
      </c>
      <c r="AF812" s="4" t="s">
        <v>1923</v>
      </c>
    </row>
    <row r="813" spans="1:35" ht="36" x14ac:dyDescent="0.3">
      <c r="A813" s="25" t="s">
        <v>2552</v>
      </c>
      <c r="B813" s="25"/>
      <c r="C813" s="17" t="s">
        <v>2553</v>
      </c>
      <c r="D813" s="27"/>
      <c r="E813" s="27"/>
      <c r="F813" s="31" t="s">
        <v>116</v>
      </c>
      <c r="G813" s="32">
        <v>3.6</v>
      </c>
      <c r="H813" s="27"/>
      <c r="I813" s="32">
        <v>135.72</v>
      </c>
      <c r="J813" s="34">
        <v>15.9</v>
      </c>
      <c r="K813" s="35"/>
      <c r="L813" s="35"/>
      <c r="M813" s="34">
        <f t="shared" si="83"/>
        <v>2157.9499999999998</v>
      </c>
      <c r="N813" s="35"/>
      <c r="O813" s="35"/>
      <c r="P813" s="34">
        <v>15.9</v>
      </c>
      <c r="Q813" s="35"/>
      <c r="R813" s="35"/>
      <c r="S813" s="34">
        <f t="shared" si="84"/>
        <v>2157.9499999999998</v>
      </c>
      <c r="T813" s="35"/>
      <c r="U813" s="36"/>
      <c r="V813" s="9">
        <f t="shared" si="85"/>
        <v>13.25</v>
      </c>
      <c r="Y813" s="9">
        <f t="shared" si="82"/>
        <v>1798.29</v>
      </c>
      <c r="AD813" s="4" t="s">
        <v>2554</v>
      </c>
      <c r="AE813" s="4" t="s">
        <v>2555</v>
      </c>
      <c r="AF813" s="4" t="s">
        <v>2556</v>
      </c>
    </row>
    <row r="814" spans="1:35" ht="18" x14ac:dyDescent="0.3">
      <c r="A814" s="25" t="s">
        <v>2557</v>
      </c>
      <c r="B814" s="25"/>
      <c r="C814" s="30" t="s">
        <v>1753</v>
      </c>
      <c r="D814" s="27"/>
      <c r="E814" s="27"/>
      <c r="F814" s="31" t="s">
        <v>70</v>
      </c>
      <c r="G814" s="32">
        <v>0.35</v>
      </c>
      <c r="H814" s="27"/>
      <c r="I814" s="32">
        <v>13.195</v>
      </c>
      <c r="J814" s="34">
        <v>55</v>
      </c>
      <c r="K814" s="35"/>
      <c r="L814" s="35"/>
      <c r="M814" s="34">
        <f t="shared" si="83"/>
        <v>725.73</v>
      </c>
      <c r="N814" s="35"/>
      <c r="O814" s="35"/>
      <c r="P814" s="34">
        <v>55</v>
      </c>
      <c r="Q814" s="35"/>
      <c r="R814" s="35"/>
      <c r="S814" s="34">
        <f t="shared" si="84"/>
        <v>725.73</v>
      </c>
      <c r="T814" s="35"/>
      <c r="U814" s="36"/>
      <c r="V814" s="9">
        <f t="shared" si="85"/>
        <v>45.83</v>
      </c>
      <c r="Y814" s="9">
        <f t="shared" si="82"/>
        <v>604.78</v>
      </c>
      <c r="AD814" s="4" t="s">
        <v>2558</v>
      </c>
      <c r="AE814" s="4" t="s">
        <v>2559</v>
      </c>
      <c r="AF814" s="4" t="s">
        <v>1756</v>
      </c>
    </row>
    <row r="815" spans="1:35" ht="18" x14ac:dyDescent="0.3">
      <c r="A815" s="25" t="s">
        <v>2560</v>
      </c>
      <c r="B815" s="25"/>
      <c r="C815" s="30" t="s">
        <v>2561</v>
      </c>
      <c r="D815" s="27"/>
      <c r="E815" s="27"/>
      <c r="F815" s="31" t="s">
        <v>87</v>
      </c>
      <c r="G815" s="32">
        <v>1.05</v>
      </c>
      <c r="H815" s="27"/>
      <c r="I815" s="32">
        <v>39.585000000000001</v>
      </c>
      <c r="J815" s="34">
        <v>4.5999999999999996</v>
      </c>
      <c r="K815" s="35"/>
      <c r="L815" s="35"/>
      <c r="M815" s="34">
        <f t="shared" si="83"/>
        <v>182.09</v>
      </c>
      <c r="N815" s="35"/>
      <c r="O815" s="35"/>
      <c r="P815" s="34">
        <v>4.5999999999999996</v>
      </c>
      <c r="Q815" s="35"/>
      <c r="R815" s="35"/>
      <c r="S815" s="34">
        <f t="shared" si="84"/>
        <v>182.09</v>
      </c>
      <c r="T815" s="35"/>
      <c r="U815" s="36"/>
      <c r="V815" s="9">
        <f t="shared" si="85"/>
        <v>3.83</v>
      </c>
      <c r="Y815" s="9">
        <f t="shared" si="82"/>
        <v>151.74</v>
      </c>
      <c r="AD815" s="4" t="s">
        <v>2562</v>
      </c>
      <c r="AE815" s="4" t="s">
        <v>2563</v>
      </c>
      <c r="AF815" s="4" t="s">
        <v>2564</v>
      </c>
    </row>
    <row r="816" spans="1:35" ht="18" x14ac:dyDescent="0.3">
      <c r="A816" s="25" t="s">
        <v>2565</v>
      </c>
      <c r="B816" s="25"/>
      <c r="C816" s="30" t="s">
        <v>2566</v>
      </c>
      <c r="D816" s="27"/>
      <c r="E816" s="27"/>
      <c r="F816" s="31" t="s">
        <v>87</v>
      </c>
      <c r="G816" s="32">
        <v>1.25</v>
      </c>
      <c r="H816" s="27"/>
      <c r="I816" s="32">
        <v>47.125</v>
      </c>
      <c r="J816" s="34">
        <v>2.8</v>
      </c>
      <c r="K816" s="35"/>
      <c r="L816" s="35"/>
      <c r="M816" s="34">
        <f t="shared" si="83"/>
        <v>131.94999999999999</v>
      </c>
      <c r="N816" s="35"/>
      <c r="O816" s="35"/>
      <c r="P816" s="34">
        <v>2.8</v>
      </c>
      <c r="Q816" s="35"/>
      <c r="R816" s="35"/>
      <c r="S816" s="34">
        <f t="shared" si="84"/>
        <v>131.94999999999999</v>
      </c>
      <c r="T816" s="35"/>
      <c r="U816" s="36"/>
      <c r="V816" s="9">
        <f t="shared" si="85"/>
        <v>2.33</v>
      </c>
      <c r="Y816" s="9">
        <f t="shared" si="82"/>
        <v>109.96</v>
      </c>
      <c r="AD816" s="4" t="s">
        <v>2567</v>
      </c>
      <c r="AE816" s="4" t="s">
        <v>2568</v>
      </c>
      <c r="AF816" s="4" t="s">
        <v>2569</v>
      </c>
    </row>
    <row r="817" spans="1:35" ht="18" x14ac:dyDescent="0.3">
      <c r="A817" s="25" t="s">
        <v>2570</v>
      </c>
      <c r="B817" s="25"/>
      <c r="C817" s="30" t="s">
        <v>2571</v>
      </c>
      <c r="D817" s="27"/>
      <c r="E817" s="27"/>
      <c r="F817" s="31" t="s">
        <v>87</v>
      </c>
      <c r="G817" s="32">
        <v>0.3</v>
      </c>
      <c r="H817" s="27"/>
      <c r="I817" s="32">
        <v>11.31</v>
      </c>
      <c r="J817" s="34">
        <v>44.13</v>
      </c>
      <c r="K817" s="35"/>
      <c r="L817" s="35"/>
      <c r="M817" s="34">
        <f t="shared" si="83"/>
        <v>499.11</v>
      </c>
      <c r="N817" s="35"/>
      <c r="O817" s="35"/>
      <c r="P817" s="34">
        <v>44.13</v>
      </c>
      <c r="Q817" s="35"/>
      <c r="R817" s="35"/>
      <c r="S817" s="34">
        <f t="shared" si="84"/>
        <v>499.11</v>
      </c>
      <c r="T817" s="35"/>
      <c r="U817" s="36"/>
      <c r="V817" s="9">
        <f t="shared" si="85"/>
        <v>36.78</v>
      </c>
      <c r="Y817" s="9">
        <f t="shared" si="82"/>
        <v>415.93</v>
      </c>
      <c r="AD817" s="4" t="s">
        <v>2572</v>
      </c>
      <c r="AE817" s="4" t="s">
        <v>2573</v>
      </c>
      <c r="AF817" s="4" t="s">
        <v>2574</v>
      </c>
    </row>
    <row r="818" spans="1:35" ht="18" x14ac:dyDescent="0.3">
      <c r="A818" s="25" t="s">
        <v>2575</v>
      </c>
      <c r="B818" s="25"/>
      <c r="C818" s="30" t="s">
        <v>2576</v>
      </c>
      <c r="D818" s="27"/>
      <c r="E818" s="27"/>
      <c r="F818" s="31" t="s">
        <v>87</v>
      </c>
      <c r="G818" s="32">
        <v>4.7</v>
      </c>
      <c r="H818" s="27"/>
      <c r="I818" s="32">
        <v>177.19</v>
      </c>
      <c r="J818" s="34">
        <v>66.98</v>
      </c>
      <c r="K818" s="35"/>
      <c r="L818" s="35"/>
      <c r="M818" s="34">
        <f t="shared" si="83"/>
        <v>11868.19</v>
      </c>
      <c r="N818" s="35"/>
      <c r="O818" s="35"/>
      <c r="P818" s="34">
        <v>66.98</v>
      </c>
      <c r="Q818" s="35"/>
      <c r="R818" s="35"/>
      <c r="S818" s="34">
        <f t="shared" si="84"/>
        <v>11868.19</v>
      </c>
      <c r="T818" s="35"/>
      <c r="U818" s="36"/>
      <c r="V818" s="9">
        <f t="shared" si="85"/>
        <v>55.82</v>
      </c>
      <c r="Y818" s="9">
        <f t="shared" si="82"/>
        <v>9890.16</v>
      </c>
      <c r="AD818" s="4" t="s">
        <v>2577</v>
      </c>
      <c r="AE818" s="4" t="s">
        <v>2578</v>
      </c>
      <c r="AF818" s="4" t="s">
        <v>2579</v>
      </c>
    </row>
    <row r="819" spans="1:35" ht="18" x14ac:dyDescent="0.3">
      <c r="A819" s="25" t="s">
        <v>2580</v>
      </c>
      <c r="B819" s="25"/>
      <c r="C819" s="17" t="s">
        <v>2581</v>
      </c>
      <c r="D819" s="27"/>
      <c r="E819" s="27"/>
      <c r="F819" s="31" t="s">
        <v>116</v>
      </c>
      <c r="G819" s="32">
        <v>4.2</v>
      </c>
      <c r="H819" s="27"/>
      <c r="I819" s="32">
        <v>158.34</v>
      </c>
      <c r="J819" s="34">
        <v>4.92</v>
      </c>
      <c r="K819" s="35"/>
      <c r="L819" s="35"/>
      <c r="M819" s="34">
        <f t="shared" si="83"/>
        <v>779.03</v>
      </c>
      <c r="N819" s="35"/>
      <c r="O819" s="35"/>
      <c r="P819" s="34">
        <v>4.92</v>
      </c>
      <c r="Q819" s="35"/>
      <c r="R819" s="35"/>
      <c r="S819" s="34">
        <f t="shared" si="84"/>
        <v>779.03</v>
      </c>
      <c r="T819" s="35"/>
      <c r="U819" s="36"/>
      <c r="V819" s="9">
        <f t="shared" si="85"/>
        <v>4.0999999999999996</v>
      </c>
      <c r="Y819" s="9">
        <f t="shared" si="82"/>
        <v>649.19000000000005</v>
      </c>
      <c r="AD819" s="4" t="s">
        <v>2582</v>
      </c>
      <c r="AE819" s="4" t="s">
        <v>2583</v>
      </c>
      <c r="AF819" s="4" t="s">
        <v>2584</v>
      </c>
    </row>
    <row r="820" spans="1:35" ht="36" x14ac:dyDescent="0.3">
      <c r="A820" s="25" t="s">
        <v>2585</v>
      </c>
      <c r="B820" s="25"/>
      <c r="C820" s="30" t="s">
        <v>433</v>
      </c>
      <c r="D820" s="27"/>
      <c r="E820" s="27"/>
      <c r="F820" s="31" t="s">
        <v>70</v>
      </c>
      <c r="G820" s="32">
        <v>0.1</v>
      </c>
      <c r="H820" s="27"/>
      <c r="I820" s="32">
        <v>3.77</v>
      </c>
      <c r="J820" s="34">
        <v>88.8</v>
      </c>
      <c r="K820" s="35"/>
      <c r="L820" s="35"/>
      <c r="M820" s="34">
        <f t="shared" si="83"/>
        <v>334.78</v>
      </c>
      <c r="N820" s="35"/>
      <c r="O820" s="35"/>
      <c r="P820" s="34">
        <v>88.8</v>
      </c>
      <c r="Q820" s="35"/>
      <c r="R820" s="35"/>
      <c r="S820" s="34">
        <f t="shared" si="84"/>
        <v>334.78</v>
      </c>
      <c r="T820" s="35"/>
      <c r="U820" s="36"/>
      <c r="V820" s="9">
        <f t="shared" si="85"/>
        <v>74</v>
      </c>
      <c r="Y820" s="9">
        <f t="shared" si="82"/>
        <v>278.98</v>
      </c>
      <c r="AD820" s="4" t="s">
        <v>2586</v>
      </c>
      <c r="AE820" s="4" t="s">
        <v>2587</v>
      </c>
      <c r="AF820" s="4" t="s">
        <v>436</v>
      </c>
    </row>
    <row r="821" spans="1:35" ht="36" x14ac:dyDescent="0.3">
      <c r="A821" s="25" t="s">
        <v>2588</v>
      </c>
      <c r="B821" s="25"/>
      <c r="C821" s="30" t="s">
        <v>1767</v>
      </c>
      <c r="D821" s="27"/>
      <c r="E821" s="27"/>
      <c r="F821" s="31" t="s">
        <v>64</v>
      </c>
      <c r="G821" s="32">
        <v>1.05</v>
      </c>
      <c r="H821" s="27"/>
      <c r="I821" s="32">
        <v>39.585000000000001</v>
      </c>
      <c r="J821" s="34">
        <v>135.53</v>
      </c>
      <c r="K821" s="35"/>
      <c r="L821" s="35"/>
      <c r="M821" s="34">
        <f t="shared" si="83"/>
        <v>5364.96</v>
      </c>
      <c r="N821" s="35"/>
      <c r="O821" s="35"/>
      <c r="P821" s="34">
        <v>135.53</v>
      </c>
      <c r="Q821" s="35"/>
      <c r="R821" s="35"/>
      <c r="S821" s="34">
        <f t="shared" si="84"/>
        <v>5364.96</v>
      </c>
      <c r="T821" s="35"/>
      <c r="U821" s="36"/>
      <c r="V821" s="9">
        <f t="shared" si="85"/>
        <v>112.94</v>
      </c>
      <c r="Y821" s="9">
        <f t="shared" si="82"/>
        <v>4470.8</v>
      </c>
      <c r="AD821" s="4" t="s">
        <v>2589</v>
      </c>
      <c r="AE821" s="4" t="s">
        <v>2590</v>
      </c>
      <c r="AF821" s="4" t="s">
        <v>1770</v>
      </c>
    </row>
    <row r="822" spans="1:35" ht="18" x14ac:dyDescent="0.3">
      <c r="A822" s="25" t="s">
        <v>2591</v>
      </c>
      <c r="B822" s="25"/>
      <c r="C822" s="30" t="s">
        <v>2592</v>
      </c>
      <c r="D822" s="27"/>
      <c r="E822" s="27"/>
      <c r="F822" s="31" t="s">
        <v>116</v>
      </c>
      <c r="G822" s="32">
        <v>0.75</v>
      </c>
      <c r="H822" s="27"/>
      <c r="I822" s="32">
        <v>28.274999999999999</v>
      </c>
      <c r="J822" s="34">
        <v>2.8</v>
      </c>
      <c r="K822" s="35"/>
      <c r="L822" s="35"/>
      <c r="M822" s="34">
        <f t="shared" si="83"/>
        <v>79.17</v>
      </c>
      <c r="N822" s="35"/>
      <c r="O822" s="35"/>
      <c r="P822" s="34">
        <v>2.8</v>
      </c>
      <c r="Q822" s="35"/>
      <c r="R822" s="35"/>
      <c r="S822" s="34">
        <f t="shared" si="84"/>
        <v>79.17</v>
      </c>
      <c r="T822" s="35"/>
      <c r="U822" s="36"/>
      <c r="V822" s="9">
        <f t="shared" si="85"/>
        <v>2.33</v>
      </c>
      <c r="Y822" s="9">
        <f t="shared" ref="Y822:Y853" si="86">ROUND(S822 / 1.2, 2)</f>
        <v>65.98</v>
      </c>
      <c r="AD822" s="4" t="s">
        <v>2593</v>
      </c>
      <c r="AE822" s="4" t="s">
        <v>2594</v>
      </c>
      <c r="AF822" s="4" t="s">
        <v>2595</v>
      </c>
    </row>
    <row r="823" spans="1:35" ht="36" x14ac:dyDescent="0.3">
      <c r="A823" s="25" t="s">
        <v>2596</v>
      </c>
      <c r="B823" s="25" t="s">
        <v>2534</v>
      </c>
      <c r="C823" s="26" t="s">
        <v>2535</v>
      </c>
      <c r="D823" s="27"/>
      <c r="E823" s="27" t="s">
        <v>2597</v>
      </c>
      <c r="F823" s="27" t="s">
        <v>64</v>
      </c>
      <c r="G823" s="28">
        <v>1</v>
      </c>
      <c r="H823" s="27"/>
      <c r="I823" s="28">
        <v>31.97</v>
      </c>
      <c r="J823" s="29">
        <f>IFERROR(ROUND(SUM(M824,M825,M826,M827,M828,M829,M830,M831,M832,M833,M834,M835)/I823, 2),0)</f>
        <v>467.16</v>
      </c>
      <c r="K823" s="29">
        <v>1199</v>
      </c>
      <c r="L823" s="29">
        <f>J823+ROUND(K823, 2)</f>
        <v>1666.16</v>
      </c>
      <c r="M823" s="29">
        <f>ROUND(J823*I823, 2)</f>
        <v>14935.11</v>
      </c>
      <c r="N823" s="29">
        <f>ROUND(I823*ROUND(K823, 2), 2)</f>
        <v>38332.03</v>
      </c>
      <c r="O823" s="29">
        <f>M823+N823</f>
        <v>53267.14</v>
      </c>
      <c r="P823" s="29">
        <f>IFERROR(ROUND(SUM(S824,S825,S826,S827,S828,S829,S830,S831,S832,S833,S834,S835)/I823, 2),0)</f>
        <v>2063.5300000000002</v>
      </c>
      <c r="Q823" s="29">
        <v>1199</v>
      </c>
      <c r="R823" s="29">
        <f>P823+ROUND(Q823, 2)</f>
        <v>3262.53</v>
      </c>
      <c r="S823" s="29">
        <f>ROUND(P823*I823, 2)</f>
        <v>65971.05</v>
      </c>
      <c r="T823" s="29">
        <f>ROUND(I823*ROUND(Q823, 2), 2)</f>
        <v>38332.03</v>
      </c>
      <c r="U823" s="29">
        <f>S823+T823</f>
        <v>104303.08</v>
      </c>
      <c r="V823" s="9">
        <f>ROUND(P823 / 1.2, 2)</f>
        <v>1719.61</v>
      </c>
      <c r="W823" s="9">
        <f>ROUND(Q823 / 1.2, 2)</f>
        <v>999.17</v>
      </c>
      <c r="X823" s="9">
        <f>ROUND(R823 / 1.2, 2)</f>
        <v>2718.78</v>
      </c>
      <c r="Y823" s="9">
        <f t="shared" si="86"/>
        <v>54975.88</v>
      </c>
      <c r="Z823" s="9">
        <f>ROUND(T823 / 1.2, 2)</f>
        <v>31943.360000000001</v>
      </c>
      <c r="AA823" s="9">
        <f>Y823+Z823</f>
        <v>86919.239999999991</v>
      </c>
      <c r="AD823" s="4">
        <v>298925497</v>
      </c>
      <c r="AE823" s="4">
        <v>19825684</v>
      </c>
      <c r="AG823" s="4" t="s">
        <v>2537</v>
      </c>
      <c r="AH823" s="4" t="s">
        <v>2538</v>
      </c>
      <c r="AI823" s="4" t="s">
        <v>67</v>
      </c>
    </row>
    <row r="824" spans="1:35" ht="18" x14ac:dyDescent="0.3">
      <c r="A824" s="25" t="s">
        <v>2598</v>
      </c>
      <c r="B824" s="25"/>
      <c r="C824" s="30" t="s">
        <v>2592</v>
      </c>
      <c r="D824" s="27"/>
      <c r="E824" s="27"/>
      <c r="F824" s="31" t="s">
        <v>116</v>
      </c>
      <c r="G824" s="32">
        <v>0.75</v>
      </c>
      <c r="H824" s="27"/>
      <c r="I824" s="32">
        <v>23.978000000000002</v>
      </c>
      <c r="J824" s="34">
        <v>2.8</v>
      </c>
      <c r="K824" s="35"/>
      <c r="L824" s="35"/>
      <c r="M824" s="34">
        <f t="shared" ref="M824:M835" si="87">ROUND(ROUND(J824, 2)*I824, 2)</f>
        <v>67.14</v>
      </c>
      <c r="N824" s="35"/>
      <c r="O824" s="35"/>
      <c r="P824" s="34">
        <v>2.8</v>
      </c>
      <c r="Q824" s="35"/>
      <c r="R824" s="35"/>
      <c r="S824" s="34">
        <f t="shared" ref="S824:S835" si="88">ROUND(ROUND(P824, 2)*I824, 2)</f>
        <v>67.14</v>
      </c>
      <c r="T824" s="35"/>
      <c r="U824" s="36"/>
      <c r="V824" s="9">
        <f t="shared" ref="V824:V835" si="89">ROUND(ROUND(P824, 2)/1.2, 2)</f>
        <v>2.33</v>
      </c>
      <c r="Y824" s="9">
        <f t="shared" si="86"/>
        <v>55.95</v>
      </c>
      <c r="AD824" s="4" t="s">
        <v>2599</v>
      </c>
      <c r="AE824" s="4" t="s">
        <v>2600</v>
      </c>
      <c r="AF824" s="4" t="s">
        <v>2595</v>
      </c>
    </row>
    <row r="825" spans="1:35" ht="36" x14ac:dyDescent="0.3">
      <c r="A825" s="25" t="s">
        <v>2601</v>
      </c>
      <c r="B825" s="25"/>
      <c r="C825" s="30" t="s">
        <v>433</v>
      </c>
      <c r="D825" s="27"/>
      <c r="E825" s="27"/>
      <c r="F825" s="31" t="s">
        <v>70</v>
      </c>
      <c r="G825" s="32">
        <v>0.1</v>
      </c>
      <c r="H825" s="27"/>
      <c r="I825" s="32">
        <v>3.1970000000000001</v>
      </c>
      <c r="J825" s="34">
        <v>88.8</v>
      </c>
      <c r="K825" s="35"/>
      <c r="L825" s="35"/>
      <c r="M825" s="34">
        <f t="shared" si="87"/>
        <v>283.89</v>
      </c>
      <c r="N825" s="35"/>
      <c r="O825" s="35"/>
      <c r="P825" s="34">
        <v>88.8</v>
      </c>
      <c r="Q825" s="35"/>
      <c r="R825" s="35"/>
      <c r="S825" s="34">
        <f t="shared" si="88"/>
        <v>283.89</v>
      </c>
      <c r="T825" s="35"/>
      <c r="U825" s="36"/>
      <c r="V825" s="9">
        <f t="shared" si="89"/>
        <v>74</v>
      </c>
      <c r="Y825" s="9">
        <f t="shared" si="86"/>
        <v>236.58</v>
      </c>
      <c r="AD825" s="4" t="s">
        <v>2602</v>
      </c>
      <c r="AE825" s="4" t="s">
        <v>2603</v>
      </c>
      <c r="AF825" s="4" t="s">
        <v>436</v>
      </c>
    </row>
    <row r="826" spans="1:35" ht="18" x14ac:dyDescent="0.3">
      <c r="A826" s="25" t="s">
        <v>2604</v>
      </c>
      <c r="B826" s="25"/>
      <c r="C826" s="17" t="s">
        <v>2581</v>
      </c>
      <c r="D826" s="27"/>
      <c r="E826" s="27"/>
      <c r="F826" s="31" t="s">
        <v>116</v>
      </c>
      <c r="G826" s="32">
        <v>4.2</v>
      </c>
      <c r="H826" s="27"/>
      <c r="I826" s="32">
        <v>134.274</v>
      </c>
      <c r="J826" s="34">
        <v>4.92</v>
      </c>
      <c r="K826" s="35"/>
      <c r="L826" s="35"/>
      <c r="M826" s="34">
        <f t="shared" si="87"/>
        <v>660.63</v>
      </c>
      <c r="N826" s="35"/>
      <c r="O826" s="35"/>
      <c r="P826" s="34">
        <v>4.92</v>
      </c>
      <c r="Q826" s="35"/>
      <c r="R826" s="35"/>
      <c r="S826" s="34">
        <f t="shared" si="88"/>
        <v>660.63</v>
      </c>
      <c r="T826" s="35"/>
      <c r="U826" s="36"/>
      <c r="V826" s="9">
        <f t="shared" si="89"/>
        <v>4.0999999999999996</v>
      </c>
      <c r="Y826" s="9">
        <f t="shared" si="86"/>
        <v>550.53</v>
      </c>
      <c r="AD826" s="4" t="s">
        <v>2605</v>
      </c>
      <c r="AE826" s="4" t="s">
        <v>2606</v>
      </c>
      <c r="AF826" s="4" t="s">
        <v>2584</v>
      </c>
    </row>
    <row r="827" spans="1:35" ht="18" x14ac:dyDescent="0.3">
      <c r="A827" s="25" t="s">
        <v>2607</v>
      </c>
      <c r="B827" s="25"/>
      <c r="C827" s="30" t="s">
        <v>2571</v>
      </c>
      <c r="D827" s="27"/>
      <c r="E827" s="27"/>
      <c r="F827" s="31" t="s">
        <v>87</v>
      </c>
      <c r="G827" s="32">
        <v>0.3</v>
      </c>
      <c r="H827" s="27"/>
      <c r="I827" s="32">
        <v>9.5909999999999993</v>
      </c>
      <c r="J827" s="34">
        <v>44.13</v>
      </c>
      <c r="K827" s="35"/>
      <c r="L827" s="35"/>
      <c r="M827" s="34">
        <f t="shared" si="87"/>
        <v>423.25</v>
      </c>
      <c r="N827" s="35"/>
      <c r="O827" s="35"/>
      <c r="P827" s="34">
        <v>44.13</v>
      </c>
      <c r="Q827" s="35"/>
      <c r="R827" s="35"/>
      <c r="S827" s="34">
        <f t="shared" si="88"/>
        <v>423.25</v>
      </c>
      <c r="T827" s="35"/>
      <c r="U827" s="36"/>
      <c r="V827" s="9">
        <f t="shared" si="89"/>
        <v>36.78</v>
      </c>
      <c r="Y827" s="9">
        <f t="shared" si="86"/>
        <v>352.71</v>
      </c>
      <c r="AD827" s="4" t="s">
        <v>2608</v>
      </c>
      <c r="AE827" s="4" t="s">
        <v>2609</v>
      </c>
      <c r="AF827" s="4" t="s">
        <v>2574</v>
      </c>
    </row>
    <row r="828" spans="1:35" ht="18" x14ac:dyDescent="0.3">
      <c r="A828" s="25" t="s">
        <v>2610</v>
      </c>
      <c r="B828" s="25"/>
      <c r="C828" s="30" t="s">
        <v>2576</v>
      </c>
      <c r="D828" s="27"/>
      <c r="E828" s="27"/>
      <c r="F828" s="31" t="s">
        <v>87</v>
      </c>
      <c r="G828" s="32">
        <v>4.7</v>
      </c>
      <c r="H828" s="27"/>
      <c r="I828" s="32">
        <v>150.25899999999999</v>
      </c>
      <c r="J828" s="34">
        <v>66.98</v>
      </c>
      <c r="K828" s="35"/>
      <c r="L828" s="35"/>
      <c r="M828" s="34">
        <f t="shared" si="87"/>
        <v>10064.35</v>
      </c>
      <c r="N828" s="35"/>
      <c r="O828" s="35"/>
      <c r="P828" s="34">
        <v>66.98</v>
      </c>
      <c r="Q828" s="35"/>
      <c r="R828" s="35"/>
      <c r="S828" s="34">
        <f t="shared" si="88"/>
        <v>10064.35</v>
      </c>
      <c r="T828" s="35"/>
      <c r="U828" s="36"/>
      <c r="V828" s="9">
        <f t="shared" si="89"/>
        <v>55.82</v>
      </c>
      <c r="Y828" s="9">
        <f t="shared" si="86"/>
        <v>8386.9599999999991</v>
      </c>
      <c r="AD828" s="4" t="s">
        <v>2611</v>
      </c>
      <c r="AE828" s="4" t="s">
        <v>2612</v>
      </c>
      <c r="AF828" s="4" t="s">
        <v>2579</v>
      </c>
    </row>
    <row r="829" spans="1:35" ht="18" x14ac:dyDescent="0.3">
      <c r="A829" s="25" t="s">
        <v>2613</v>
      </c>
      <c r="B829" s="25"/>
      <c r="C829" s="30" t="s">
        <v>2566</v>
      </c>
      <c r="D829" s="27"/>
      <c r="E829" s="27"/>
      <c r="F829" s="31" t="s">
        <v>87</v>
      </c>
      <c r="G829" s="32">
        <v>1.25</v>
      </c>
      <c r="H829" s="27"/>
      <c r="I829" s="32">
        <v>39.963000000000001</v>
      </c>
      <c r="J829" s="34">
        <v>2.8</v>
      </c>
      <c r="K829" s="35"/>
      <c r="L829" s="35"/>
      <c r="M829" s="34">
        <f t="shared" si="87"/>
        <v>111.9</v>
      </c>
      <c r="N829" s="35"/>
      <c r="O829" s="35"/>
      <c r="P829" s="34">
        <v>2.8</v>
      </c>
      <c r="Q829" s="35"/>
      <c r="R829" s="35"/>
      <c r="S829" s="34">
        <f t="shared" si="88"/>
        <v>111.9</v>
      </c>
      <c r="T829" s="35"/>
      <c r="U829" s="36"/>
      <c r="V829" s="9">
        <f t="shared" si="89"/>
        <v>2.33</v>
      </c>
      <c r="Y829" s="9">
        <f t="shared" si="86"/>
        <v>93.25</v>
      </c>
      <c r="AD829" s="4" t="s">
        <v>2614</v>
      </c>
      <c r="AE829" s="4" t="s">
        <v>2615</v>
      </c>
      <c r="AF829" s="4" t="s">
        <v>2569</v>
      </c>
    </row>
    <row r="830" spans="1:35" ht="18" x14ac:dyDescent="0.3">
      <c r="A830" s="25" t="s">
        <v>2616</v>
      </c>
      <c r="B830" s="25"/>
      <c r="C830" s="30" t="s">
        <v>2561</v>
      </c>
      <c r="D830" s="27"/>
      <c r="E830" s="27"/>
      <c r="F830" s="31" t="s">
        <v>87</v>
      </c>
      <c r="G830" s="32">
        <v>1.05</v>
      </c>
      <c r="H830" s="27"/>
      <c r="I830" s="32">
        <v>33.569000000000003</v>
      </c>
      <c r="J830" s="34">
        <v>4.5999999999999996</v>
      </c>
      <c r="K830" s="35"/>
      <c r="L830" s="35"/>
      <c r="M830" s="34">
        <f t="shared" si="87"/>
        <v>154.41999999999999</v>
      </c>
      <c r="N830" s="35"/>
      <c r="O830" s="35"/>
      <c r="P830" s="34">
        <v>4.5999999999999996</v>
      </c>
      <c r="Q830" s="35"/>
      <c r="R830" s="35"/>
      <c r="S830" s="34">
        <f t="shared" si="88"/>
        <v>154.41999999999999</v>
      </c>
      <c r="T830" s="35"/>
      <c r="U830" s="36"/>
      <c r="V830" s="9">
        <f t="shared" si="89"/>
        <v>3.83</v>
      </c>
      <c r="Y830" s="9">
        <f t="shared" si="86"/>
        <v>128.68</v>
      </c>
      <c r="AD830" s="4" t="s">
        <v>2617</v>
      </c>
      <c r="AE830" s="4" t="s">
        <v>2618</v>
      </c>
      <c r="AF830" s="4" t="s">
        <v>2564</v>
      </c>
    </row>
    <row r="831" spans="1:35" ht="18" x14ac:dyDescent="0.3">
      <c r="A831" s="25" t="s">
        <v>2619</v>
      </c>
      <c r="B831" s="25"/>
      <c r="C831" s="30" t="s">
        <v>1797</v>
      </c>
      <c r="D831" s="27"/>
      <c r="E831" s="27"/>
      <c r="F831" s="31" t="s">
        <v>64</v>
      </c>
      <c r="G831" s="32">
        <v>1.05</v>
      </c>
      <c r="H831" s="27"/>
      <c r="I831" s="32">
        <v>33.569000000000003</v>
      </c>
      <c r="J831" s="34">
        <v>0</v>
      </c>
      <c r="K831" s="35"/>
      <c r="L831" s="35"/>
      <c r="M831" s="34">
        <f t="shared" si="87"/>
        <v>0</v>
      </c>
      <c r="N831" s="35"/>
      <c r="O831" s="35"/>
      <c r="P831" s="34">
        <v>1520.33</v>
      </c>
      <c r="Q831" s="35"/>
      <c r="R831" s="35"/>
      <c r="S831" s="34">
        <f t="shared" si="88"/>
        <v>51035.96</v>
      </c>
      <c r="T831" s="35"/>
      <c r="U831" s="36"/>
      <c r="V831" s="9">
        <f t="shared" si="89"/>
        <v>1266.94</v>
      </c>
      <c r="Y831" s="9">
        <f t="shared" si="86"/>
        <v>42529.97</v>
      </c>
      <c r="AD831" s="4" t="s">
        <v>2620</v>
      </c>
      <c r="AE831" s="4" t="s">
        <v>2621</v>
      </c>
      <c r="AF831" s="4" t="s">
        <v>1800</v>
      </c>
    </row>
    <row r="832" spans="1:35" ht="18" x14ac:dyDescent="0.3">
      <c r="A832" s="25" t="s">
        <v>2622</v>
      </c>
      <c r="B832" s="25"/>
      <c r="C832" s="30" t="s">
        <v>1753</v>
      </c>
      <c r="D832" s="27"/>
      <c r="E832" s="27"/>
      <c r="F832" s="31" t="s">
        <v>70</v>
      </c>
      <c r="G832" s="32">
        <v>0.35</v>
      </c>
      <c r="H832" s="27"/>
      <c r="I832" s="32">
        <v>11.19</v>
      </c>
      <c r="J832" s="34">
        <v>55</v>
      </c>
      <c r="K832" s="35"/>
      <c r="L832" s="35"/>
      <c r="M832" s="34">
        <f t="shared" si="87"/>
        <v>615.45000000000005</v>
      </c>
      <c r="N832" s="35"/>
      <c r="O832" s="35"/>
      <c r="P832" s="34">
        <v>55</v>
      </c>
      <c r="Q832" s="35"/>
      <c r="R832" s="35"/>
      <c r="S832" s="34">
        <f t="shared" si="88"/>
        <v>615.45000000000005</v>
      </c>
      <c r="T832" s="35"/>
      <c r="U832" s="36"/>
      <c r="V832" s="9">
        <f t="shared" si="89"/>
        <v>45.83</v>
      </c>
      <c r="Y832" s="9">
        <f t="shared" si="86"/>
        <v>512.88</v>
      </c>
      <c r="AD832" s="4" t="s">
        <v>2623</v>
      </c>
      <c r="AE832" s="4" t="s">
        <v>2624</v>
      </c>
      <c r="AF832" s="4" t="s">
        <v>1756</v>
      </c>
    </row>
    <row r="833" spans="1:35" ht="36" x14ac:dyDescent="0.3">
      <c r="A833" s="25" t="s">
        <v>2625</v>
      </c>
      <c r="B833" s="25"/>
      <c r="C833" s="17" t="s">
        <v>2553</v>
      </c>
      <c r="D833" s="27"/>
      <c r="E833" s="27"/>
      <c r="F833" s="31" t="s">
        <v>116</v>
      </c>
      <c r="G833" s="32">
        <v>3.6</v>
      </c>
      <c r="H833" s="27"/>
      <c r="I833" s="32">
        <v>115.092</v>
      </c>
      <c r="J833" s="34">
        <v>15.9</v>
      </c>
      <c r="K833" s="35"/>
      <c r="L833" s="35"/>
      <c r="M833" s="34">
        <f t="shared" si="87"/>
        <v>1829.96</v>
      </c>
      <c r="N833" s="35"/>
      <c r="O833" s="35"/>
      <c r="P833" s="34">
        <v>15.9</v>
      </c>
      <c r="Q833" s="35"/>
      <c r="R833" s="35"/>
      <c r="S833" s="34">
        <f t="shared" si="88"/>
        <v>1829.96</v>
      </c>
      <c r="T833" s="35"/>
      <c r="U833" s="36"/>
      <c r="V833" s="9">
        <f t="shared" si="89"/>
        <v>13.25</v>
      </c>
      <c r="Y833" s="9">
        <f t="shared" si="86"/>
        <v>1524.97</v>
      </c>
      <c r="AD833" s="4" t="s">
        <v>2626</v>
      </c>
      <c r="AE833" s="4" t="s">
        <v>2627</v>
      </c>
      <c r="AF833" s="4" t="s">
        <v>2556</v>
      </c>
    </row>
    <row r="834" spans="1:35" ht="18" x14ac:dyDescent="0.3">
      <c r="A834" s="25" t="s">
        <v>2628</v>
      </c>
      <c r="B834" s="25"/>
      <c r="C834" s="30" t="s">
        <v>1920</v>
      </c>
      <c r="D834" s="27"/>
      <c r="E834" s="27"/>
      <c r="F834" s="31" t="s">
        <v>116</v>
      </c>
      <c r="G834" s="32">
        <v>30</v>
      </c>
      <c r="H834" s="27"/>
      <c r="I834" s="32">
        <v>959.1</v>
      </c>
      <c r="J834" s="34">
        <v>0.28000000000000003</v>
      </c>
      <c r="K834" s="35"/>
      <c r="L834" s="35"/>
      <c r="M834" s="34">
        <f t="shared" si="87"/>
        <v>268.55</v>
      </c>
      <c r="N834" s="35"/>
      <c r="O834" s="35"/>
      <c r="P834" s="34">
        <v>0.28000000000000003</v>
      </c>
      <c r="Q834" s="35"/>
      <c r="R834" s="35"/>
      <c r="S834" s="34">
        <f t="shared" si="88"/>
        <v>268.55</v>
      </c>
      <c r="T834" s="35"/>
      <c r="U834" s="36"/>
      <c r="V834" s="9">
        <f t="shared" si="89"/>
        <v>0.23</v>
      </c>
      <c r="Y834" s="9">
        <f t="shared" si="86"/>
        <v>223.79</v>
      </c>
      <c r="AD834" s="4" t="s">
        <v>2629</v>
      </c>
      <c r="AE834" s="4" t="s">
        <v>2630</v>
      </c>
      <c r="AF834" s="4" t="s">
        <v>1923</v>
      </c>
    </row>
    <row r="835" spans="1:35" ht="18" x14ac:dyDescent="0.3">
      <c r="A835" s="25" t="s">
        <v>2631</v>
      </c>
      <c r="B835" s="25"/>
      <c r="C835" s="30" t="s">
        <v>2545</v>
      </c>
      <c r="D835" s="27"/>
      <c r="E835" s="27"/>
      <c r="F835" s="31" t="s">
        <v>116</v>
      </c>
      <c r="G835" s="32">
        <v>15</v>
      </c>
      <c r="H835" s="27"/>
      <c r="I835" s="32">
        <v>479.55</v>
      </c>
      <c r="J835" s="34">
        <v>0.95</v>
      </c>
      <c r="K835" s="35"/>
      <c r="L835" s="35"/>
      <c r="M835" s="34">
        <f t="shared" si="87"/>
        <v>455.57</v>
      </c>
      <c r="N835" s="35"/>
      <c r="O835" s="35"/>
      <c r="P835" s="34">
        <v>0.95</v>
      </c>
      <c r="Q835" s="35"/>
      <c r="R835" s="35"/>
      <c r="S835" s="34">
        <f t="shared" si="88"/>
        <v>455.57</v>
      </c>
      <c r="T835" s="35"/>
      <c r="U835" s="36"/>
      <c r="V835" s="9">
        <f t="shared" si="89"/>
        <v>0.79</v>
      </c>
      <c r="Y835" s="9">
        <f t="shared" si="86"/>
        <v>379.64</v>
      </c>
      <c r="AD835" s="4" t="s">
        <v>2632</v>
      </c>
      <c r="AE835" s="4" t="s">
        <v>2633</v>
      </c>
      <c r="AF835" s="4" t="s">
        <v>2548</v>
      </c>
    </row>
    <row r="836" spans="1:35" ht="36" x14ac:dyDescent="0.3">
      <c r="A836" s="25" t="s">
        <v>2634</v>
      </c>
      <c r="B836" s="25" t="s">
        <v>2534</v>
      </c>
      <c r="C836" s="26" t="s">
        <v>2535</v>
      </c>
      <c r="D836" s="27"/>
      <c r="E836" s="27" t="s">
        <v>2635</v>
      </c>
      <c r="F836" s="27" t="s">
        <v>64</v>
      </c>
      <c r="G836" s="28">
        <v>1</v>
      </c>
      <c r="H836" s="27"/>
      <c r="I836" s="28">
        <v>246.36</v>
      </c>
      <c r="J836" s="29">
        <f>IFERROR(ROUND(SUM(M837,M838,M839,M840,M841,M842,M843,M844,M845,M846,M847)/I836, 2),0)</f>
        <v>583.02</v>
      </c>
      <c r="K836" s="29">
        <v>1199</v>
      </c>
      <c r="L836" s="29">
        <f>J836+ROUND(K836, 2)</f>
        <v>1782.02</v>
      </c>
      <c r="M836" s="29">
        <f>ROUND(J836*I836, 2)</f>
        <v>143632.81</v>
      </c>
      <c r="N836" s="29">
        <f>ROUND(I836*ROUND(K836, 2), 2)</f>
        <v>295385.64</v>
      </c>
      <c r="O836" s="29">
        <f>M836+N836</f>
        <v>439018.45</v>
      </c>
      <c r="P836" s="29">
        <f>IFERROR(ROUND(SUM(S837,S838,S839,S840,S841,S842,S843,S844,S845,S846,S847)/I836, 2),0)</f>
        <v>583.02</v>
      </c>
      <c r="Q836" s="29">
        <v>1199</v>
      </c>
      <c r="R836" s="29">
        <f>P836+ROUND(Q836, 2)</f>
        <v>1782.02</v>
      </c>
      <c r="S836" s="29">
        <f>ROUND(P836*I836, 2)</f>
        <v>143632.81</v>
      </c>
      <c r="T836" s="29">
        <f>ROUND(I836*ROUND(Q836, 2), 2)</f>
        <v>295385.64</v>
      </c>
      <c r="U836" s="29">
        <f>S836+T836</f>
        <v>439018.45</v>
      </c>
      <c r="V836" s="9">
        <f>ROUND(P836 / 1.2, 2)</f>
        <v>485.85</v>
      </c>
      <c r="W836" s="9">
        <f>ROUND(Q836 / 1.2, 2)</f>
        <v>999.17</v>
      </c>
      <c r="X836" s="9">
        <f>ROUND(R836 / 1.2, 2)</f>
        <v>1485.02</v>
      </c>
      <c r="Y836" s="9">
        <f t="shared" si="86"/>
        <v>119694.01</v>
      </c>
      <c r="Z836" s="9">
        <f>ROUND(T836 / 1.2, 2)</f>
        <v>246154.7</v>
      </c>
      <c r="AA836" s="9">
        <f>Y836+Z836</f>
        <v>365848.71</v>
      </c>
      <c r="AD836" s="4">
        <v>298925498</v>
      </c>
      <c r="AE836" s="4">
        <v>20004302</v>
      </c>
      <c r="AG836" s="4" t="s">
        <v>2537</v>
      </c>
      <c r="AH836" s="4" t="s">
        <v>2538</v>
      </c>
      <c r="AI836" s="4" t="s">
        <v>67</v>
      </c>
    </row>
    <row r="837" spans="1:35" ht="18" x14ac:dyDescent="0.3">
      <c r="A837" s="25" t="s">
        <v>2636</v>
      </c>
      <c r="B837" s="25"/>
      <c r="C837" s="30" t="s">
        <v>2540</v>
      </c>
      <c r="D837" s="27"/>
      <c r="E837" s="27"/>
      <c r="F837" s="31" t="s">
        <v>116</v>
      </c>
      <c r="G837" s="32">
        <v>0.3</v>
      </c>
      <c r="H837" s="27"/>
      <c r="I837" s="32">
        <v>73.908000000000001</v>
      </c>
      <c r="J837" s="34">
        <v>5.6</v>
      </c>
      <c r="K837" s="35"/>
      <c r="L837" s="35"/>
      <c r="M837" s="34">
        <f t="shared" ref="M837:M847" si="90">ROUND(ROUND(J837, 2)*I837, 2)</f>
        <v>413.88</v>
      </c>
      <c r="N837" s="35"/>
      <c r="O837" s="35"/>
      <c r="P837" s="34">
        <v>5.6</v>
      </c>
      <c r="Q837" s="35"/>
      <c r="R837" s="35"/>
      <c r="S837" s="34">
        <f t="shared" ref="S837:S847" si="91">ROUND(ROUND(P837, 2)*I837, 2)</f>
        <v>413.88</v>
      </c>
      <c r="T837" s="35"/>
      <c r="U837" s="36"/>
      <c r="V837" s="9">
        <f t="shared" ref="V837:V847" si="92">ROUND(ROUND(P837, 2)/1.2, 2)</f>
        <v>4.67</v>
      </c>
      <c r="Y837" s="9">
        <f t="shared" si="86"/>
        <v>344.9</v>
      </c>
      <c r="AD837" s="4" t="s">
        <v>2637</v>
      </c>
      <c r="AE837" s="4" t="s">
        <v>2638</v>
      </c>
      <c r="AF837" s="4" t="s">
        <v>2543</v>
      </c>
    </row>
    <row r="838" spans="1:35" ht="18" x14ac:dyDescent="0.3">
      <c r="A838" s="25" t="s">
        <v>2639</v>
      </c>
      <c r="B838" s="25"/>
      <c r="C838" s="30" t="s">
        <v>2545</v>
      </c>
      <c r="D838" s="27"/>
      <c r="E838" s="27"/>
      <c r="F838" s="31" t="s">
        <v>116</v>
      </c>
      <c r="G838" s="32">
        <v>15</v>
      </c>
      <c r="H838" s="27"/>
      <c r="I838" s="32">
        <v>3695.4</v>
      </c>
      <c r="J838" s="34">
        <v>0.95</v>
      </c>
      <c r="K838" s="35"/>
      <c r="L838" s="35"/>
      <c r="M838" s="34">
        <f t="shared" si="90"/>
        <v>3510.63</v>
      </c>
      <c r="N838" s="35"/>
      <c r="O838" s="35"/>
      <c r="P838" s="34">
        <v>0.95</v>
      </c>
      <c r="Q838" s="35"/>
      <c r="R838" s="35"/>
      <c r="S838" s="34">
        <f t="shared" si="91"/>
        <v>3510.63</v>
      </c>
      <c r="T838" s="35"/>
      <c r="U838" s="36"/>
      <c r="V838" s="9">
        <f t="shared" si="92"/>
        <v>0.79</v>
      </c>
      <c r="Y838" s="9">
        <f t="shared" si="86"/>
        <v>2925.53</v>
      </c>
      <c r="AD838" s="4" t="s">
        <v>2640</v>
      </c>
      <c r="AE838" s="4" t="s">
        <v>2641</v>
      </c>
      <c r="AF838" s="4" t="s">
        <v>2548</v>
      </c>
    </row>
    <row r="839" spans="1:35" ht="18" x14ac:dyDescent="0.3">
      <c r="A839" s="25" t="s">
        <v>2642</v>
      </c>
      <c r="B839" s="25"/>
      <c r="C839" s="30" t="s">
        <v>1920</v>
      </c>
      <c r="D839" s="27"/>
      <c r="E839" s="27"/>
      <c r="F839" s="31" t="s">
        <v>116</v>
      </c>
      <c r="G839" s="32">
        <v>30</v>
      </c>
      <c r="H839" s="27"/>
      <c r="I839" s="32">
        <v>7390.8</v>
      </c>
      <c r="J839" s="34">
        <v>0.28000000000000003</v>
      </c>
      <c r="K839" s="35"/>
      <c r="L839" s="35"/>
      <c r="M839" s="34">
        <f t="shared" si="90"/>
        <v>2069.42</v>
      </c>
      <c r="N839" s="35"/>
      <c r="O839" s="35"/>
      <c r="P839" s="34">
        <v>0.28000000000000003</v>
      </c>
      <c r="Q839" s="35"/>
      <c r="R839" s="35"/>
      <c r="S839" s="34">
        <f t="shared" si="91"/>
        <v>2069.42</v>
      </c>
      <c r="T839" s="35"/>
      <c r="U839" s="36"/>
      <c r="V839" s="9">
        <f t="shared" si="92"/>
        <v>0.23</v>
      </c>
      <c r="Y839" s="9">
        <f t="shared" si="86"/>
        <v>1724.52</v>
      </c>
      <c r="AD839" s="4" t="s">
        <v>2643</v>
      </c>
      <c r="AE839" s="4" t="s">
        <v>2644</v>
      </c>
      <c r="AF839" s="4" t="s">
        <v>1923</v>
      </c>
    </row>
    <row r="840" spans="1:35" ht="36" x14ac:dyDescent="0.3">
      <c r="A840" s="25" t="s">
        <v>2645</v>
      </c>
      <c r="B840" s="25"/>
      <c r="C840" s="17" t="s">
        <v>2553</v>
      </c>
      <c r="D840" s="27"/>
      <c r="E840" s="27"/>
      <c r="F840" s="31" t="s">
        <v>116</v>
      </c>
      <c r="G840" s="32">
        <v>3.6</v>
      </c>
      <c r="H840" s="27"/>
      <c r="I840" s="32">
        <v>886.89599999999996</v>
      </c>
      <c r="J840" s="34">
        <v>15.9</v>
      </c>
      <c r="K840" s="35"/>
      <c r="L840" s="35"/>
      <c r="M840" s="34">
        <f t="shared" si="90"/>
        <v>14101.65</v>
      </c>
      <c r="N840" s="35"/>
      <c r="O840" s="35"/>
      <c r="P840" s="34">
        <v>15.9</v>
      </c>
      <c r="Q840" s="35"/>
      <c r="R840" s="35"/>
      <c r="S840" s="34">
        <f t="shared" si="91"/>
        <v>14101.65</v>
      </c>
      <c r="T840" s="35"/>
      <c r="U840" s="36"/>
      <c r="V840" s="9">
        <f t="shared" si="92"/>
        <v>13.25</v>
      </c>
      <c r="Y840" s="9">
        <f t="shared" si="86"/>
        <v>11751.38</v>
      </c>
      <c r="AD840" s="4" t="s">
        <v>2646</v>
      </c>
      <c r="AE840" s="4" t="s">
        <v>2647</v>
      </c>
      <c r="AF840" s="4" t="s">
        <v>2556</v>
      </c>
    </row>
    <row r="841" spans="1:35" ht="18" x14ac:dyDescent="0.3">
      <c r="A841" s="25" t="s">
        <v>2648</v>
      </c>
      <c r="B841" s="25"/>
      <c r="C841" s="30" t="s">
        <v>2561</v>
      </c>
      <c r="D841" s="27"/>
      <c r="E841" s="27"/>
      <c r="F841" s="31" t="s">
        <v>87</v>
      </c>
      <c r="G841" s="32">
        <v>1.05</v>
      </c>
      <c r="H841" s="27"/>
      <c r="I841" s="32">
        <v>258.678</v>
      </c>
      <c r="J841" s="34">
        <v>4.5999999999999996</v>
      </c>
      <c r="K841" s="35"/>
      <c r="L841" s="35"/>
      <c r="M841" s="34">
        <f t="shared" si="90"/>
        <v>1189.92</v>
      </c>
      <c r="N841" s="35"/>
      <c r="O841" s="35"/>
      <c r="P841" s="34">
        <v>4.5999999999999996</v>
      </c>
      <c r="Q841" s="35"/>
      <c r="R841" s="35"/>
      <c r="S841" s="34">
        <f t="shared" si="91"/>
        <v>1189.92</v>
      </c>
      <c r="T841" s="35"/>
      <c r="U841" s="36"/>
      <c r="V841" s="9">
        <f t="shared" si="92"/>
        <v>3.83</v>
      </c>
      <c r="Y841" s="9">
        <f t="shared" si="86"/>
        <v>991.6</v>
      </c>
      <c r="AD841" s="4" t="s">
        <v>2649</v>
      </c>
      <c r="AE841" s="4" t="s">
        <v>2650</v>
      </c>
      <c r="AF841" s="4" t="s">
        <v>2564</v>
      </c>
    </row>
    <row r="842" spans="1:35" ht="18" x14ac:dyDescent="0.3">
      <c r="A842" s="25" t="s">
        <v>2651</v>
      </c>
      <c r="B842" s="25"/>
      <c r="C842" s="30" t="s">
        <v>2566</v>
      </c>
      <c r="D842" s="27"/>
      <c r="E842" s="27"/>
      <c r="F842" s="31" t="s">
        <v>87</v>
      </c>
      <c r="G842" s="32">
        <v>1.25</v>
      </c>
      <c r="H842" s="27"/>
      <c r="I842" s="32">
        <v>307.95</v>
      </c>
      <c r="J842" s="34">
        <v>2.8</v>
      </c>
      <c r="K842" s="35"/>
      <c r="L842" s="35"/>
      <c r="M842" s="34">
        <f t="shared" si="90"/>
        <v>862.26</v>
      </c>
      <c r="N842" s="35"/>
      <c r="O842" s="35"/>
      <c r="P842" s="34">
        <v>2.8</v>
      </c>
      <c r="Q842" s="35"/>
      <c r="R842" s="35"/>
      <c r="S842" s="34">
        <f t="shared" si="91"/>
        <v>862.26</v>
      </c>
      <c r="T842" s="35"/>
      <c r="U842" s="36"/>
      <c r="V842" s="9">
        <f t="shared" si="92"/>
        <v>2.33</v>
      </c>
      <c r="Y842" s="9">
        <f t="shared" si="86"/>
        <v>718.55</v>
      </c>
      <c r="AD842" s="4" t="s">
        <v>2652</v>
      </c>
      <c r="AE842" s="4" t="s">
        <v>2653</v>
      </c>
      <c r="AF842" s="4" t="s">
        <v>2569</v>
      </c>
    </row>
    <row r="843" spans="1:35" ht="18" x14ac:dyDescent="0.3">
      <c r="A843" s="25" t="s">
        <v>2654</v>
      </c>
      <c r="B843" s="25"/>
      <c r="C843" s="30" t="s">
        <v>2571</v>
      </c>
      <c r="D843" s="27"/>
      <c r="E843" s="27"/>
      <c r="F843" s="31" t="s">
        <v>87</v>
      </c>
      <c r="G843" s="32">
        <v>0.3</v>
      </c>
      <c r="H843" s="27"/>
      <c r="I843" s="32">
        <v>73.908000000000001</v>
      </c>
      <c r="J843" s="34">
        <v>44.13</v>
      </c>
      <c r="K843" s="35"/>
      <c r="L843" s="35"/>
      <c r="M843" s="34">
        <f t="shared" si="90"/>
        <v>3261.56</v>
      </c>
      <c r="N843" s="35"/>
      <c r="O843" s="35"/>
      <c r="P843" s="34">
        <v>44.13</v>
      </c>
      <c r="Q843" s="35"/>
      <c r="R843" s="35"/>
      <c r="S843" s="34">
        <f t="shared" si="91"/>
        <v>3261.56</v>
      </c>
      <c r="T843" s="35"/>
      <c r="U843" s="36"/>
      <c r="V843" s="9">
        <f t="shared" si="92"/>
        <v>36.78</v>
      </c>
      <c r="Y843" s="9">
        <f t="shared" si="86"/>
        <v>2717.97</v>
      </c>
      <c r="AD843" s="4" t="s">
        <v>2655</v>
      </c>
      <c r="AE843" s="4" t="s">
        <v>2656</v>
      </c>
      <c r="AF843" s="4" t="s">
        <v>2574</v>
      </c>
    </row>
    <row r="844" spans="1:35" ht="18" x14ac:dyDescent="0.3">
      <c r="A844" s="25" t="s">
        <v>2657</v>
      </c>
      <c r="B844" s="25"/>
      <c r="C844" s="30" t="s">
        <v>2576</v>
      </c>
      <c r="D844" s="27"/>
      <c r="E844" s="27"/>
      <c r="F844" s="31" t="s">
        <v>87</v>
      </c>
      <c r="G844" s="32">
        <v>4.7</v>
      </c>
      <c r="H844" s="27"/>
      <c r="I844" s="32">
        <v>1157.8920000000001</v>
      </c>
      <c r="J844" s="34">
        <v>66.98</v>
      </c>
      <c r="K844" s="35"/>
      <c r="L844" s="35"/>
      <c r="M844" s="34">
        <f t="shared" si="90"/>
        <v>77555.61</v>
      </c>
      <c r="N844" s="35"/>
      <c r="O844" s="35"/>
      <c r="P844" s="34">
        <v>66.98</v>
      </c>
      <c r="Q844" s="35"/>
      <c r="R844" s="35"/>
      <c r="S844" s="34">
        <f t="shared" si="91"/>
        <v>77555.61</v>
      </c>
      <c r="T844" s="35"/>
      <c r="U844" s="36"/>
      <c r="V844" s="9">
        <f t="shared" si="92"/>
        <v>55.82</v>
      </c>
      <c r="Y844" s="9">
        <f t="shared" si="86"/>
        <v>64629.68</v>
      </c>
      <c r="AD844" s="4" t="s">
        <v>2658</v>
      </c>
      <c r="AE844" s="4" t="s">
        <v>2659</v>
      </c>
      <c r="AF844" s="4" t="s">
        <v>2579</v>
      </c>
    </row>
    <row r="845" spans="1:35" ht="18" x14ac:dyDescent="0.3">
      <c r="A845" s="25" t="s">
        <v>2660</v>
      </c>
      <c r="B845" s="25"/>
      <c r="C845" s="17" t="s">
        <v>2581</v>
      </c>
      <c r="D845" s="27"/>
      <c r="E845" s="27"/>
      <c r="F845" s="31" t="s">
        <v>116</v>
      </c>
      <c r="G845" s="32">
        <v>4.2</v>
      </c>
      <c r="H845" s="27"/>
      <c r="I845" s="32">
        <v>1034.712</v>
      </c>
      <c r="J845" s="34">
        <v>4.92</v>
      </c>
      <c r="K845" s="35"/>
      <c r="L845" s="35"/>
      <c r="M845" s="34">
        <f t="shared" si="90"/>
        <v>5090.78</v>
      </c>
      <c r="N845" s="35"/>
      <c r="O845" s="35"/>
      <c r="P845" s="34">
        <v>4.92</v>
      </c>
      <c r="Q845" s="35"/>
      <c r="R845" s="35"/>
      <c r="S845" s="34">
        <f t="shared" si="91"/>
        <v>5090.78</v>
      </c>
      <c r="T845" s="35"/>
      <c r="U845" s="36"/>
      <c r="V845" s="9">
        <f t="shared" si="92"/>
        <v>4.0999999999999996</v>
      </c>
      <c r="Y845" s="9">
        <f t="shared" si="86"/>
        <v>4242.32</v>
      </c>
      <c r="AD845" s="4" t="s">
        <v>2661</v>
      </c>
      <c r="AE845" s="4" t="s">
        <v>2662</v>
      </c>
      <c r="AF845" s="4" t="s">
        <v>2584</v>
      </c>
    </row>
    <row r="846" spans="1:35" ht="36" x14ac:dyDescent="0.3">
      <c r="A846" s="25" t="s">
        <v>2663</v>
      </c>
      <c r="B846" s="25"/>
      <c r="C846" s="30" t="s">
        <v>1767</v>
      </c>
      <c r="D846" s="27"/>
      <c r="E846" s="27"/>
      <c r="F846" s="31" t="s">
        <v>64</v>
      </c>
      <c r="G846" s="32">
        <v>1.05</v>
      </c>
      <c r="H846" s="27"/>
      <c r="I846" s="32">
        <v>258.678</v>
      </c>
      <c r="J846" s="34">
        <v>135.53</v>
      </c>
      <c r="K846" s="35"/>
      <c r="L846" s="35"/>
      <c r="M846" s="34">
        <f t="shared" si="90"/>
        <v>35058.629999999997</v>
      </c>
      <c r="N846" s="35"/>
      <c r="O846" s="35"/>
      <c r="P846" s="34">
        <v>135.53</v>
      </c>
      <c r="Q846" s="35"/>
      <c r="R846" s="35"/>
      <c r="S846" s="34">
        <f t="shared" si="91"/>
        <v>35058.629999999997</v>
      </c>
      <c r="T846" s="35"/>
      <c r="U846" s="36"/>
      <c r="V846" s="9">
        <f t="shared" si="92"/>
        <v>112.94</v>
      </c>
      <c r="Y846" s="9">
        <f t="shared" si="86"/>
        <v>29215.53</v>
      </c>
      <c r="AD846" s="4" t="s">
        <v>2664</v>
      </c>
      <c r="AE846" s="4" t="s">
        <v>2665</v>
      </c>
      <c r="AF846" s="4" t="s">
        <v>1770</v>
      </c>
    </row>
    <row r="847" spans="1:35" ht="18" x14ac:dyDescent="0.3">
      <c r="A847" s="25" t="s">
        <v>2666</v>
      </c>
      <c r="B847" s="25"/>
      <c r="C847" s="30" t="s">
        <v>2592</v>
      </c>
      <c r="D847" s="27"/>
      <c r="E847" s="27"/>
      <c r="F847" s="31" t="s">
        <v>116</v>
      </c>
      <c r="G847" s="32">
        <v>0.75</v>
      </c>
      <c r="H847" s="27"/>
      <c r="I847" s="32">
        <v>184.77</v>
      </c>
      <c r="J847" s="34">
        <v>2.8</v>
      </c>
      <c r="K847" s="35"/>
      <c r="L847" s="35"/>
      <c r="M847" s="34">
        <f t="shared" si="90"/>
        <v>517.36</v>
      </c>
      <c r="N847" s="35"/>
      <c r="O847" s="35"/>
      <c r="P847" s="34">
        <v>2.8</v>
      </c>
      <c r="Q847" s="35"/>
      <c r="R847" s="35"/>
      <c r="S847" s="34">
        <f t="shared" si="91"/>
        <v>517.36</v>
      </c>
      <c r="T847" s="35"/>
      <c r="U847" s="36"/>
      <c r="V847" s="9">
        <f t="shared" si="92"/>
        <v>2.33</v>
      </c>
      <c r="Y847" s="9">
        <f t="shared" si="86"/>
        <v>431.13</v>
      </c>
      <c r="AD847" s="4" t="s">
        <v>2667</v>
      </c>
      <c r="AE847" s="4" t="s">
        <v>2668</v>
      </c>
      <c r="AF847" s="4" t="s">
        <v>2595</v>
      </c>
    </row>
    <row r="848" spans="1:35" ht="36" x14ac:dyDescent="0.3">
      <c r="A848" s="25" t="s">
        <v>2669</v>
      </c>
      <c r="B848" s="25" t="s">
        <v>2534</v>
      </c>
      <c r="C848" s="26" t="s">
        <v>2535</v>
      </c>
      <c r="D848" s="27"/>
      <c r="E848" s="27" t="s">
        <v>2670</v>
      </c>
      <c r="F848" s="27" t="s">
        <v>64</v>
      </c>
      <c r="G848" s="28">
        <v>1</v>
      </c>
      <c r="H848" s="27"/>
      <c r="I848" s="28">
        <v>110.66</v>
      </c>
      <c r="J848" s="29">
        <f>IFERROR(ROUND(SUM(M849,M850,M851,M852,M853,M854,M855,M856,M857,M858,M859)/I848, 2),0)</f>
        <v>440.71</v>
      </c>
      <c r="K848" s="29">
        <v>1199</v>
      </c>
      <c r="L848" s="29">
        <f>J848+ROUND(K848, 2)</f>
        <v>1639.71</v>
      </c>
      <c r="M848" s="29">
        <f>ROUND(J848*I848, 2)</f>
        <v>48768.97</v>
      </c>
      <c r="N848" s="29">
        <f>ROUND(I848*ROUND(K848, 2), 2)</f>
        <v>132681.34</v>
      </c>
      <c r="O848" s="29">
        <f>M848+N848</f>
        <v>181450.31</v>
      </c>
      <c r="P848" s="29">
        <f>IFERROR(ROUND(SUM(S849,S850,S851,S852,S853,S854,S855,S856,S857,S858,S859)/I848, 2),0)</f>
        <v>2037.06</v>
      </c>
      <c r="Q848" s="29">
        <v>1199</v>
      </c>
      <c r="R848" s="29">
        <f>P848+ROUND(Q848, 2)</f>
        <v>3236.06</v>
      </c>
      <c r="S848" s="29">
        <f>ROUND(P848*I848, 2)</f>
        <v>225421.06</v>
      </c>
      <c r="T848" s="29">
        <f>ROUND(I848*ROUND(Q848, 2), 2)</f>
        <v>132681.34</v>
      </c>
      <c r="U848" s="29">
        <f>S848+T848</f>
        <v>358102.4</v>
      </c>
      <c r="V848" s="9">
        <f>ROUND(P848 / 1.2, 2)</f>
        <v>1697.55</v>
      </c>
      <c r="W848" s="9">
        <f>ROUND(Q848 / 1.2, 2)</f>
        <v>999.17</v>
      </c>
      <c r="X848" s="9">
        <f>ROUND(R848 / 1.2, 2)</f>
        <v>2696.72</v>
      </c>
      <c r="Y848" s="9">
        <f t="shared" si="86"/>
        <v>187850.88</v>
      </c>
      <c r="Z848" s="9">
        <f>ROUND(T848 / 1.2, 2)</f>
        <v>110567.78</v>
      </c>
      <c r="AA848" s="9">
        <f>Y848+Z848</f>
        <v>298418.66000000003</v>
      </c>
      <c r="AD848" s="4">
        <v>298925499</v>
      </c>
      <c r="AE848" s="4">
        <v>20004305</v>
      </c>
      <c r="AG848" s="4" t="s">
        <v>2537</v>
      </c>
      <c r="AH848" s="4" t="s">
        <v>2538</v>
      </c>
      <c r="AI848" s="4" t="s">
        <v>67</v>
      </c>
    </row>
    <row r="849" spans="1:35" ht="18" x14ac:dyDescent="0.3">
      <c r="A849" s="25" t="s">
        <v>2671</v>
      </c>
      <c r="B849" s="25"/>
      <c r="C849" s="30" t="s">
        <v>2592</v>
      </c>
      <c r="D849" s="27"/>
      <c r="E849" s="27"/>
      <c r="F849" s="31" t="s">
        <v>116</v>
      </c>
      <c r="G849" s="32">
        <v>0.75</v>
      </c>
      <c r="H849" s="27"/>
      <c r="I849" s="32">
        <v>82.995000000000005</v>
      </c>
      <c r="J849" s="34">
        <v>2.8</v>
      </c>
      <c r="K849" s="35"/>
      <c r="L849" s="35"/>
      <c r="M849" s="34">
        <f t="shared" ref="M849:M859" si="93">ROUND(ROUND(J849, 2)*I849, 2)</f>
        <v>232.39</v>
      </c>
      <c r="N849" s="35"/>
      <c r="O849" s="35"/>
      <c r="P849" s="34">
        <v>2.8</v>
      </c>
      <c r="Q849" s="35"/>
      <c r="R849" s="35"/>
      <c r="S849" s="34">
        <f t="shared" ref="S849:S859" si="94">ROUND(ROUND(P849, 2)*I849, 2)</f>
        <v>232.39</v>
      </c>
      <c r="T849" s="35"/>
      <c r="U849" s="36"/>
      <c r="V849" s="9">
        <f t="shared" ref="V849:V859" si="95">ROUND(ROUND(P849, 2)/1.2, 2)</f>
        <v>2.33</v>
      </c>
      <c r="Y849" s="9">
        <f t="shared" si="86"/>
        <v>193.66</v>
      </c>
      <c r="AD849" s="4" t="s">
        <v>2672</v>
      </c>
      <c r="AE849" s="4" t="s">
        <v>2673</v>
      </c>
      <c r="AF849" s="4" t="s">
        <v>2595</v>
      </c>
    </row>
    <row r="850" spans="1:35" ht="18" x14ac:dyDescent="0.3">
      <c r="A850" s="25" t="s">
        <v>2674</v>
      </c>
      <c r="B850" s="25"/>
      <c r="C850" s="17" t="s">
        <v>2581</v>
      </c>
      <c r="D850" s="27"/>
      <c r="E850" s="27"/>
      <c r="F850" s="31" t="s">
        <v>116</v>
      </c>
      <c r="G850" s="32">
        <v>4.2</v>
      </c>
      <c r="H850" s="27"/>
      <c r="I850" s="32">
        <v>464.77199999999999</v>
      </c>
      <c r="J850" s="34">
        <v>4.92</v>
      </c>
      <c r="K850" s="35"/>
      <c r="L850" s="35"/>
      <c r="M850" s="34">
        <f t="shared" si="93"/>
        <v>2286.6799999999998</v>
      </c>
      <c r="N850" s="35"/>
      <c r="O850" s="35"/>
      <c r="P850" s="34">
        <v>4.92</v>
      </c>
      <c r="Q850" s="35"/>
      <c r="R850" s="35"/>
      <c r="S850" s="34">
        <f t="shared" si="94"/>
        <v>2286.6799999999998</v>
      </c>
      <c r="T850" s="35"/>
      <c r="U850" s="36"/>
      <c r="V850" s="9">
        <f t="shared" si="95"/>
        <v>4.0999999999999996</v>
      </c>
      <c r="Y850" s="9">
        <f t="shared" si="86"/>
        <v>1905.57</v>
      </c>
      <c r="AD850" s="4" t="s">
        <v>2675</v>
      </c>
      <c r="AE850" s="4" t="s">
        <v>2676</v>
      </c>
      <c r="AF850" s="4" t="s">
        <v>2584</v>
      </c>
    </row>
    <row r="851" spans="1:35" ht="18" x14ac:dyDescent="0.3">
      <c r="A851" s="25" t="s">
        <v>2677</v>
      </c>
      <c r="B851" s="25"/>
      <c r="C851" s="30" t="s">
        <v>2571</v>
      </c>
      <c r="D851" s="27"/>
      <c r="E851" s="27"/>
      <c r="F851" s="31" t="s">
        <v>87</v>
      </c>
      <c r="G851" s="32">
        <v>0.3</v>
      </c>
      <c r="H851" s="27"/>
      <c r="I851" s="32">
        <v>33.198</v>
      </c>
      <c r="J851" s="34">
        <v>44.13</v>
      </c>
      <c r="K851" s="35"/>
      <c r="L851" s="35"/>
      <c r="M851" s="34">
        <f t="shared" si="93"/>
        <v>1465.03</v>
      </c>
      <c r="N851" s="35"/>
      <c r="O851" s="35"/>
      <c r="P851" s="34">
        <v>44.13</v>
      </c>
      <c r="Q851" s="35"/>
      <c r="R851" s="35"/>
      <c r="S851" s="34">
        <f t="shared" si="94"/>
        <v>1465.03</v>
      </c>
      <c r="T851" s="35"/>
      <c r="U851" s="36"/>
      <c r="V851" s="9">
        <f t="shared" si="95"/>
        <v>36.78</v>
      </c>
      <c r="Y851" s="9">
        <f t="shared" si="86"/>
        <v>1220.8599999999999</v>
      </c>
      <c r="AD851" s="4" t="s">
        <v>2678</v>
      </c>
      <c r="AE851" s="4" t="s">
        <v>2679</v>
      </c>
      <c r="AF851" s="4" t="s">
        <v>2574</v>
      </c>
    </row>
    <row r="852" spans="1:35" ht="18" x14ac:dyDescent="0.3">
      <c r="A852" s="25" t="s">
        <v>2680</v>
      </c>
      <c r="B852" s="25"/>
      <c r="C852" s="30" t="s">
        <v>2576</v>
      </c>
      <c r="D852" s="27"/>
      <c r="E852" s="27"/>
      <c r="F852" s="31" t="s">
        <v>87</v>
      </c>
      <c r="G852" s="32">
        <v>4.7</v>
      </c>
      <c r="H852" s="27"/>
      <c r="I852" s="32">
        <v>520.10199999999998</v>
      </c>
      <c r="J852" s="34">
        <v>66.98</v>
      </c>
      <c r="K852" s="35"/>
      <c r="L852" s="35"/>
      <c r="M852" s="34">
        <f t="shared" si="93"/>
        <v>34836.43</v>
      </c>
      <c r="N852" s="35"/>
      <c r="O852" s="35"/>
      <c r="P852" s="34">
        <v>66.98</v>
      </c>
      <c r="Q852" s="35"/>
      <c r="R852" s="35"/>
      <c r="S852" s="34">
        <f t="shared" si="94"/>
        <v>34836.43</v>
      </c>
      <c r="T852" s="35"/>
      <c r="U852" s="36"/>
      <c r="V852" s="9">
        <f t="shared" si="95"/>
        <v>55.82</v>
      </c>
      <c r="Y852" s="9">
        <f t="shared" si="86"/>
        <v>29030.36</v>
      </c>
      <c r="AD852" s="4" t="s">
        <v>2681</v>
      </c>
      <c r="AE852" s="4" t="s">
        <v>2682</v>
      </c>
      <c r="AF852" s="4" t="s">
        <v>2579</v>
      </c>
    </row>
    <row r="853" spans="1:35" ht="18" x14ac:dyDescent="0.3">
      <c r="A853" s="25" t="s">
        <v>2683</v>
      </c>
      <c r="B853" s="25"/>
      <c r="C853" s="30" t="s">
        <v>2566</v>
      </c>
      <c r="D853" s="27"/>
      <c r="E853" s="27"/>
      <c r="F853" s="31" t="s">
        <v>87</v>
      </c>
      <c r="G853" s="32">
        <v>1.25</v>
      </c>
      <c r="H853" s="27"/>
      <c r="I853" s="32">
        <v>138.32499999999999</v>
      </c>
      <c r="J853" s="34">
        <v>2.8</v>
      </c>
      <c r="K853" s="35"/>
      <c r="L853" s="35"/>
      <c r="M853" s="34">
        <f t="shared" si="93"/>
        <v>387.31</v>
      </c>
      <c r="N853" s="35"/>
      <c r="O853" s="35"/>
      <c r="P853" s="34">
        <v>2.8</v>
      </c>
      <c r="Q853" s="35"/>
      <c r="R853" s="35"/>
      <c r="S853" s="34">
        <f t="shared" si="94"/>
        <v>387.31</v>
      </c>
      <c r="T853" s="35"/>
      <c r="U853" s="36"/>
      <c r="V853" s="9">
        <f t="shared" si="95"/>
        <v>2.33</v>
      </c>
      <c r="Y853" s="9">
        <f t="shared" si="86"/>
        <v>322.76</v>
      </c>
      <c r="AD853" s="4" t="s">
        <v>2684</v>
      </c>
      <c r="AE853" s="4" t="s">
        <v>2685</v>
      </c>
      <c r="AF853" s="4" t="s">
        <v>2569</v>
      </c>
    </row>
    <row r="854" spans="1:35" ht="18" x14ac:dyDescent="0.3">
      <c r="A854" s="25" t="s">
        <v>2686</v>
      </c>
      <c r="B854" s="25"/>
      <c r="C854" s="30" t="s">
        <v>2561</v>
      </c>
      <c r="D854" s="27"/>
      <c r="E854" s="27"/>
      <c r="F854" s="31" t="s">
        <v>87</v>
      </c>
      <c r="G854" s="32">
        <v>1.05</v>
      </c>
      <c r="H854" s="27"/>
      <c r="I854" s="32">
        <v>116.193</v>
      </c>
      <c r="J854" s="34">
        <v>4.5999999999999996</v>
      </c>
      <c r="K854" s="35"/>
      <c r="L854" s="35"/>
      <c r="M854" s="34">
        <f t="shared" si="93"/>
        <v>534.49</v>
      </c>
      <c r="N854" s="35"/>
      <c r="O854" s="35"/>
      <c r="P854" s="34">
        <v>4.5999999999999996</v>
      </c>
      <c r="Q854" s="35"/>
      <c r="R854" s="35"/>
      <c r="S854" s="34">
        <f t="shared" si="94"/>
        <v>534.49</v>
      </c>
      <c r="T854" s="35"/>
      <c r="U854" s="36"/>
      <c r="V854" s="9">
        <f t="shared" si="95"/>
        <v>3.83</v>
      </c>
      <c r="Y854" s="9">
        <f t="shared" ref="Y854:Y859" si="96">ROUND(S854 / 1.2, 2)</f>
        <v>445.41</v>
      </c>
      <c r="AD854" s="4" t="s">
        <v>2687</v>
      </c>
      <c r="AE854" s="4" t="s">
        <v>2688</v>
      </c>
      <c r="AF854" s="4" t="s">
        <v>2564</v>
      </c>
    </row>
    <row r="855" spans="1:35" ht="18" x14ac:dyDescent="0.3">
      <c r="A855" s="25" t="s">
        <v>2689</v>
      </c>
      <c r="B855" s="25"/>
      <c r="C855" s="30" t="s">
        <v>1797</v>
      </c>
      <c r="D855" s="27"/>
      <c r="E855" s="27"/>
      <c r="F855" s="31" t="s">
        <v>64</v>
      </c>
      <c r="G855" s="32">
        <v>1.05</v>
      </c>
      <c r="H855" s="27"/>
      <c r="I855" s="32">
        <v>116.193</v>
      </c>
      <c r="J855" s="34">
        <v>0</v>
      </c>
      <c r="K855" s="35"/>
      <c r="L855" s="35"/>
      <c r="M855" s="34">
        <f t="shared" si="93"/>
        <v>0</v>
      </c>
      <c r="N855" s="35"/>
      <c r="O855" s="35"/>
      <c r="P855" s="34">
        <v>1520.33</v>
      </c>
      <c r="Q855" s="35"/>
      <c r="R855" s="35"/>
      <c r="S855" s="34">
        <f t="shared" si="94"/>
        <v>176651.7</v>
      </c>
      <c r="T855" s="35"/>
      <c r="U855" s="36"/>
      <c r="V855" s="9">
        <f t="shared" si="95"/>
        <v>1266.94</v>
      </c>
      <c r="Y855" s="9">
        <f t="shared" si="96"/>
        <v>147209.75</v>
      </c>
      <c r="AD855" s="4" t="s">
        <v>2690</v>
      </c>
      <c r="AE855" s="4" t="s">
        <v>2691</v>
      </c>
      <c r="AF855" s="4" t="s">
        <v>1800</v>
      </c>
    </row>
    <row r="856" spans="1:35" ht="36" x14ac:dyDescent="0.3">
      <c r="A856" s="25" t="s">
        <v>2692</v>
      </c>
      <c r="B856" s="25"/>
      <c r="C856" s="17" t="s">
        <v>2553</v>
      </c>
      <c r="D856" s="27"/>
      <c r="E856" s="27"/>
      <c r="F856" s="31" t="s">
        <v>116</v>
      </c>
      <c r="G856" s="32">
        <v>3.6</v>
      </c>
      <c r="H856" s="27"/>
      <c r="I856" s="32">
        <v>398.37599999999998</v>
      </c>
      <c r="J856" s="34">
        <v>15.9</v>
      </c>
      <c r="K856" s="35"/>
      <c r="L856" s="35"/>
      <c r="M856" s="34">
        <f t="shared" si="93"/>
        <v>6334.18</v>
      </c>
      <c r="N856" s="35"/>
      <c r="O856" s="35"/>
      <c r="P856" s="34">
        <v>15.9</v>
      </c>
      <c r="Q856" s="35"/>
      <c r="R856" s="35"/>
      <c r="S856" s="34">
        <f t="shared" si="94"/>
        <v>6334.18</v>
      </c>
      <c r="T856" s="35"/>
      <c r="U856" s="36"/>
      <c r="V856" s="9">
        <f t="shared" si="95"/>
        <v>13.25</v>
      </c>
      <c r="Y856" s="9">
        <f t="shared" si="96"/>
        <v>5278.48</v>
      </c>
      <c r="AD856" s="4" t="s">
        <v>2693</v>
      </c>
      <c r="AE856" s="4" t="s">
        <v>2694</v>
      </c>
      <c r="AF856" s="4" t="s">
        <v>2556</v>
      </c>
    </row>
    <row r="857" spans="1:35" ht="18" x14ac:dyDescent="0.3">
      <c r="A857" s="25" t="s">
        <v>2695</v>
      </c>
      <c r="B857" s="25"/>
      <c r="C857" s="30" t="s">
        <v>1920</v>
      </c>
      <c r="D857" s="27"/>
      <c r="E857" s="27"/>
      <c r="F857" s="31" t="s">
        <v>116</v>
      </c>
      <c r="G857" s="32">
        <v>30</v>
      </c>
      <c r="H857" s="27"/>
      <c r="I857" s="32">
        <v>3319.8</v>
      </c>
      <c r="J857" s="34">
        <v>0.28000000000000003</v>
      </c>
      <c r="K857" s="35"/>
      <c r="L857" s="35"/>
      <c r="M857" s="34">
        <f t="shared" si="93"/>
        <v>929.54</v>
      </c>
      <c r="N857" s="35"/>
      <c r="O857" s="35"/>
      <c r="P857" s="34">
        <v>0.28000000000000003</v>
      </c>
      <c r="Q857" s="35"/>
      <c r="R857" s="35"/>
      <c r="S857" s="34">
        <f t="shared" si="94"/>
        <v>929.54</v>
      </c>
      <c r="T857" s="35"/>
      <c r="U857" s="36"/>
      <c r="V857" s="9">
        <f t="shared" si="95"/>
        <v>0.23</v>
      </c>
      <c r="Y857" s="9">
        <f t="shared" si="96"/>
        <v>774.62</v>
      </c>
      <c r="AD857" s="4" t="s">
        <v>2696</v>
      </c>
      <c r="AE857" s="4" t="s">
        <v>2697</v>
      </c>
      <c r="AF857" s="4" t="s">
        <v>1923</v>
      </c>
    </row>
    <row r="858" spans="1:35" ht="18" x14ac:dyDescent="0.3">
      <c r="A858" s="25" t="s">
        <v>2698</v>
      </c>
      <c r="B858" s="25"/>
      <c r="C858" s="30" t="s">
        <v>2545</v>
      </c>
      <c r="D858" s="27"/>
      <c r="E858" s="27"/>
      <c r="F858" s="31" t="s">
        <v>116</v>
      </c>
      <c r="G858" s="32">
        <v>15</v>
      </c>
      <c r="H858" s="27"/>
      <c r="I858" s="32">
        <v>1659.9</v>
      </c>
      <c r="J858" s="34">
        <v>0.95</v>
      </c>
      <c r="K858" s="35"/>
      <c r="L858" s="35"/>
      <c r="M858" s="34">
        <f t="shared" si="93"/>
        <v>1576.91</v>
      </c>
      <c r="N858" s="35"/>
      <c r="O858" s="35"/>
      <c r="P858" s="34">
        <v>0.95</v>
      </c>
      <c r="Q858" s="35"/>
      <c r="R858" s="35"/>
      <c r="S858" s="34">
        <f t="shared" si="94"/>
        <v>1576.91</v>
      </c>
      <c r="T858" s="35"/>
      <c r="U858" s="36"/>
      <c r="V858" s="9">
        <f t="shared" si="95"/>
        <v>0.79</v>
      </c>
      <c r="Y858" s="9">
        <f t="shared" si="96"/>
        <v>1314.09</v>
      </c>
      <c r="AD858" s="4" t="s">
        <v>2699</v>
      </c>
      <c r="AE858" s="4" t="s">
        <v>2700</v>
      </c>
      <c r="AF858" s="4" t="s">
        <v>2548</v>
      </c>
    </row>
    <row r="859" spans="1:35" ht="18" x14ac:dyDescent="0.3">
      <c r="A859" s="25" t="s">
        <v>2701</v>
      </c>
      <c r="B859" s="25"/>
      <c r="C859" s="30" t="s">
        <v>2540</v>
      </c>
      <c r="D859" s="27"/>
      <c r="E859" s="27"/>
      <c r="F859" s="31" t="s">
        <v>116</v>
      </c>
      <c r="G859" s="32">
        <v>0.3</v>
      </c>
      <c r="H859" s="27"/>
      <c r="I859" s="32">
        <v>33.198</v>
      </c>
      <c r="J859" s="34">
        <v>5.6</v>
      </c>
      <c r="K859" s="35"/>
      <c r="L859" s="35"/>
      <c r="M859" s="34">
        <f t="shared" si="93"/>
        <v>185.91</v>
      </c>
      <c r="N859" s="35"/>
      <c r="O859" s="35"/>
      <c r="P859" s="34">
        <v>5.6</v>
      </c>
      <c r="Q859" s="35"/>
      <c r="R859" s="35"/>
      <c r="S859" s="34">
        <f t="shared" si="94"/>
        <v>185.91</v>
      </c>
      <c r="T859" s="35"/>
      <c r="U859" s="36"/>
      <c r="V859" s="9">
        <f t="shared" si="95"/>
        <v>4.67</v>
      </c>
      <c r="Y859" s="9">
        <f t="shared" si="96"/>
        <v>154.93</v>
      </c>
      <c r="AD859" s="4" t="s">
        <v>2702</v>
      </c>
      <c r="AE859" s="4" t="s">
        <v>2703</v>
      </c>
      <c r="AF859" s="4" t="s">
        <v>2543</v>
      </c>
    </row>
    <row r="860" spans="1:35" ht="54" x14ac:dyDescent="0.3">
      <c r="A860" s="25" t="s">
        <v>2704</v>
      </c>
      <c r="B860" s="25" t="s">
        <v>2705</v>
      </c>
      <c r="C860" s="26" t="s">
        <v>2706</v>
      </c>
      <c r="D860" s="27"/>
      <c r="E860" s="27" t="s">
        <v>81</v>
      </c>
      <c r="F860" s="27" t="s">
        <v>64</v>
      </c>
      <c r="G860" s="28">
        <v>1</v>
      </c>
      <c r="H860" s="27"/>
      <c r="I860" s="28">
        <v>2099.0100000000002</v>
      </c>
      <c r="J860" s="29">
        <v>0</v>
      </c>
      <c r="K860" s="29">
        <v>121</v>
      </c>
      <c r="L860" s="29">
        <f>J860+ROUND(K860, 2)</f>
        <v>121</v>
      </c>
      <c r="M860" s="29">
        <v>0</v>
      </c>
      <c r="N860" s="29">
        <f>ROUND(I860*ROUND(K860, 2), 2)</f>
        <v>253980.21</v>
      </c>
      <c r="O860" s="29">
        <f>M860+N860</f>
        <v>253980.21</v>
      </c>
      <c r="P860" s="29">
        <v>0</v>
      </c>
      <c r="Q860" s="29">
        <v>121</v>
      </c>
      <c r="R860" s="29">
        <f>P860+ROUND(Q860, 2)</f>
        <v>121</v>
      </c>
      <c r="S860" s="29">
        <v>0</v>
      </c>
      <c r="T860" s="29">
        <f>ROUND(I860*ROUND(Q860, 2), 2)</f>
        <v>253980.21</v>
      </c>
      <c r="U860" s="29">
        <f>S860+T860</f>
        <v>253980.21</v>
      </c>
      <c r="V860" s="9"/>
      <c r="W860" s="9">
        <f>ROUND(Q860 / 1.2, 2)</f>
        <v>100.83</v>
      </c>
      <c r="X860" s="9">
        <f>ROUND(R860 / 1.2, 2)</f>
        <v>100.83</v>
      </c>
      <c r="Y860" s="9"/>
      <c r="Z860" s="9">
        <f>ROUND(T860 / 1.2, 2)</f>
        <v>211650.18</v>
      </c>
      <c r="AA860" s="9">
        <f>Y860+Z860</f>
        <v>211650.18</v>
      </c>
      <c r="AD860" s="4">
        <v>298925357</v>
      </c>
      <c r="AE860" s="4">
        <v>16236784</v>
      </c>
      <c r="AG860" s="4" t="s">
        <v>2707</v>
      </c>
      <c r="AH860" s="4" t="s">
        <v>2708</v>
      </c>
      <c r="AI860" s="4" t="s">
        <v>67</v>
      </c>
    </row>
    <row r="861" spans="1:35" ht="16.95" customHeight="1" x14ac:dyDescent="0.3">
      <c r="A861" s="25" t="s">
        <v>2709</v>
      </c>
      <c r="B861" s="25" t="s">
        <v>2710</v>
      </c>
      <c r="C861" s="355" t="s">
        <v>2711</v>
      </c>
      <c r="D861" s="356"/>
      <c r="E861" s="356"/>
      <c r="F861" s="356"/>
      <c r="G861" s="356"/>
      <c r="H861" s="356"/>
      <c r="I861" s="357"/>
      <c r="J861" s="35"/>
      <c r="K861" s="35"/>
      <c r="L861" s="35"/>
      <c r="M861" s="67">
        <f>SUM(M862,M864,M866,M868,M870,M872,M874,M876,M878,M880,M882,M884,M886,M888,M890,M892,M894,M896,M898,M900,M902,M904,M906,M908,M910,M912)</f>
        <v>10326</v>
      </c>
      <c r="N861" s="67">
        <f>SUM(N862,N864,N866,N868,N870,N872,N874,N876,N878,N880,N882,N884,N886,N888,N890,N892,N894,N896,N898,N900,N902,N904,N906,N908,N910,N912)</f>
        <v>323829</v>
      </c>
      <c r="O861" s="67">
        <f>SUM(O862,O864,O866,O868,O870,O872,O874,O876,O878,O880,O882,O884,O886,O888,O890,O892,O894,O896,O898,O900,O902,O904,O906,O908,O910,O912)</f>
        <v>334155</v>
      </c>
      <c r="P861" s="35"/>
      <c r="Q861" s="35"/>
      <c r="R861" s="35"/>
      <c r="S861" s="67">
        <f>SUM(S862,S864,S866,S868,S870,S872,S874,S876,S878,S880,S882,S884,S886,S888,S890,S892,S894,S896,S898,S900,S902,S904,S906,S908,S910,S912)</f>
        <v>4787263.3199999994</v>
      </c>
      <c r="T861" s="67">
        <f>SUM(T862,T864,T866,T868,T870,T872,T874,T876,T878,T880,T882,T884,T886,T888,T890,T892,T894,T896,T898,T900,T902,T904,T906,T908,T910,T912)</f>
        <v>1013198</v>
      </c>
      <c r="U861" s="67">
        <f>SUM(U862,U864,U866,U868,U870,U872,U874,U876,U878,U880,U882,U884,U886,U888,U890,U892,U894,U896,U898,U900,U902,U904,U906,U908,U910,U912)</f>
        <v>5800461.3199999984</v>
      </c>
      <c r="Y861" s="9">
        <f>SUM(Y862,Y864,Y866,Y868,Y870,Y872,Y874,Y876,Y878,Y880,Y882,Y884,Y886,Y888,Y890,Y892,Y894,Y896,Y898,Y900,Y902,Y904,Y906,Y908,Y910,Y912)</f>
        <v>3989386.1199999996</v>
      </c>
      <c r="Z861" s="9">
        <f>SUM(Z862,Z864,Z866,Z868,Z870,Z872,Z874,Z876,Z878,Z880,Z882,Z884,Z886,Z888,Z890,Z892,Z894,Z896,Z898,Z900,Z902,Z904,Z906,Z908,Z910,Z912)</f>
        <v>844331.65999999992</v>
      </c>
      <c r="AA861" s="9">
        <f>SUM(AA862,AA864,AA866,AA868,AA870,AA872,AA874,AA876,AA878,AA880,AA882,AA884,AA886,AA888,AA890,AA892,AA894,AA896,AA898,AA900,AA902,AA904,AA906,AA908,AA910,AA912)</f>
        <v>4833717.7799999993</v>
      </c>
      <c r="AD861" s="4">
        <v>298925358</v>
      </c>
      <c r="AE861" s="4">
        <v>19827023</v>
      </c>
    </row>
    <row r="862" spans="1:35" ht="36" x14ac:dyDescent="0.3">
      <c r="A862" s="25" t="s">
        <v>2712</v>
      </c>
      <c r="B862" s="25" t="s">
        <v>2713</v>
      </c>
      <c r="C862" s="26" t="s">
        <v>2714</v>
      </c>
      <c r="D862" s="27"/>
      <c r="E862" s="27" t="s">
        <v>2715</v>
      </c>
      <c r="F862" s="27" t="s">
        <v>116</v>
      </c>
      <c r="G862" s="28">
        <v>1</v>
      </c>
      <c r="H862" s="27"/>
      <c r="I862" s="28">
        <v>10</v>
      </c>
      <c r="J862" s="29">
        <f>IFERROR(ROUND(SUM(M863)/I862, 2),0)</f>
        <v>0</v>
      </c>
      <c r="K862" s="29">
        <v>3271</v>
      </c>
      <c r="L862" s="29">
        <f>J862+ROUND(K862, 2)</f>
        <v>3271</v>
      </c>
      <c r="M862" s="29">
        <f>ROUND(J862*I862, 2)</f>
        <v>0</v>
      </c>
      <c r="N862" s="29">
        <f>ROUND(I862*ROUND(K862, 2), 2)</f>
        <v>32710</v>
      </c>
      <c r="O862" s="29">
        <f>M862+N862</f>
        <v>32710</v>
      </c>
      <c r="P862" s="29">
        <f>IFERROR(ROUND(SUM(S863)/I862, 2),0)</f>
        <v>39406.67</v>
      </c>
      <c r="Q862" s="29">
        <v>9309</v>
      </c>
      <c r="R862" s="29">
        <f>P862+ROUND(Q862, 2)</f>
        <v>48715.67</v>
      </c>
      <c r="S862" s="29">
        <f>ROUND(P862*I862, 2)</f>
        <v>394066.7</v>
      </c>
      <c r="T862" s="29">
        <f>ROUND(I862*ROUND(Q862, 2), 2)</f>
        <v>93090</v>
      </c>
      <c r="U862" s="29">
        <f>S862+T862</f>
        <v>487156.7</v>
      </c>
      <c r="V862" s="9">
        <f>ROUND(P862 / 1.2, 2)</f>
        <v>32838.89</v>
      </c>
      <c r="W862" s="9">
        <f>ROUND(Q862 / 1.2, 2)</f>
        <v>7757.5</v>
      </c>
      <c r="X862" s="9">
        <f>ROUND(R862 / 1.2, 2)</f>
        <v>40596.39</v>
      </c>
      <c r="Y862" s="9">
        <f>ROUND(S862 / 1.2, 2)</f>
        <v>328388.92</v>
      </c>
      <c r="Z862" s="9">
        <f>ROUND(T862 / 1.2, 2)</f>
        <v>77575</v>
      </c>
      <c r="AA862" s="9">
        <f>Y862+Z862</f>
        <v>405963.92</v>
      </c>
      <c r="AD862" s="4">
        <v>298925360</v>
      </c>
      <c r="AE862" s="4">
        <v>19830251</v>
      </c>
      <c r="AG862" s="4" t="s">
        <v>2716</v>
      </c>
      <c r="AH862" s="4" t="s">
        <v>2717</v>
      </c>
      <c r="AI862" s="4" t="s">
        <v>67</v>
      </c>
    </row>
    <row r="863" spans="1:35" ht="396" x14ac:dyDescent="0.3">
      <c r="A863" s="25" t="s">
        <v>2718</v>
      </c>
      <c r="B863" s="25"/>
      <c r="C863" s="30" t="s">
        <v>2719</v>
      </c>
      <c r="D863" s="27"/>
      <c r="E863" s="27" t="s">
        <v>2720</v>
      </c>
      <c r="F863" s="31" t="s">
        <v>116</v>
      </c>
      <c r="G863" s="32">
        <v>1</v>
      </c>
      <c r="H863" s="27"/>
      <c r="I863" s="33">
        <v>10</v>
      </c>
      <c r="J863" s="34">
        <v>0</v>
      </c>
      <c r="K863" s="35"/>
      <c r="L863" s="35"/>
      <c r="M863" s="34">
        <f>ROUND(ROUND(J863, 2)*I863, 2)</f>
        <v>0</v>
      </c>
      <c r="N863" s="35"/>
      <c r="O863" s="35"/>
      <c r="P863" s="34">
        <v>39406.67</v>
      </c>
      <c r="Q863" s="35"/>
      <c r="R863" s="35"/>
      <c r="S863" s="34">
        <f>ROUND(ROUND(P863, 2)*I863, 2)</f>
        <v>394066.7</v>
      </c>
      <c r="T863" s="35"/>
      <c r="U863" s="36"/>
      <c r="V863" s="9">
        <f>ROUND(ROUND(P863, 2)/1.2, 2)</f>
        <v>32838.89</v>
      </c>
      <c r="Y863" s="9">
        <f t="shared" ref="Y863:Y894" si="97">ROUND(S863 / 1.2, 2)</f>
        <v>328388.92</v>
      </c>
      <c r="AD863" s="4" t="s">
        <v>2721</v>
      </c>
      <c r="AE863" s="4" t="s">
        <v>2722</v>
      </c>
      <c r="AF863" s="4" t="s">
        <v>2723</v>
      </c>
    </row>
    <row r="864" spans="1:35" ht="36" x14ac:dyDescent="0.3">
      <c r="A864" s="25" t="s">
        <v>2724</v>
      </c>
      <c r="B864" s="25" t="s">
        <v>2713</v>
      </c>
      <c r="C864" s="26" t="s">
        <v>2714</v>
      </c>
      <c r="D864" s="27"/>
      <c r="E864" s="27" t="s">
        <v>2725</v>
      </c>
      <c r="F864" s="27" t="s">
        <v>116</v>
      </c>
      <c r="G864" s="28">
        <v>1</v>
      </c>
      <c r="H864" s="27"/>
      <c r="I864" s="28">
        <v>4</v>
      </c>
      <c r="J864" s="29">
        <f>IFERROR(ROUND(SUM(M865)/I864, 2),0)</f>
        <v>0</v>
      </c>
      <c r="K864" s="29">
        <v>3271</v>
      </c>
      <c r="L864" s="29">
        <f>J864+ROUND(K864, 2)</f>
        <v>3271</v>
      </c>
      <c r="M864" s="29">
        <f>ROUND(J864*I864, 2)</f>
        <v>0</v>
      </c>
      <c r="N864" s="29">
        <f>ROUND(I864*ROUND(K864, 2), 2)</f>
        <v>13084</v>
      </c>
      <c r="O864" s="29">
        <f>M864+N864</f>
        <v>13084</v>
      </c>
      <c r="P864" s="29">
        <f>IFERROR(ROUND(SUM(S865)/I864, 2),0)</f>
        <v>39406.67</v>
      </c>
      <c r="Q864" s="29">
        <v>9309</v>
      </c>
      <c r="R864" s="29">
        <f>P864+ROUND(Q864, 2)</f>
        <v>48715.67</v>
      </c>
      <c r="S864" s="29">
        <f>ROUND(P864*I864, 2)</f>
        <v>157626.68</v>
      </c>
      <c r="T864" s="29">
        <f>ROUND(I864*ROUND(Q864, 2), 2)</f>
        <v>37236</v>
      </c>
      <c r="U864" s="29">
        <f>S864+T864</f>
        <v>194862.68</v>
      </c>
      <c r="V864" s="9">
        <f>ROUND(P864 / 1.2, 2)</f>
        <v>32838.89</v>
      </c>
      <c r="W864" s="9">
        <f>ROUND(Q864 / 1.2, 2)</f>
        <v>7757.5</v>
      </c>
      <c r="X864" s="9">
        <f>ROUND(R864 / 1.2, 2)</f>
        <v>40596.39</v>
      </c>
      <c r="Y864" s="9">
        <f t="shared" si="97"/>
        <v>131355.57</v>
      </c>
      <c r="Z864" s="9">
        <f>ROUND(T864 / 1.2, 2)</f>
        <v>31030</v>
      </c>
      <c r="AA864" s="9">
        <f>Y864+Z864</f>
        <v>162385.57</v>
      </c>
      <c r="AD864" s="4">
        <v>298925500</v>
      </c>
      <c r="AE864" s="4">
        <v>19830252</v>
      </c>
      <c r="AG864" s="4" t="s">
        <v>2716</v>
      </c>
      <c r="AH864" s="4" t="s">
        <v>2717</v>
      </c>
      <c r="AI864" s="4" t="s">
        <v>67</v>
      </c>
    </row>
    <row r="865" spans="1:35" ht="396" x14ac:dyDescent="0.3">
      <c r="A865" s="25" t="s">
        <v>2726</v>
      </c>
      <c r="B865" s="25"/>
      <c r="C865" s="30" t="s">
        <v>2719</v>
      </c>
      <c r="D865" s="27"/>
      <c r="E865" s="27" t="s">
        <v>2727</v>
      </c>
      <c r="F865" s="31" t="s">
        <v>116</v>
      </c>
      <c r="G865" s="32">
        <v>1</v>
      </c>
      <c r="H865" s="27"/>
      <c r="I865" s="33">
        <v>4</v>
      </c>
      <c r="J865" s="34">
        <v>0</v>
      </c>
      <c r="K865" s="35"/>
      <c r="L865" s="35"/>
      <c r="M865" s="34">
        <f>ROUND(ROUND(J865, 2)*I865, 2)</f>
        <v>0</v>
      </c>
      <c r="N865" s="35"/>
      <c r="O865" s="35"/>
      <c r="P865" s="34">
        <v>39406.67</v>
      </c>
      <c r="Q865" s="35"/>
      <c r="R865" s="35"/>
      <c r="S865" s="34">
        <f>ROUND(ROUND(P865, 2)*I865, 2)</f>
        <v>157626.68</v>
      </c>
      <c r="T865" s="35"/>
      <c r="U865" s="36"/>
      <c r="V865" s="9">
        <f>ROUND(ROUND(P865, 2)/1.2, 2)</f>
        <v>32838.89</v>
      </c>
      <c r="Y865" s="9">
        <f t="shared" si="97"/>
        <v>131355.57</v>
      </c>
      <c r="AD865" s="4" t="s">
        <v>2728</v>
      </c>
      <c r="AE865" s="4" t="s">
        <v>2729</v>
      </c>
      <c r="AF865" s="4" t="s">
        <v>2723</v>
      </c>
    </row>
    <row r="866" spans="1:35" ht="36" x14ac:dyDescent="0.3">
      <c r="A866" s="25" t="s">
        <v>2730</v>
      </c>
      <c r="B866" s="25" t="s">
        <v>2713</v>
      </c>
      <c r="C866" s="26" t="s">
        <v>2714</v>
      </c>
      <c r="D866" s="27"/>
      <c r="E866" s="27" t="s">
        <v>2731</v>
      </c>
      <c r="F866" s="27" t="s">
        <v>116</v>
      </c>
      <c r="G866" s="28">
        <v>1</v>
      </c>
      <c r="H866" s="27"/>
      <c r="I866" s="28">
        <v>1</v>
      </c>
      <c r="J866" s="29">
        <f>IFERROR(ROUND(SUM(M867)/I866, 2),0)</f>
        <v>0</v>
      </c>
      <c r="K866" s="29">
        <v>3271</v>
      </c>
      <c r="L866" s="29">
        <f>J866+ROUND(K866, 2)</f>
        <v>3271</v>
      </c>
      <c r="M866" s="29">
        <f>ROUND(J866*I866, 2)</f>
        <v>0</v>
      </c>
      <c r="N866" s="29">
        <f>ROUND(I866*ROUND(K866, 2), 2)</f>
        <v>3271</v>
      </c>
      <c r="O866" s="29">
        <f>M866+N866</f>
        <v>3271</v>
      </c>
      <c r="P866" s="29">
        <f>IFERROR(ROUND(SUM(S867)/I866, 2),0)</f>
        <v>39406.67</v>
      </c>
      <c r="Q866" s="29">
        <v>9309</v>
      </c>
      <c r="R866" s="29">
        <f>P866+ROUND(Q866, 2)</f>
        <v>48715.67</v>
      </c>
      <c r="S866" s="29">
        <f>ROUND(P866*I866, 2)</f>
        <v>39406.67</v>
      </c>
      <c r="T866" s="29">
        <f>ROUND(I866*ROUND(Q866, 2), 2)</f>
        <v>9309</v>
      </c>
      <c r="U866" s="29">
        <f>S866+T866</f>
        <v>48715.67</v>
      </c>
      <c r="V866" s="9">
        <f>ROUND(P866 / 1.2, 2)</f>
        <v>32838.89</v>
      </c>
      <c r="W866" s="9">
        <f>ROUND(Q866 / 1.2, 2)</f>
        <v>7757.5</v>
      </c>
      <c r="X866" s="9">
        <f>ROUND(R866 / 1.2, 2)</f>
        <v>40596.39</v>
      </c>
      <c r="Y866" s="9">
        <f t="shared" si="97"/>
        <v>32838.89</v>
      </c>
      <c r="Z866" s="9">
        <f>ROUND(T866 / 1.2, 2)</f>
        <v>7757.5</v>
      </c>
      <c r="AA866" s="9">
        <f>Y866+Z866</f>
        <v>40596.39</v>
      </c>
      <c r="AD866" s="4">
        <v>298925501</v>
      </c>
      <c r="AE866" s="4">
        <v>22649881</v>
      </c>
      <c r="AG866" s="4" t="s">
        <v>2716</v>
      </c>
      <c r="AH866" s="4" t="s">
        <v>2717</v>
      </c>
      <c r="AI866" s="4" t="s">
        <v>67</v>
      </c>
    </row>
    <row r="867" spans="1:35" ht="409.6" x14ac:dyDescent="0.3">
      <c r="A867" s="25" t="s">
        <v>2732</v>
      </c>
      <c r="B867" s="25"/>
      <c r="C867" s="30" t="s">
        <v>2719</v>
      </c>
      <c r="D867" s="27"/>
      <c r="E867" s="27" t="s">
        <v>2733</v>
      </c>
      <c r="F867" s="31" t="s">
        <v>116</v>
      </c>
      <c r="G867" s="32">
        <v>1</v>
      </c>
      <c r="H867" s="27"/>
      <c r="I867" s="33">
        <v>1</v>
      </c>
      <c r="J867" s="34">
        <v>0</v>
      </c>
      <c r="K867" s="35"/>
      <c r="L867" s="35"/>
      <c r="M867" s="34">
        <f>ROUND(ROUND(J867, 2)*I867, 2)</f>
        <v>0</v>
      </c>
      <c r="N867" s="35"/>
      <c r="O867" s="35"/>
      <c r="P867" s="34">
        <v>39406.67</v>
      </c>
      <c r="Q867" s="35"/>
      <c r="R867" s="35"/>
      <c r="S867" s="34">
        <f>ROUND(ROUND(P867, 2)*I867, 2)</f>
        <v>39406.67</v>
      </c>
      <c r="T867" s="35"/>
      <c r="U867" s="36"/>
      <c r="V867" s="9">
        <f>ROUND(ROUND(P867, 2)/1.2, 2)</f>
        <v>32838.89</v>
      </c>
      <c r="Y867" s="9">
        <f t="shared" si="97"/>
        <v>32838.89</v>
      </c>
      <c r="AD867" s="4" t="s">
        <v>2734</v>
      </c>
      <c r="AE867" s="4" t="s">
        <v>2735</v>
      </c>
      <c r="AF867" s="4" t="s">
        <v>2723</v>
      </c>
    </row>
    <row r="868" spans="1:35" ht="36" x14ac:dyDescent="0.3">
      <c r="A868" s="25" t="s">
        <v>2736</v>
      </c>
      <c r="B868" s="25" t="s">
        <v>2713</v>
      </c>
      <c r="C868" s="26" t="s">
        <v>2714</v>
      </c>
      <c r="D868" s="27"/>
      <c r="E868" s="27" t="s">
        <v>2737</v>
      </c>
      <c r="F868" s="27" t="s">
        <v>116</v>
      </c>
      <c r="G868" s="28">
        <v>1</v>
      </c>
      <c r="H868" s="27"/>
      <c r="I868" s="28">
        <v>1</v>
      </c>
      <c r="J868" s="29">
        <f>IFERROR(ROUND(SUM(M869)/I868, 2),0)</f>
        <v>0</v>
      </c>
      <c r="K868" s="29">
        <v>3271</v>
      </c>
      <c r="L868" s="29">
        <f>J868+ROUND(K868, 2)</f>
        <v>3271</v>
      </c>
      <c r="M868" s="29">
        <f>ROUND(J868*I868, 2)</f>
        <v>0</v>
      </c>
      <c r="N868" s="29">
        <f>ROUND(I868*ROUND(K868, 2), 2)</f>
        <v>3271</v>
      </c>
      <c r="O868" s="29">
        <f>M868+N868</f>
        <v>3271</v>
      </c>
      <c r="P868" s="29">
        <f>IFERROR(ROUND(SUM(S869)/I868, 2),0)</f>
        <v>39406.67</v>
      </c>
      <c r="Q868" s="29">
        <v>9309</v>
      </c>
      <c r="R868" s="29">
        <f>P868+ROUND(Q868, 2)</f>
        <v>48715.67</v>
      </c>
      <c r="S868" s="29">
        <f>ROUND(P868*I868, 2)</f>
        <v>39406.67</v>
      </c>
      <c r="T868" s="29">
        <f>ROUND(I868*ROUND(Q868, 2), 2)</f>
        <v>9309</v>
      </c>
      <c r="U868" s="29">
        <f>S868+T868</f>
        <v>48715.67</v>
      </c>
      <c r="V868" s="9">
        <f>ROUND(P868 / 1.2, 2)</f>
        <v>32838.89</v>
      </c>
      <c r="W868" s="9">
        <f>ROUND(Q868 / 1.2, 2)</f>
        <v>7757.5</v>
      </c>
      <c r="X868" s="9">
        <f>ROUND(R868 / 1.2, 2)</f>
        <v>40596.39</v>
      </c>
      <c r="Y868" s="9">
        <f t="shared" si="97"/>
        <v>32838.89</v>
      </c>
      <c r="Z868" s="9">
        <f>ROUND(T868 / 1.2, 2)</f>
        <v>7757.5</v>
      </c>
      <c r="AA868" s="9">
        <f>Y868+Z868</f>
        <v>40596.39</v>
      </c>
      <c r="AD868" s="4">
        <v>298925502</v>
      </c>
      <c r="AE868" s="4">
        <v>22649882</v>
      </c>
      <c r="AG868" s="4" t="s">
        <v>2716</v>
      </c>
      <c r="AH868" s="4" t="s">
        <v>2717</v>
      </c>
      <c r="AI868" s="4" t="s">
        <v>67</v>
      </c>
    </row>
    <row r="869" spans="1:35" ht="409.6" x14ac:dyDescent="0.3">
      <c r="A869" s="25" t="s">
        <v>2738</v>
      </c>
      <c r="B869" s="25"/>
      <c r="C869" s="30" t="s">
        <v>2719</v>
      </c>
      <c r="D869" s="27"/>
      <c r="E869" s="27" t="s">
        <v>2739</v>
      </c>
      <c r="F869" s="31" t="s">
        <v>116</v>
      </c>
      <c r="G869" s="32">
        <v>1</v>
      </c>
      <c r="H869" s="27"/>
      <c r="I869" s="33">
        <v>1</v>
      </c>
      <c r="J869" s="34">
        <v>0</v>
      </c>
      <c r="K869" s="35"/>
      <c r="L869" s="35"/>
      <c r="M869" s="34">
        <f>ROUND(ROUND(J869, 2)*I869, 2)</f>
        <v>0</v>
      </c>
      <c r="N869" s="35"/>
      <c r="O869" s="35"/>
      <c r="P869" s="34">
        <v>39406.67</v>
      </c>
      <c r="Q869" s="35"/>
      <c r="R869" s="35"/>
      <c r="S869" s="34">
        <f>ROUND(ROUND(P869, 2)*I869, 2)</f>
        <v>39406.67</v>
      </c>
      <c r="T869" s="35"/>
      <c r="U869" s="36"/>
      <c r="V869" s="9">
        <f>ROUND(ROUND(P869, 2)/1.2, 2)</f>
        <v>32838.89</v>
      </c>
      <c r="Y869" s="9">
        <f t="shared" si="97"/>
        <v>32838.89</v>
      </c>
      <c r="AD869" s="4" t="s">
        <v>2740</v>
      </c>
      <c r="AE869" s="4" t="s">
        <v>2741</v>
      </c>
      <c r="AF869" s="4" t="s">
        <v>2723</v>
      </c>
    </row>
    <row r="870" spans="1:35" ht="36" x14ac:dyDescent="0.3">
      <c r="A870" s="25" t="s">
        <v>2742</v>
      </c>
      <c r="B870" s="25" t="s">
        <v>2713</v>
      </c>
      <c r="C870" s="26" t="s">
        <v>2714</v>
      </c>
      <c r="D870" s="27"/>
      <c r="E870" s="27" t="s">
        <v>2743</v>
      </c>
      <c r="F870" s="27" t="s">
        <v>116</v>
      </c>
      <c r="G870" s="28">
        <v>1</v>
      </c>
      <c r="H870" s="27"/>
      <c r="I870" s="28">
        <v>5</v>
      </c>
      <c r="J870" s="29">
        <f>IFERROR(ROUND(SUM(M871)/I870, 2),0)</f>
        <v>0</v>
      </c>
      <c r="K870" s="29">
        <v>3271</v>
      </c>
      <c r="L870" s="29">
        <f>J870+ROUND(K870, 2)</f>
        <v>3271</v>
      </c>
      <c r="M870" s="29">
        <f>ROUND(J870*I870, 2)</f>
        <v>0</v>
      </c>
      <c r="N870" s="29">
        <f>ROUND(I870*ROUND(K870, 2), 2)</f>
        <v>16355</v>
      </c>
      <c r="O870" s="29">
        <f>M870+N870</f>
        <v>16355</v>
      </c>
      <c r="P870" s="29">
        <f>IFERROR(ROUND(SUM(S871)/I870, 2),0)</f>
        <v>39406.67</v>
      </c>
      <c r="Q870" s="29">
        <v>9309</v>
      </c>
      <c r="R870" s="29">
        <f>P870+ROUND(Q870, 2)</f>
        <v>48715.67</v>
      </c>
      <c r="S870" s="29">
        <f>ROUND(P870*I870, 2)</f>
        <v>197033.35</v>
      </c>
      <c r="T870" s="29">
        <f>ROUND(I870*ROUND(Q870, 2), 2)</f>
        <v>46545</v>
      </c>
      <c r="U870" s="29">
        <f>S870+T870</f>
        <v>243578.35</v>
      </c>
      <c r="V870" s="9">
        <f>ROUND(P870 / 1.2, 2)</f>
        <v>32838.89</v>
      </c>
      <c r="W870" s="9">
        <f>ROUND(Q870 / 1.2, 2)</f>
        <v>7757.5</v>
      </c>
      <c r="X870" s="9">
        <f>ROUND(R870 / 1.2, 2)</f>
        <v>40596.39</v>
      </c>
      <c r="Y870" s="9">
        <f t="shared" si="97"/>
        <v>164194.46</v>
      </c>
      <c r="Z870" s="9">
        <f>ROUND(T870 / 1.2, 2)</f>
        <v>38787.5</v>
      </c>
      <c r="AA870" s="9">
        <f>Y870+Z870</f>
        <v>202981.96</v>
      </c>
      <c r="AD870" s="4">
        <v>298925503</v>
      </c>
      <c r="AE870" s="4">
        <v>22652760</v>
      </c>
      <c r="AG870" s="4" t="s">
        <v>2716</v>
      </c>
      <c r="AH870" s="4" t="s">
        <v>2717</v>
      </c>
      <c r="AI870" s="4" t="s">
        <v>67</v>
      </c>
    </row>
    <row r="871" spans="1:35" ht="396" x14ac:dyDescent="0.3">
      <c r="A871" s="25" t="s">
        <v>2744</v>
      </c>
      <c r="B871" s="25"/>
      <c r="C871" s="30" t="s">
        <v>2745</v>
      </c>
      <c r="D871" s="27"/>
      <c r="E871" s="27" t="s">
        <v>2746</v>
      </c>
      <c r="F871" s="31" t="s">
        <v>116</v>
      </c>
      <c r="G871" s="32">
        <v>1</v>
      </c>
      <c r="H871" s="27"/>
      <c r="I871" s="33">
        <v>5</v>
      </c>
      <c r="J871" s="34">
        <v>0</v>
      </c>
      <c r="K871" s="35"/>
      <c r="L871" s="35"/>
      <c r="M871" s="34">
        <f>ROUND(ROUND(J871, 2)*I871, 2)</f>
        <v>0</v>
      </c>
      <c r="N871" s="35"/>
      <c r="O871" s="35"/>
      <c r="P871" s="34">
        <v>39406.67</v>
      </c>
      <c r="Q871" s="35"/>
      <c r="R871" s="35"/>
      <c r="S871" s="34">
        <f>ROUND(ROUND(P871, 2)*I871, 2)</f>
        <v>197033.35</v>
      </c>
      <c r="T871" s="35"/>
      <c r="U871" s="36"/>
      <c r="V871" s="9">
        <f>ROUND(ROUND(P871, 2)/1.2, 2)</f>
        <v>32838.89</v>
      </c>
      <c r="Y871" s="9">
        <f t="shared" si="97"/>
        <v>164194.46</v>
      </c>
      <c r="AD871" s="4" t="s">
        <v>2747</v>
      </c>
      <c r="AE871" s="4" t="s">
        <v>2748</v>
      </c>
      <c r="AF871" s="4" t="s">
        <v>2749</v>
      </c>
    </row>
    <row r="872" spans="1:35" ht="36" x14ac:dyDescent="0.3">
      <c r="A872" s="25" t="s">
        <v>2750</v>
      </c>
      <c r="B872" s="25" t="s">
        <v>2713</v>
      </c>
      <c r="C872" s="26" t="s">
        <v>2714</v>
      </c>
      <c r="D872" s="27"/>
      <c r="E872" s="27" t="s">
        <v>2751</v>
      </c>
      <c r="F872" s="27" t="s">
        <v>116</v>
      </c>
      <c r="G872" s="28">
        <v>1</v>
      </c>
      <c r="H872" s="27"/>
      <c r="I872" s="28">
        <v>3</v>
      </c>
      <c r="J872" s="29">
        <f>IFERROR(ROUND(SUM(M873)/I872, 2),0)</f>
        <v>0</v>
      </c>
      <c r="K872" s="29">
        <v>3271</v>
      </c>
      <c r="L872" s="29">
        <f>J872+ROUND(K872, 2)</f>
        <v>3271</v>
      </c>
      <c r="M872" s="29">
        <f>ROUND(J872*I872, 2)</f>
        <v>0</v>
      </c>
      <c r="N872" s="29">
        <f>ROUND(I872*ROUND(K872, 2), 2)</f>
        <v>9813</v>
      </c>
      <c r="O872" s="29">
        <f>M872+N872</f>
        <v>9813</v>
      </c>
      <c r="P872" s="29">
        <f>IFERROR(ROUND(SUM(S873)/I872, 2),0)</f>
        <v>40386.67</v>
      </c>
      <c r="Q872" s="29">
        <v>9309</v>
      </c>
      <c r="R872" s="29">
        <f>P872+ROUND(Q872, 2)</f>
        <v>49695.67</v>
      </c>
      <c r="S872" s="29">
        <f>ROUND(P872*I872, 2)</f>
        <v>121160.01</v>
      </c>
      <c r="T872" s="29">
        <f>ROUND(I872*ROUND(Q872, 2), 2)</f>
        <v>27927</v>
      </c>
      <c r="U872" s="29">
        <f>S872+T872</f>
        <v>149087.01</v>
      </c>
      <c r="V872" s="9">
        <f>ROUND(P872 / 1.2, 2)</f>
        <v>33655.56</v>
      </c>
      <c r="W872" s="9">
        <f>ROUND(Q872 / 1.2, 2)</f>
        <v>7757.5</v>
      </c>
      <c r="X872" s="9">
        <f>ROUND(R872 / 1.2, 2)</f>
        <v>41413.06</v>
      </c>
      <c r="Y872" s="9">
        <f t="shared" si="97"/>
        <v>100966.68</v>
      </c>
      <c r="Z872" s="9">
        <f>ROUND(T872 / 1.2, 2)</f>
        <v>23272.5</v>
      </c>
      <c r="AA872" s="9">
        <f>Y872+Z872</f>
        <v>124239.18</v>
      </c>
      <c r="AD872" s="4">
        <v>298925504</v>
      </c>
      <c r="AE872" s="4">
        <v>22652761</v>
      </c>
      <c r="AG872" s="4" t="s">
        <v>2716</v>
      </c>
      <c r="AH872" s="4" t="s">
        <v>2717</v>
      </c>
      <c r="AI872" s="4" t="s">
        <v>67</v>
      </c>
    </row>
    <row r="873" spans="1:35" ht="396" x14ac:dyDescent="0.3">
      <c r="A873" s="25" t="s">
        <v>2752</v>
      </c>
      <c r="B873" s="25"/>
      <c r="C873" s="30" t="s">
        <v>2719</v>
      </c>
      <c r="D873" s="27"/>
      <c r="E873" s="27" t="s">
        <v>2753</v>
      </c>
      <c r="F873" s="31" t="s">
        <v>116</v>
      </c>
      <c r="G873" s="32">
        <v>1</v>
      </c>
      <c r="H873" s="27"/>
      <c r="I873" s="33">
        <v>3</v>
      </c>
      <c r="J873" s="34">
        <v>0</v>
      </c>
      <c r="K873" s="35"/>
      <c r="L873" s="35"/>
      <c r="M873" s="34">
        <f>ROUND(ROUND(J873, 2)*I873, 2)</f>
        <v>0</v>
      </c>
      <c r="N873" s="35"/>
      <c r="O873" s="35"/>
      <c r="P873" s="34">
        <v>40386.67</v>
      </c>
      <c r="Q873" s="35"/>
      <c r="R873" s="35"/>
      <c r="S873" s="34">
        <f>ROUND(ROUND(P873, 2)*I873, 2)</f>
        <v>121160.01</v>
      </c>
      <c r="T873" s="35"/>
      <c r="U873" s="36"/>
      <c r="V873" s="9">
        <f>ROUND(ROUND(P873, 2)/1.2, 2)</f>
        <v>33655.56</v>
      </c>
      <c r="Y873" s="9">
        <f t="shared" si="97"/>
        <v>100966.68</v>
      </c>
      <c r="AD873" s="4" t="s">
        <v>2754</v>
      </c>
      <c r="AE873" s="4" t="s">
        <v>2755</v>
      </c>
      <c r="AF873" s="4" t="s">
        <v>2723</v>
      </c>
    </row>
    <row r="874" spans="1:35" ht="36" x14ac:dyDescent="0.3">
      <c r="A874" s="25" t="s">
        <v>2756</v>
      </c>
      <c r="B874" s="25" t="s">
        <v>2713</v>
      </c>
      <c r="C874" s="26" t="s">
        <v>2714</v>
      </c>
      <c r="D874" s="27"/>
      <c r="E874" s="27" t="s">
        <v>2757</v>
      </c>
      <c r="F874" s="27" t="s">
        <v>116</v>
      </c>
      <c r="G874" s="28">
        <v>1</v>
      </c>
      <c r="H874" s="27"/>
      <c r="I874" s="28">
        <v>6</v>
      </c>
      <c r="J874" s="29">
        <f>IFERROR(ROUND(SUM(M875)/I874, 2),0)</f>
        <v>0</v>
      </c>
      <c r="K874" s="29">
        <v>3271</v>
      </c>
      <c r="L874" s="29">
        <f>J874+ROUND(K874, 2)</f>
        <v>3271</v>
      </c>
      <c r="M874" s="29">
        <f>ROUND(J874*I874, 2)</f>
        <v>0</v>
      </c>
      <c r="N874" s="29">
        <f>ROUND(I874*ROUND(K874, 2), 2)</f>
        <v>19626</v>
      </c>
      <c r="O874" s="29">
        <f>M874+N874</f>
        <v>19626</v>
      </c>
      <c r="P874" s="29">
        <f>IFERROR(ROUND(SUM(S875)/I874, 2),0)</f>
        <v>38496.67</v>
      </c>
      <c r="Q874" s="29">
        <v>9309</v>
      </c>
      <c r="R874" s="29">
        <f>P874+ROUND(Q874, 2)</f>
        <v>47805.67</v>
      </c>
      <c r="S874" s="29">
        <f>ROUND(P874*I874, 2)</f>
        <v>230980.02</v>
      </c>
      <c r="T874" s="29">
        <f>ROUND(I874*ROUND(Q874, 2), 2)</f>
        <v>55854</v>
      </c>
      <c r="U874" s="29">
        <f>S874+T874</f>
        <v>286834.02</v>
      </c>
      <c r="V874" s="9">
        <f>ROUND(P874 / 1.2, 2)</f>
        <v>32080.560000000001</v>
      </c>
      <c r="W874" s="9">
        <f>ROUND(Q874 / 1.2, 2)</f>
        <v>7757.5</v>
      </c>
      <c r="X874" s="9">
        <f>ROUND(R874 / 1.2, 2)</f>
        <v>39838.06</v>
      </c>
      <c r="Y874" s="9">
        <f t="shared" si="97"/>
        <v>192483.35</v>
      </c>
      <c r="Z874" s="9">
        <f>ROUND(T874 / 1.2, 2)</f>
        <v>46545</v>
      </c>
      <c r="AA874" s="9">
        <f>Y874+Z874</f>
        <v>239028.35</v>
      </c>
      <c r="AD874" s="4">
        <v>298925505</v>
      </c>
      <c r="AE874" s="4">
        <v>22652762</v>
      </c>
      <c r="AG874" s="4" t="s">
        <v>2716</v>
      </c>
      <c r="AH874" s="4" t="s">
        <v>2717</v>
      </c>
      <c r="AI874" s="4" t="s">
        <v>67</v>
      </c>
    </row>
    <row r="875" spans="1:35" ht="409.6" x14ac:dyDescent="0.3">
      <c r="A875" s="25" t="s">
        <v>2758</v>
      </c>
      <c r="B875" s="25"/>
      <c r="C875" s="30" t="s">
        <v>2719</v>
      </c>
      <c r="D875" s="27"/>
      <c r="E875" s="27" t="s">
        <v>2759</v>
      </c>
      <c r="F875" s="31" t="s">
        <v>116</v>
      </c>
      <c r="G875" s="32">
        <v>1</v>
      </c>
      <c r="H875" s="27"/>
      <c r="I875" s="33">
        <v>6</v>
      </c>
      <c r="J875" s="34">
        <v>0</v>
      </c>
      <c r="K875" s="35"/>
      <c r="L875" s="35"/>
      <c r="M875" s="34">
        <f>ROUND(ROUND(J875, 2)*I875, 2)</f>
        <v>0</v>
      </c>
      <c r="N875" s="35"/>
      <c r="O875" s="35"/>
      <c r="P875" s="34">
        <v>38496.67</v>
      </c>
      <c r="Q875" s="35"/>
      <c r="R875" s="35"/>
      <c r="S875" s="34">
        <f>ROUND(ROUND(P875, 2)*I875, 2)</f>
        <v>230980.02</v>
      </c>
      <c r="T875" s="35"/>
      <c r="U875" s="36"/>
      <c r="V875" s="9">
        <f>ROUND(ROUND(P875, 2)/1.2, 2)</f>
        <v>32080.560000000001</v>
      </c>
      <c r="Y875" s="9">
        <f t="shared" si="97"/>
        <v>192483.35</v>
      </c>
      <c r="AD875" s="4" t="s">
        <v>2760</v>
      </c>
      <c r="AE875" s="4" t="s">
        <v>2761</v>
      </c>
      <c r="AF875" s="4" t="s">
        <v>2723</v>
      </c>
    </row>
    <row r="876" spans="1:35" ht="36" x14ac:dyDescent="0.3">
      <c r="A876" s="25" t="s">
        <v>2762</v>
      </c>
      <c r="B876" s="25" t="s">
        <v>2713</v>
      </c>
      <c r="C876" s="26" t="s">
        <v>2714</v>
      </c>
      <c r="D876" s="27"/>
      <c r="E876" s="27" t="s">
        <v>2763</v>
      </c>
      <c r="F876" s="27" t="s">
        <v>116</v>
      </c>
      <c r="G876" s="28">
        <v>1</v>
      </c>
      <c r="H876" s="27"/>
      <c r="I876" s="28">
        <v>4</v>
      </c>
      <c r="J876" s="29">
        <f>IFERROR(ROUND(SUM(M877)/I876, 2),0)</f>
        <v>0</v>
      </c>
      <c r="K876" s="29">
        <v>3271</v>
      </c>
      <c r="L876" s="29">
        <f>J876+ROUND(K876, 2)</f>
        <v>3271</v>
      </c>
      <c r="M876" s="29">
        <f>ROUND(J876*I876, 2)</f>
        <v>0</v>
      </c>
      <c r="N876" s="29">
        <f>ROUND(I876*ROUND(K876, 2), 2)</f>
        <v>13084</v>
      </c>
      <c r="O876" s="29">
        <f>M876+N876</f>
        <v>13084</v>
      </c>
      <c r="P876" s="29">
        <f>IFERROR(ROUND(SUM(S877)/I876, 2),0)</f>
        <v>38496.67</v>
      </c>
      <c r="Q876" s="29">
        <v>9309</v>
      </c>
      <c r="R876" s="29">
        <f>P876+ROUND(Q876, 2)</f>
        <v>47805.67</v>
      </c>
      <c r="S876" s="29">
        <f>ROUND(P876*I876, 2)</f>
        <v>153986.68</v>
      </c>
      <c r="T876" s="29">
        <f>ROUND(I876*ROUND(Q876, 2), 2)</f>
        <v>37236</v>
      </c>
      <c r="U876" s="29">
        <f>S876+T876</f>
        <v>191222.68</v>
      </c>
      <c r="V876" s="9">
        <f>ROUND(P876 / 1.2, 2)</f>
        <v>32080.560000000001</v>
      </c>
      <c r="W876" s="9">
        <f>ROUND(Q876 / 1.2, 2)</f>
        <v>7757.5</v>
      </c>
      <c r="X876" s="9">
        <f>ROUND(R876 / 1.2, 2)</f>
        <v>39838.06</v>
      </c>
      <c r="Y876" s="9">
        <f t="shared" si="97"/>
        <v>128322.23</v>
      </c>
      <c r="Z876" s="9">
        <f>ROUND(T876 / 1.2, 2)</f>
        <v>31030</v>
      </c>
      <c r="AA876" s="9">
        <f>Y876+Z876</f>
        <v>159352.22999999998</v>
      </c>
      <c r="AD876" s="4">
        <v>298925506</v>
      </c>
      <c r="AE876" s="4">
        <v>22652763</v>
      </c>
      <c r="AG876" s="4" t="s">
        <v>2716</v>
      </c>
      <c r="AH876" s="4" t="s">
        <v>2717</v>
      </c>
      <c r="AI876" s="4" t="s">
        <v>67</v>
      </c>
    </row>
    <row r="877" spans="1:35" ht="409.6" x14ac:dyDescent="0.3">
      <c r="A877" s="25" t="s">
        <v>2764</v>
      </c>
      <c r="B877" s="25"/>
      <c r="C877" s="30" t="s">
        <v>2719</v>
      </c>
      <c r="D877" s="27"/>
      <c r="E877" s="27" t="s">
        <v>2765</v>
      </c>
      <c r="F877" s="31" t="s">
        <v>116</v>
      </c>
      <c r="G877" s="32">
        <v>1</v>
      </c>
      <c r="H877" s="27"/>
      <c r="I877" s="33">
        <v>4</v>
      </c>
      <c r="J877" s="34">
        <v>0</v>
      </c>
      <c r="K877" s="35"/>
      <c r="L877" s="35"/>
      <c r="M877" s="34">
        <f>ROUND(ROUND(J877, 2)*I877, 2)</f>
        <v>0</v>
      </c>
      <c r="N877" s="35"/>
      <c r="O877" s="35"/>
      <c r="P877" s="34">
        <v>38496.67</v>
      </c>
      <c r="Q877" s="35"/>
      <c r="R877" s="35"/>
      <c r="S877" s="34">
        <f>ROUND(ROUND(P877, 2)*I877, 2)</f>
        <v>153986.68</v>
      </c>
      <c r="T877" s="35"/>
      <c r="U877" s="36"/>
      <c r="V877" s="9">
        <f>ROUND(ROUND(P877, 2)/1.2, 2)</f>
        <v>32080.560000000001</v>
      </c>
      <c r="Y877" s="9">
        <f t="shared" si="97"/>
        <v>128322.23</v>
      </c>
      <c r="AD877" s="4" t="s">
        <v>2766</v>
      </c>
      <c r="AE877" s="4" t="s">
        <v>2767</v>
      </c>
      <c r="AF877" s="4" t="s">
        <v>2723</v>
      </c>
    </row>
    <row r="878" spans="1:35" ht="36" x14ac:dyDescent="0.3">
      <c r="A878" s="25" t="s">
        <v>2768</v>
      </c>
      <c r="B878" s="25" t="s">
        <v>2713</v>
      </c>
      <c r="C878" s="26" t="s">
        <v>2714</v>
      </c>
      <c r="D878" s="27"/>
      <c r="E878" s="27" t="s">
        <v>2769</v>
      </c>
      <c r="F878" s="27" t="s">
        <v>116</v>
      </c>
      <c r="G878" s="28">
        <v>1</v>
      </c>
      <c r="H878" s="27"/>
      <c r="I878" s="28">
        <v>10</v>
      </c>
      <c r="J878" s="29">
        <f>IFERROR(ROUND(SUM(M879)/I878, 2),0)</f>
        <v>0</v>
      </c>
      <c r="K878" s="29">
        <v>3271</v>
      </c>
      <c r="L878" s="29">
        <f>J878+ROUND(K878, 2)</f>
        <v>3271</v>
      </c>
      <c r="M878" s="29">
        <f>ROUND(J878*I878, 2)</f>
        <v>0</v>
      </c>
      <c r="N878" s="29">
        <f>ROUND(I878*ROUND(K878, 2), 2)</f>
        <v>32710</v>
      </c>
      <c r="O878" s="29">
        <f>M878+N878</f>
        <v>32710</v>
      </c>
      <c r="P878" s="29">
        <f>IFERROR(ROUND(SUM(S879)/I878, 2),0)</f>
        <v>37736.67</v>
      </c>
      <c r="Q878" s="29">
        <v>9309</v>
      </c>
      <c r="R878" s="29">
        <f>P878+ROUND(Q878, 2)</f>
        <v>47045.67</v>
      </c>
      <c r="S878" s="29">
        <f>ROUND(P878*I878, 2)</f>
        <v>377366.7</v>
      </c>
      <c r="T878" s="29">
        <f>ROUND(I878*ROUND(Q878, 2), 2)</f>
        <v>93090</v>
      </c>
      <c r="U878" s="29">
        <f>S878+T878</f>
        <v>470456.7</v>
      </c>
      <c r="V878" s="9">
        <f>ROUND(P878 / 1.2, 2)</f>
        <v>31447.23</v>
      </c>
      <c r="W878" s="9">
        <f>ROUND(Q878 / 1.2, 2)</f>
        <v>7757.5</v>
      </c>
      <c r="X878" s="9">
        <f>ROUND(R878 / 1.2, 2)</f>
        <v>39204.730000000003</v>
      </c>
      <c r="Y878" s="9">
        <f t="shared" si="97"/>
        <v>314472.25</v>
      </c>
      <c r="Z878" s="9">
        <f>ROUND(T878 / 1.2, 2)</f>
        <v>77575</v>
      </c>
      <c r="AA878" s="9">
        <f>Y878+Z878</f>
        <v>392047.25</v>
      </c>
      <c r="AD878" s="4">
        <v>298925507</v>
      </c>
      <c r="AE878" s="4">
        <v>22652764</v>
      </c>
      <c r="AG878" s="4" t="s">
        <v>2716</v>
      </c>
      <c r="AH878" s="4" t="s">
        <v>2717</v>
      </c>
      <c r="AI878" s="4" t="s">
        <v>67</v>
      </c>
    </row>
    <row r="879" spans="1:35" ht="396" x14ac:dyDescent="0.3">
      <c r="A879" s="25" t="s">
        <v>2770</v>
      </c>
      <c r="B879" s="25"/>
      <c r="C879" s="30" t="s">
        <v>2745</v>
      </c>
      <c r="D879" s="27"/>
      <c r="E879" s="27" t="s">
        <v>2771</v>
      </c>
      <c r="F879" s="31" t="s">
        <v>116</v>
      </c>
      <c r="G879" s="32">
        <v>1</v>
      </c>
      <c r="H879" s="27"/>
      <c r="I879" s="33">
        <v>10</v>
      </c>
      <c r="J879" s="34">
        <v>0</v>
      </c>
      <c r="K879" s="35"/>
      <c r="L879" s="35"/>
      <c r="M879" s="34">
        <f>ROUND(ROUND(J879, 2)*I879, 2)</f>
        <v>0</v>
      </c>
      <c r="N879" s="35"/>
      <c r="O879" s="35"/>
      <c r="P879" s="34">
        <v>37736.67</v>
      </c>
      <c r="Q879" s="35"/>
      <c r="R879" s="35"/>
      <c r="S879" s="34">
        <f>ROUND(ROUND(P879, 2)*I879, 2)</f>
        <v>377366.7</v>
      </c>
      <c r="T879" s="35"/>
      <c r="U879" s="36"/>
      <c r="V879" s="9">
        <f>ROUND(ROUND(P879, 2)/1.2, 2)</f>
        <v>31447.23</v>
      </c>
      <c r="Y879" s="9">
        <f t="shared" si="97"/>
        <v>314472.25</v>
      </c>
      <c r="AD879" s="4" t="s">
        <v>2772</v>
      </c>
      <c r="AE879" s="4" t="s">
        <v>2773</v>
      </c>
      <c r="AF879" s="4" t="s">
        <v>2749</v>
      </c>
    </row>
    <row r="880" spans="1:35" ht="36" x14ac:dyDescent="0.3">
      <c r="A880" s="25" t="s">
        <v>2774</v>
      </c>
      <c r="B880" s="25" t="s">
        <v>2713</v>
      </c>
      <c r="C880" s="26" t="s">
        <v>2714</v>
      </c>
      <c r="D880" s="27"/>
      <c r="E880" s="27" t="s">
        <v>2775</v>
      </c>
      <c r="F880" s="27" t="s">
        <v>116</v>
      </c>
      <c r="G880" s="28">
        <v>1</v>
      </c>
      <c r="H880" s="27"/>
      <c r="I880" s="28">
        <v>4</v>
      </c>
      <c r="J880" s="29">
        <f>IFERROR(ROUND(SUM(M881)/I880, 2),0)</f>
        <v>0</v>
      </c>
      <c r="K880" s="29">
        <v>3271</v>
      </c>
      <c r="L880" s="29">
        <f>J880+ROUND(K880, 2)</f>
        <v>3271</v>
      </c>
      <c r="M880" s="29">
        <f>ROUND(J880*I880, 2)</f>
        <v>0</v>
      </c>
      <c r="N880" s="29">
        <f>ROUND(I880*ROUND(K880, 2), 2)</f>
        <v>13084</v>
      </c>
      <c r="O880" s="29">
        <f>M880+N880</f>
        <v>13084</v>
      </c>
      <c r="P880" s="29">
        <f>IFERROR(ROUND(SUM(S881)/I880, 2),0)</f>
        <v>37736.67</v>
      </c>
      <c r="Q880" s="29">
        <v>9309</v>
      </c>
      <c r="R880" s="29">
        <f>P880+ROUND(Q880, 2)</f>
        <v>47045.67</v>
      </c>
      <c r="S880" s="29">
        <f>ROUND(P880*I880, 2)</f>
        <v>150946.68</v>
      </c>
      <c r="T880" s="29">
        <f>ROUND(I880*ROUND(Q880, 2), 2)</f>
        <v>37236</v>
      </c>
      <c r="U880" s="29">
        <f>S880+T880</f>
        <v>188182.68</v>
      </c>
      <c r="V880" s="9">
        <f>ROUND(P880 / 1.2, 2)</f>
        <v>31447.23</v>
      </c>
      <c r="W880" s="9">
        <f>ROUND(Q880 / 1.2, 2)</f>
        <v>7757.5</v>
      </c>
      <c r="X880" s="9">
        <f>ROUND(R880 / 1.2, 2)</f>
        <v>39204.730000000003</v>
      </c>
      <c r="Y880" s="9">
        <f t="shared" si="97"/>
        <v>125788.9</v>
      </c>
      <c r="Z880" s="9">
        <f>ROUND(T880 / 1.2, 2)</f>
        <v>31030</v>
      </c>
      <c r="AA880" s="9">
        <f>Y880+Z880</f>
        <v>156818.9</v>
      </c>
      <c r="AD880" s="4">
        <v>298925508</v>
      </c>
      <c r="AE880" s="4">
        <v>22652765</v>
      </c>
      <c r="AG880" s="4" t="s">
        <v>2716</v>
      </c>
      <c r="AH880" s="4" t="s">
        <v>2717</v>
      </c>
      <c r="AI880" s="4" t="s">
        <v>67</v>
      </c>
    </row>
    <row r="881" spans="1:35" ht="396" x14ac:dyDescent="0.3">
      <c r="A881" s="25" t="s">
        <v>2776</v>
      </c>
      <c r="B881" s="25"/>
      <c r="C881" s="30" t="s">
        <v>2719</v>
      </c>
      <c r="D881" s="27"/>
      <c r="E881" s="27" t="s">
        <v>2777</v>
      </c>
      <c r="F881" s="31" t="s">
        <v>116</v>
      </c>
      <c r="G881" s="32">
        <v>1</v>
      </c>
      <c r="H881" s="27"/>
      <c r="I881" s="33">
        <v>4</v>
      </c>
      <c r="J881" s="34">
        <v>0</v>
      </c>
      <c r="K881" s="35"/>
      <c r="L881" s="35"/>
      <c r="M881" s="34">
        <f>ROUND(ROUND(J881, 2)*I881, 2)</f>
        <v>0</v>
      </c>
      <c r="N881" s="35"/>
      <c r="O881" s="35"/>
      <c r="P881" s="34">
        <v>37736.67</v>
      </c>
      <c r="Q881" s="35"/>
      <c r="R881" s="35"/>
      <c r="S881" s="34">
        <f>ROUND(ROUND(P881, 2)*I881, 2)</f>
        <v>150946.68</v>
      </c>
      <c r="T881" s="35"/>
      <c r="U881" s="36"/>
      <c r="V881" s="9">
        <f>ROUND(ROUND(P881, 2)/1.2, 2)</f>
        <v>31447.23</v>
      </c>
      <c r="Y881" s="9">
        <f t="shared" si="97"/>
        <v>125788.9</v>
      </c>
      <c r="AD881" s="4" t="s">
        <v>2778</v>
      </c>
      <c r="AE881" s="4" t="s">
        <v>2779</v>
      </c>
      <c r="AF881" s="4" t="s">
        <v>2723</v>
      </c>
    </row>
    <row r="882" spans="1:35" ht="36" x14ac:dyDescent="0.3">
      <c r="A882" s="25" t="s">
        <v>2780</v>
      </c>
      <c r="B882" s="25" t="s">
        <v>2713</v>
      </c>
      <c r="C882" s="26" t="s">
        <v>2714</v>
      </c>
      <c r="D882" s="27"/>
      <c r="E882" s="27" t="s">
        <v>2781</v>
      </c>
      <c r="F882" s="27" t="s">
        <v>116</v>
      </c>
      <c r="G882" s="28">
        <v>1</v>
      </c>
      <c r="H882" s="27"/>
      <c r="I882" s="28">
        <v>5</v>
      </c>
      <c r="J882" s="29">
        <f>IFERROR(ROUND(SUM(M883)/I882, 2),0)</f>
        <v>0</v>
      </c>
      <c r="K882" s="29">
        <v>3271</v>
      </c>
      <c r="L882" s="29">
        <f>J882+ROUND(K882, 2)</f>
        <v>3271</v>
      </c>
      <c r="M882" s="29">
        <f>ROUND(J882*I882, 2)</f>
        <v>0</v>
      </c>
      <c r="N882" s="29">
        <f>ROUND(I882*ROUND(K882, 2), 2)</f>
        <v>16355</v>
      </c>
      <c r="O882" s="29">
        <f>M882+N882</f>
        <v>16355</v>
      </c>
      <c r="P882" s="29">
        <f>IFERROR(ROUND(SUM(S883)/I882, 2),0)</f>
        <v>56520.67</v>
      </c>
      <c r="Q882" s="29">
        <v>10751</v>
      </c>
      <c r="R882" s="29">
        <f>P882+ROUND(Q882, 2)</f>
        <v>67271.67</v>
      </c>
      <c r="S882" s="29">
        <f>ROUND(P882*I882, 2)</f>
        <v>282603.34999999998</v>
      </c>
      <c r="T882" s="29">
        <f>ROUND(I882*ROUND(Q882, 2), 2)</f>
        <v>53755</v>
      </c>
      <c r="U882" s="29">
        <f>S882+T882</f>
        <v>336358.35</v>
      </c>
      <c r="V882" s="9">
        <f>ROUND(P882 / 1.2, 2)</f>
        <v>47100.56</v>
      </c>
      <c r="W882" s="9">
        <f>ROUND(Q882 / 1.2, 2)</f>
        <v>8959.17</v>
      </c>
      <c r="X882" s="9">
        <f>ROUND(R882 / 1.2, 2)</f>
        <v>56059.73</v>
      </c>
      <c r="Y882" s="9">
        <f t="shared" si="97"/>
        <v>235502.79</v>
      </c>
      <c r="Z882" s="9">
        <f>ROUND(T882 / 1.2, 2)</f>
        <v>44795.83</v>
      </c>
      <c r="AA882" s="9">
        <f>Y882+Z882</f>
        <v>280298.62</v>
      </c>
      <c r="AD882" s="4">
        <v>298925509</v>
      </c>
      <c r="AE882" s="4">
        <v>22652766</v>
      </c>
      <c r="AG882" s="4" t="s">
        <v>2716</v>
      </c>
      <c r="AH882" s="4" t="s">
        <v>2717</v>
      </c>
      <c r="AI882" s="4" t="s">
        <v>67</v>
      </c>
    </row>
    <row r="883" spans="1:35" ht="378" x14ac:dyDescent="0.3">
      <c r="A883" s="25" t="s">
        <v>2782</v>
      </c>
      <c r="B883" s="25"/>
      <c r="C883" s="30" t="s">
        <v>2745</v>
      </c>
      <c r="D883" s="27"/>
      <c r="E883" s="27" t="s">
        <v>2783</v>
      </c>
      <c r="F883" s="31" t="s">
        <v>116</v>
      </c>
      <c r="G883" s="32">
        <v>1</v>
      </c>
      <c r="H883" s="27"/>
      <c r="I883" s="33">
        <v>5</v>
      </c>
      <c r="J883" s="34">
        <v>0</v>
      </c>
      <c r="K883" s="35"/>
      <c r="L883" s="35"/>
      <c r="M883" s="34">
        <f>ROUND(ROUND(J883, 2)*I883, 2)</f>
        <v>0</v>
      </c>
      <c r="N883" s="35"/>
      <c r="O883" s="35"/>
      <c r="P883" s="34">
        <v>56520.67</v>
      </c>
      <c r="Q883" s="35"/>
      <c r="R883" s="35"/>
      <c r="S883" s="34">
        <f>ROUND(ROUND(P883, 2)*I883, 2)</f>
        <v>282603.34999999998</v>
      </c>
      <c r="T883" s="35"/>
      <c r="U883" s="36"/>
      <c r="V883" s="9">
        <f>ROUND(ROUND(P883, 2)/1.2, 2)</f>
        <v>47100.56</v>
      </c>
      <c r="Y883" s="9">
        <f t="shared" si="97"/>
        <v>235502.79</v>
      </c>
      <c r="AD883" s="4" t="s">
        <v>2784</v>
      </c>
      <c r="AE883" s="4" t="s">
        <v>2785</v>
      </c>
      <c r="AF883" s="4" t="s">
        <v>2749</v>
      </c>
    </row>
    <row r="884" spans="1:35" ht="36" x14ac:dyDescent="0.3">
      <c r="A884" s="25" t="s">
        <v>2786</v>
      </c>
      <c r="B884" s="25" t="s">
        <v>2713</v>
      </c>
      <c r="C884" s="26" t="s">
        <v>2714</v>
      </c>
      <c r="D884" s="27"/>
      <c r="E884" s="27" t="s">
        <v>2787</v>
      </c>
      <c r="F884" s="27" t="s">
        <v>116</v>
      </c>
      <c r="G884" s="28">
        <v>1</v>
      </c>
      <c r="H884" s="27"/>
      <c r="I884" s="28">
        <v>1</v>
      </c>
      <c r="J884" s="29">
        <f>IFERROR(ROUND(SUM(M885)/I884, 2),0)</f>
        <v>0</v>
      </c>
      <c r="K884" s="29">
        <v>3271</v>
      </c>
      <c r="L884" s="29">
        <f>J884+ROUND(K884, 2)</f>
        <v>3271</v>
      </c>
      <c r="M884" s="29">
        <f>ROUND(J884*I884, 2)</f>
        <v>0</v>
      </c>
      <c r="N884" s="29">
        <f>ROUND(I884*ROUND(K884, 2), 2)</f>
        <v>3271</v>
      </c>
      <c r="O884" s="29">
        <f>M884+N884</f>
        <v>3271</v>
      </c>
      <c r="P884" s="29">
        <f>IFERROR(ROUND(SUM(S885)/I884, 2),0)</f>
        <v>56520.67</v>
      </c>
      <c r="Q884" s="29">
        <v>10751</v>
      </c>
      <c r="R884" s="29">
        <f>P884+ROUND(Q884, 2)</f>
        <v>67271.67</v>
      </c>
      <c r="S884" s="29">
        <f>ROUND(P884*I884, 2)</f>
        <v>56520.67</v>
      </c>
      <c r="T884" s="29">
        <f>ROUND(I884*ROUND(Q884, 2), 2)</f>
        <v>10751</v>
      </c>
      <c r="U884" s="29">
        <f>S884+T884</f>
        <v>67271.67</v>
      </c>
      <c r="V884" s="9">
        <f>ROUND(P884 / 1.2, 2)</f>
        <v>47100.56</v>
      </c>
      <c r="W884" s="9">
        <f>ROUND(Q884 / 1.2, 2)</f>
        <v>8959.17</v>
      </c>
      <c r="X884" s="9">
        <f>ROUND(R884 / 1.2, 2)</f>
        <v>56059.73</v>
      </c>
      <c r="Y884" s="9">
        <f t="shared" si="97"/>
        <v>47100.56</v>
      </c>
      <c r="Z884" s="9">
        <f>ROUND(T884 / 1.2, 2)</f>
        <v>8959.17</v>
      </c>
      <c r="AA884" s="9">
        <f>Y884+Z884</f>
        <v>56059.729999999996</v>
      </c>
      <c r="AD884" s="4">
        <v>298925510</v>
      </c>
      <c r="AE884" s="4">
        <v>22653824</v>
      </c>
      <c r="AG884" s="4" t="s">
        <v>2716</v>
      </c>
      <c r="AH884" s="4" t="s">
        <v>2717</v>
      </c>
      <c r="AI884" s="4" t="s">
        <v>67</v>
      </c>
    </row>
    <row r="885" spans="1:35" ht="378" x14ac:dyDescent="0.3">
      <c r="A885" s="25" t="s">
        <v>2788</v>
      </c>
      <c r="B885" s="25"/>
      <c r="C885" s="30" t="s">
        <v>2719</v>
      </c>
      <c r="D885" s="27"/>
      <c r="E885" s="27" t="s">
        <v>2789</v>
      </c>
      <c r="F885" s="31" t="s">
        <v>116</v>
      </c>
      <c r="G885" s="32">
        <v>1</v>
      </c>
      <c r="H885" s="27"/>
      <c r="I885" s="33">
        <v>1</v>
      </c>
      <c r="J885" s="34">
        <v>0</v>
      </c>
      <c r="K885" s="35"/>
      <c r="L885" s="35"/>
      <c r="M885" s="34">
        <f>ROUND(ROUND(J885, 2)*I885, 2)</f>
        <v>0</v>
      </c>
      <c r="N885" s="35"/>
      <c r="O885" s="35"/>
      <c r="P885" s="34">
        <v>56520.67</v>
      </c>
      <c r="Q885" s="35"/>
      <c r="R885" s="35"/>
      <c r="S885" s="34">
        <f>ROUND(ROUND(P885, 2)*I885, 2)</f>
        <v>56520.67</v>
      </c>
      <c r="T885" s="35"/>
      <c r="U885" s="36"/>
      <c r="V885" s="9">
        <f>ROUND(ROUND(P885, 2)/1.2, 2)</f>
        <v>47100.56</v>
      </c>
      <c r="Y885" s="9">
        <f t="shared" si="97"/>
        <v>47100.56</v>
      </c>
      <c r="AD885" s="4" t="s">
        <v>2790</v>
      </c>
      <c r="AE885" s="4" t="s">
        <v>2791</v>
      </c>
      <c r="AF885" s="4" t="s">
        <v>2723</v>
      </c>
    </row>
    <row r="886" spans="1:35" ht="36" x14ac:dyDescent="0.3">
      <c r="A886" s="25" t="s">
        <v>2792</v>
      </c>
      <c r="B886" s="25" t="s">
        <v>2713</v>
      </c>
      <c r="C886" s="26" t="s">
        <v>2714</v>
      </c>
      <c r="D886" s="27"/>
      <c r="E886" s="27" t="s">
        <v>2793</v>
      </c>
      <c r="F886" s="27" t="s">
        <v>116</v>
      </c>
      <c r="G886" s="28">
        <v>1</v>
      </c>
      <c r="H886" s="27"/>
      <c r="I886" s="28">
        <v>5</v>
      </c>
      <c r="J886" s="29">
        <f>IFERROR(ROUND(SUM(M887)/I886, 2),0)</f>
        <v>0</v>
      </c>
      <c r="K886" s="29">
        <v>3271</v>
      </c>
      <c r="L886" s="29">
        <f>J886+ROUND(K886, 2)</f>
        <v>3271</v>
      </c>
      <c r="M886" s="29">
        <f>ROUND(J886*I886, 2)</f>
        <v>0</v>
      </c>
      <c r="N886" s="29">
        <f>ROUND(I886*ROUND(K886, 2), 2)</f>
        <v>16355</v>
      </c>
      <c r="O886" s="29">
        <f>M886+N886</f>
        <v>16355</v>
      </c>
      <c r="P886" s="29">
        <f>IFERROR(ROUND(SUM(S887)/I886, 2),0)</f>
        <v>39406.67</v>
      </c>
      <c r="Q886" s="29">
        <v>9309</v>
      </c>
      <c r="R886" s="29">
        <f>P886+ROUND(Q886, 2)</f>
        <v>48715.67</v>
      </c>
      <c r="S886" s="29">
        <f>ROUND(P886*I886, 2)</f>
        <v>197033.35</v>
      </c>
      <c r="T886" s="29">
        <f>ROUND(I886*ROUND(Q886, 2), 2)</f>
        <v>46545</v>
      </c>
      <c r="U886" s="29">
        <f>S886+T886</f>
        <v>243578.35</v>
      </c>
      <c r="V886" s="9">
        <f>ROUND(P886 / 1.2, 2)</f>
        <v>32838.89</v>
      </c>
      <c r="W886" s="9">
        <f>ROUND(Q886 / 1.2, 2)</f>
        <v>7757.5</v>
      </c>
      <c r="X886" s="9">
        <f>ROUND(R886 / 1.2, 2)</f>
        <v>40596.39</v>
      </c>
      <c r="Y886" s="9">
        <f t="shared" si="97"/>
        <v>164194.46</v>
      </c>
      <c r="Z886" s="9">
        <f>ROUND(T886 / 1.2, 2)</f>
        <v>38787.5</v>
      </c>
      <c r="AA886" s="9">
        <f>Y886+Z886</f>
        <v>202981.96</v>
      </c>
      <c r="AD886" s="4">
        <v>298925511</v>
      </c>
      <c r="AE886" s="4">
        <v>22653825</v>
      </c>
      <c r="AG886" s="4" t="s">
        <v>2716</v>
      </c>
      <c r="AH886" s="4" t="s">
        <v>2717</v>
      </c>
      <c r="AI886" s="4" t="s">
        <v>67</v>
      </c>
    </row>
    <row r="887" spans="1:35" ht="342" x14ac:dyDescent="0.3">
      <c r="A887" s="25" t="s">
        <v>2794</v>
      </c>
      <c r="B887" s="25"/>
      <c r="C887" s="30" t="s">
        <v>2745</v>
      </c>
      <c r="D887" s="27"/>
      <c r="E887" s="27" t="s">
        <v>2795</v>
      </c>
      <c r="F887" s="31" t="s">
        <v>116</v>
      </c>
      <c r="G887" s="32">
        <v>1</v>
      </c>
      <c r="H887" s="27"/>
      <c r="I887" s="33">
        <v>5</v>
      </c>
      <c r="J887" s="34">
        <v>0</v>
      </c>
      <c r="K887" s="35"/>
      <c r="L887" s="35"/>
      <c r="M887" s="34">
        <f>ROUND(ROUND(J887, 2)*I887, 2)</f>
        <v>0</v>
      </c>
      <c r="N887" s="35"/>
      <c r="O887" s="35"/>
      <c r="P887" s="34">
        <v>39406.67</v>
      </c>
      <c r="Q887" s="35"/>
      <c r="R887" s="35"/>
      <c r="S887" s="34">
        <f>ROUND(ROUND(P887, 2)*I887, 2)</f>
        <v>197033.35</v>
      </c>
      <c r="T887" s="35"/>
      <c r="U887" s="36"/>
      <c r="V887" s="9">
        <f>ROUND(ROUND(P887, 2)/1.2, 2)</f>
        <v>32838.89</v>
      </c>
      <c r="Y887" s="9">
        <f t="shared" si="97"/>
        <v>164194.46</v>
      </c>
      <c r="AD887" s="4" t="s">
        <v>2796</v>
      </c>
      <c r="AE887" s="4" t="s">
        <v>2797</v>
      </c>
      <c r="AF887" s="4" t="s">
        <v>2749</v>
      </c>
    </row>
    <row r="888" spans="1:35" ht="36" x14ac:dyDescent="0.3">
      <c r="A888" s="25" t="s">
        <v>2798</v>
      </c>
      <c r="B888" s="25" t="s">
        <v>2713</v>
      </c>
      <c r="C888" s="26" t="s">
        <v>2714</v>
      </c>
      <c r="D888" s="27"/>
      <c r="E888" s="27" t="s">
        <v>2799</v>
      </c>
      <c r="F888" s="27" t="s">
        <v>116</v>
      </c>
      <c r="G888" s="28">
        <v>1</v>
      </c>
      <c r="H888" s="27"/>
      <c r="I888" s="28">
        <v>3</v>
      </c>
      <c r="J888" s="29">
        <f>IFERROR(ROUND(SUM(M889)/I888, 2),0)</f>
        <v>3442</v>
      </c>
      <c r="K888" s="29">
        <v>3271</v>
      </c>
      <c r="L888" s="29">
        <f>J888+ROUND(K888, 2)</f>
        <v>6713</v>
      </c>
      <c r="M888" s="29">
        <f>ROUND(J888*I888, 2)</f>
        <v>10326</v>
      </c>
      <c r="N888" s="29">
        <f>ROUND(I888*ROUND(K888, 2), 2)</f>
        <v>9813</v>
      </c>
      <c r="O888" s="29">
        <f>M888+N888</f>
        <v>20139</v>
      </c>
      <c r="P888" s="29">
        <f>IFERROR(ROUND(SUM(S889)/I888, 2),0)</f>
        <v>39406.67</v>
      </c>
      <c r="Q888" s="29">
        <v>9309</v>
      </c>
      <c r="R888" s="29">
        <f>P888+ROUND(Q888, 2)</f>
        <v>48715.67</v>
      </c>
      <c r="S888" s="29">
        <f>ROUND(P888*I888, 2)</f>
        <v>118220.01</v>
      </c>
      <c r="T888" s="29">
        <f>ROUND(I888*ROUND(Q888, 2), 2)</f>
        <v>27927</v>
      </c>
      <c r="U888" s="29">
        <f>S888+T888</f>
        <v>146147.01</v>
      </c>
      <c r="V888" s="9">
        <f>ROUND(P888 / 1.2, 2)</f>
        <v>32838.89</v>
      </c>
      <c r="W888" s="9">
        <f>ROUND(Q888 / 1.2, 2)</f>
        <v>7757.5</v>
      </c>
      <c r="X888" s="9">
        <f>ROUND(R888 / 1.2, 2)</f>
        <v>40596.39</v>
      </c>
      <c r="Y888" s="9">
        <f t="shared" si="97"/>
        <v>98516.68</v>
      </c>
      <c r="Z888" s="9">
        <f>ROUND(T888 / 1.2, 2)</f>
        <v>23272.5</v>
      </c>
      <c r="AA888" s="9">
        <f>Y888+Z888</f>
        <v>121789.18</v>
      </c>
      <c r="AD888" s="4">
        <v>298925512</v>
      </c>
      <c r="AE888" s="4">
        <v>22653826</v>
      </c>
      <c r="AG888" s="4" t="s">
        <v>2716</v>
      </c>
      <c r="AH888" s="4" t="s">
        <v>2717</v>
      </c>
      <c r="AI888" s="4" t="s">
        <v>67</v>
      </c>
    </row>
    <row r="889" spans="1:35" ht="342" x14ac:dyDescent="0.3">
      <c r="A889" s="25" t="s">
        <v>2800</v>
      </c>
      <c r="B889" s="25"/>
      <c r="C889" s="30" t="s">
        <v>2801</v>
      </c>
      <c r="D889" s="27"/>
      <c r="E889" s="27" t="s">
        <v>2802</v>
      </c>
      <c r="F889" s="31" t="s">
        <v>116</v>
      </c>
      <c r="G889" s="32">
        <v>1</v>
      </c>
      <c r="H889" s="27"/>
      <c r="I889" s="33">
        <v>3</v>
      </c>
      <c r="J889" s="34">
        <v>3442</v>
      </c>
      <c r="K889" s="35"/>
      <c r="L889" s="35"/>
      <c r="M889" s="34">
        <f>ROUND(ROUND(J889, 2)*I889, 2)</f>
        <v>10326</v>
      </c>
      <c r="N889" s="35"/>
      <c r="O889" s="35"/>
      <c r="P889" s="34">
        <v>39406.67</v>
      </c>
      <c r="Q889" s="35"/>
      <c r="R889" s="35"/>
      <c r="S889" s="34">
        <f>ROUND(ROUND(P889, 2)*I889, 2)</f>
        <v>118220.01</v>
      </c>
      <c r="T889" s="35"/>
      <c r="U889" s="36"/>
      <c r="V889" s="9">
        <f>ROUND(ROUND(P889, 2)/1.2, 2)</f>
        <v>32838.89</v>
      </c>
      <c r="Y889" s="9">
        <f t="shared" si="97"/>
        <v>98516.68</v>
      </c>
      <c r="AD889" s="4" t="s">
        <v>2803</v>
      </c>
      <c r="AE889" s="4" t="s">
        <v>2804</v>
      </c>
      <c r="AF889" s="4" t="s">
        <v>2805</v>
      </c>
    </row>
    <row r="890" spans="1:35" ht="36" x14ac:dyDescent="0.3">
      <c r="A890" s="25" t="s">
        <v>2806</v>
      </c>
      <c r="B890" s="25" t="s">
        <v>2713</v>
      </c>
      <c r="C890" s="26" t="s">
        <v>2714</v>
      </c>
      <c r="D890" s="27"/>
      <c r="E890" s="27" t="s">
        <v>2807</v>
      </c>
      <c r="F890" s="27" t="s">
        <v>116</v>
      </c>
      <c r="G890" s="28">
        <v>1</v>
      </c>
      <c r="H890" s="27"/>
      <c r="I890" s="28">
        <v>15</v>
      </c>
      <c r="J890" s="29">
        <f>IFERROR(ROUND(SUM(M891)/I890, 2),0)</f>
        <v>0</v>
      </c>
      <c r="K890" s="29">
        <v>3271</v>
      </c>
      <c r="L890" s="29">
        <f>J890+ROUND(K890, 2)</f>
        <v>3271</v>
      </c>
      <c r="M890" s="29">
        <f>ROUND(J890*I890, 2)</f>
        <v>0</v>
      </c>
      <c r="N890" s="29">
        <f>ROUND(I890*ROUND(K890, 2), 2)</f>
        <v>49065</v>
      </c>
      <c r="O890" s="29">
        <f>M890+N890</f>
        <v>49065</v>
      </c>
      <c r="P890" s="29">
        <f>IFERROR(ROUND(SUM(S891)/I890, 2),0)</f>
        <v>56520.67</v>
      </c>
      <c r="Q890" s="29">
        <v>10751</v>
      </c>
      <c r="R890" s="29">
        <f>P890+ROUND(Q890, 2)</f>
        <v>67271.67</v>
      </c>
      <c r="S890" s="29">
        <f>ROUND(P890*I890, 2)</f>
        <v>847810.05</v>
      </c>
      <c r="T890" s="29">
        <f>ROUND(I890*ROUND(Q890, 2), 2)</f>
        <v>161265</v>
      </c>
      <c r="U890" s="29">
        <f>S890+T890</f>
        <v>1009075.05</v>
      </c>
      <c r="V890" s="9">
        <f>ROUND(P890 / 1.2, 2)</f>
        <v>47100.56</v>
      </c>
      <c r="W890" s="9">
        <f>ROUND(Q890 / 1.2, 2)</f>
        <v>8959.17</v>
      </c>
      <c r="X890" s="9">
        <f>ROUND(R890 / 1.2, 2)</f>
        <v>56059.73</v>
      </c>
      <c r="Y890" s="9">
        <f t="shared" si="97"/>
        <v>706508.38</v>
      </c>
      <c r="Z890" s="9">
        <f>ROUND(T890 / 1.2, 2)</f>
        <v>134387.5</v>
      </c>
      <c r="AA890" s="9">
        <f>Y890+Z890</f>
        <v>840895.88</v>
      </c>
      <c r="AD890" s="4">
        <v>298925513</v>
      </c>
      <c r="AE890" s="4">
        <v>22653827</v>
      </c>
      <c r="AG890" s="4" t="s">
        <v>2716</v>
      </c>
      <c r="AH890" s="4" t="s">
        <v>2717</v>
      </c>
      <c r="AI890" s="4" t="s">
        <v>67</v>
      </c>
    </row>
    <row r="891" spans="1:35" ht="360" x14ac:dyDescent="0.3">
      <c r="A891" s="25" t="s">
        <v>2808</v>
      </c>
      <c r="B891" s="25"/>
      <c r="C891" s="30" t="s">
        <v>2745</v>
      </c>
      <c r="D891" s="27"/>
      <c r="E891" s="27" t="s">
        <v>2809</v>
      </c>
      <c r="F891" s="31" t="s">
        <v>116</v>
      </c>
      <c r="G891" s="32">
        <v>1</v>
      </c>
      <c r="H891" s="27"/>
      <c r="I891" s="33">
        <v>15</v>
      </c>
      <c r="J891" s="34">
        <v>0</v>
      </c>
      <c r="K891" s="35"/>
      <c r="L891" s="35"/>
      <c r="M891" s="34">
        <f>ROUND(ROUND(J891, 2)*I891, 2)</f>
        <v>0</v>
      </c>
      <c r="N891" s="35"/>
      <c r="O891" s="35"/>
      <c r="P891" s="34">
        <v>56520.67</v>
      </c>
      <c r="Q891" s="35"/>
      <c r="R891" s="35"/>
      <c r="S891" s="34">
        <f>ROUND(ROUND(P891, 2)*I891, 2)</f>
        <v>847810.05</v>
      </c>
      <c r="T891" s="35"/>
      <c r="U891" s="36"/>
      <c r="V891" s="9">
        <f>ROUND(ROUND(P891, 2)/1.2, 2)</f>
        <v>47100.56</v>
      </c>
      <c r="Y891" s="9">
        <f t="shared" si="97"/>
        <v>706508.38</v>
      </c>
      <c r="AD891" s="4" t="s">
        <v>2810</v>
      </c>
      <c r="AE891" s="4" t="s">
        <v>2811</v>
      </c>
      <c r="AF891" s="4" t="s">
        <v>2749</v>
      </c>
    </row>
    <row r="892" spans="1:35" ht="36" x14ac:dyDescent="0.3">
      <c r="A892" s="25" t="s">
        <v>2812</v>
      </c>
      <c r="B892" s="25" t="s">
        <v>2713</v>
      </c>
      <c r="C892" s="26" t="s">
        <v>2714</v>
      </c>
      <c r="D892" s="27"/>
      <c r="E892" s="27" t="s">
        <v>2813</v>
      </c>
      <c r="F892" s="27" t="s">
        <v>116</v>
      </c>
      <c r="G892" s="28">
        <v>1</v>
      </c>
      <c r="H892" s="27"/>
      <c r="I892" s="28">
        <v>4</v>
      </c>
      <c r="J892" s="29">
        <f>IFERROR(ROUND(SUM(M893)/I892, 2),0)</f>
        <v>0</v>
      </c>
      <c r="K892" s="29">
        <v>3271</v>
      </c>
      <c r="L892" s="29">
        <f>J892+ROUND(K892, 2)</f>
        <v>3271</v>
      </c>
      <c r="M892" s="29">
        <f>ROUND(J892*I892, 2)</f>
        <v>0</v>
      </c>
      <c r="N892" s="29">
        <f>ROUND(I892*ROUND(K892, 2), 2)</f>
        <v>13084</v>
      </c>
      <c r="O892" s="29">
        <f>M892+N892</f>
        <v>13084</v>
      </c>
      <c r="P892" s="29">
        <f>IFERROR(ROUND(SUM(S893)/I892, 2),0)</f>
        <v>56520.67</v>
      </c>
      <c r="Q892" s="29">
        <v>10751</v>
      </c>
      <c r="R892" s="29">
        <f>P892+ROUND(Q892, 2)</f>
        <v>67271.67</v>
      </c>
      <c r="S892" s="29">
        <f>ROUND(P892*I892, 2)</f>
        <v>226082.68</v>
      </c>
      <c r="T892" s="29">
        <f>ROUND(I892*ROUND(Q892, 2), 2)</f>
        <v>43004</v>
      </c>
      <c r="U892" s="29">
        <f>S892+T892</f>
        <v>269086.68</v>
      </c>
      <c r="V892" s="9">
        <f>ROUND(P892 / 1.2, 2)</f>
        <v>47100.56</v>
      </c>
      <c r="W892" s="9">
        <f>ROUND(Q892 / 1.2, 2)</f>
        <v>8959.17</v>
      </c>
      <c r="X892" s="9">
        <f>ROUND(R892 / 1.2, 2)</f>
        <v>56059.73</v>
      </c>
      <c r="Y892" s="9">
        <f t="shared" si="97"/>
        <v>188402.23</v>
      </c>
      <c r="Z892" s="9">
        <f>ROUND(T892 / 1.2, 2)</f>
        <v>35836.67</v>
      </c>
      <c r="AA892" s="9">
        <f>Y892+Z892</f>
        <v>224238.90000000002</v>
      </c>
      <c r="AD892" s="4">
        <v>298925514</v>
      </c>
      <c r="AE892" s="4">
        <v>22655934</v>
      </c>
      <c r="AG892" s="4" t="s">
        <v>2716</v>
      </c>
      <c r="AH892" s="4" t="s">
        <v>2717</v>
      </c>
      <c r="AI892" s="4" t="s">
        <v>67</v>
      </c>
    </row>
    <row r="893" spans="1:35" ht="360" x14ac:dyDescent="0.3">
      <c r="A893" s="25" t="s">
        <v>2814</v>
      </c>
      <c r="B893" s="25"/>
      <c r="C893" s="30" t="s">
        <v>2719</v>
      </c>
      <c r="D893" s="27"/>
      <c r="E893" s="27" t="s">
        <v>2815</v>
      </c>
      <c r="F893" s="31" t="s">
        <v>116</v>
      </c>
      <c r="G893" s="32">
        <v>1</v>
      </c>
      <c r="H893" s="27"/>
      <c r="I893" s="33">
        <v>4</v>
      </c>
      <c r="J893" s="34">
        <v>0</v>
      </c>
      <c r="K893" s="35"/>
      <c r="L893" s="35"/>
      <c r="M893" s="34">
        <f>ROUND(ROUND(J893, 2)*I893, 2)</f>
        <v>0</v>
      </c>
      <c r="N893" s="35"/>
      <c r="O893" s="35"/>
      <c r="P893" s="34">
        <v>56520.67</v>
      </c>
      <c r="Q893" s="35"/>
      <c r="R893" s="35"/>
      <c r="S893" s="34">
        <f>ROUND(ROUND(P893, 2)*I893, 2)</f>
        <v>226082.68</v>
      </c>
      <c r="T893" s="35"/>
      <c r="U893" s="36"/>
      <c r="V893" s="9">
        <f>ROUND(ROUND(P893, 2)/1.2, 2)</f>
        <v>47100.56</v>
      </c>
      <c r="Y893" s="9">
        <f t="shared" si="97"/>
        <v>188402.23</v>
      </c>
      <c r="AD893" s="4" t="s">
        <v>2816</v>
      </c>
      <c r="AE893" s="4" t="s">
        <v>2817</v>
      </c>
      <c r="AF893" s="4" t="s">
        <v>2723</v>
      </c>
    </row>
    <row r="894" spans="1:35" ht="36" x14ac:dyDescent="0.3">
      <c r="A894" s="25" t="s">
        <v>2818</v>
      </c>
      <c r="B894" s="25" t="s">
        <v>2713</v>
      </c>
      <c r="C894" s="26" t="s">
        <v>2714</v>
      </c>
      <c r="D894" s="27"/>
      <c r="E894" s="27" t="s">
        <v>2819</v>
      </c>
      <c r="F894" s="27" t="s">
        <v>116</v>
      </c>
      <c r="G894" s="28">
        <v>1</v>
      </c>
      <c r="H894" s="27"/>
      <c r="I894" s="28">
        <v>2</v>
      </c>
      <c r="J894" s="29">
        <f>IFERROR(ROUND(SUM(M895)/I894, 2),0)</f>
        <v>0</v>
      </c>
      <c r="K894" s="29">
        <v>3271</v>
      </c>
      <c r="L894" s="29">
        <f>J894+ROUND(K894, 2)</f>
        <v>3271</v>
      </c>
      <c r="M894" s="29">
        <f>ROUND(J894*I894, 2)</f>
        <v>0</v>
      </c>
      <c r="N894" s="29">
        <f>ROUND(I894*ROUND(K894, 2), 2)</f>
        <v>6542</v>
      </c>
      <c r="O894" s="29">
        <f>M894+N894</f>
        <v>6542</v>
      </c>
      <c r="P894" s="29">
        <f>IFERROR(ROUND(SUM(S895)/I894, 2),0)</f>
        <v>63045</v>
      </c>
      <c r="Q894" s="29">
        <v>10751</v>
      </c>
      <c r="R894" s="29">
        <f>P894+ROUND(Q894, 2)</f>
        <v>73796</v>
      </c>
      <c r="S894" s="29">
        <f>ROUND(P894*I894, 2)</f>
        <v>126090</v>
      </c>
      <c r="T894" s="29">
        <f>ROUND(I894*ROUND(Q894, 2), 2)</f>
        <v>21502</v>
      </c>
      <c r="U894" s="29">
        <f>S894+T894</f>
        <v>147592</v>
      </c>
      <c r="V894" s="9">
        <f>ROUND(P894 / 1.2, 2)</f>
        <v>52537.5</v>
      </c>
      <c r="W894" s="9">
        <f>ROUND(Q894 / 1.2, 2)</f>
        <v>8959.17</v>
      </c>
      <c r="X894" s="9">
        <f>ROUND(R894 / 1.2, 2)</f>
        <v>61496.67</v>
      </c>
      <c r="Y894" s="9">
        <f t="shared" si="97"/>
        <v>105075</v>
      </c>
      <c r="Z894" s="9">
        <f>ROUND(T894 / 1.2, 2)</f>
        <v>17918.330000000002</v>
      </c>
      <c r="AA894" s="9">
        <f>Y894+Z894</f>
        <v>122993.33</v>
      </c>
      <c r="AD894" s="4">
        <v>298925515</v>
      </c>
      <c r="AE894" s="4">
        <v>22655935</v>
      </c>
      <c r="AG894" s="4" t="s">
        <v>2716</v>
      </c>
      <c r="AH894" s="4" t="s">
        <v>2717</v>
      </c>
      <c r="AI894" s="4" t="s">
        <v>67</v>
      </c>
    </row>
    <row r="895" spans="1:35" ht="342" x14ac:dyDescent="0.3">
      <c r="A895" s="25" t="s">
        <v>2820</v>
      </c>
      <c r="B895" s="25"/>
      <c r="C895" s="30" t="s">
        <v>2745</v>
      </c>
      <c r="D895" s="27"/>
      <c r="E895" s="27" t="s">
        <v>2821</v>
      </c>
      <c r="F895" s="31" t="s">
        <v>116</v>
      </c>
      <c r="G895" s="32">
        <v>1</v>
      </c>
      <c r="H895" s="27"/>
      <c r="I895" s="33">
        <v>2</v>
      </c>
      <c r="J895" s="34">
        <v>0</v>
      </c>
      <c r="K895" s="35"/>
      <c r="L895" s="35"/>
      <c r="M895" s="34">
        <f>ROUND(ROUND(J895, 2)*I895, 2)</f>
        <v>0</v>
      </c>
      <c r="N895" s="35"/>
      <c r="O895" s="35"/>
      <c r="P895" s="34">
        <v>63045</v>
      </c>
      <c r="Q895" s="35"/>
      <c r="R895" s="35"/>
      <c r="S895" s="34">
        <f>ROUND(ROUND(P895, 2)*I895, 2)</f>
        <v>126090</v>
      </c>
      <c r="T895" s="35"/>
      <c r="U895" s="36"/>
      <c r="V895" s="9">
        <f>ROUND(ROUND(P895, 2)/1.2, 2)</f>
        <v>52537.5</v>
      </c>
      <c r="Y895" s="9">
        <f t="shared" ref="Y895:Y913" si="98">ROUND(S895 / 1.2, 2)</f>
        <v>105075</v>
      </c>
      <c r="AD895" s="4" t="s">
        <v>2822</v>
      </c>
      <c r="AE895" s="4" t="s">
        <v>2823</v>
      </c>
      <c r="AF895" s="4" t="s">
        <v>2749</v>
      </c>
    </row>
    <row r="896" spans="1:35" ht="36" x14ac:dyDescent="0.3">
      <c r="A896" s="25" t="s">
        <v>2824</v>
      </c>
      <c r="B896" s="25" t="s">
        <v>2713</v>
      </c>
      <c r="C896" s="26" t="s">
        <v>2714</v>
      </c>
      <c r="D896" s="27"/>
      <c r="E896" s="27" t="s">
        <v>2825</v>
      </c>
      <c r="F896" s="27" t="s">
        <v>116</v>
      </c>
      <c r="G896" s="28">
        <v>1</v>
      </c>
      <c r="H896" s="27"/>
      <c r="I896" s="28">
        <v>2</v>
      </c>
      <c r="J896" s="29">
        <f>IFERROR(ROUND(SUM(M897)/I896, 2),0)</f>
        <v>0</v>
      </c>
      <c r="K896" s="29">
        <v>3271</v>
      </c>
      <c r="L896" s="29">
        <f>J896+ROUND(K896, 2)</f>
        <v>3271</v>
      </c>
      <c r="M896" s="29">
        <f>ROUND(J896*I896, 2)</f>
        <v>0</v>
      </c>
      <c r="N896" s="29">
        <f>ROUND(I896*ROUND(K896, 2), 2)</f>
        <v>6542</v>
      </c>
      <c r="O896" s="29">
        <f>M896+N896</f>
        <v>6542</v>
      </c>
      <c r="P896" s="29">
        <f>IFERROR(ROUND(SUM(S897)/I896, 2),0)</f>
        <v>39406.67</v>
      </c>
      <c r="Q896" s="29">
        <v>9309</v>
      </c>
      <c r="R896" s="29">
        <f>P896+ROUND(Q896, 2)</f>
        <v>48715.67</v>
      </c>
      <c r="S896" s="29">
        <f>ROUND(P896*I896, 2)</f>
        <v>78813.34</v>
      </c>
      <c r="T896" s="29">
        <f>ROUND(I896*ROUND(Q896, 2), 2)</f>
        <v>18618</v>
      </c>
      <c r="U896" s="29">
        <f>S896+T896</f>
        <v>97431.34</v>
      </c>
      <c r="V896" s="9">
        <f>ROUND(P896 / 1.2, 2)</f>
        <v>32838.89</v>
      </c>
      <c r="W896" s="9">
        <f>ROUND(Q896 / 1.2, 2)</f>
        <v>7757.5</v>
      </c>
      <c r="X896" s="9">
        <f>ROUND(R896 / 1.2, 2)</f>
        <v>40596.39</v>
      </c>
      <c r="Y896" s="9">
        <f t="shared" si="98"/>
        <v>65677.78</v>
      </c>
      <c r="Z896" s="9">
        <f>ROUND(T896 / 1.2, 2)</f>
        <v>15515</v>
      </c>
      <c r="AA896" s="9">
        <f>Y896+Z896</f>
        <v>81192.78</v>
      </c>
      <c r="AD896" s="4">
        <v>298925516</v>
      </c>
      <c r="AE896" s="4">
        <v>22655936</v>
      </c>
      <c r="AG896" s="4" t="s">
        <v>2716</v>
      </c>
      <c r="AH896" s="4" t="s">
        <v>2717</v>
      </c>
      <c r="AI896" s="4" t="s">
        <v>67</v>
      </c>
    </row>
    <row r="897" spans="1:35" ht="324" x14ac:dyDescent="0.3">
      <c r="A897" s="25" t="s">
        <v>2826</v>
      </c>
      <c r="B897" s="25"/>
      <c r="C897" s="30" t="s">
        <v>2745</v>
      </c>
      <c r="D897" s="27"/>
      <c r="E897" s="27" t="s">
        <v>2827</v>
      </c>
      <c r="F897" s="31" t="s">
        <v>116</v>
      </c>
      <c r="G897" s="32">
        <v>1</v>
      </c>
      <c r="H897" s="27"/>
      <c r="I897" s="33">
        <v>2</v>
      </c>
      <c r="J897" s="34">
        <v>0</v>
      </c>
      <c r="K897" s="35"/>
      <c r="L897" s="35"/>
      <c r="M897" s="34">
        <f>ROUND(ROUND(J897, 2)*I897, 2)</f>
        <v>0</v>
      </c>
      <c r="N897" s="35"/>
      <c r="O897" s="35"/>
      <c r="P897" s="34">
        <v>39406.67</v>
      </c>
      <c r="Q897" s="35"/>
      <c r="R897" s="35"/>
      <c r="S897" s="34">
        <f>ROUND(ROUND(P897, 2)*I897, 2)</f>
        <v>78813.34</v>
      </c>
      <c r="T897" s="35"/>
      <c r="U897" s="36"/>
      <c r="V897" s="9">
        <f>ROUND(ROUND(P897, 2)/1.2, 2)</f>
        <v>32838.89</v>
      </c>
      <c r="Y897" s="9">
        <f t="shared" si="98"/>
        <v>65677.78</v>
      </c>
      <c r="AD897" s="4" t="s">
        <v>2828</v>
      </c>
      <c r="AE897" s="4" t="s">
        <v>2829</v>
      </c>
      <c r="AF897" s="4" t="s">
        <v>2749</v>
      </c>
    </row>
    <row r="898" spans="1:35" ht="36" x14ac:dyDescent="0.3">
      <c r="A898" s="25" t="s">
        <v>2830</v>
      </c>
      <c r="B898" s="25" t="s">
        <v>2713</v>
      </c>
      <c r="C898" s="26" t="s">
        <v>2714</v>
      </c>
      <c r="D898" s="27"/>
      <c r="E898" s="27" t="s">
        <v>2831</v>
      </c>
      <c r="F898" s="27" t="s">
        <v>116</v>
      </c>
      <c r="G898" s="28">
        <v>1</v>
      </c>
      <c r="H898" s="27"/>
      <c r="I898" s="28">
        <v>2</v>
      </c>
      <c r="J898" s="29">
        <f>IFERROR(ROUND(SUM(M899)/I898, 2),0)</f>
        <v>0</v>
      </c>
      <c r="K898" s="29">
        <v>3271</v>
      </c>
      <c r="L898" s="29">
        <f>J898+ROUND(K898, 2)</f>
        <v>3271</v>
      </c>
      <c r="M898" s="29">
        <f>ROUND(J898*I898, 2)</f>
        <v>0</v>
      </c>
      <c r="N898" s="29">
        <f>ROUND(I898*ROUND(K898, 2), 2)</f>
        <v>6542</v>
      </c>
      <c r="O898" s="29">
        <f>M898+N898</f>
        <v>6542</v>
      </c>
      <c r="P898" s="29">
        <f>IFERROR(ROUND(SUM(S899)/I898, 2),0)</f>
        <v>56520.67</v>
      </c>
      <c r="Q898" s="29">
        <v>10751</v>
      </c>
      <c r="R898" s="29">
        <f>P898+ROUND(Q898, 2)</f>
        <v>67271.67</v>
      </c>
      <c r="S898" s="29">
        <f>ROUND(P898*I898, 2)</f>
        <v>113041.34</v>
      </c>
      <c r="T898" s="29">
        <f>ROUND(I898*ROUND(Q898, 2), 2)</f>
        <v>21502</v>
      </c>
      <c r="U898" s="29">
        <f>S898+T898</f>
        <v>134543.34</v>
      </c>
      <c r="V898" s="9">
        <f>ROUND(P898 / 1.2, 2)</f>
        <v>47100.56</v>
      </c>
      <c r="W898" s="9">
        <f>ROUND(Q898 / 1.2, 2)</f>
        <v>8959.17</v>
      </c>
      <c r="X898" s="9">
        <f>ROUND(R898 / 1.2, 2)</f>
        <v>56059.73</v>
      </c>
      <c r="Y898" s="9">
        <f t="shared" si="98"/>
        <v>94201.12</v>
      </c>
      <c r="Z898" s="9">
        <f>ROUND(T898 / 1.2, 2)</f>
        <v>17918.330000000002</v>
      </c>
      <c r="AA898" s="9">
        <f>Y898+Z898</f>
        <v>112119.45</v>
      </c>
      <c r="AD898" s="4">
        <v>298925517</v>
      </c>
      <c r="AE898" s="4">
        <v>22655937</v>
      </c>
      <c r="AG898" s="4" t="s">
        <v>2716</v>
      </c>
      <c r="AH898" s="4" t="s">
        <v>2717</v>
      </c>
      <c r="AI898" s="4" t="s">
        <v>67</v>
      </c>
    </row>
    <row r="899" spans="1:35" ht="324" x14ac:dyDescent="0.3">
      <c r="A899" s="25" t="s">
        <v>2832</v>
      </c>
      <c r="B899" s="25"/>
      <c r="C899" s="30" t="s">
        <v>2745</v>
      </c>
      <c r="D899" s="27"/>
      <c r="E899" s="27" t="s">
        <v>2833</v>
      </c>
      <c r="F899" s="31" t="s">
        <v>116</v>
      </c>
      <c r="G899" s="32">
        <v>1</v>
      </c>
      <c r="H899" s="27"/>
      <c r="I899" s="33">
        <v>2</v>
      </c>
      <c r="J899" s="34">
        <v>0</v>
      </c>
      <c r="K899" s="35"/>
      <c r="L899" s="35"/>
      <c r="M899" s="34">
        <f>ROUND(ROUND(J899, 2)*I899, 2)</f>
        <v>0</v>
      </c>
      <c r="N899" s="35"/>
      <c r="O899" s="35"/>
      <c r="P899" s="34">
        <v>56520.67</v>
      </c>
      <c r="Q899" s="35"/>
      <c r="R899" s="35"/>
      <c r="S899" s="34">
        <f>ROUND(ROUND(P899, 2)*I899, 2)</f>
        <v>113041.34</v>
      </c>
      <c r="T899" s="35"/>
      <c r="U899" s="36"/>
      <c r="V899" s="9">
        <f>ROUND(ROUND(P899, 2)/1.2, 2)</f>
        <v>47100.56</v>
      </c>
      <c r="Y899" s="9">
        <f t="shared" si="98"/>
        <v>94201.12</v>
      </c>
      <c r="AD899" s="4" t="s">
        <v>2834</v>
      </c>
      <c r="AE899" s="4" t="s">
        <v>2835</v>
      </c>
      <c r="AF899" s="4" t="s">
        <v>2749</v>
      </c>
    </row>
    <row r="900" spans="1:35" ht="36" x14ac:dyDescent="0.3">
      <c r="A900" s="25" t="s">
        <v>2836</v>
      </c>
      <c r="B900" s="25" t="s">
        <v>2713</v>
      </c>
      <c r="C900" s="26" t="s">
        <v>2714</v>
      </c>
      <c r="D900" s="27"/>
      <c r="E900" s="27" t="s">
        <v>2837</v>
      </c>
      <c r="F900" s="27" t="s">
        <v>116</v>
      </c>
      <c r="G900" s="28">
        <v>1</v>
      </c>
      <c r="H900" s="27"/>
      <c r="I900" s="28">
        <v>2</v>
      </c>
      <c r="J900" s="29">
        <f>IFERROR(ROUND(SUM(M901)/I900, 2),0)</f>
        <v>0</v>
      </c>
      <c r="K900" s="29">
        <v>3271</v>
      </c>
      <c r="L900" s="29">
        <f>J900+ROUND(K900, 2)</f>
        <v>3271</v>
      </c>
      <c r="M900" s="29">
        <f>ROUND(J900*I900, 2)</f>
        <v>0</v>
      </c>
      <c r="N900" s="29">
        <f>ROUND(I900*ROUND(K900, 2), 2)</f>
        <v>6542</v>
      </c>
      <c r="O900" s="29">
        <f>M900+N900</f>
        <v>6542</v>
      </c>
      <c r="P900" s="29">
        <f>IFERROR(ROUND(SUM(S901)/I900, 2),0)</f>
        <v>56520.67</v>
      </c>
      <c r="Q900" s="29">
        <v>10751</v>
      </c>
      <c r="R900" s="29">
        <f>P900+ROUND(Q900, 2)</f>
        <v>67271.67</v>
      </c>
      <c r="S900" s="29">
        <f>ROUND(P900*I900, 2)</f>
        <v>113041.34</v>
      </c>
      <c r="T900" s="29">
        <f>ROUND(I900*ROUND(Q900, 2), 2)</f>
        <v>21502</v>
      </c>
      <c r="U900" s="29">
        <f>S900+T900</f>
        <v>134543.34</v>
      </c>
      <c r="V900" s="9">
        <f>ROUND(P900 / 1.2, 2)</f>
        <v>47100.56</v>
      </c>
      <c r="W900" s="9">
        <f>ROUND(Q900 / 1.2, 2)</f>
        <v>8959.17</v>
      </c>
      <c r="X900" s="9">
        <f>ROUND(R900 / 1.2, 2)</f>
        <v>56059.73</v>
      </c>
      <c r="Y900" s="9">
        <f t="shared" si="98"/>
        <v>94201.12</v>
      </c>
      <c r="Z900" s="9">
        <f>ROUND(T900 / 1.2, 2)</f>
        <v>17918.330000000002</v>
      </c>
      <c r="AA900" s="9">
        <f>Y900+Z900</f>
        <v>112119.45</v>
      </c>
      <c r="AD900" s="4">
        <v>298925518</v>
      </c>
      <c r="AE900" s="4">
        <v>22655938</v>
      </c>
      <c r="AG900" s="4" t="s">
        <v>2716</v>
      </c>
      <c r="AH900" s="4" t="s">
        <v>2717</v>
      </c>
      <c r="AI900" s="4" t="s">
        <v>67</v>
      </c>
    </row>
    <row r="901" spans="1:35" ht="342" x14ac:dyDescent="0.3">
      <c r="A901" s="25" t="s">
        <v>2838</v>
      </c>
      <c r="B901" s="25"/>
      <c r="C901" s="30" t="s">
        <v>2719</v>
      </c>
      <c r="D901" s="27"/>
      <c r="E901" s="27" t="s">
        <v>2839</v>
      </c>
      <c r="F901" s="31" t="s">
        <v>116</v>
      </c>
      <c r="G901" s="32">
        <v>1</v>
      </c>
      <c r="H901" s="27"/>
      <c r="I901" s="33">
        <v>2</v>
      </c>
      <c r="J901" s="34">
        <v>0</v>
      </c>
      <c r="K901" s="35"/>
      <c r="L901" s="35"/>
      <c r="M901" s="34">
        <f>ROUND(ROUND(J901, 2)*I901, 2)</f>
        <v>0</v>
      </c>
      <c r="N901" s="35"/>
      <c r="O901" s="35"/>
      <c r="P901" s="34">
        <v>56520.67</v>
      </c>
      <c r="Q901" s="35"/>
      <c r="R901" s="35"/>
      <c r="S901" s="34">
        <f>ROUND(ROUND(P901, 2)*I901, 2)</f>
        <v>113041.34</v>
      </c>
      <c r="T901" s="35"/>
      <c r="U901" s="36"/>
      <c r="V901" s="9">
        <f>ROUND(ROUND(P901, 2)/1.2, 2)</f>
        <v>47100.56</v>
      </c>
      <c r="Y901" s="9">
        <f t="shared" si="98"/>
        <v>94201.12</v>
      </c>
      <c r="AD901" s="4" t="s">
        <v>2840</v>
      </c>
      <c r="AE901" s="4" t="s">
        <v>2841</v>
      </c>
      <c r="AF901" s="4" t="s">
        <v>2723</v>
      </c>
    </row>
    <row r="902" spans="1:35" ht="36" x14ac:dyDescent="0.3">
      <c r="A902" s="25" t="s">
        <v>2842</v>
      </c>
      <c r="B902" s="25" t="s">
        <v>2713</v>
      </c>
      <c r="C902" s="26" t="s">
        <v>2714</v>
      </c>
      <c r="D902" s="27"/>
      <c r="E902" s="27" t="s">
        <v>2843</v>
      </c>
      <c r="F902" s="27" t="s">
        <v>116</v>
      </c>
      <c r="G902" s="28">
        <v>1</v>
      </c>
      <c r="H902" s="27"/>
      <c r="I902" s="28">
        <v>3</v>
      </c>
      <c r="J902" s="29">
        <f>IFERROR(ROUND(SUM(M903)/I902, 2),0)</f>
        <v>0</v>
      </c>
      <c r="K902" s="29">
        <v>3271</v>
      </c>
      <c r="L902" s="29">
        <f>J902+ROUND(K902, 2)</f>
        <v>3271</v>
      </c>
      <c r="M902" s="29">
        <f>ROUND(J902*I902, 2)</f>
        <v>0</v>
      </c>
      <c r="N902" s="29">
        <f>ROUND(I902*ROUND(K902, 2), 2)</f>
        <v>9813</v>
      </c>
      <c r="O902" s="29">
        <f>M902+N902</f>
        <v>9813</v>
      </c>
      <c r="P902" s="29">
        <f>IFERROR(ROUND(SUM(S903)/I902, 2),0)</f>
        <v>39406.67</v>
      </c>
      <c r="Q902" s="29">
        <v>9309</v>
      </c>
      <c r="R902" s="29">
        <f>P902+ROUND(Q902, 2)</f>
        <v>48715.67</v>
      </c>
      <c r="S902" s="29">
        <f>ROUND(P902*I902, 2)</f>
        <v>118220.01</v>
      </c>
      <c r="T902" s="29">
        <f>ROUND(I902*ROUND(Q902, 2), 2)</f>
        <v>27927</v>
      </c>
      <c r="U902" s="29">
        <f>S902+T902</f>
        <v>146147.01</v>
      </c>
      <c r="V902" s="9">
        <f>ROUND(P902 / 1.2, 2)</f>
        <v>32838.89</v>
      </c>
      <c r="W902" s="9">
        <f>ROUND(Q902 / 1.2, 2)</f>
        <v>7757.5</v>
      </c>
      <c r="X902" s="9">
        <f>ROUND(R902 / 1.2, 2)</f>
        <v>40596.39</v>
      </c>
      <c r="Y902" s="9">
        <f t="shared" si="98"/>
        <v>98516.68</v>
      </c>
      <c r="Z902" s="9">
        <f>ROUND(T902 / 1.2, 2)</f>
        <v>23272.5</v>
      </c>
      <c r="AA902" s="9">
        <f>Y902+Z902</f>
        <v>121789.18</v>
      </c>
      <c r="AD902" s="4">
        <v>298925519</v>
      </c>
      <c r="AE902" s="4">
        <v>22655939</v>
      </c>
      <c r="AG902" s="4" t="s">
        <v>2716</v>
      </c>
      <c r="AH902" s="4" t="s">
        <v>2717</v>
      </c>
      <c r="AI902" s="4" t="s">
        <v>67</v>
      </c>
    </row>
    <row r="903" spans="1:35" ht="409.6" x14ac:dyDescent="0.3">
      <c r="A903" s="25" t="s">
        <v>2844</v>
      </c>
      <c r="B903" s="25"/>
      <c r="C903" s="30" t="s">
        <v>2745</v>
      </c>
      <c r="D903" s="27"/>
      <c r="E903" s="27" t="s">
        <v>2845</v>
      </c>
      <c r="F903" s="31" t="s">
        <v>116</v>
      </c>
      <c r="G903" s="32">
        <v>1</v>
      </c>
      <c r="H903" s="27"/>
      <c r="I903" s="33">
        <v>3</v>
      </c>
      <c r="J903" s="34">
        <v>0</v>
      </c>
      <c r="K903" s="35"/>
      <c r="L903" s="35"/>
      <c r="M903" s="34">
        <f>ROUND(ROUND(J903, 2)*I903, 2)</f>
        <v>0</v>
      </c>
      <c r="N903" s="35"/>
      <c r="O903" s="35"/>
      <c r="P903" s="34">
        <v>39406.67</v>
      </c>
      <c r="Q903" s="35"/>
      <c r="R903" s="35"/>
      <c r="S903" s="34">
        <f>ROUND(ROUND(P903, 2)*I903, 2)</f>
        <v>118220.01</v>
      </c>
      <c r="T903" s="35"/>
      <c r="U903" s="36"/>
      <c r="V903" s="9">
        <f>ROUND(ROUND(P903, 2)/1.2, 2)</f>
        <v>32838.89</v>
      </c>
      <c r="Y903" s="9">
        <f t="shared" si="98"/>
        <v>98516.68</v>
      </c>
      <c r="AD903" s="4" t="s">
        <v>2846</v>
      </c>
      <c r="AE903" s="4" t="s">
        <v>2847</v>
      </c>
      <c r="AF903" s="4" t="s">
        <v>2749</v>
      </c>
    </row>
    <row r="904" spans="1:35" ht="36" x14ac:dyDescent="0.3">
      <c r="A904" s="25" t="s">
        <v>2848</v>
      </c>
      <c r="B904" s="25" t="s">
        <v>2713</v>
      </c>
      <c r="C904" s="26" t="s">
        <v>2714</v>
      </c>
      <c r="D904" s="27"/>
      <c r="E904" s="27" t="s">
        <v>2849</v>
      </c>
      <c r="F904" s="27" t="s">
        <v>116</v>
      </c>
      <c r="G904" s="28">
        <v>1</v>
      </c>
      <c r="H904" s="27"/>
      <c r="I904" s="28">
        <v>2</v>
      </c>
      <c r="J904" s="29">
        <f>IFERROR(ROUND(SUM(M905)/I904, 2),0)</f>
        <v>0</v>
      </c>
      <c r="K904" s="29">
        <v>3271</v>
      </c>
      <c r="L904" s="29">
        <f>J904+ROUND(K904, 2)</f>
        <v>3271</v>
      </c>
      <c r="M904" s="29">
        <f>ROUND(J904*I904, 2)</f>
        <v>0</v>
      </c>
      <c r="N904" s="29">
        <f>ROUND(I904*ROUND(K904, 2), 2)</f>
        <v>6542</v>
      </c>
      <c r="O904" s="29">
        <f>M904+N904</f>
        <v>6542</v>
      </c>
      <c r="P904" s="29">
        <f>IFERROR(ROUND(SUM(S905)/I904, 2),0)</f>
        <v>39406.67</v>
      </c>
      <c r="Q904" s="29">
        <v>9309</v>
      </c>
      <c r="R904" s="29">
        <f>P904+ROUND(Q904, 2)</f>
        <v>48715.67</v>
      </c>
      <c r="S904" s="29">
        <f>ROUND(P904*I904, 2)</f>
        <v>78813.34</v>
      </c>
      <c r="T904" s="29">
        <f>ROUND(I904*ROUND(Q904, 2), 2)</f>
        <v>18618</v>
      </c>
      <c r="U904" s="29">
        <f>S904+T904</f>
        <v>97431.34</v>
      </c>
      <c r="V904" s="9">
        <f>ROUND(P904 / 1.2, 2)</f>
        <v>32838.89</v>
      </c>
      <c r="W904" s="9">
        <f>ROUND(Q904 / 1.2, 2)</f>
        <v>7757.5</v>
      </c>
      <c r="X904" s="9">
        <f>ROUND(R904 / 1.2, 2)</f>
        <v>40596.39</v>
      </c>
      <c r="Y904" s="9">
        <f t="shared" si="98"/>
        <v>65677.78</v>
      </c>
      <c r="Z904" s="9">
        <f>ROUND(T904 / 1.2, 2)</f>
        <v>15515</v>
      </c>
      <c r="AA904" s="9">
        <f>Y904+Z904</f>
        <v>81192.78</v>
      </c>
      <c r="AD904" s="4">
        <v>298925520</v>
      </c>
      <c r="AE904" s="4">
        <v>22657113</v>
      </c>
      <c r="AG904" s="4" t="s">
        <v>2716</v>
      </c>
      <c r="AH904" s="4" t="s">
        <v>2717</v>
      </c>
      <c r="AI904" s="4" t="s">
        <v>67</v>
      </c>
    </row>
    <row r="905" spans="1:35" ht="324" x14ac:dyDescent="0.3">
      <c r="A905" s="25" t="s">
        <v>2850</v>
      </c>
      <c r="B905" s="25"/>
      <c r="C905" s="30" t="s">
        <v>2745</v>
      </c>
      <c r="D905" s="27"/>
      <c r="E905" s="27" t="s">
        <v>2851</v>
      </c>
      <c r="F905" s="31" t="s">
        <v>116</v>
      </c>
      <c r="G905" s="32">
        <v>1</v>
      </c>
      <c r="H905" s="27"/>
      <c r="I905" s="33">
        <v>2</v>
      </c>
      <c r="J905" s="34">
        <v>0</v>
      </c>
      <c r="K905" s="35"/>
      <c r="L905" s="35"/>
      <c r="M905" s="34">
        <f>ROUND(ROUND(J905, 2)*I905, 2)</f>
        <v>0</v>
      </c>
      <c r="N905" s="35"/>
      <c r="O905" s="35"/>
      <c r="P905" s="34">
        <v>39406.67</v>
      </c>
      <c r="Q905" s="35"/>
      <c r="R905" s="35"/>
      <c r="S905" s="34">
        <f>ROUND(ROUND(P905, 2)*I905, 2)</f>
        <v>78813.34</v>
      </c>
      <c r="T905" s="35"/>
      <c r="U905" s="36"/>
      <c r="V905" s="9">
        <f>ROUND(ROUND(P905, 2)/1.2, 2)</f>
        <v>32838.89</v>
      </c>
      <c r="Y905" s="9">
        <f t="shared" si="98"/>
        <v>65677.78</v>
      </c>
      <c r="AD905" s="4" t="s">
        <v>2852</v>
      </c>
      <c r="AE905" s="4" t="s">
        <v>2853</v>
      </c>
      <c r="AF905" s="4" t="s">
        <v>2749</v>
      </c>
    </row>
    <row r="906" spans="1:35" ht="36" x14ac:dyDescent="0.3">
      <c r="A906" s="25" t="s">
        <v>2854</v>
      </c>
      <c r="B906" s="25" t="s">
        <v>2713</v>
      </c>
      <c r="C906" s="26" t="s">
        <v>2714</v>
      </c>
      <c r="D906" s="27"/>
      <c r="E906" s="27" t="s">
        <v>2855</v>
      </c>
      <c r="F906" s="27" t="s">
        <v>116</v>
      </c>
      <c r="G906" s="28">
        <v>1</v>
      </c>
      <c r="H906" s="27"/>
      <c r="I906" s="28">
        <v>1</v>
      </c>
      <c r="J906" s="29">
        <f>IFERROR(ROUND(SUM(M907)/I906, 2),0)</f>
        <v>0</v>
      </c>
      <c r="K906" s="29">
        <v>3271</v>
      </c>
      <c r="L906" s="29">
        <f>J906+ROUND(K906, 2)</f>
        <v>3271</v>
      </c>
      <c r="M906" s="29">
        <f>ROUND(J906*I906, 2)</f>
        <v>0</v>
      </c>
      <c r="N906" s="29">
        <f>ROUND(I906*ROUND(K906, 2), 2)</f>
        <v>3271</v>
      </c>
      <c r="O906" s="29">
        <f>M906+N906</f>
        <v>3271</v>
      </c>
      <c r="P906" s="29">
        <f>IFERROR(ROUND(SUM(S907)/I906, 2),0)</f>
        <v>39406.67</v>
      </c>
      <c r="Q906" s="29">
        <v>9309</v>
      </c>
      <c r="R906" s="29">
        <f>P906+ROUND(Q906, 2)</f>
        <v>48715.67</v>
      </c>
      <c r="S906" s="29">
        <f>ROUND(P906*I906, 2)</f>
        <v>39406.67</v>
      </c>
      <c r="T906" s="29">
        <f>ROUND(I906*ROUND(Q906, 2), 2)</f>
        <v>9309</v>
      </c>
      <c r="U906" s="29">
        <f>S906+T906</f>
        <v>48715.67</v>
      </c>
      <c r="V906" s="9">
        <f>ROUND(P906 / 1.2, 2)</f>
        <v>32838.89</v>
      </c>
      <c r="W906" s="9">
        <f>ROUND(Q906 / 1.2, 2)</f>
        <v>7757.5</v>
      </c>
      <c r="X906" s="9">
        <f>ROUND(R906 / 1.2, 2)</f>
        <v>40596.39</v>
      </c>
      <c r="Y906" s="9">
        <f t="shared" si="98"/>
        <v>32838.89</v>
      </c>
      <c r="Z906" s="9">
        <f>ROUND(T906 / 1.2, 2)</f>
        <v>7757.5</v>
      </c>
      <c r="AA906" s="9">
        <f>Y906+Z906</f>
        <v>40596.39</v>
      </c>
      <c r="AD906" s="4">
        <v>298925521</v>
      </c>
      <c r="AE906" s="4">
        <v>22657114</v>
      </c>
      <c r="AG906" s="4" t="s">
        <v>2716</v>
      </c>
      <c r="AH906" s="4" t="s">
        <v>2717</v>
      </c>
      <c r="AI906" s="4" t="s">
        <v>67</v>
      </c>
    </row>
    <row r="907" spans="1:35" ht="324" x14ac:dyDescent="0.3">
      <c r="A907" s="25" t="s">
        <v>2856</v>
      </c>
      <c r="B907" s="25"/>
      <c r="C907" s="30" t="s">
        <v>2745</v>
      </c>
      <c r="D907" s="27"/>
      <c r="E907" s="27" t="s">
        <v>2857</v>
      </c>
      <c r="F907" s="31" t="s">
        <v>116</v>
      </c>
      <c r="G907" s="32">
        <v>1</v>
      </c>
      <c r="H907" s="27"/>
      <c r="I907" s="33">
        <v>1</v>
      </c>
      <c r="J907" s="34">
        <v>0</v>
      </c>
      <c r="K907" s="35"/>
      <c r="L907" s="35"/>
      <c r="M907" s="34">
        <f>ROUND(ROUND(J907, 2)*I907, 2)</f>
        <v>0</v>
      </c>
      <c r="N907" s="35"/>
      <c r="O907" s="35"/>
      <c r="P907" s="34">
        <v>39406.67</v>
      </c>
      <c r="Q907" s="35"/>
      <c r="R907" s="35"/>
      <c r="S907" s="34">
        <f>ROUND(ROUND(P907, 2)*I907, 2)</f>
        <v>39406.67</v>
      </c>
      <c r="T907" s="35"/>
      <c r="U907" s="36"/>
      <c r="V907" s="9">
        <f>ROUND(ROUND(P907, 2)/1.2, 2)</f>
        <v>32838.89</v>
      </c>
      <c r="Y907" s="9">
        <f t="shared" si="98"/>
        <v>32838.89</v>
      </c>
      <c r="AD907" s="4" t="s">
        <v>2858</v>
      </c>
      <c r="AE907" s="4" t="s">
        <v>2859</v>
      </c>
      <c r="AF907" s="4" t="s">
        <v>2749</v>
      </c>
    </row>
    <row r="908" spans="1:35" ht="36" x14ac:dyDescent="0.3">
      <c r="A908" s="25" t="s">
        <v>2860</v>
      </c>
      <c r="B908" s="25" t="s">
        <v>2713</v>
      </c>
      <c r="C908" s="26" t="s">
        <v>2714</v>
      </c>
      <c r="D908" s="27"/>
      <c r="E908" s="27" t="s">
        <v>2861</v>
      </c>
      <c r="F908" s="27" t="s">
        <v>116</v>
      </c>
      <c r="G908" s="28">
        <v>1</v>
      </c>
      <c r="H908" s="27"/>
      <c r="I908" s="28">
        <v>1</v>
      </c>
      <c r="J908" s="29">
        <f>IFERROR(ROUND(SUM(M909)/I908, 2),0)</f>
        <v>0</v>
      </c>
      <c r="K908" s="29">
        <v>3271</v>
      </c>
      <c r="L908" s="29">
        <f>J908+ROUND(K908, 2)</f>
        <v>3271</v>
      </c>
      <c r="M908" s="29">
        <f>ROUND(J908*I908, 2)</f>
        <v>0</v>
      </c>
      <c r="N908" s="29">
        <f>ROUND(I908*ROUND(K908, 2), 2)</f>
        <v>3271</v>
      </c>
      <c r="O908" s="29">
        <f>M908+N908</f>
        <v>3271</v>
      </c>
      <c r="P908" s="29">
        <f>IFERROR(ROUND(SUM(S909)/I908, 2),0)</f>
        <v>97185</v>
      </c>
      <c r="Q908" s="29">
        <v>12606</v>
      </c>
      <c r="R908" s="29">
        <f>P908+ROUND(Q908, 2)</f>
        <v>109791</v>
      </c>
      <c r="S908" s="29">
        <f>ROUND(P908*I908, 2)</f>
        <v>97185</v>
      </c>
      <c r="T908" s="29">
        <f>ROUND(I908*ROUND(Q908, 2), 2)</f>
        <v>12606</v>
      </c>
      <c r="U908" s="29">
        <f>S908+T908</f>
        <v>109791</v>
      </c>
      <c r="V908" s="9">
        <f>ROUND(P908 / 1.2, 2)</f>
        <v>80987.5</v>
      </c>
      <c r="W908" s="9">
        <f>ROUND(Q908 / 1.2, 2)</f>
        <v>10505</v>
      </c>
      <c r="X908" s="9">
        <f>ROUND(R908 / 1.2, 2)</f>
        <v>91492.5</v>
      </c>
      <c r="Y908" s="9">
        <f t="shared" si="98"/>
        <v>80987.5</v>
      </c>
      <c r="Z908" s="9">
        <f>ROUND(T908 / 1.2, 2)</f>
        <v>10505</v>
      </c>
      <c r="AA908" s="9">
        <f>Y908+Z908</f>
        <v>91492.5</v>
      </c>
      <c r="AD908" s="4">
        <v>298925522</v>
      </c>
      <c r="AE908" s="4">
        <v>22657115</v>
      </c>
      <c r="AG908" s="4" t="s">
        <v>2716</v>
      </c>
      <c r="AH908" s="4" t="s">
        <v>2717</v>
      </c>
      <c r="AI908" s="4" t="s">
        <v>67</v>
      </c>
    </row>
    <row r="909" spans="1:35" ht="396" x14ac:dyDescent="0.3">
      <c r="A909" s="25" t="s">
        <v>2862</v>
      </c>
      <c r="B909" s="25"/>
      <c r="C909" s="30" t="s">
        <v>2719</v>
      </c>
      <c r="D909" s="27"/>
      <c r="E909" s="27" t="s">
        <v>2863</v>
      </c>
      <c r="F909" s="31" t="s">
        <v>116</v>
      </c>
      <c r="G909" s="32">
        <v>1</v>
      </c>
      <c r="H909" s="27"/>
      <c r="I909" s="33">
        <v>1</v>
      </c>
      <c r="J909" s="34">
        <v>0</v>
      </c>
      <c r="K909" s="35"/>
      <c r="L909" s="35"/>
      <c r="M909" s="34">
        <f>ROUND(ROUND(J909, 2)*I909, 2)</f>
        <v>0</v>
      </c>
      <c r="N909" s="35"/>
      <c r="O909" s="35"/>
      <c r="P909" s="34">
        <v>97185</v>
      </c>
      <c r="Q909" s="35"/>
      <c r="R909" s="35"/>
      <c r="S909" s="34">
        <f>ROUND(ROUND(P909, 2)*I909, 2)</f>
        <v>97185</v>
      </c>
      <c r="T909" s="35"/>
      <c r="U909" s="36"/>
      <c r="V909" s="9">
        <f>ROUND(ROUND(P909, 2)/1.2, 2)</f>
        <v>80987.5</v>
      </c>
      <c r="Y909" s="9">
        <f t="shared" si="98"/>
        <v>80987.5</v>
      </c>
      <c r="AD909" s="4" t="s">
        <v>2864</v>
      </c>
      <c r="AE909" s="4" t="s">
        <v>2865</v>
      </c>
      <c r="AF909" s="4" t="s">
        <v>2723</v>
      </c>
    </row>
    <row r="910" spans="1:35" ht="36" x14ac:dyDescent="0.3">
      <c r="A910" s="25" t="s">
        <v>2866</v>
      </c>
      <c r="B910" s="25" t="s">
        <v>2713</v>
      </c>
      <c r="C910" s="26" t="s">
        <v>2714</v>
      </c>
      <c r="D910" s="27"/>
      <c r="E910" s="27" t="s">
        <v>2867</v>
      </c>
      <c r="F910" s="27" t="s">
        <v>116</v>
      </c>
      <c r="G910" s="28">
        <v>1</v>
      </c>
      <c r="H910" s="27"/>
      <c r="I910" s="28">
        <v>1</v>
      </c>
      <c r="J910" s="29">
        <f>IFERROR(ROUND(SUM(M911)/I910, 2),0)</f>
        <v>0</v>
      </c>
      <c r="K910" s="29">
        <v>3271</v>
      </c>
      <c r="L910" s="29">
        <f>J910+ROUND(K910, 2)</f>
        <v>3271</v>
      </c>
      <c r="M910" s="29">
        <f>ROUND(J910*I910, 2)</f>
        <v>0</v>
      </c>
      <c r="N910" s="29">
        <f>ROUND(I910*ROUND(K910, 2), 2)</f>
        <v>3271</v>
      </c>
      <c r="O910" s="29">
        <f>M910+N910</f>
        <v>3271</v>
      </c>
      <c r="P910" s="29">
        <f>IFERROR(ROUND(SUM(S911)/I910, 2),0)</f>
        <v>170750.67</v>
      </c>
      <c r="Q910" s="29">
        <v>23845</v>
      </c>
      <c r="R910" s="29">
        <f>P910+ROUND(Q910, 2)</f>
        <v>194595.67</v>
      </c>
      <c r="S910" s="29">
        <f>ROUND(P910*I910, 2)</f>
        <v>170750.67</v>
      </c>
      <c r="T910" s="29">
        <f>ROUND(I910*ROUND(Q910, 2), 2)</f>
        <v>23845</v>
      </c>
      <c r="U910" s="29">
        <f>S910+T910</f>
        <v>194595.67</v>
      </c>
      <c r="V910" s="9">
        <f>ROUND(P910 / 1.2, 2)</f>
        <v>142292.23000000001</v>
      </c>
      <c r="W910" s="9">
        <f>ROUND(Q910 / 1.2, 2)</f>
        <v>19870.830000000002</v>
      </c>
      <c r="X910" s="9">
        <f>ROUND(R910 / 1.2, 2)</f>
        <v>162163.06</v>
      </c>
      <c r="Y910" s="9">
        <f t="shared" si="98"/>
        <v>142292.23000000001</v>
      </c>
      <c r="Z910" s="9">
        <f>ROUND(T910 / 1.2, 2)</f>
        <v>19870.830000000002</v>
      </c>
      <c r="AA910" s="9">
        <f>Y910+Z910</f>
        <v>162163.06</v>
      </c>
      <c r="AD910" s="4">
        <v>298925523</v>
      </c>
      <c r="AE910" s="4">
        <v>22657116</v>
      </c>
      <c r="AG910" s="4" t="s">
        <v>2716</v>
      </c>
      <c r="AH910" s="4" t="s">
        <v>2717</v>
      </c>
      <c r="AI910" s="4" t="s">
        <v>67</v>
      </c>
    </row>
    <row r="911" spans="1:35" ht="409.6" x14ac:dyDescent="0.3">
      <c r="A911" s="25" t="s">
        <v>2868</v>
      </c>
      <c r="B911" s="25"/>
      <c r="C911" s="30" t="s">
        <v>2745</v>
      </c>
      <c r="D911" s="27"/>
      <c r="E911" s="27" t="s">
        <v>2869</v>
      </c>
      <c r="F911" s="31" t="s">
        <v>116</v>
      </c>
      <c r="G911" s="32">
        <v>1</v>
      </c>
      <c r="H911" s="27"/>
      <c r="I911" s="33">
        <v>1</v>
      </c>
      <c r="J911" s="34">
        <v>0</v>
      </c>
      <c r="K911" s="35"/>
      <c r="L911" s="35"/>
      <c r="M911" s="34">
        <f>ROUND(ROUND(J911, 2)*I911, 2)</f>
        <v>0</v>
      </c>
      <c r="N911" s="35"/>
      <c r="O911" s="35"/>
      <c r="P911" s="34">
        <v>170750.67</v>
      </c>
      <c r="Q911" s="35"/>
      <c r="R911" s="35"/>
      <c r="S911" s="34">
        <f>ROUND(ROUND(P911, 2)*I911, 2)</f>
        <v>170750.67</v>
      </c>
      <c r="T911" s="35"/>
      <c r="U911" s="36"/>
      <c r="V911" s="9">
        <f>ROUND(ROUND(P911, 2)/1.2, 2)</f>
        <v>142292.23000000001</v>
      </c>
      <c r="Y911" s="9">
        <f t="shared" si="98"/>
        <v>142292.23000000001</v>
      </c>
      <c r="AD911" s="4" t="s">
        <v>2870</v>
      </c>
      <c r="AE911" s="4" t="s">
        <v>2871</v>
      </c>
      <c r="AF911" s="4" t="s">
        <v>2749</v>
      </c>
    </row>
    <row r="912" spans="1:35" ht="36" x14ac:dyDescent="0.3">
      <c r="A912" s="25" t="s">
        <v>2872</v>
      </c>
      <c r="B912" s="25" t="s">
        <v>2713</v>
      </c>
      <c r="C912" s="26" t="s">
        <v>2714</v>
      </c>
      <c r="D912" s="27"/>
      <c r="E912" s="27" t="s">
        <v>2873</v>
      </c>
      <c r="F912" s="27" t="s">
        <v>116</v>
      </c>
      <c r="G912" s="28">
        <v>1</v>
      </c>
      <c r="H912" s="27"/>
      <c r="I912" s="28">
        <v>2</v>
      </c>
      <c r="J912" s="29">
        <f>IFERROR(ROUND(SUM(M913)/I912, 2),0)</f>
        <v>0</v>
      </c>
      <c r="K912" s="29">
        <v>3271</v>
      </c>
      <c r="L912" s="29">
        <f>J912+ROUND(K912, 2)</f>
        <v>3271</v>
      </c>
      <c r="M912" s="29">
        <f>ROUND(J912*I912, 2)</f>
        <v>0</v>
      </c>
      <c r="N912" s="29">
        <f>ROUND(I912*ROUND(K912, 2), 2)</f>
        <v>6542</v>
      </c>
      <c r="O912" s="29">
        <f>M912+N912</f>
        <v>6542</v>
      </c>
      <c r="P912" s="29">
        <f>IFERROR(ROUND(SUM(S913)/I912, 2),0)</f>
        <v>130825.67</v>
      </c>
      <c r="Q912" s="29">
        <v>23845</v>
      </c>
      <c r="R912" s="29">
        <f>P912+ROUND(Q912, 2)</f>
        <v>154670.66999999998</v>
      </c>
      <c r="S912" s="29">
        <f>ROUND(P912*I912, 2)</f>
        <v>261651.34</v>
      </c>
      <c r="T912" s="29">
        <f>ROUND(I912*ROUND(Q912, 2), 2)</f>
        <v>47690</v>
      </c>
      <c r="U912" s="29">
        <f>S912+T912</f>
        <v>309341.33999999997</v>
      </c>
      <c r="V912" s="9">
        <f>ROUND(P912 / 1.2, 2)</f>
        <v>109021.39</v>
      </c>
      <c r="W912" s="9">
        <f>ROUND(Q912 / 1.2, 2)</f>
        <v>19870.830000000002</v>
      </c>
      <c r="X912" s="9">
        <f>ROUND(R912 / 1.2, 2)</f>
        <v>128892.23</v>
      </c>
      <c r="Y912" s="9">
        <f t="shared" si="98"/>
        <v>218042.78</v>
      </c>
      <c r="Z912" s="9">
        <f>ROUND(T912 / 1.2, 2)</f>
        <v>39741.67</v>
      </c>
      <c r="AA912" s="9">
        <f>Y912+Z912</f>
        <v>257784.45</v>
      </c>
      <c r="AD912" s="4">
        <v>298925524</v>
      </c>
      <c r="AE912" s="4">
        <v>22657117</v>
      </c>
      <c r="AG912" s="4" t="s">
        <v>2716</v>
      </c>
      <c r="AH912" s="4" t="s">
        <v>2717</v>
      </c>
      <c r="AI912" s="4" t="s">
        <v>67</v>
      </c>
    </row>
    <row r="913" spans="1:35" ht="409.6" x14ac:dyDescent="0.3">
      <c r="A913" s="25" t="s">
        <v>2874</v>
      </c>
      <c r="B913" s="25"/>
      <c r="C913" s="30" t="s">
        <v>2745</v>
      </c>
      <c r="D913" s="27"/>
      <c r="E913" s="27" t="s">
        <v>2875</v>
      </c>
      <c r="F913" s="31" t="s">
        <v>116</v>
      </c>
      <c r="G913" s="32">
        <v>1</v>
      </c>
      <c r="H913" s="27"/>
      <c r="I913" s="33">
        <v>2</v>
      </c>
      <c r="J913" s="34">
        <v>0</v>
      </c>
      <c r="K913" s="35"/>
      <c r="L913" s="35"/>
      <c r="M913" s="34">
        <f>ROUND(ROUND(J913, 2)*I913, 2)</f>
        <v>0</v>
      </c>
      <c r="N913" s="35"/>
      <c r="O913" s="35"/>
      <c r="P913" s="34">
        <v>130825.67</v>
      </c>
      <c r="Q913" s="35"/>
      <c r="R913" s="35"/>
      <c r="S913" s="34">
        <f>ROUND(ROUND(P913, 2)*I913, 2)</f>
        <v>261651.34</v>
      </c>
      <c r="T913" s="35"/>
      <c r="U913" s="36"/>
      <c r="V913" s="9">
        <f>ROUND(ROUND(P913, 2)/1.2, 2)</f>
        <v>109021.39</v>
      </c>
      <c r="Y913" s="9">
        <f t="shared" si="98"/>
        <v>218042.78</v>
      </c>
      <c r="AD913" s="4" t="s">
        <v>2876</v>
      </c>
      <c r="AE913" s="4" t="s">
        <v>2877</v>
      </c>
      <c r="AF913" s="4" t="s">
        <v>2749</v>
      </c>
    </row>
    <row r="914" spans="1:35" ht="16.95" customHeight="1" x14ac:dyDescent="0.3">
      <c r="A914" s="25" t="s">
        <v>2878</v>
      </c>
      <c r="B914" s="25" t="s">
        <v>2879</v>
      </c>
      <c r="C914" s="355" t="s">
        <v>2880</v>
      </c>
      <c r="D914" s="356"/>
      <c r="E914" s="356"/>
      <c r="F914" s="356"/>
      <c r="G914" s="356"/>
      <c r="H914" s="356"/>
      <c r="I914" s="357"/>
      <c r="J914" s="35"/>
      <c r="K914" s="35"/>
      <c r="L914" s="35"/>
      <c r="M914" s="67">
        <f t="shared" ref="M914:O916" si="99">SUM(M915)</f>
        <v>0</v>
      </c>
      <c r="N914" s="67">
        <f t="shared" si="99"/>
        <v>1057732.71</v>
      </c>
      <c r="O914" s="67">
        <f t="shared" si="99"/>
        <v>1057732.71</v>
      </c>
      <c r="P914" s="35"/>
      <c r="Q914" s="35"/>
      <c r="R914" s="35"/>
      <c r="S914" s="67">
        <f t="shared" ref="S914:U916" si="100">SUM(S915)</f>
        <v>0</v>
      </c>
      <c r="T914" s="67">
        <f t="shared" si="100"/>
        <v>1057732.71</v>
      </c>
      <c r="U914" s="67">
        <f t="shared" si="100"/>
        <v>1057732.71</v>
      </c>
      <c r="Y914" s="9">
        <f t="shared" ref="Y914:AA916" si="101">SUM(Y915)</f>
        <v>0</v>
      </c>
      <c r="Z914" s="9">
        <f t="shared" si="101"/>
        <v>881443.93</v>
      </c>
      <c r="AA914" s="9">
        <f t="shared" si="101"/>
        <v>881443.93</v>
      </c>
      <c r="AD914" s="4">
        <v>298925361</v>
      </c>
      <c r="AE914" s="4">
        <v>16297775</v>
      </c>
    </row>
    <row r="915" spans="1:35" ht="16.95" customHeight="1" x14ac:dyDescent="0.3">
      <c r="A915" s="25" t="s">
        <v>2881</v>
      </c>
      <c r="B915" s="25" t="s">
        <v>2882</v>
      </c>
      <c r="C915" s="355" t="s">
        <v>2883</v>
      </c>
      <c r="D915" s="356"/>
      <c r="E915" s="356"/>
      <c r="F915" s="356"/>
      <c r="G915" s="356"/>
      <c r="H915" s="356"/>
      <c r="I915" s="357"/>
      <c r="J915" s="35"/>
      <c r="K915" s="35"/>
      <c r="L915" s="35"/>
      <c r="M915" s="67">
        <f t="shared" si="99"/>
        <v>0</v>
      </c>
      <c r="N915" s="67">
        <f t="shared" si="99"/>
        <v>1057732.71</v>
      </c>
      <c r="O915" s="67">
        <f t="shared" si="99"/>
        <v>1057732.71</v>
      </c>
      <c r="P915" s="35"/>
      <c r="Q915" s="35"/>
      <c r="R915" s="35"/>
      <c r="S915" s="67">
        <f t="shared" si="100"/>
        <v>0</v>
      </c>
      <c r="T915" s="67">
        <f t="shared" si="100"/>
        <v>1057732.71</v>
      </c>
      <c r="U915" s="67">
        <f t="shared" si="100"/>
        <v>1057732.71</v>
      </c>
      <c r="Y915" s="9">
        <f t="shared" si="101"/>
        <v>0</v>
      </c>
      <c r="Z915" s="9">
        <f t="shared" si="101"/>
        <v>881443.93</v>
      </c>
      <c r="AA915" s="9">
        <f t="shared" si="101"/>
        <v>881443.93</v>
      </c>
      <c r="AD915" s="4">
        <v>298925362</v>
      </c>
      <c r="AE915" s="4">
        <v>16297777</v>
      </c>
    </row>
    <row r="916" spans="1:35" ht="16.95" customHeight="1" x14ac:dyDescent="0.3">
      <c r="A916" s="25" t="s">
        <v>2884</v>
      </c>
      <c r="B916" s="25" t="s">
        <v>2885</v>
      </c>
      <c r="C916" s="355" t="s">
        <v>2886</v>
      </c>
      <c r="D916" s="356"/>
      <c r="E916" s="356"/>
      <c r="F916" s="356"/>
      <c r="G916" s="356"/>
      <c r="H916" s="356"/>
      <c r="I916" s="357"/>
      <c r="J916" s="35"/>
      <c r="K916" s="35"/>
      <c r="L916" s="35"/>
      <c r="M916" s="67">
        <f t="shared" si="99"/>
        <v>0</v>
      </c>
      <c r="N916" s="67">
        <f t="shared" si="99"/>
        <v>1057732.71</v>
      </c>
      <c r="O916" s="67">
        <f t="shared" si="99"/>
        <v>1057732.71</v>
      </c>
      <c r="P916" s="35"/>
      <c r="Q916" s="35"/>
      <c r="R916" s="35"/>
      <c r="S916" s="67">
        <f t="shared" si="100"/>
        <v>0</v>
      </c>
      <c r="T916" s="67">
        <f t="shared" si="100"/>
        <v>1057732.71</v>
      </c>
      <c r="U916" s="67">
        <f t="shared" si="100"/>
        <v>1057732.71</v>
      </c>
      <c r="Y916" s="9">
        <f t="shared" si="101"/>
        <v>0</v>
      </c>
      <c r="Z916" s="9">
        <f t="shared" si="101"/>
        <v>881443.93</v>
      </c>
      <c r="AA916" s="9">
        <f t="shared" si="101"/>
        <v>881443.93</v>
      </c>
      <c r="AD916" s="4">
        <v>298925363</v>
      </c>
      <c r="AE916" s="4">
        <v>16297776</v>
      </c>
    </row>
    <row r="917" spans="1:35" ht="90" x14ac:dyDescent="0.3">
      <c r="A917" s="25" t="s">
        <v>2887</v>
      </c>
      <c r="B917" s="25" t="s">
        <v>2888</v>
      </c>
      <c r="C917" s="26" t="s">
        <v>2889</v>
      </c>
      <c r="D917" s="27"/>
      <c r="E917" s="27" t="s">
        <v>2890</v>
      </c>
      <c r="F917" s="27" t="s">
        <v>64</v>
      </c>
      <c r="G917" s="28">
        <v>1</v>
      </c>
      <c r="H917" s="27"/>
      <c r="I917" s="28">
        <v>1348.65</v>
      </c>
      <c r="J917" s="29">
        <v>0</v>
      </c>
      <c r="K917" s="29">
        <v>784.29</v>
      </c>
      <c r="L917" s="29">
        <f>J917+ROUND(K917, 2)</f>
        <v>784.29</v>
      </c>
      <c r="M917" s="29">
        <v>0</v>
      </c>
      <c r="N917" s="29">
        <f>ROUND(I917*ROUND(K917, 2), 2)</f>
        <v>1057732.71</v>
      </c>
      <c r="O917" s="29">
        <f>M917+N917</f>
        <v>1057732.71</v>
      </c>
      <c r="P917" s="29">
        <v>0</v>
      </c>
      <c r="Q917" s="29">
        <v>784.29</v>
      </c>
      <c r="R917" s="29">
        <f>P917+ROUND(Q917, 2)</f>
        <v>784.29</v>
      </c>
      <c r="S917" s="29">
        <v>0</v>
      </c>
      <c r="T917" s="29">
        <f>ROUND(I917*ROUND(Q917, 2), 2)</f>
        <v>1057732.71</v>
      </c>
      <c r="U917" s="29">
        <f>S917+T917</f>
        <v>1057732.71</v>
      </c>
      <c r="V917" s="9"/>
      <c r="W917" s="9">
        <f>ROUND(Q917 / 1.2, 2)</f>
        <v>653.58000000000004</v>
      </c>
      <c r="X917" s="9">
        <f>ROUND(R917 / 1.2, 2)</f>
        <v>653.58000000000004</v>
      </c>
      <c r="Y917" s="9"/>
      <c r="Z917" s="9">
        <f>ROUND(T917 / 1.2, 2)</f>
        <v>881443.93</v>
      </c>
      <c r="AA917" s="9">
        <f>Y917+Z917</f>
        <v>881443.93</v>
      </c>
      <c r="AD917" s="4">
        <v>298925365</v>
      </c>
      <c r="AE917" s="4">
        <v>19825979</v>
      </c>
      <c r="AG917" s="4" t="s">
        <v>2891</v>
      </c>
      <c r="AH917" s="4" t="s">
        <v>2892</v>
      </c>
      <c r="AI917" s="4" t="s">
        <v>2893</v>
      </c>
    </row>
    <row r="918" spans="1:35" ht="24" customHeight="1" x14ac:dyDescent="0.3">
      <c r="A918" s="68"/>
      <c r="B918" s="68"/>
      <c r="C918" s="68"/>
      <c r="D918" s="69" t="s">
        <v>2894</v>
      </c>
      <c r="E918" s="68"/>
      <c r="F918" s="68"/>
      <c r="G918" s="68"/>
      <c r="H918" s="68"/>
      <c r="I918" s="68"/>
      <c r="J918" s="68"/>
      <c r="K918" s="68"/>
      <c r="L918" s="68"/>
      <c r="M918" s="70">
        <f>SUM(M8)</f>
        <v>46316046.340000004</v>
      </c>
      <c r="N918" s="70">
        <f>SUM(N8)</f>
        <v>82654319.040000007</v>
      </c>
      <c r="O918" s="70">
        <f>M918+N918</f>
        <v>128970365.38000001</v>
      </c>
      <c r="P918" s="68"/>
      <c r="Q918" s="68"/>
      <c r="R918" s="68"/>
      <c r="S918" s="70">
        <f>SUM(S8)</f>
        <v>50774880.949999996</v>
      </c>
      <c r="T918" s="70">
        <f>SUM(T8)</f>
        <v>83900402.040000007</v>
      </c>
      <c r="U918" s="70">
        <f>S918+T918</f>
        <v>134675282.99000001</v>
      </c>
      <c r="Y918" s="9">
        <f>SUM(Y8)</f>
        <v>42312400.940000005</v>
      </c>
      <c r="Z918" s="9">
        <f>SUM(Z8)</f>
        <v>69917001.74000001</v>
      </c>
      <c r="AA918" s="9">
        <f>Y918+Z918</f>
        <v>112229402.68000001</v>
      </c>
    </row>
  </sheetData>
  <sheetProtection password="C644" sheet="1" formatColumns="0" autoFilter="0"/>
  <autoFilter ref="A7:U7"/>
  <mergeCells count="45">
    <mergeCell ref="C861:I861"/>
    <mergeCell ref="C914:I914"/>
    <mergeCell ref="C915:I915"/>
    <mergeCell ref="C916:I916"/>
    <mergeCell ref="C609:I609"/>
    <mergeCell ref="C614:I614"/>
    <mergeCell ref="C615:I615"/>
    <mergeCell ref="C634:I634"/>
    <mergeCell ref="C788:I788"/>
    <mergeCell ref="C119:I119"/>
    <mergeCell ref="C209:I209"/>
    <mergeCell ref="C210:I210"/>
    <mergeCell ref="C296:I296"/>
    <mergeCell ref="C510:I510"/>
    <mergeCell ref="C11:I11"/>
    <mergeCell ref="C12:I12"/>
    <mergeCell ref="C13:I13"/>
    <mergeCell ref="C14:I14"/>
    <mergeCell ref="C102:I102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91"/>
  <sheetViews>
    <sheetView zoomScale="57" zoomScaleNormal="57" workbookViewId="0">
      <pane xSplit="9" ySplit="7" topLeftCell="J772" activePane="bottomRight" state="frozen"/>
      <selection pane="topRight"/>
      <selection pane="bottomLeft"/>
      <selection pane="bottomRight" sqref="A1:XFD772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2895</v>
      </c>
      <c r="H1" s="2" t="s">
        <v>2896</v>
      </c>
      <c r="I1" s="2" t="s">
        <v>2897</v>
      </c>
      <c r="J1" s="2" t="s">
        <v>2898</v>
      </c>
      <c r="K1" s="2" t="s">
        <v>2899</v>
      </c>
      <c r="L1" s="2" t="s">
        <v>2900</v>
      </c>
      <c r="M1" s="2" t="s">
        <v>2901</v>
      </c>
      <c r="N1" s="2" t="s">
        <v>2902</v>
      </c>
      <c r="O1" s="3"/>
      <c r="P1" s="3"/>
      <c r="Q1" s="3"/>
      <c r="R1" s="3"/>
      <c r="S1" s="3"/>
      <c r="T1" s="3"/>
      <c r="U1" s="3"/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24</v>
      </c>
    </row>
    <row r="2" spans="1:35" ht="30.75" customHeight="1" x14ac:dyDescent="0.3">
      <c r="A2" s="335" t="s">
        <v>4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</row>
    <row r="3" spans="1:35" ht="15" customHeight="1" x14ac:dyDescent="0.3">
      <c r="A3" s="336" t="s">
        <v>5</v>
      </c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</row>
    <row r="4" spans="1:35" ht="15" customHeight="1" x14ac:dyDescent="0.3">
      <c r="A4" s="337" t="s">
        <v>6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</row>
    <row r="5" spans="1:35" ht="40.799999999999997" customHeight="1" x14ac:dyDescent="0.3">
      <c r="A5" s="344" t="s">
        <v>25</v>
      </c>
      <c r="B5" s="344" t="s">
        <v>26</v>
      </c>
      <c r="C5" s="344" t="s">
        <v>27</v>
      </c>
      <c r="D5" s="344" t="s">
        <v>28</v>
      </c>
      <c r="E5" s="344" t="s">
        <v>29</v>
      </c>
      <c r="F5" s="344" t="s">
        <v>30</v>
      </c>
      <c r="G5" s="344" t="s">
        <v>31</v>
      </c>
      <c r="H5" s="344" t="s">
        <v>32</v>
      </c>
      <c r="I5" s="344" t="s">
        <v>33</v>
      </c>
      <c r="J5" s="338" t="s">
        <v>7</v>
      </c>
      <c r="K5" s="339"/>
      <c r="L5" s="339"/>
      <c r="M5" s="339"/>
      <c r="N5" s="339"/>
      <c r="O5" s="340"/>
      <c r="P5" s="341" t="s">
        <v>8</v>
      </c>
      <c r="Q5" s="342"/>
      <c r="R5" s="343"/>
      <c r="S5" s="341" t="s">
        <v>9</v>
      </c>
      <c r="T5" s="342"/>
      <c r="U5" s="343"/>
    </row>
    <row r="6" spans="1:35" ht="15.75" customHeight="1" x14ac:dyDescent="0.3">
      <c r="A6" s="345"/>
      <c r="B6" s="345"/>
      <c r="C6" s="345"/>
      <c r="D6" s="345"/>
      <c r="E6" s="345"/>
      <c r="F6" s="345"/>
      <c r="G6" s="345"/>
      <c r="H6" s="345"/>
      <c r="I6" s="345"/>
      <c r="J6" s="347" t="s">
        <v>34</v>
      </c>
      <c r="K6" s="348"/>
      <c r="L6" s="344" t="s">
        <v>34</v>
      </c>
      <c r="M6" s="347" t="s">
        <v>37</v>
      </c>
      <c r="N6" s="348"/>
      <c r="O6" s="344" t="s">
        <v>38</v>
      </c>
      <c r="P6" s="347" t="s">
        <v>34</v>
      </c>
      <c r="Q6" s="348"/>
      <c r="R6" s="344" t="s">
        <v>34</v>
      </c>
      <c r="S6" s="347" t="s">
        <v>37</v>
      </c>
      <c r="T6" s="348"/>
      <c r="U6" s="344" t="s">
        <v>38</v>
      </c>
    </row>
    <row r="7" spans="1:35" ht="31.2" customHeight="1" x14ac:dyDescent="0.3">
      <c r="A7" s="346"/>
      <c r="B7" s="346"/>
      <c r="C7" s="346"/>
      <c r="D7" s="346"/>
      <c r="E7" s="346"/>
      <c r="F7" s="346"/>
      <c r="G7" s="346"/>
      <c r="H7" s="346"/>
      <c r="I7" s="346"/>
      <c r="J7" s="5" t="s">
        <v>35</v>
      </c>
      <c r="K7" s="5" t="s">
        <v>36</v>
      </c>
      <c r="L7" s="346"/>
      <c r="M7" s="5" t="s">
        <v>35</v>
      </c>
      <c r="N7" s="5" t="s">
        <v>36</v>
      </c>
      <c r="O7" s="346"/>
      <c r="P7" s="5" t="s">
        <v>35</v>
      </c>
      <c r="Q7" s="5" t="s">
        <v>36</v>
      </c>
      <c r="R7" s="346"/>
      <c r="S7" s="5" t="s">
        <v>35</v>
      </c>
      <c r="T7" s="5" t="s">
        <v>36</v>
      </c>
      <c r="U7" s="346"/>
    </row>
    <row r="8" spans="1:35" ht="30" customHeight="1" x14ac:dyDescent="0.3">
      <c r="A8" s="349" t="s">
        <v>39</v>
      </c>
      <c r="B8" s="350"/>
      <c r="C8" s="350"/>
      <c r="D8" s="350"/>
      <c r="E8" s="350"/>
      <c r="F8" s="350"/>
      <c r="G8" s="350"/>
      <c r="H8" s="350"/>
      <c r="I8" s="351"/>
      <c r="J8" s="7"/>
      <c r="K8" s="7"/>
      <c r="L8" s="7"/>
      <c r="M8" s="8">
        <f>SUM(M9,M768)</f>
        <v>46316046.340000004</v>
      </c>
      <c r="N8" s="8">
        <f>SUM(N9,N768)</f>
        <v>82654319.040000007</v>
      </c>
      <c r="O8" s="8">
        <f>SUM(O9,O768)</f>
        <v>128970365.38000001</v>
      </c>
      <c r="P8" s="7"/>
      <c r="Q8" s="7"/>
      <c r="R8" s="7"/>
      <c r="S8" s="8">
        <f>SUM(S9,S768)</f>
        <v>50774880.949999996</v>
      </c>
      <c r="T8" s="8">
        <f>SUM(T9,T768)</f>
        <v>83900402.040000007</v>
      </c>
      <c r="U8" s="8">
        <f>SUM(U9,U768)</f>
        <v>134675282.99000001</v>
      </c>
      <c r="Y8" s="9">
        <f>SUM(Y9,Y768)</f>
        <v>42312400.940000005</v>
      </c>
      <c r="Z8" s="9">
        <f>SUM(Z9,Z768)</f>
        <v>69917001.74000001</v>
      </c>
      <c r="AA8" s="9">
        <f>SUM(AA9,AA768)</f>
        <v>112229402.68000001</v>
      </c>
      <c r="AC8" s="4" t="s">
        <v>40</v>
      </c>
    </row>
    <row r="9" spans="1:35" ht="16.95" customHeight="1" x14ac:dyDescent="0.3">
      <c r="A9" s="10" t="s">
        <v>41</v>
      </c>
      <c r="B9" s="10" t="s">
        <v>42</v>
      </c>
      <c r="C9" s="352" t="s">
        <v>43</v>
      </c>
      <c r="D9" s="353"/>
      <c r="E9" s="353"/>
      <c r="F9" s="353"/>
      <c r="G9" s="353"/>
      <c r="H9" s="353"/>
      <c r="I9" s="354"/>
      <c r="M9" s="6">
        <f t="shared" ref="M9:O11" si="0">SUM(M10)</f>
        <v>46316046.340000004</v>
      </c>
      <c r="N9" s="6">
        <f t="shared" si="0"/>
        <v>81596586.330000013</v>
      </c>
      <c r="O9" s="6">
        <f t="shared" si="0"/>
        <v>127912632.67000002</v>
      </c>
      <c r="S9" s="6">
        <f t="shared" ref="S9:U11" si="1">SUM(S10)</f>
        <v>50774880.949999996</v>
      </c>
      <c r="T9" s="6">
        <f t="shared" si="1"/>
        <v>82842669.330000013</v>
      </c>
      <c r="U9" s="6">
        <f t="shared" si="1"/>
        <v>133617550.28</v>
      </c>
      <c r="Y9" s="9">
        <f t="shared" ref="Y9:AA11" si="2">SUM(Y10)</f>
        <v>42312400.940000005</v>
      </c>
      <c r="Z9" s="9">
        <f t="shared" si="2"/>
        <v>69035557.810000002</v>
      </c>
      <c r="AA9" s="9">
        <f t="shared" si="2"/>
        <v>111347958.75</v>
      </c>
      <c r="AD9" s="4">
        <v>298925257</v>
      </c>
      <c r="AE9" s="4">
        <v>16194151</v>
      </c>
    </row>
    <row r="10" spans="1:35" ht="16.95" customHeight="1" x14ac:dyDescent="0.3">
      <c r="A10" s="10" t="s">
        <v>44</v>
      </c>
      <c r="B10" s="10" t="s">
        <v>45</v>
      </c>
      <c r="C10" s="352" t="s">
        <v>46</v>
      </c>
      <c r="D10" s="353"/>
      <c r="E10" s="353"/>
      <c r="F10" s="353"/>
      <c r="G10" s="353"/>
      <c r="H10" s="353"/>
      <c r="I10" s="354"/>
      <c r="M10" s="6">
        <f t="shared" si="0"/>
        <v>46316046.340000004</v>
      </c>
      <c r="N10" s="6">
        <f t="shared" si="0"/>
        <v>81596586.330000013</v>
      </c>
      <c r="O10" s="6">
        <f t="shared" si="0"/>
        <v>127912632.67000002</v>
      </c>
      <c r="S10" s="6">
        <f t="shared" si="1"/>
        <v>50774880.949999996</v>
      </c>
      <c r="T10" s="6">
        <f t="shared" si="1"/>
        <v>82842669.330000013</v>
      </c>
      <c r="U10" s="6">
        <f t="shared" si="1"/>
        <v>133617550.28</v>
      </c>
      <c r="Y10" s="9">
        <f t="shared" si="2"/>
        <v>42312400.940000005</v>
      </c>
      <c r="Z10" s="9">
        <f t="shared" si="2"/>
        <v>69035557.810000002</v>
      </c>
      <c r="AA10" s="9">
        <f t="shared" si="2"/>
        <v>111347958.75</v>
      </c>
      <c r="AD10" s="4">
        <v>298925258</v>
      </c>
      <c r="AE10" s="4">
        <v>16194155</v>
      </c>
    </row>
    <row r="11" spans="1:35" ht="16.95" customHeight="1" x14ac:dyDescent="0.3">
      <c r="A11" s="10" t="s">
        <v>47</v>
      </c>
      <c r="B11" s="10" t="s">
        <v>48</v>
      </c>
      <c r="C11" s="352" t="s">
        <v>49</v>
      </c>
      <c r="D11" s="353"/>
      <c r="E11" s="353"/>
      <c r="F11" s="353"/>
      <c r="G11" s="353"/>
      <c r="H11" s="353"/>
      <c r="I11" s="354"/>
      <c r="M11" s="6">
        <f t="shared" si="0"/>
        <v>46316046.340000004</v>
      </c>
      <c r="N11" s="6">
        <f t="shared" si="0"/>
        <v>81596586.330000013</v>
      </c>
      <c r="O11" s="6">
        <f t="shared" si="0"/>
        <v>127912632.67000002</v>
      </c>
      <c r="S11" s="6">
        <f t="shared" si="1"/>
        <v>50774880.949999996</v>
      </c>
      <c r="T11" s="6">
        <f t="shared" si="1"/>
        <v>82842669.330000013</v>
      </c>
      <c r="U11" s="6">
        <f t="shared" si="1"/>
        <v>133617550.28</v>
      </c>
      <c r="Y11" s="9">
        <f t="shared" si="2"/>
        <v>42312400.940000005</v>
      </c>
      <c r="Z11" s="9">
        <f t="shared" si="2"/>
        <v>69035557.810000002</v>
      </c>
      <c r="AA11" s="9">
        <f t="shared" si="2"/>
        <v>111347958.75</v>
      </c>
      <c r="AD11" s="4">
        <v>298925259</v>
      </c>
      <c r="AE11" s="4">
        <v>16194158</v>
      </c>
    </row>
    <row r="12" spans="1:35" ht="16.95" customHeight="1" x14ac:dyDescent="0.3">
      <c r="A12" s="10" t="s">
        <v>50</v>
      </c>
      <c r="B12" s="10" t="s">
        <v>51</v>
      </c>
      <c r="C12" s="352" t="s">
        <v>52</v>
      </c>
      <c r="D12" s="353"/>
      <c r="E12" s="353"/>
      <c r="F12" s="353"/>
      <c r="G12" s="353"/>
      <c r="H12" s="353"/>
      <c r="I12" s="354"/>
      <c r="M12" s="6">
        <f>SUM(M13,M164,M495,M642,M715)</f>
        <v>46316046.340000004</v>
      </c>
      <c r="N12" s="6">
        <f>SUM(N13,N164,N495,N642,N715)</f>
        <v>81596586.330000013</v>
      </c>
      <c r="O12" s="6">
        <f>SUM(O13,O164,O495,O642,O715)</f>
        <v>127912632.67000002</v>
      </c>
      <c r="S12" s="6">
        <f>SUM(S13,S164,S495,S642,S715)</f>
        <v>50774880.949999996</v>
      </c>
      <c r="T12" s="6">
        <f>SUM(T13,T164,T495,T642,T715)</f>
        <v>82842669.330000013</v>
      </c>
      <c r="U12" s="6">
        <f>SUM(U13,U164,U495,U642,U715)</f>
        <v>133617550.28</v>
      </c>
      <c r="Y12" s="9">
        <f>SUM(Y13,Y164,Y495,Y642,Y715)</f>
        <v>42312400.940000005</v>
      </c>
      <c r="Z12" s="9">
        <f>SUM(Z13,Z164,Z495,Z642,Z715)</f>
        <v>69035557.810000002</v>
      </c>
      <c r="AA12" s="9">
        <f>SUM(AA13,AA164,AA495,AA642,AA715)</f>
        <v>111347958.75</v>
      </c>
      <c r="AD12" s="4">
        <v>298925260</v>
      </c>
      <c r="AE12" s="4">
        <v>16194162</v>
      </c>
    </row>
    <row r="13" spans="1:35" ht="16.95" customHeight="1" x14ac:dyDescent="0.3">
      <c r="A13" s="10" t="s">
        <v>53</v>
      </c>
      <c r="B13" s="10" t="s">
        <v>54</v>
      </c>
      <c r="C13" s="352" t="s">
        <v>55</v>
      </c>
      <c r="D13" s="353"/>
      <c r="E13" s="353"/>
      <c r="F13" s="353"/>
      <c r="G13" s="353"/>
      <c r="H13" s="353"/>
      <c r="I13" s="354"/>
      <c r="M13" s="6">
        <f>SUM(M14,M78,M93)</f>
        <v>14227016</v>
      </c>
      <c r="N13" s="6">
        <f>SUM(N14,N78,N93)</f>
        <v>18340083.550000001</v>
      </c>
      <c r="O13" s="6">
        <f>SUM(O14,O78,O93)</f>
        <v>32567099.550000004</v>
      </c>
      <c r="S13" s="6">
        <f>SUM(S14,S78,S93)</f>
        <v>22402275.359999999</v>
      </c>
      <c r="T13" s="6">
        <f>SUM(T14,T78,T93)</f>
        <v>18340083.550000001</v>
      </c>
      <c r="U13" s="6">
        <f>SUM(U14,U78,U93)</f>
        <v>40742358.910000004</v>
      </c>
      <c r="Y13" s="9">
        <f>SUM(Y14,Y78,Y93)</f>
        <v>18668562.830000002</v>
      </c>
      <c r="Z13" s="9">
        <f>SUM(Z14,Z78,Z93)</f>
        <v>15283402.959999999</v>
      </c>
      <c r="AA13" s="9">
        <f>SUM(AA14,AA78,AA93)</f>
        <v>33951965.789999999</v>
      </c>
      <c r="AD13" s="4">
        <v>298925261</v>
      </c>
      <c r="AE13" s="4">
        <v>16194163</v>
      </c>
    </row>
    <row r="14" spans="1:35" ht="16.95" customHeight="1" x14ac:dyDescent="0.3">
      <c r="A14" s="10" t="s">
        <v>56</v>
      </c>
      <c r="B14" s="10" t="s">
        <v>57</v>
      </c>
      <c r="C14" s="352" t="s">
        <v>58</v>
      </c>
      <c r="D14" s="353"/>
      <c r="E14" s="353"/>
      <c r="F14" s="353"/>
      <c r="G14" s="353"/>
      <c r="H14" s="353"/>
      <c r="I14" s="354"/>
      <c r="M14" s="6">
        <f>SUM(M15,M18,M22,M24,M32,M40,M46,M52,M58,M66,M72)</f>
        <v>9575830.9800000004</v>
      </c>
      <c r="N14" s="6">
        <f>SUM(N15,N18,N22,N24,N32,N40,N46,N52,N58,N66,N72)</f>
        <v>12124369.620000001</v>
      </c>
      <c r="O14" s="6">
        <f>SUM(O15,O18,O22,O24,O32,O40,O46,O52,O58,O66,O72)</f>
        <v>21700200.600000001</v>
      </c>
      <c r="S14" s="6">
        <f>SUM(S15,S18,S22,S24,S32,S40,S46,S52,S58,S66,S72)</f>
        <v>9575830.9800000004</v>
      </c>
      <c r="T14" s="6">
        <f>SUM(T15,T18,T22,T24,T32,T40,T46,T52,T58,T66,T72)</f>
        <v>12124369.620000001</v>
      </c>
      <c r="U14" s="6">
        <f>SUM(U15,U18,U22,U24,U32,U40,U46,U52,U58,U66,U72)</f>
        <v>21700200.600000001</v>
      </c>
      <c r="Y14" s="9">
        <f>SUM(Y15,Y18,Y22,Y24,Y32,Y40,Y46,Y52,Y58,Y66,Y72)</f>
        <v>7979859.1600000001</v>
      </c>
      <c r="Z14" s="9">
        <f>SUM(Z15,Z18,Z22,Z24,Z32,Z40,Z46,Z52,Z58,Z66,Z72)</f>
        <v>10103641.35</v>
      </c>
      <c r="AA14" s="9">
        <f>SUM(AA15,AA18,AA22,AA24,AA32,AA40,AA46,AA52,AA58,AA66,AA72)</f>
        <v>18083500.509999998</v>
      </c>
      <c r="AD14" s="4">
        <v>298925262</v>
      </c>
      <c r="AE14" s="4">
        <v>16194161</v>
      </c>
    </row>
    <row r="15" spans="1:35" ht="54" x14ac:dyDescent="0.3">
      <c r="A15" s="10" t="s">
        <v>59</v>
      </c>
      <c r="B15" s="10" t="s">
        <v>60</v>
      </c>
      <c r="C15" s="11" t="s">
        <v>61</v>
      </c>
      <c r="D15" s="12" t="s">
        <v>62</v>
      </c>
      <c r="E15" s="12" t="s">
        <v>63</v>
      </c>
      <c r="F15" s="12" t="s">
        <v>64</v>
      </c>
      <c r="G15" s="13">
        <v>1</v>
      </c>
      <c r="H15" s="13"/>
      <c r="I15" s="13">
        <v>4263.2</v>
      </c>
      <c r="J15" s="14">
        <f>IFERROR(ROUND(SUM(M16,M17)/I15, 2),0)</f>
        <v>177.36</v>
      </c>
      <c r="K15" s="15">
        <v>388</v>
      </c>
      <c r="L15" s="14">
        <f>J15+ROUND(K15, 2)</f>
        <v>565.36</v>
      </c>
      <c r="M15" s="14">
        <f>ROUND(J15*I15, 2)</f>
        <v>756121.15</v>
      </c>
      <c r="N15" s="14">
        <f>ROUND(I15*ROUND(K15, 2), 2)</f>
        <v>1654121.6</v>
      </c>
      <c r="O15" s="14">
        <f>M15+N15</f>
        <v>2410242.75</v>
      </c>
      <c r="P15" s="14">
        <f>IFERROR(ROUND(SUM(S16,S17)/I15, 2),0)</f>
        <v>177.36</v>
      </c>
      <c r="Q15" s="15">
        <v>388</v>
      </c>
      <c r="R15" s="14">
        <f>P15+ROUND(Q15, 2)</f>
        <v>565.36</v>
      </c>
      <c r="S15" s="14">
        <f>ROUND(P15*I15, 2)</f>
        <v>756121.15</v>
      </c>
      <c r="T15" s="14">
        <f>ROUND(I15*ROUND(Q15, 2), 2)</f>
        <v>1654121.6</v>
      </c>
      <c r="U15" s="14">
        <f>S15+T15</f>
        <v>2410242.75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630100.96</v>
      </c>
      <c r="Z15" s="9">
        <f>ROUND(T15 / 1.2, 2)</f>
        <v>1378434.67</v>
      </c>
      <c r="AA15" s="9">
        <f>Y15+Z15</f>
        <v>2008535.63</v>
      </c>
      <c r="AD15" s="4">
        <v>298925264</v>
      </c>
      <c r="AE15" s="4">
        <v>16194152</v>
      </c>
      <c r="AG15" s="4" t="s">
        <v>65</v>
      </c>
      <c r="AH15" s="4" t="s">
        <v>66</v>
      </c>
      <c r="AI15" s="4" t="s">
        <v>67</v>
      </c>
    </row>
    <row r="16" spans="1:35" ht="36" x14ac:dyDescent="0.3">
      <c r="A16" s="10" t="s">
        <v>68</v>
      </c>
      <c r="B16" s="10"/>
      <c r="C16" s="17" t="s">
        <v>69</v>
      </c>
      <c r="D16" s="12"/>
      <c r="E16" s="12"/>
      <c r="F16" s="18" t="s">
        <v>70</v>
      </c>
      <c r="G16" s="19">
        <v>1.6</v>
      </c>
      <c r="H16" s="20"/>
      <c r="I16" s="20">
        <v>68211.199999999997</v>
      </c>
      <c r="J16" s="21">
        <v>9.67</v>
      </c>
      <c r="M16" s="22">
        <f>ROUND(ROUND(J16, 2)*I16, 2)</f>
        <v>659602.30000000005</v>
      </c>
      <c r="P16" s="21">
        <v>9.67</v>
      </c>
      <c r="S16" s="22">
        <f>ROUND(ROUND(P16, 2)*I16, 2)</f>
        <v>659602.30000000005</v>
      </c>
      <c r="V16" s="9">
        <f>ROUND(ROUND(P16, 2)/1.2, 2)</f>
        <v>8.06</v>
      </c>
      <c r="Y16" s="9">
        <f t="shared" ref="Y16:Y47" si="3">ROUND(S16 / 1.2, 2)</f>
        <v>549668.57999999996</v>
      </c>
      <c r="AD16" s="4" t="s">
        <v>71</v>
      </c>
      <c r="AE16" s="4" t="s">
        <v>72</v>
      </c>
      <c r="AF16" s="4" t="s">
        <v>73</v>
      </c>
    </row>
    <row r="17" spans="1:35" ht="36" x14ac:dyDescent="0.3">
      <c r="A17" s="10" t="s">
        <v>74</v>
      </c>
      <c r="B17" s="10"/>
      <c r="C17" s="24" t="s">
        <v>75</v>
      </c>
      <c r="D17" s="12"/>
      <c r="E17" s="12"/>
      <c r="F17" s="18" t="s">
        <v>70</v>
      </c>
      <c r="G17" s="19">
        <v>0.255</v>
      </c>
      <c r="H17" s="20"/>
      <c r="I17" s="20">
        <v>1087.116</v>
      </c>
      <c r="J17" s="21">
        <v>88.8</v>
      </c>
      <c r="M17" s="22">
        <f>ROUND(ROUND(J17, 2)*I17, 2)</f>
        <v>96535.9</v>
      </c>
      <c r="P17" s="21">
        <v>88.8</v>
      </c>
      <c r="S17" s="22">
        <f>ROUND(ROUND(P17, 2)*I17, 2)</f>
        <v>96535.9</v>
      </c>
      <c r="V17" s="9">
        <f>ROUND(ROUND(P17, 2)/1.2, 2)</f>
        <v>74</v>
      </c>
      <c r="Y17" s="9">
        <f t="shared" si="3"/>
        <v>80446.58</v>
      </c>
      <c r="AD17" s="4" t="s">
        <v>76</v>
      </c>
      <c r="AE17" s="4" t="s">
        <v>77</v>
      </c>
      <c r="AF17" s="4" t="s">
        <v>78</v>
      </c>
    </row>
    <row r="18" spans="1:35" ht="54" x14ac:dyDescent="0.3">
      <c r="A18" s="10" t="s">
        <v>79</v>
      </c>
      <c r="B18" s="10" t="s">
        <v>60</v>
      </c>
      <c r="C18" s="11" t="s">
        <v>80</v>
      </c>
      <c r="D18" s="12" t="s">
        <v>62</v>
      </c>
      <c r="E18" s="12" t="s">
        <v>81</v>
      </c>
      <c r="F18" s="12" t="s">
        <v>64</v>
      </c>
      <c r="G18" s="13">
        <v>1</v>
      </c>
      <c r="H18" s="13"/>
      <c r="I18" s="13">
        <v>3740.2</v>
      </c>
      <c r="J18" s="14">
        <f>IFERROR(ROUND(SUM(M19,M20,M21)/I18, 2),0)</f>
        <v>172.99</v>
      </c>
      <c r="K18" s="15">
        <v>400</v>
      </c>
      <c r="L18" s="14">
        <f>J18+ROUND(K18, 2)</f>
        <v>572.99</v>
      </c>
      <c r="M18" s="14">
        <f>ROUND(J18*I18, 2)</f>
        <v>647017.19999999995</v>
      </c>
      <c r="N18" s="14">
        <f>ROUND(I18*ROUND(K18, 2), 2)</f>
        <v>1496080</v>
      </c>
      <c r="O18" s="14">
        <f>M18+N18</f>
        <v>2143097.2000000002</v>
      </c>
      <c r="P18" s="14">
        <f>IFERROR(ROUND(SUM(S19,S20,S21)/I18, 2),0)</f>
        <v>172.99</v>
      </c>
      <c r="Q18" s="15">
        <v>400</v>
      </c>
      <c r="R18" s="14">
        <f>P18+ROUND(Q18, 2)</f>
        <v>572.99</v>
      </c>
      <c r="S18" s="14">
        <f>ROUND(P18*I18, 2)</f>
        <v>647017.19999999995</v>
      </c>
      <c r="T18" s="14">
        <f>ROUND(I18*ROUND(Q18, 2), 2)</f>
        <v>1496080</v>
      </c>
      <c r="U18" s="14">
        <f>S18+T18</f>
        <v>2143097.2000000002</v>
      </c>
      <c r="V18" s="9">
        <f>ROUND(P18 / 1.2, 2)</f>
        <v>144.16</v>
      </c>
      <c r="W18" s="9">
        <f>ROUND(Q18 / 1.2, 2)</f>
        <v>333.33</v>
      </c>
      <c r="X18" s="9">
        <f>ROUND(R18 / 1.2, 2)</f>
        <v>477.49</v>
      </c>
      <c r="Y18" s="9">
        <f t="shared" si="3"/>
        <v>539181</v>
      </c>
      <c r="Z18" s="9">
        <f>ROUND(T18 / 1.2, 2)</f>
        <v>1246733.33</v>
      </c>
      <c r="AA18" s="9">
        <f>Y18+Z18</f>
        <v>1785914.33</v>
      </c>
      <c r="AD18" s="4">
        <v>298925366</v>
      </c>
      <c r="AE18" s="4">
        <v>19810509</v>
      </c>
      <c r="AG18" s="4" t="s">
        <v>65</v>
      </c>
      <c r="AH18" s="4" t="s">
        <v>66</v>
      </c>
      <c r="AI18" s="4" t="s">
        <v>67</v>
      </c>
    </row>
    <row r="19" spans="1:35" ht="36" x14ac:dyDescent="0.3">
      <c r="A19" s="10" t="s">
        <v>82</v>
      </c>
      <c r="B19" s="10"/>
      <c r="C19" s="24" t="s">
        <v>75</v>
      </c>
      <c r="D19" s="12"/>
      <c r="E19" s="12"/>
      <c r="F19" s="18" t="s">
        <v>70</v>
      </c>
      <c r="G19" s="19">
        <v>0.255</v>
      </c>
      <c r="H19" s="20"/>
      <c r="I19" s="20">
        <v>953.75099999999998</v>
      </c>
      <c r="J19" s="21">
        <v>88.8</v>
      </c>
      <c r="M19" s="22">
        <f>ROUND(ROUND(J19, 2)*I19, 2)</f>
        <v>84693.09</v>
      </c>
      <c r="P19" s="21">
        <v>88.8</v>
      </c>
      <c r="S19" s="22">
        <f>ROUND(ROUND(P19, 2)*I19, 2)</f>
        <v>84693.09</v>
      </c>
      <c r="V19" s="9">
        <f>ROUND(ROUND(P19, 2)/1.2, 2)</f>
        <v>74</v>
      </c>
      <c r="Y19" s="9">
        <f t="shared" si="3"/>
        <v>70577.58</v>
      </c>
      <c r="AD19" s="4" t="s">
        <v>83</v>
      </c>
      <c r="AE19" s="4" t="s">
        <v>84</v>
      </c>
      <c r="AF19" s="4" t="s">
        <v>78</v>
      </c>
    </row>
    <row r="20" spans="1:35" ht="18" x14ac:dyDescent="0.3">
      <c r="A20" s="10" t="s">
        <v>85</v>
      </c>
      <c r="B20" s="10"/>
      <c r="C20" s="24" t="s">
        <v>86</v>
      </c>
      <c r="D20" s="12"/>
      <c r="E20" s="12"/>
      <c r="F20" s="18" t="s">
        <v>87</v>
      </c>
      <c r="G20" s="19">
        <v>1</v>
      </c>
      <c r="H20" s="20"/>
      <c r="I20" s="20">
        <v>1880</v>
      </c>
      <c r="J20" s="21">
        <v>10.4</v>
      </c>
      <c r="M20" s="22">
        <f>ROUND(ROUND(J20, 2)*I20, 2)</f>
        <v>19552</v>
      </c>
      <c r="P20" s="21">
        <v>10.4</v>
      </c>
      <c r="S20" s="22">
        <f>ROUND(ROUND(P20, 2)*I20, 2)</f>
        <v>19552</v>
      </c>
      <c r="V20" s="9">
        <f>ROUND(ROUND(P20, 2)/1.2, 2)</f>
        <v>8.67</v>
      </c>
      <c r="Y20" s="9">
        <f t="shared" si="3"/>
        <v>16293.33</v>
      </c>
      <c r="AD20" s="4" t="s">
        <v>88</v>
      </c>
      <c r="AE20" s="4" t="s">
        <v>89</v>
      </c>
      <c r="AF20" s="4" t="s">
        <v>90</v>
      </c>
    </row>
    <row r="21" spans="1:35" ht="36" x14ac:dyDescent="0.3">
      <c r="A21" s="10" t="s">
        <v>91</v>
      </c>
      <c r="B21" s="10"/>
      <c r="C21" s="17" t="s">
        <v>69</v>
      </c>
      <c r="D21" s="12"/>
      <c r="E21" s="12"/>
      <c r="F21" s="18" t="s">
        <v>70</v>
      </c>
      <c r="G21" s="19">
        <v>1.6</v>
      </c>
      <c r="H21" s="20"/>
      <c r="I21" s="20">
        <v>59843.199999999997</v>
      </c>
      <c r="J21" s="21">
        <v>9.07</v>
      </c>
      <c r="M21" s="22">
        <f>ROUND(ROUND(J21, 2)*I21, 2)</f>
        <v>542777.81999999995</v>
      </c>
      <c r="P21" s="21">
        <v>9.07</v>
      </c>
      <c r="S21" s="22">
        <f>ROUND(ROUND(P21, 2)*I21, 2)</f>
        <v>542777.81999999995</v>
      </c>
      <c r="V21" s="9">
        <f>ROUND(ROUND(P21, 2)/1.2, 2)</f>
        <v>7.56</v>
      </c>
      <c r="Y21" s="9">
        <f t="shared" si="3"/>
        <v>452314.85</v>
      </c>
      <c r="AD21" s="4" t="s">
        <v>92</v>
      </c>
      <c r="AE21" s="4" t="s">
        <v>93</v>
      </c>
      <c r="AF21" s="4" t="s">
        <v>73</v>
      </c>
    </row>
    <row r="22" spans="1:35" ht="54" x14ac:dyDescent="0.3">
      <c r="A22" s="10" t="s">
        <v>94</v>
      </c>
      <c r="B22" s="10" t="s">
        <v>95</v>
      </c>
      <c r="C22" s="11" t="s">
        <v>96</v>
      </c>
      <c r="D22" s="12"/>
      <c r="E22" s="12" t="s">
        <v>97</v>
      </c>
      <c r="F22" s="12" t="s">
        <v>98</v>
      </c>
      <c r="G22" s="13">
        <v>1</v>
      </c>
      <c r="H22" s="13"/>
      <c r="I22" s="13">
        <v>2.88</v>
      </c>
      <c r="J22" s="14">
        <f>IFERROR(ROUND(SUM(M23)/I22, 2),0)</f>
        <v>12597</v>
      </c>
      <c r="K22" s="15">
        <v>54984</v>
      </c>
      <c r="L22" s="14">
        <f>J22+ROUND(K22, 2)</f>
        <v>67581</v>
      </c>
      <c r="M22" s="14">
        <f>ROUND(J22*I22, 2)</f>
        <v>36279.360000000001</v>
      </c>
      <c r="N22" s="14">
        <f>ROUND(I22*ROUND(K22, 2), 2)</f>
        <v>158353.92000000001</v>
      </c>
      <c r="O22" s="14">
        <f>M22+N22</f>
        <v>194633.28000000003</v>
      </c>
      <c r="P22" s="14">
        <f>IFERROR(ROUND(SUM(S23)/I22, 2),0)</f>
        <v>12597</v>
      </c>
      <c r="Q22" s="15">
        <v>54984</v>
      </c>
      <c r="R22" s="14">
        <f>P22+ROUND(Q22, 2)</f>
        <v>67581</v>
      </c>
      <c r="S22" s="14">
        <f>ROUND(P22*I22, 2)</f>
        <v>36279.360000000001</v>
      </c>
      <c r="T22" s="14">
        <f>ROUND(I22*ROUND(Q22, 2), 2)</f>
        <v>158353.92000000001</v>
      </c>
      <c r="U22" s="14">
        <f>S22+T22</f>
        <v>194633.28000000003</v>
      </c>
      <c r="V22" s="9">
        <f>ROUND(P22 / 1.2, 2)</f>
        <v>10497.5</v>
      </c>
      <c r="W22" s="9">
        <f>ROUND(Q22 / 1.2, 2)</f>
        <v>45820</v>
      </c>
      <c r="X22" s="9">
        <f>ROUND(R22 / 1.2, 2)</f>
        <v>56317.5</v>
      </c>
      <c r="Y22" s="9">
        <f t="shared" si="3"/>
        <v>30232.799999999999</v>
      </c>
      <c r="Z22" s="9">
        <f>ROUND(T22 / 1.2, 2)</f>
        <v>131961.60000000001</v>
      </c>
      <c r="AA22" s="9">
        <f>Y22+Z22</f>
        <v>162194.4</v>
      </c>
      <c r="AD22" s="4">
        <v>298925266</v>
      </c>
      <c r="AE22" s="4">
        <v>19810929</v>
      </c>
      <c r="AG22" s="4" t="s">
        <v>99</v>
      </c>
      <c r="AH22" s="4" t="s">
        <v>100</v>
      </c>
      <c r="AI22" s="4" t="s">
        <v>67</v>
      </c>
    </row>
    <row r="23" spans="1:35" ht="18" x14ac:dyDescent="0.3">
      <c r="A23" s="10" t="s">
        <v>101</v>
      </c>
      <c r="B23" s="10"/>
      <c r="C23" s="24" t="s">
        <v>102</v>
      </c>
      <c r="D23" s="12"/>
      <c r="E23" s="12"/>
      <c r="F23" s="18" t="s">
        <v>70</v>
      </c>
      <c r="G23" s="19">
        <v>1700</v>
      </c>
      <c r="H23" s="20"/>
      <c r="I23" s="20">
        <v>4896</v>
      </c>
      <c r="J23" s="21">
        <v>7.41</v>
      </c>
      <c r="M23" s="22">
        <f>ROUND(ROUND(J23, 2)*I23, 2)</f>
        <v>36279.360000000001</v>
      </c>
      <c r="P23" s="21">
        <v>7.41</v>
      </c>
      <c r="S23" s="22">
        <f>ROUND(ROUND(P23, 2)*I23, 2)</f>
        <v>36279.360000000001</v>
      </c>
      <c r="V23" s="9">
        <f>ROUND(ROUND(P23, 2)/1.2, 2)</f>
        <v>6.18</v>
      </c>
      <c r="Y23" s="9">
        <f t="shared" si="3"/>
        <v>30232.799999999999</v>
      </c>
      <c r="AD23" s="4" t="s">
        <v>103</v>
      </c>
      <c r="AE23" s="4" t="s">
        <v>104</v>
      </c>
      <c r="AF23" s="4" t="s">
        <v>105</v>
      </c>
    </row>
    <row r="24" spans="1:35" ht="54" x14ac:dyDescent="0.3">
      <c r="A24" s="10" t="s">
        <v>106</v>
      </c>
      <c r="B24" s="10" t="s">
        <v>107</v>
      </c>
      <c r="C24" s="11" t="s">
        <v>108</v>
      </c>
      <c r="D24" s="12"/>
      <c r="E24" s="12" t="s">
        <v>109</v>
      </c>
      <c r="F24" s="12" t="s">
        <v>64</v>
      </c>
      <c r="G24" s="13">
        <v>1</v>
      </c>
      <c r="H24" s="13"/>
      <c r="I24" s="13">
        <v>0</v>
      </c>
      <c r="J24" s="14">
        <f>IFERROR(ROUND(SUM(M25,M26,M27,M28,M29,M30,M31)/I24, 2),0)</f>
        <v>0</v>
      </c>
      <c r="K24" s="15">
        <v>941</v>
      </c>
      <c r="L24" s="14">
        <f>J24+ROUND(K24, 2)</f>
        <v>941</v>
      </c>
      <c r="M24" s="14">
        <f>ROUND(J24*I24, 2)</f>
        <v>0</v>
      </c>
      <c r="N24" s="14">
        <f>ROUND(I24*ROUND(K24, 2), 2)</f>
        <v>0</v>
      </c>
      <c r="O24" s="14">
        <f>M24+N24</f>
        <v>0</v>
      </c>
      <c r="P24" s="14">
        <f>IFERROR(ROUND(SUM(S25,S26,S27,S28,S29,S30,S31)/I24, 2),0)</f>
        <v>0</v>
      </c>
      <c r="Q24" s="15">
        <v>855</v>
      </c>
      <c r="R24" s="14">
        <f>P24+ROUND(Q24, 2)</f>
        <v>855</v>
      </c>
      <c r="S24" s="14">
        <f>ROUND(P24*I24, 2)</f>
        <v>0</v>
      </c>
      <c r="T24" s="14">
        <f>ROUND(I24*ROUND(Q24, 2), 2)</f>
        <v>0</v>
      </c>
      <c r="U24" s="14">
        <f>S24+T24</f>
        <v>0</v>
      </c>
      <c r="V24" s="9">
        <f>ROUND(P24 / 1.2, 2)</f>
        <v>0</v>
      </c>
      <c r="W24" s="9">
        <f>ROUND(Q24 / 1.2, 2)</f>
        <v>712.5</v>
      </c>
      <c r="X24" s="9">
        <f>ROUND(R24 / 1.2, 2)</f>
        <v>712.5</v>
      </c>
      <c r="Y24" s="9">
        <f t="shared" si="3"/>
        <v>0</v>
      </c>
      <c r="Z24" s="9">
        <f>ROUND(T24 / 1.2, 2)</f>
        <v>0</v>
      </c>
      <c r="AA24" s="9">
        <f>Y24+Z24</f>
        <v>0</v>
      </c>
      <c r="AD24" s="4">
        <v>298925268</v>
      </c>
      <c r="AE24" s="4">
        <v>17497283</v>
      </c>
      <c r="AG24" s="4" t="s">
        <v>110</v>
      </c>
      <c r="AH24" s="4" t="s">
        <v>111</v>
      </c>
      <c r="AI24" s="4" t="s">
        <v>67</v>
      </c>
    </row>
    <row r="25" spans="1:35" ht="18" x14ac:dyDescent="0.3">
      <c r="A25" s="10" t="s">
        <v>114</v>
      </c>
      <c r="B25" s="10"/>
      <c r="C25" s="24" t="s">
        <v>115</v>
      </c>
      <c r="D25" s="12"/>
      <c r="E25" s="12"/>
      <c r="F25" s="18" t="s">
        <v>116</v>
      </c>
      <c r="G25" s="19">
        <v>8</v>
      </c>
      <c r="H25" s="20"/>
      <c r="I25" s="20">
        <v>0</v>
      </c>
      <c r="J25" s="21">
        <v>2.5</v>
      </c>
      <c r="M25" s="22">
        <f t="shared" ref="M25:M31" si="4">ROUND(ROUND(J25, 2)*I25, 2)</f>
        <v>0</v>
      </c>
      <c r="P25" s="21">
        <v>2.5</v>
      </c>
      <c r="S25" s="22">
        <f t="shared" ref="S25:S31" si="5">ROUND(ROUND(P25, 2)*I25, 2)</f>
        <v>0</v>
      </c>
      <c r="V25" s="9">
        <f t="shared" ref="V25:V31" si="6">ROUND(ROUND(P25, 2)/1.2, 2)</f>
        <v>2.08</v>
      </c>
      <c r="Y25" s="9">
        <f t="shared" si="3"/>
        <v>0</v>
      </c>
      <c r="AD25" s="4" t="s">
        <v>117</v>
      </c>
      <c r="AE25" s="4" t="s">
        <v>118</v>
      </c>
      <c r="AF25" s="4" t="s">
        <v>119</v>
      </c>
    </row>
    <row r="26" spans="1:35" ht="18" x14ac:dyDescent="0.3">
      <c r="A26" s="10" t="s">
        <v>122</v>
      </c>
      <c r="B26" s="10"/>
      <c r="C26" s="24" t="s">
        <v>123</v>
      </c>
      <c r="D26" s="12"/>
      <c r="E26" s="12"/>
      <c r="F26" s="18" t="s">
        <v>70</v>
      </c>
      <c r="G26" s="19">
        <v>1E-3</v>
      </c>
      <c r="H26" s="20"/>
      <c r="I26" s="20">
        <v>0</v>
      </c>
      <c r="J26" s="21">
        <v>208.33</v>
      </c>
      <c r="M26" s="22">
        <f t="shared" si="4"/>
        <v>0</v>
      </c>
      <c r="P26" s="21">
        <v>208.33</v>
      </c>
      <c r="S26" s="22">
        <f t="shared" si="5"/>
        <v>0</v>
      </c>
      <c r="V26" s="9">
        <f t="shared" si="6"/>
        <v>173.61</v>
      </c>
      <c r="Y26" s="9">
        <f t="shared" si="3"/>
        <v>0</v>
      </c>
      <c r="AD26" s="4" t="s">
        <v>124</v>
      </c>
      <c r="AE26" s="4" t="s">
        <v>125</v>
      </c>
      <c r="AF26" s="4" t="s">
        <v>126</v>
      </c>
    </row>
    <row r="27" spans="1:35" ht="18" x14ac:dyDescent="0.3">
      <c r="A27" s="10" t="s">
        <v>129</v>
      </c>
      <c r="B27" s="10"/>
      <c r="C27" s="24" t="s">
        <v>130</v>
      </c>
      <c r="D27" s="12"/>
      <c r="E27" s="12"/>
      <c r="F27" s="18" t="s">
        <v>64</v>
      </c>
      <c r="G27" s="19">
        <v>1.1000000000000001</v>
      </c>
      <c r="H27" s="20"/>
      <c r="I27" s="20">
        <v>0</v>
      </c>
      <c r="J27" s="21">
        <v>155.01</v>
      </c>
      <c r="M27" s="22">
        <f t="shared" si="4"/>
        <v>0</v>
      </c>
      <c r="P27" s="21">
        <v>155.01</v>
      </c>
      <c r="S27" s="22">
        <f t="shared" si="5"/>
        <v>0</v>
      </c>
      <c r="V27" s="9">
        <f t="shared" si="6"/>
        <v>129.18</v>
      </c>
      <c r="Y27" s="9">
        <f t="shared" si="3"/>
        <v>0</v>
      </c>
      <c r="AD27" s="4" t="s">
        <v>131</v>
      </c>
      <c r="AE27" s="4" t="s">
        <v>132</v>
      </c>
      <c r="AF27" s="4" t="s">
        <v>133</v>
      </c>
    </row>
    <row r="28" spans="1:35" ht="18" x14ac:dyDescent="0.3">
      <c r="A28" s="10" t="s">
        <v>136</v>
      </c>
      <c r="B28" s="10"/>
      <c r="C28" s="24" t="s">
        <v>137</v>
      </c>
      <c r="D28" s="12"/>
      <c r="E28" s="12"/>
      <c r="F28" s="18" t="s">
        <v>70</v>
      </c>
      <c r="G28" s="19">
        <v>0.32</v>
      </c>
      <c r="H28" s="20"/>
      <c r="I28" s="20">
        <v>0</v>
      </c>
      <c r="J28" s="21">
        <v>7.5</v>
      </c>
      <c r="M28" s="22">
        <f t="shared" si="4"/>
        <v>0</v>
      </c>
      <c r="P28" s="21">
        <v>7.5</v>
      </c>
      <c r="S28" s="22">
        <f t="shared" si="5"/>
        <v>0</v>
      </c>
      <c r="V28" s="9">
        <f t="shared" si="6"/>
        <v>6.25</v>
      </c>
      <c r="Y28" s="9">
        <f t="shared" si="3"/>
        <v>0</v>
      </c>
      <c r="AD28" s="4" t="s">
        <v>138</v>
      </c>
      <c r="AE28" s="4" t="s">
        <v>139</v>
      </c>
      <c r="AF28" s="4" t="s">
        <v>140</v>
      </c>
    </row>
    <row r="29" spans="1:35" ht="18" x14ac:dyDescent="0.3">
      <c r="A29" s="10" t="s">
        <v>143</v>
      </c>
      <c r="B29" s="10"/>
      <c r="C29" s="24" t="s">
        <v>144</v>
      </c>
      <c r="D29" s="12"/>
      <c r="E29" s="12"/>
      <c r="F29" s="18" t="s">
        <v>98</v>
      </c>
      <c r="G29" s="19">
        <v>1E-3</v>
      </c>
      <c r="H29" s="20"/>
      <c r="I29" s="20">
        <v>0</v>
      </c>
      <c r="J29" s="21">
        <v>1600</v>
      </c>
      <c r="M29" s="22">
        <f t="shared" si="4"/>
        <v>0</v>
      </c>
      <c r="P29" s="21">
        <v>1600</v>
      </c>
      <c r="S29" s="22">
        <f t="shared" si="5"/>
        <v>0</v>
      </c>
      <c r="V29" s="9">
        <f t="shared" si="6"/>
        <v>1333.33</v>
      </c>
      <c r="Y29" s="9">
        <f t="shared" si="3"/>
        <v>0</v>
      </c>
      <c r="AD29" s="4" t="s">
        <v>145</v>
      </c>
      <c r="AE29" s="4" t="s">
        <v>146</v>
      </c>
      <c r="AF29" s="4" t="s">
        <v>147</v>
      </c>
    </row>
    <row r="30" spans="1:35" ht="18" x14ac:dyDescent="0.3">
      <c r="A30" s="10" t="s">
        <v>150</v>
      </c>
      <c r="B30" s="10"/>
      <c r="C30" s="24" t="s">
        <v>86</v>
      </c>
      <c r="D30" s="12"/>
      <c r="E30" s="12"/>
      <c r="F30" s="18" t="s">
        <v>87</v>
      </c>
      <c r="G30" s="19">
        <v>1</v>
      </c>
      <c r="H30" s="20"/>
      <c r="I30" s="20">
        <v>0</v>
      </c>
      <c r="J30" s="21">
        <v>10.4</v>
      </c>
      <c r="M30" s="22">
        <f t="shared" si="4"/>
        <v>0</v>
      </c>
      <c r="P30" s="21">
        <v>10.4</v>
      </c>
      <c r="S30" s="22">
        <f t="shared" si="5"/>
        <v>0</v>
      </c>
      <c r="V30" s="9">
        <f t="shared" si="6"/>
        <v>8.67</v>
      </c>
      <c r="Y30" s="9">
        <f t="shared" si="3"/>
        <v>0</v>
      </c>
      <c r="AD30" s="4" t="s">
        <v>151</v>
      </c>
      <c r="AE30" s="4" t="s">
        <v>152</v>
      </c>
      <c r="AF30" s="4" t="s">
        <v>90</v>
      </c>
    </row>
    <row r="31" spans="1:35" ht="36" x14ac:dyDescent="0.3">
      <c r="A31" s="10" t="s">
        <v>155</v>
      </c>
      <c r="B31" s="10"/>
      <c r="C31" s="24" t="s">
        <v>75</v>
      </c>
      <c r="D31" s="12"/>
      <c r="E31" s="12"/>
      <c r="F31" s="18" t="s">
        <v>70</v>
      </c>
      <c r="G31" s="19">
        <v>0.2</v>
      </c>
      <c r="H31" s="19"/>
      <c r="I31" s="19">
        <v>0</v>
      </c>
      <c r="J31" s="21">
        <v>88.8</v>
      </c>
      <c r="M31" s="22">
        <f t="shared" si="4"/>
        <v>0</v>
      </c>
      <c r="P31" s="21">
        <v>88.8</v>
      </c>
      <c r="S31" s="22">
        <f t="shared" si="5"/>
        <v>0</v>
      </c>
      <c r="V31" s="9">
        <f t="shared" si="6"/>
        <v>74</v>
      </c>
      <c r="Y31" s="9">
        <f t="shared" si="3"/>
        <v>0</v>
      </c>
      <c r="AD31" s="4" t="s">
        <v>156</v>
      </c>
      <c r="AE31" s="4" t="s">
        <v>157</v>
      </c>
      <c r="AF31" s="4" t="s">
        <v>78</v>
      </c>
    </row>
    <row r="32" spans="1:35" ht="36" x14ac:dyDescent="0.3">
      <c r="A32" s="10" t="s">
        <v>160</v>
      </c>
      <c r="B32" s="10" t="s">
        <v>107</v>
      </c>
      <c r="C32" s="11" t="s">
        <v>108</v>
      </c>
      <c r="D32" s="12"/>
      <c r="E32" s="12" t="s">
        <v>161</v>
      </c>
      <c r="F32" s="12" t="s">
        <v>64</v>
      </c>
      <c r="G32" s="13">
        <v>1</v>
      </c>
      <c r="H32" s="13"/>
      <c r="I32" s="13">
        <v>0</v>
      </c>
      <c r="J32" s="14">
        <f>IFERROR(ROUND(SUM(M33,M34,M35,M36,M37,M38,M39)/I32, 2),0)</f>
        <v>0</v>
      </c>
      <c r="K32" s="15">
        <v>941</v>
      </c>
      <c r="L32" s="14">
        <f>J32+ROUND(K32, 2)</f>
        <v>941</v>
      </c>
      <c r="M32" s="14">
        <f>ROUND(J32*I32, 2)</f>
        <v>0</v>
      </c>
      <c r="N32" s="14">
        <f>ROUND(I32*ROUND(K32, 2), 2)</f>
        <v>0</v>
      </c>
      <c r="O32" s="14">
        <f>M32+N32</f>
        <v>0</v>
      </c>
      <c r="P32" s="14">
        <f>IFERROR(ROUND(SUM(S33,S34,S35,S36,S37,S38,S39)/I32, 2),0)</f>
        <v>0</v>
      </c>
      <c r="Q32" s="15">
        <v>855</v>
      </c>
      <c r="R32" s="14">
        <f>P32+ROUND(Q32, 2)</f>
        <v>855</v>
      </c>
      <c r="S32" s="14">
        <f>ROUND(P32*I32, 2)</f>
        <v>0</v>
      </c>
      <c r="T32" s="14">
        <f>ROUND(I32*ROUND(Q32, 2), 2)</f>
        <v>0</v>
      </c>
      <c r="U32" s="14">
        <f>S32+T32</f>
        <v>0</v>
      </c>
      <c r="V32" s="9">
        <f>ROUND(P32 / 1.2, 2)</f>
        <v>0</v>
      </c>
      <c r="W32" s="9">
        <f>ROUND(Q32 / 1.2, 2)</f>
        <v>712.5</v>
      </c>
      <c r="X32" s="9">
        <f>ROUND(R32 / 1.2, 2)</f>
        <v>712.5</v>
      </c>
      <c r="Y32" s="9">
        <f t="shared" si="3"/>
        <v>0</v>
      </c>
      <c r="Z32" s="9">
        <f>ROUND(T32 / 1.2, 2)</f>
        <v>0</v>
      </c>
      <c r="AA32" s="9">
        <f>Y32+Z32</f>
        <v>0</v>
      </c>
      <c r="AD32" s="4">
        <v>298925367</v>
      </c>
      <c r="AE32" s="4">
        <v>17497284</v>
      </c>
      <c r="AG32" s="4" t="s">
        <v>110</v>
      </c>
      <c r="AH32" s="4" t="s">
        <v>111</v>
      </c>
      <c r="AI32" s="4" t="s">
        <v>67</v>
      </c>
    </row>
    <row r="33" spans="1:35" ht="36" x14ac:dyDescent="0.3">
      <c r="A33" s="10" t="s">
        <v>164</v>
      </c>
      <c r="B33" s="10"/>
      <c r="C33" s="24" t="s">
        <v>75</v>
      </c>
      <c r="D33" s="12"/>
      <c r="E33" s="12"/>
      <c r="F33" s="18" t="s">
        <v>70</v>
      </c>
      <c r="G33" s="19">
        <v>0.2</v>
      </c>
      <c r="H33" s="19"/>
      <c r="I33" s="19">
        <v>0</v>
      </c>
      <c r="J33" s="21">
        <v>88.8</v>
      </c>
      <c r="M33" s="22">
        <f t="shared" ref="M33:M39" si="7">ROUND(ROUND(J33, 2)*I33, 2)</f>
        <v>0</v>
      </c>
      <c r="P33" s="21">
        <v>88.8</v>
      </c>
      <c r="S33" s="22">
        <f t="shared" ref="S33:S39" si="8">ROUND(ROUND(P33, 2)*I33, 2)</f>
        <v>0</v>
      </c>
      <c r="V33" s="9">
        <f t="shared" ref="V33:V39" si="9">ROUND(ROUND(P33, 2)/1.2, 2)</f>
        <v>74</v>
      </c>
      <c r="Y33" s="9">
        <f t="shared" si="3"/>
        <v>0</v>
      </c>
      <c r="AD33" s="4" t="s">
        <v>165</v>
      </c>
      <c r="AE33" s="4" t="s">
        <v>166</v>
      </c>
      <c r="AF33" s="4" t="s">
        <v>78</v>
      </c>
    </row>
    <row r="34" spans="1:35" ht="18" x14ac:dyDescent="0.3">
      <c r="A34" s="10" t="s">
        <v>169</v>
      </c>
      <c r="B34" s="10"/>
      <c r="C34" s="24" t="s">
        <v>86</v>
      </c>
      <c r="D34" s="12"/>
      <c r="E34" s="12"/>
      <c r="F34" s="18" t="s">
        <v>87</v>
      </c>
      <c r="G34" s="19">
        <v>1</v>
      </c>
      <c r="H34" s="20"/>
      <c r="I34" s="20">
        <v>0</v>
      </c>
      <c r="J34" s="21">
        <v>10.4</v>
      </c>
      <c r="M34" s="22">
        <f t="shared" si="7"/>
        <v>0</v>
      </c>
      <c r="P34" s="21">
        <v>10.4</v>
      </c>
      <c r="S34" s="22">
        <f t="shared" si="8"/>
        <v>0</v>
      </c>
      <c r="V34" s="9">
        <f t="shared" si="9"/>
        <v>8.67</v>
      </c>
      <c r="Y34" s="9">
        <f t="shared" si="3"/>
        <v>0</v>
      </c>
      <c r="AD34" s="4" t="s">
        <v>170</v>
      </c>
      <c r="AE34" s="4" t="s">
        <v>171</v>
      </c>
      <c r="AF34" s="4" t="s">
        <v>90</v>
      </c>
    </row>
    <row r="35" spans="1:35" ht="18" x14ac:dyDescent="0.3">
      <c r="A35" s="10" t="s">
        <v>174</v>
      </c>
      <c r="B35" s="10"/>
      <c r="C35" s="24" t="s">
        <v>144</v>
      </c>
      <c r="D35" s="12"/>
      <c r="E35" s="12"/>
      <c r="F35" s="18" t="s">
        <v>98</v>
      </c>
      <c r="G35" s="19">
        <v>1E-3</v>
      </c>
      <c r="H35" s="20"/>
      <c r="I35" s="20">
        <v>0</v>
      </c>
      <c r="J35" s="21">
        <v>1600</v>
      </c>
      <c r="M35" s="22">
        <f t="shared" si="7"/>
        <v>0</v>
      </c>
      <c r="P35" s="21">
        <v>1600</v>
      </c>
      <c r="S35" s="22">
        <f t="shared" si="8"/>
        <v>0</v>
      </c>
      <c r="V35" s="9">
        <f t="shared" si="9"/>
        <v>1333.33</v>
      </c>
      <c r="Y35" s="9">
        <f t="shared" si="3"/>
        <v>0</v>
      </c>
      <c r="AD35" s="4" t="s">
        <v>175</v>
      </c>
      <c r="AE35" s="4" t="s">
        <v>176</v>
      </c>
      <c r="AF35" s="4" t="s">
        <v>147</v>
      </c>
    </row>
    <row r="36" spans="1:35" ht="18" x14ac:dyDescent="0.3">
      <c r="A36" s="10" t="s">
        <v>179</v>
      </c>
      <c r="B36" s="10"/>
      <c r="C36" s="24" t="s">
        <v>137</v>
      </c>
      <c r="D36" s="12"/>
      <c r="E36" s="12"/>
      <c r="F36" s="18" t="s">
        <v>70</v>
      </c>
      <c r="G36" s="19">
        <v>0.32</v>
      </c>
      <c r="H36" s="20"/>
      <c r="I36" s="20">
        <v>0</v>
      </c>
      <c r="J36" s="21">
        <v>7.5</v>
      </c>
      <c r="M36" s="22">
        <f t="shared" si="7"/>
        <v>0</v>
      </c>
      <c r="P36" s="21">
        <v>7.5</v>
      </c>
      <c r="S36" s="22">
        <f t="shared" si="8"/>
        <v>0</v>
      </c>
      <c r="V36" s="9">
        <f t="shared" si="9"/>
        <v>6.25</v>
      </c>
      <c r="Y36" s="9">
        <f t="shared" si="3"/>
        <v>0</v>
      </c>
      <c r="AD36" s="4" t="s">
        <v>180</v>
      </c>
      <c r="AE36" s="4" t="s">
        <v>181</v>
      </c>
      <c r="AF36" s="4" t="s">
        <v>140</v>
      </c>
    </row>
    <row r="37" spans="1:35" ht="18" x14ac:dyDescent="0.3">
      <c r="A37" s="10" t="s">
        <v>184</v>
      </c>
      <c r="B37" s="10"/>
      <c r="C37" s="24" t="s">
        <v>130</v>
      </c>
      <c r="D37" s="12"/>
      <c r="E37" s="12"/>
      <c r="F37" s="18" t="s">
        <v>64</v>
      </c>
      <c r="G37" s="19">
        <v>1.1000000000000001</v>
      </c>
      <c r="H37" s="20"/>
      <c r="I37" s="20">
        <v>0</v>
      </c>
      <c r="J37" s="21">
        <v>155.01</v>
      </c>
      <c r="M37" s="22">
        <f t="shared" si="7"/>
        <v>0</v>
      </c>
      <c r="P37" s="21">
        <v>155.01</v>
      </c>
      <c r="S37" s="22">
        <f t="shared" si="8"/>
        <v>0</v>
      </c>
      <c r="V37" s="9">
        <f t="shared" si="9"/>
        <v>129.18</v>
      </c>
      <c r="Y37" s="9">
        <f t="shared" si="3"/>
        <v>0</v>
      </c>
      <c r="AD37" s="4" t="s">
        <v>185</v>
      </c>
      <c r="AE37" s="4" t="s">
        <v>186</v>
      </c>
      <c r="AF37" s="4" t="s">
        <v>133</v>
      </c>
    </row>
    <row r="38" spans="1:35" ht="18" x14ac:dyDescent="0.3">
      <c r="A38" s="10" t="s">
        <v>189</v>
      </c>
      <c r="B38" s="10"/>
      <c r="C38" s="24" t="s">
        <v>123</v>
      </c>
      <c r="D38" s="12"/>
      <c r="E38" s="12"/>
      <c r="F38" s="18" t="s">
        <v>70</v>
      </c>
      <c r="G38" s="19">
        <v>1E-3</v>
      </c>
      <c r="H38" s="20"/>
      <c r="I38" s="20">
        <v>0</v>
      </c>
      <c r="J38" s="21">
        <v>208.33</v>
      </c>
      <c r="M38" s="22">
        <f t="shared" si="7"/>
        <v>0</v>
      </c>
      <c r="P38" s="21">
        <v>208.33</v>
      </c>
      <c r="S38" s="22">
        <f t="shared" si="8"/>
        <v>0</v>
      </c>
      <c r="V38" s="9">
        <f t="shared" si="9"/>
        <v>173.61</v>
      </c>
      <c r="Y38" s="9">
        <f t="shared" si="3"/>
        <v>0</v>
      </c>
      <c r="AD38" s="4" t="s">
        <v>190</v>
      </c>
      <c r="AE38" s="4" t="s">
        <v>191</v>
      </c>
      <c r="AF38" s="4" t="s">
        <v>126</v>
      </c>
    </row>
    <row r="39" spans="1:35" ht="18" x14ac:dyDescent="0.3">
      <c r="A39" s="10" t="s">
        <v>194</v>
      </c>
      <c r="B39" s="10"/>
      <c r="C39" s="24" t="s">
        <v>115</v>
      </c>
      <c r="D39" s="12"/>
      <c r="E39" s="12"/>
      <c r="F39" s="18" t="s">
        <v>116</v>
      </c>
      <c r="G39" s="19">
        <v>8</v>
      </c>
      <c r="H39" s="20"/>
      <c r="I39" s="20">
        <v>0</v>
      </c>
      <c r="J39" s="21">
        <v>2.5</v>
      </c>
      <c r="M39" s="22">
        <f t="shared" si="7"/>
        <v>0</v>
      </c>
      <c r="P39" s="21">
        <v>2.5</v>
      </c>
      <c r="S39" s="22">
        <f t="shared" si="8"/>
        <v>0</v>
      </c>
      <c r="V39" s="9">
        <f t="shared" si="9"/>
        <v>2.08</v>
      </c>
      <c r="Y39" s="9">
        <f t="shared" si="3"/>
        <v>0</v>
      </c>
      <c r="AD39" s="4" t="s">
        <v>195</v>
      </c>
      <c r="AE39" s="4" t="s">
        <v>196</v>
      </c>
      <c r="AF39" s="4" t="s">
        <v>119</v>
      </c>
    </row>
    <row r="40" spans="1:35" ht="36" x14ac:dyDescent="0.3">
      <c r="A40" s="10" t="s">
        <v>199</v>
      </c>
      <c r="B40" s="10" t="s">
        <v>107</v>
      </c>
      <c r="C40" s="11" t="s">
        <v>200</v>
      </c>
      <c r="D40" s="12"/>
      <c r="E40" s="12" t="s">
        <v>201</v>
      </c>
      <c r="F40" s="12" t="s">
        <v>64</v>
      </c>
      <c r="G40" s="13">
        <v>1</v>
      </c>
      <c r="H40" s="13"/>
      <c r="I40" s="13">
        <v>239.9</v>
      </c>
      <c r="J40" s="14">
        <f>IFERROR(ROUND(SUM(M41,M42,M43,M44,M45)/I40, 2),0)</f>
        <v>878.71</v>
      </c>
      <c r="K40" s="15">
        <v>941</v>
      </c>
      <c r="L40" s="14">
        <f>J40+ROUND(K40, 2)</f>
        <v>1819.71</v>
      </c>
      <c r="M40" s="14">
        <f>ROUND(J40*I40, 2)</f>
        <v>210802.53</v>
      </c>
      <c r="N40" s="14">
        <f>ROUND(I40*ROUND(K40, 2), 2)</f>
        <v>225745.9</v>
      </c>
      <c r="O40" s="14">
        <f>M40+N40</f>
        <v>436548.43</v>
      </c>
      <c r="P40" s="14">
        <f>IFERROR(ROUND(SUM(S41,S42,S43,S44,S45)/I40, 2),0)</f>
        <v>878.71</v>
      </c>
      <c r="Q40" s="15">
        <v>941</v>
      </c>
      <c r="R40" s="14">
        <f>P40+ROUND(Q40, 2)</f>
        <v>1819.71</v>
      </c>
      <c r="S40" s="14">
        <f>ROUND(P40*I40, 2)</f>
        <v>210802.53</v>
      </c>
      <c r="T40" s="14">
        <f>ROUND(I40*ROUND(Q40, 2), 2)</f>
        <v>225745.9</v>
      </c>
      <c r="U40" s="14">
        <f>S40+T40</f>
        <v>436548.43</v>
      </c>
      <c r="V40" s="9">
        <f>ROUND(P40 / 1.2, 2)</f>
        <v>732.26</v>
      </c>
      <c r="W40" s="9">
        <f>ROUND(Q40 / 1.2, 2)</f>
        <v>784.17</v>
      </c>
      <c r="X40" s="9">
        <f>ROUND(R40 / 1.2, 2)</f>
        <v>1516.43</v>
      </c>
      <c r="Y40" s="9">
        <f t="shared" si="3"/>
        <v>175668.78</v>
      </c>
      <c r="Z40" s="9">
        <f>ROUND(T40 / 1.2, 2)</f>
        <v>188121.58</v>
      </c>
      <c r="AA40" s="9">
        <f>Y40+Z40</f>
        <v>363790.36</v>
      </c>
      <c r="AD40" s="4">
        <v>298925368</v>
      </c>
      <c r="AE40" s="4">
        <v>19810928</v>
      </c>
      <c r="AG40" s="4" t="s">
        <v>110</v>
      </c>
      <c r="AH40" s="4" t="s">
        <v>111</v>
      </c>
      <c r="AI40" s="4" t="s">
        <v>67</v>
      </c>
    </row>
    <row r="41" spans="1:35" ht="18" x14ac:dyDescent="0.3">
      <c r="A41" s="10" t="s">
        <v>202</v>
      </c>
      <c r="B41" s="10"/>
      <c r="C41" s="24" t="s">
        <v>115</v>
      </c>
      <c r="D41" s="12"/>
      <c r="E41" s="12"/>
      <c r="F41" s="18" t="s">
        <v>116</v>
      </c>
      <c r="G41" s="19">
        <v>8</v>
      </c>
      <c r="H41" s="20"/>
      <c r="I41" s="20">
        <v>1919.2</v>
      </c>
      <c r="J41" s="21">
        <v>2.5</v>
      </c>
      <c r="M41" s="22">
        <f>ROUND(ROUND(J41, 2)*I41, 2)</f>
        <v>4798</v>
      </c>
      <c r="P41" s="21">
        <v>2.5</v>
      </c>
      <c r="S41" s="22">
        <f>ROUND(ROUND(P41, 2)*I41, 2)</f>
        <v>4798</v>
      </c>
      <c r="V41" s="9">
        <f>ROUND(ROUND(P41, 2)/1.2, 2)</f>
        <v>2.08</v>
      </c>
      <c r="Y41" s="9">
        <f t="shared" si="3"/>
        <v>3998.33</v>
      </c>
      <c r="AD41" s="4" t="s">
        <v>203</v>
      </c>
      <c r="AE41" s="4" t="s">
        <v>204</v>
      </c>
      <c r="AF41" s="4" t="s">
        <v>119</v>
      </c>
    </row>
    <row r="42" spans="1:35" ht="18" x14ac:dyDescent="0.3">
      <c r="A42" s="10" t="s">
        <v>205</v>
      </c>
      <c r="B42" s="10"/>
      <c r="C42" s="24" t="s">
        <v>206</v>
      </c>
      <c r="D42" s="12"/>
      <c r="E42" s="12"/>
      <c r="F42" s="18" t="s">
        <v>70</v>
      </c>
      <c r="G42" s="19">
        <v>1.8</v>
      </c>
      <c r="H42" s="20"/>
      <c r="I42" s="20">
        <v>25909.200000000001</v>
      </c>
      <c r="J42" s="21">
        <v>6.17</v>
      </c>
      <c r="M42" s="22">
        <f>ROUND(ROUND(J42, 2)*I42, 2)</f>
        <v>159859.76</v>
      </c>
      <c r="P42" s="21">
        <v>6.17</v>
      </c>
      <c r="S42" s="22">
        <f>ROUND(ROUND(P42, 2)*I42, 2)</f>
        <v>159859.76</v>
      </c>
      <c r="V42" s="9">
        <f>ROUND(ROUND(P42, 2)/1.2, 2)</f>
        <v>5.14</v>
      </c>
      <c r="Y42" s="9">
        <f t="shared" si="3"/>
        <v>133216.47</v>
      </c>
      <c r="AD42" s="4" t="s">
        <v>207</v>
      </c>
      <c r="AE42" s="4" t="s">
        <v>208</v>
      </c>
      <c r="AF42" s="4" t="s">
        <v>209</v>
      </c>
    </row>
    <row r="43" spans="1:35" ht="18" x14ac:dyDescent="0.3">
      <c r="A43" s="10" t="s">
        <v>210</v>
      </c>
      <c r="B43" s="10"/>
      <c r="C43" s="24" t="s">
        <v>130</v>
      </c>
      <c r="D43" s="12"/>
      <c r="E43" s="12"/>
      <c r="F43" s="18" t="s">
        <v>64</v>
      </c>
      <c r="G43" s="19">
        <v>1.1000000000000001</v>
      </c>
      <c r="H43" s="20"/>
      <c r="I43" s="20">
        <v>263.89</v>
      </c>
      <c r="J43" s="21">
        <v>155.01</v>
      </c>
      <c r="M43" s="22">
        <f>ROUND(ROUND(J43, 2)*I43, 2)</f>
        <v>40905.589999999997</v>
      </c>
      <c r="P43" s="21">
        <v>155.01</v>
      </c>
      <c r="S43" s="22">
        <f>ROUND(ROUND(P43, 2)*I43, 2)</f>
        <v>40905.589999999997</v>
      </c>
      <c r="V43" s="9">
        <f>ROUND(ROUND(P43, 2)/1.2, 2)</f>
        <v>129.18</v>
      </c>
      <c r="Y43" s="9">
        <f t="shared" si="3"/>
        <v>34087.99</v>
      </c>
      <c r="AD43" s="4" t="s">
        <v>211</v>
      </c>
      <c r="AE43" s="4" t="s">
        <v>212</v>
      </c>
      <c r="AF43" s="4" t="s">
        <v>133</v>
      </c>
    </row>
    <row r="44" spans="1:35" ht="18" x14ac:dyDescent="0.3">
      <c r="A44" s="10" t="s">
        <v>213</v>
      </c>
      <c r="B44" s="10"/>
      <c r="C44" s="24" t="s">
        <v>86</v>
      </c>
      <c r="D44" s="12"/>
      <c r="E44" s="12"/>
      <c r="F44" s="18" t="s">
        <v>87</v>
      </c>
      <c r="G44" s="19">
        <v>1</v>
      </c>
      <c r="H44" s="20"/>
      <c r="I44" s="20">
        <v>94</v>
      </c>
      <c r="J44" s="21">
        <v>10.4</v>
      </c>
      <c r="M44" s="22">
        <f>ROUND(ROUND(J44, 2)*I44, 2)</f>
        <v>977.6</v>
      </c>
      <c r="P44" s="21">
        <v>10.4</v>
      </c>
      <c r="S44" s="22">
        <f>ROUND(ROUND(P44, 2)*I44, 2)</f>
        <v>977.6</v>
      </c>
      <c r="V44" s="9">
        <f>ROUND(ROUND(P44, 2)/1.2, 2)</f>
        <v>8.67</v>
      </c>
      <c r="Y44" s="9">
        <f t="shared" si="3"/>
        <v>814.67</v>
      </c>
      <c r="AD44" s="4" t="s">
        <v>214</v>
      </c>
      <c r="AE44" s="4" t="s">
        <v>215</v>
      </c>
      <c r="AF44" s="4" t="s">
        <v>90</v>
      </c>
    </row>
    <row r="45" spans="1:35" ht="36" x14ac:dyDescent="0.3">
      <c r="A45" s="10" t="s">
        <v>216</v>
      </c>
      <c r="B45" s="10"/>
      <c r="C45" s="24" t="s">
        <v>75</v>
      </c>
      <c r="D45" s="12"/>
      <c r="E45" s="12"/>
      <c r="F45" s="18" t="s">
        <v>70</v>
      </c>
      <c r="G45" s="19">
        <v>0.2</v>
      </c>
      <c r="H45" s="19"/>
      <c r="I45" s="19">
        <v>47.98</v>
      </c>
      <c r="J45" s="21">
        <v>88.8</v>
      </c>
      <c r="M45" s="22">
        <f>ROUND(ROUND(J45, 2)*I45, 2)</f>
        <v>4260.62</v>
      </c>
      <c r="P45" s="21">
        <v>88.8</v>
      </c>
      <c r="S45" s="22">
        <f>ROUND(ROUND(P45, 2)*I45, 2)</f>
        <v>4260.62</v>
      </c>
      <c r="V45" s="9">
        <f>ROUND(ROUND(P45, 2)/1.2, 2)</f>
        <v>74</v>
      </c>
      <c r="Y45" s="9">
        <f t="shared" si="3"/>
        <v>3550.52</v>
      </c>
      <c r="AD45" s="4" t="s">
        <v>217</v>
      </c>
      <c r="AE45" s="4" t="s">
        <v>218</v>
      </c>
      <c r="AF45" s="4" t="s">
        <v>78</v>
      </c>
    </row>
    <row r="46" spans="1:35" ht="36" x14ac:dyDescent="0.3">
      <c r="A46" s="10" t="s">
        <v>219</v>
      </c>
      <c r="B46" s="10" t="s">
        <v>107</v>
      </c>
      <c r="C46" s="11" t="s">
        <v>200</v>
      </c>
      <c r="D46" s="12"/>
      <c r="E46" s="12" t="s">
        <v>220</v>
      </c>
      <c r="F46" s="12" t="s">
        <v>64</v>
      </c>
      <c r="G46" s="13">
        <v>1</v>
      </c>
      <c r="H46" s="13"/>
      <c r="I46" s="13">
        <v>631.29999999999995</v>
      </c>
      <c r="J46" s="14">
        <f>IFERROR(ROUND(SUM(M47,M48,M49,M50,M51)/I46, 2),0)</f>
        <v>879.19</v>
      </c>
      <c r="K46" s="15">
        <v>941</v>
      </c>
      <c r="L46" s="14">
        <f>J46+ROUND(K46, 2)</f>
        <v>1820.19</v>
      </c>
      <c r="M46" s="14">
        <f>ROUND(J46*I46, 2)</f>
        <v>555032.65</v>
      </c>
      <c r="N46" s="14">
        <f>ROUND(I46*ROUND(K46, 2), 2)</f>
        <v>594053.30000000005</v>
      </c>
      <c r="O46" s="14">
        <f>M46+N46</f>
        <v>1149085.9500000002</v>
      </c>
      <c r="P46" s="14">
        <f>IFERROR(ROUND(SUM(S47,S48,S49,S50,S51)/I46, 2),0)</f>
        <v>879.19</v>
      </c>
      <c r="Q46" s="15">
        <v>941</v>
      </c>
      <c r="R46" s="14">
        <f>P46+ROUND(Q46, 2)</f>
        <v>1820.19</v>
      </c>
      <c r="S46" s="14">
        <f>ROUND(P46*I46, 2)</f>
        <v>555032.65</v>
      </c>
      <c r="T46" s="14">
        <f>ROUND(I46*ROUND(Q46, 2), 2)</f>
        <v>594053.30000000005</v>
      </c>
      <c r="U46" s="14">
        <f>S46+T46</f>
        <v>1149085.9500000002</v>
      </c>
      <c r="V46" s="9">
        <f>ROUND(P46 / 1.2, 2)</f>
        <v>732.66</v>
      </c>
      <c r="W46" s="9">
        <f>ROUND(Q46 / 1.2, 2)</f>
        <v>784.17</v>
      </c>
      <c r="X46" s="9">
        <f>ROUND(R46 / 1.2, 2)</f>
        <v>1516.83</v>
      </c>
      <c r="Y46" s="9">
        <f t="shared" si="3"/>
        <v>462527.21</v>
      </c>
      <c r="Z46" s="9">
        <f>ROUND(T46 / 1.2, 2)</f>
        <v>495044.42</v>
      </c>
      <c r="AA46" s="9">
        <f>Y46+Z46</f>
        <v>957571.63</v>
      </c>
      <c r="AD46" s="4">
        <v>298925369</v>
      </c>
      <c r="AE46" s="4">
        <v>20229446</v>
      </c>
      <c r="AG46" s="4" t="s">
        <v>110</v>
      </c>
      <c r="AH46" s="4" t="s">
        <v>111</v>
      </c>
      <c r="AI46" s="4" t="s">
        <v>67</v>
      </c>
    </row>
    <row r="47" spans="1:35" ht="36" x14ac:dyDescent="0.3">
      <c r="A47" s="10" t="s">
        <v>221</v>
      </c>
      <c r="B47" s="10"/>
      <c r="C47" s="24" t="s">
        <v>75</v>
      </c>
      <c r="D47" s="12"/>
      <c r="E47" s="12"/>
      <c r="F47" s="18" t="s">
        <v>70</v>
      </c>
      <c r="G47" s="19">
        <v>0.2</v>
      </c>
      <c r="H47" s="19"/>
      <c r="I47" s="19">
        <v>126.26</v>
      </c>
      <c r="J47" s="21">
        <v>88.8</v>
      </c>
      <c r="M47" s="22">
        <f>ROUND(ROUND(J47, 2)*I47, 2)</f>
        <v>11211.89</v>
      </c>
      <c r="P47" s="21">
        <v>88.8</v>
      </c>
      <c r="S47" s="22">
        <f>ROUND(ROUND(P47, 2)*I47, 2)</f>
        <v>11211.89</v>
      </c>
      <c r="V47" s="9">
        <f>ROUND(ROUND(P47, 2)/1.2, 2)</f>
        <v>74</v>
      </c>
      <c r="Y47" s="9">
        <f t="shared" si="3"/>
        <v>9343.24</v>
      </c>
      <c r="AD47" s="4" t="s">
        <v>222</v>
      </c>
      <c r="AE47" s="4" t="s">
        <v>223</v>
      </c>
      <c r="AF47" s="4" t="s">
        <v>78</v>
      </c>
    </row>
    <row r="48" spans="1:35" ht="18" x14ac:dyDescent="0.3">
      <c r="A48" s="10" t="s">
        <v>224</v>
      </c>
      <c r="B48" s="10"/>
      <c r="C48" s="24" t="s">
        <v>86</v>
      </c>
      <c r="D48" s="12"/>
      <c r="E48" s="12"/>
      <c r="F48" s="18" t="s">
        <v>87</v>
      </c>
      <c r="G48" s="19">
        <v>1</v>
      </c>
      <c r="H48" s="20"/>
      <c r="I48" s="20">
        <v>277</v>
      </c>
      <c r="J48" s="21">
        <v>10.4</v>
      </c>
      <c r="M48" s="22">
        <f>ROUND(ROUND(J48, 2)*I48, 2)</f>
        <v>2880.8</v>
      </c>
      <c r="P48" s="21">
        <v>10.4</v>
      </c>
      <c r="S48" s="22">
        <f>ROUND(ROUND(P48, 2)*I48, 2)</f>
        <v>2880.8</v>
      </c>
      <c r="V48" s="9">
        <f>ROUND(ROUND(P48, 2)/1.2, 2)</f>
        <v>8.67</v>
      </c>
      <c r="Y48" s="9">
        <f t="shared" ref="Y48:Y77" si="10">ROUND(S48 / 1.2, 2)</f>
        <v>2400.67</v>
      </c>
      <c r="AD48" s="4" t="s">
        <v>225</v>
      </c>
      <c r="AE48" s="4" t="s">
        <v>226</v>
      </c>
      <c r="AF48" s="4" t="s">
        <v>90</v>
      </c>
    </row>
    <row r="49" spans="1:35" ht="18" x14ac:dyDescent="0.3">
      <c r="A49" s="10" t="s">
        <v>227</v>
      </c>
      <c r="B49" s="10"/>
      <c r="C49" s="24" t="s">
        <v>130</v>
      </c>
      <c r="D49" s="12"/>
      <c r="E49" s="12"/>
      <c r="F49" s="18" t="s">
        <v>64</v>
      </c>
      <c r="G49" s="19">
        <v>1.1000000000000001</v>
      </c>
      <c r="H49" s="20"/>
      <c r="I49" s="20">
        <v>694.43</v>
      </c>
      <c r="J49" s="21">
        <v>155.01</v>
      </c>
      <c r="M49" s="22">
        <f>ROUND(ROUND(J49, 2)*I49, 2)</f>
        <v>107643.59</v>
      </c>
      <c r="P49" s="21">
        <v>155.01</v>
      </c>
      <c r="S49" s="22">
        <f>ROUND(ROUND(P49, 2)*I49, 2)</f>
        <v>107643.59</v>
      </c>
      <c r="V49" s="9">
        <f>ROUND(ROUND(P49, 2)/1.2, 2)</f>
        <v>129.18</v>
      </c>
      <c r="Y49" s="9">
        <f t="shared" si="10"/>
        <v>89702.99</v>
      </c>
      <c r="AD49" s="4" t="s">
        <v>228</v>
      </c>
      <c r="AE49" s="4" t="s">
        <v>229</v>
      </c>
      <c r="AF49" s="4" t="s">
        <v>133</v>
      </c>
    </row>
    <row r="50" spans="1:35" ht="18" x14ac:dyDescent="0.3">
      <c r="A50" s="10" t="s">
        <v>230</v>
      </c>
      <c r="B50" s="10"/>
      <c r="C50" s="24" t="s">
        <v>206</v>
      </c>
      <c r="D50" s="12"/>
      <c r="E50" s="12"/>
      <c r="F50" s="18" t="s">
        <v>70</v>
      </c>
      <c r="G50" s="19">
        <v>1.8</v>
      </c>
      <c r="H50" s="20"/>
      <c r="I50" s="20">
        <v>68180.399999999994</v>
      </c>
      <c r="J50" s="21">
        <v>6.17</v>
      </c>
      <c r="M50" s="22">
        <f>ROUND(ROUND(J50, 2)*I50, 2)</f>
        <v>420673.07</v>
      </c>
      <c r="P50" s="21">
        <v>6.17</v>
      </c>
      <c r="S50" s="22">
        <f>ROUND(ROUND(P50, 2)*I50, 2)</f>
        <v>420673.07</v>
      </c>
      <c r="V50" s="9">
        <f>ROUND(ROUND(P50, 2)/1.2, 2)</f>
        <v>5.14</v>
      </c>
      <c r="Y50" s="9">
        <f t="shared" si="10"/>
        <v>350560.89</v>
      </c>
      <c r="AD50" s="4" t="s">
        <v>231</v>
      </c>
      <c r="AE50" s="4" t="s">
        <v>232</v>
      </c>
      <c r="AF50" s="4" t="s">
        <v>209</v>
      </c>
    </row>
    <row r="51" spans="1:35" ht="18" x14ac:dyDescent="0.3">
      <c r="A51" s="10" t="s">
        <v>233</v>
      </c>
      <c r="B51" s="10"/>
      <c r="C51" s="24" t="s">
        <v>115</v>
      </c>
      <c r="D51" s="12"/>
      <c r="E51" s="12"/>
      <c r="F51" s="18" t="s">
        <v>116</v>
      </c>
      <c r="G51" s="19">
        <v>8</v>
      </c>
      <c r="H51" s="20"/>
      <c r="I51" s="20">
        <v>5050.3999999999996</v>
      </c>
      <c r="J51" s="21">
        <v>2.5</v>
      </c>
      <c r="M51" s="22">
        <f>ROUND(ROUND(J51, 2)*I51, 2)</f>
        <v>12626</v>
      </c>
      <c r="P51" s="21">
        <v>2.5</v>
      </c>
      <c r="S51" s="22">
        <f>ROUND(ROUND(P51, 2)*I51, 2)</f>
        <v>12626</v>
      </c>
      <c r="V51" s="9">
        <f>ROUND(ROUND(P51, 2)/1.2, 2)</f>
        <v>2.08</v>
      </c>
      <c r="Y51" s="9">
        <f t="shared" si="10"/>
        <v>10521.67</v>
      </c>
      <c r="AD51" s="4" t="s">
        <v>234</v>
      </c>
      <c r="AE51" s="4" t="s">
        <v>235</v>
      </c>
      <c r="AF51" s="4" t="s">
        <v>119</v>
      </c>
    </row>
    <row r="52" spans="1:35" ht="36" x14ac:dyDescent="0.3">
      <c r="A52" s="10" t="s">
        <v>236</v>
      </c>
      <c r="B52" s="10" t="s">
        <v>107</v>
      </c>
      <c r="C52" s="11" t="s">
        <v>200</v>
      </c>
      <c r="D52" s="12"/>
      <c r="E52" s="12" t="s">
        <v>237</v>
      </c>
      <c r="F52" s="12" t="s">
        <v>64</v>
      </c>
      <c r="G52" s="13">
        <v>1</v>
      </c>
      <c r="H52" s="13"/>
      <c r="I52" s="13">
        <v>34.5</v>
      </c>
      <c r="J52" s="14">
        <f>IFERROR(ROUND(SUM(M53,M54,M55,M56,M57)/I52, 2),0)</f>
        <v>768.25</v>
      </c>
      <c r="K52" s="15">
        <v>941</v>
      </c>
      <c r="L52" s="14">
        <f>J52+ROUND(K52, 2)</f>
        <v>1709.25</v>
      </c>
      <c r="M52" s="14">
        <f>ROUND(J52*I52, 2)</f>
        <v>26504.63</v>
      </c>
      <c r="N52" s="14">
        <f>ROUND(I52*ROUND(K52, 2), 2)</f>
        <v>32464.5</v>
      </c>
      <c r="O52" s="14">
        <f>M52+N52</f>
        <v>58969.130000000005</v>
      </c>
      <c r="P52" s="14">
        <f>IFERROR(ROUND(SUM(S53,S54,S55,S56,S57)/I52, 2),0)</f>
        <v>768.25</v>
      </c>
      <c r="Q52" s="15">
        <v>941</v>
      </c>
      <c r="R52" s="14">
        <f>P52+ROUND(Q52, 2)</f>
        <v>1709.25</v>
      </c>
      <c r="S52" s="14">
        <f>ROUND(P52*I52, 2)</f>
        <v>26504.63</v>
      </c>
      <c r="T52" s="14">
        <f>ROUND(I52*ROUND(Q52, 2), 2)</f>
        <v>32464.5</v>
      </c>
      <c r="U52" s="14">
        <f>S52+T52</f>
        <v>58969.130000000005</v>
      </c>
      <c r="V52" s="9">
        <f>ROUND(P52 / 1.2, 2)</f>
        <v>640.21</v>
      </c>
      <c r="W52" s="9">
        <f>ROUND(Q52 / 1.2, 2)</f>
        <v>784.17</v>
      </c>
      <c r="X52" s="9">
        <f>ROUND(R52 / 1.2, 2)</f>
        <v>1424.38</v>
      </c>
      <c r="Y52" s="9">
        <f t="shared" si="10"/>
        <v>22087.19</v>
      </c>
      <c r="Z52" s="9">
        <f>ROUND(T52 / 1.2, 2)</f>
        <v>27053.75</v>
      </c>
      <c r="AA52" s="9">
        <f>Y52+Z52</f>
        <v>49140.94</v>
      </c>
      <c r="AD52" s="4">
        <v>298925370</v>
      </c>
      <c r="AE52" s="4">
        <v>20229516</v>
      </c>
      <c r="AG52" s="4" t="s">
        <v>110</v>
      </c>
      <c r="AH52" s="4" t="s">
        <v>111</v>
      </c>
      <c r="AI52" s="4" t="s">
        <v>67</v>
      </c>
    </row>
    <row r="53" spans="1:35" ht="18" x14ac:dyDescent="0.3">
      <c r="A53" s="10" t="s">
        <v>238</v>
      </c>
      <c r="B53" s="10"/>
      <c r="C53" s="24" t="s">
        <v>115</v>
      </c>
      <c r="D53" s="12"/>
      <c r="E53" s="12"/>
      <c r="F53" s="18" t="s">
        <v>116</v>
      </c>
      <c r="G53" s="19">
        <v>8</v>
      </c>
      <c r="H53" s="20"/>
      <c r="I53" s="20">
        <v>276</v>
      </c>
      <c r="J53" s="21">
        <v>2.5</v>
      </c>
      <c r="M53" s="22">
        <f>ROUND(ROUND(J53, 2)*I53, 2)</f>
        <v>690</v>
      </c>
      <c r="P53" s="21">
        <v>2.5</v>
      </c>
      <c r="S53" s="22">
        <f>ROUND(ROUND(P53, 2)*I53, 2)</f>
        <v>690</v>
      </c>
      <c r="V53" s="9">
        <f>ROUND(ROUND(P53, 2)/1.2, 2)</f>
        <v>2.08</v>
      </c>
      <c r="Y53" s="9">
        <f t="shared" si="10"/>
        <v>575</v>
      </c>
      <c r="AD53" s="4" t="s">
        <v>239</v>
      </c>
      <c r="AE53" s="4" t="s">
        <v>240</v>
      </c>
      <c r="AF53" s="4" t="s">
        <v>119</v>
      </c>
    </row>
    <row r="54" spans="1:35" ht="18" x14ac:dyDescent="0.3">
      <c r="A54" s="10" t="s">
        <v>241</v>
      </c>
      <c r="B54" s="10"/>
      <c r="C54" s="24" t="s">
        <v>206</v>
      </c>
      <c r="D54" s="12"/>
      <c r="E54" s="12"/>
      <c r="F54" s="18" t="s">
        <v>70</v>
      </c>
      <c r="G54" s="19">
        <v>1.8</v>
      </c>
      <c r="H54" s="20"/>
      <c r="I54" s="20">
        <v>3105</v>
      </c>
      <c r="J54" s="21">
        <v>6.17</v>
      </c>
      <c r="M54" s="22">
        <f>ROUND(ROUND(J54, 2)*I54, 2)</f>
        <v>19157.849999999999</v>
      </c>
      <c r="P54" s="21">
        <v>6.17</v>
      </c>
      <c r="S54" s="22">
        <f>ROUND(ROUND(P54, 2)*I54, 2)</f>
        <v>19157.849999999999</v>
      </c>
      <c r="V54" s="9">
        <f>ROUND(ROUND(P54, 2)/1.2, 2)</f>
        <v>5.14</v>
      </c>
      <c r="Y54" s="9">
        <f t="shared" si="10"/>
        <v>15964.88</v>
      </c>
      <c r="AD54" s="4" t="s">
        <v>242</v>
      </c>
      <c r="AE54" s="4" t="s">
        <v>243</v>
      </c>
      <c r="AF54" s="4" t="s">
        <v>209</v>
      </c>
    </row>
    <row r="55" spans="1:35" ht="18" x14ac:dyDescent="0.3">
      <c r="A55" s="10" t="s">
        <v>244</v>
      </c>
      <c r="B55" s="10"/>
      <c r="C55" s="24" t="s">
        <v>130</v>
      </c>
      <c r="D55" s="12"/>
      <c r="E55" s="12"/>
      <c r="F55" s="18" t="s">
        <v>64</v>
      </c>
      <c r="G55" s="19">
        <v>1.1000000000000001</v>
      </c>
      <c r="H55" s="20"/>
      <c r="I55" s="20">
        <v>37.950000000000003</v>
      </c>
      <c r="J55" s="21">
        <v>155.01</v>
      </c>
      <c r="M55" s="22">
        <f>ROUND(ROUND(J55, 2)*I55, 2)</f>
        <v>5882.63</v>
      </c>
      <c r="P55" s="21">
        <v>155.01</v>
      </c>
      <c r="S55" s="22">
        <f>ROUND(ROUND(P55, 2)*I55, 2)</f>
        <v>5882.63</v>
      </c>
      <c r="V55" s="9">
        <f>ROUND(ROUND(P55, 2)/1.2, 2)</f>
        <v>129.18</v>
      </c>
      <c r="Y55" s="9">
        <f t="shared" si="10"/>
        <v>4902.1899999999996</v>
      </c>
      <c r="AD55" s="4" t="s">
        <v>245</v>
      </c>
      <c r="AE55" s="4" t="s">
        <v>246</v>
      </c>
      <c r="AF55" s="4" t="s">
        <v>133</v>
      </c>
    </row>
    <row r="56" spans="1:35" ht="18" x14ac:dyDescent="0.3">
      <c r="A56" s="10" t="s">
        <v>247</v>
      </c>
      <c r="B56" s="10"/>
      <c r="C56" s="24" t="s">
        <v>86</v>
      </c>
      <c r="D56" s="12"/>
      <c r="E56" s="12"/>
      <c r="F56" s="18" t="s">
        <v>87</v>
      </c>
      <c r="G56" s="19">
        <v>1</v>
      </c>
      <c r="H56" s="20"/>
      <c r="I56" s="20">
        <v>15.519</v>
      </c>
      <c r="J56" s="21">
        <v>10.4</v>
      </c>
      <c r="M56" s="22">
        <f>ROUND(ROUND(J56, 2)*I56, 2)</f>
        <v>161.4</v>
      </c>
      <c r="P56" s="21">
        <v>10.4</v>
      </c>
      <c r="S56" s="22">
        <f>ROUND(ROUND(P56, 2)*I56, 2)</f>
        <v>161.4</v>
      </c>
      <c r="V56" s="9">
        <f>ROUND(ROUND(P56, 2)/1.2, 2)</f>
        <v>8.67</v>
      </c>
      <c r="Y56" s="9">
        <f t="shared" si="10"/>
        <v>134.5</v>
      </c>
      <c r="AD56" s="4" t="s">
        <v>248</v>
      </c>
      <c r="AE56" s="4" t="s">
        <v>249</v>
      </c>
      <c r="AF56" s="4" t="s">
        <v>90</v>
      </c>
    </row>
    <row r="57" spans="1:35" ht="36" x14ac:dyDescent="0.3">
      <c r="A57" s="10" t="s">
        <v>250</v>
      </c>
      <c r="B57" s="10"/>
      <c r="C57" s="24" t="s">
        <v>75</v>
      </c>
      <c r="D57" s="12"/>
      <c r="E57" s="12"/>
      <c r="F57" s="18" t="s">
        <v>70</v>
      </c>
      <c r="G57" s="19">
        <v>0.2</v>
      </c>
      <c r="H57" s="19"/>
      <c r="I57" s="19">
        <v>6.9</v>
      </c>
      <c r="J57" s="21">
        <v>88.8</v>
      </c>
      <c r="M57" s="22">
        <f>ROUND(ROUND(J57, 2)*I57, 2)</f>
        <v>612.72</v>
      </c>
      <c r="P57" s="21">
        <v>88.8</v>
      </c>
      <c r="S57" s="22">
        <f>ROUND(ROUND(P57, 2)*I57, 2)</f>
        <v>612.72</v>
      </c>
      <c r="V57" s="9">
        <f>ROUND(ROUND(P57, 2)/1.2, 2)</f>
        <v>74</v>
      </c>
      <c r="Y57" s="9">
        <f t="shared" si="10"/>
        <v>510.6</v>
      </c>
      <c r="AD57" s="4" t="s">
        <v>251</v>
      </c>
      <c r="AE57" s="4" t="s">
        <v>252</v>
      </c>
      <c r="AF57" s="4" t="s">
        <v>78</v>
      </c>
    </row>
    <row r="58" spans="1:35" ht="36" x14ac:dyDescent="0.3">
      <c r="A58" s="10" t="s">
        <v>253</v>
      </c>
      <c r="B58" s="10" t="s">
        <v>254</v>
      </c>
      <c r="C58" s="11" t="s">
        <v>255</v>
      </c>
      <c r="D58" s="12"/>
      <c r="E58" s="12" t="s">
        <v>256</v>
      </c>
      <c r="F58" s="12" t="s">
        <v>64</v>
      </c>
      <c r="G58" s="13">
        <v>1</v>
      </c>
      <c r="H58" s="13"/>
      <c r="I58" s="13">
        <v>0</v>
      </c>
      <c r="J58" s="14">
        <f>IFERROR(ROUND(SUM(M59,M60,M61,M62,M63,M64,M65)/I58, 2),0)</f>
        <v>0</v>
      </c>
      <c r="K58" s="15">
        <v>1014</v>
      </c>
      <c r="L58" s="14">
        <f>J58+ROUND(K58, 2)</f>
        <v>1014</v>
      </c>
      <c r="M58" s="14">
        <f>ROUND(J58*I58, 2)</f>
        <v>0</v>
      </c>
      <c r="N58" s="14">
        <f>ROUND(I58*ROUND(K58, 2), 2)</f>
        <v>0</v>
      </c>
      <c r="O58" s="14">
        <f>M58+N58</f>
        <v>0</v>
      </c>
      <c r="P58" s="14">
        <f>IFERROR(ROUND(SUM(S59,S60,S61,S62,S63,S64,S65)/I58, 2),0)</f>
        <v>0</v>
      </c>
      <c r="Q58" s="15">
        <v>922</v>
      </c>
      <c r="R58" s="14">
        <f>P58+ROUND(Q58, 2)</f>
        <v>922</v>
      </c>
      <c r="S58" s="14">
        <f>ROUND(P58*I58, 2)</f>
        <v>0</v>
      </c>
      <c r="T58" s="14">
        <f>ROUND(I58*ROUND(Q58, 2), 2)</f>
        <v>0</v>
      </c>
      <c r="U58" s="14">
        <f>S58+T58</f>
        <v>0</v>
      </c>
      <c r="V58" s="9">
        <f>ROUND(P58 / 1.2, 2)</f>
        <v>0</v>
      </c>
      <c r="W58" s="9">
        <f>ROUND(Q58 / 1.2, 2)</f>
        <v>768.33</v>
      </c>
      <c r="X58" s="9">
        <f>ROUND(R58 / 1.2, 2)</f>
        <v>768.33</v>
      </c>
      <c r="Y58" s="9">
        <f t="shared" si="10"/>
        <v>0</v>
      </c>
      <c r="Z58" s="9">
        <f>ROUND(T58 / 1.2, 2)</f>
        <v>0</v>
      </c>
      <c r="AA58" s="9">
        <f>Y58+Z58</f>
        <v>0</v>
      </c>
      <c r="AD58" s="4">
        <v>298925269</v>
      </c>
      <c r="AE58" s="4">
        <v>17497285</v>
      </c>
      <c r="AG58" s="4" t="s">
        <v>257</v>
      </c>
      <c r="AH58" s="4" t="s">
        <v>258</v>
      </c>
      <c r="AI58" s="4" t="s">
        <v>67</v>
      </c>
    </row>
    <row r="59" spans="1:35" ht="18" x14ac:dyDescent="0.3">
      <c r="A59" s="10" t="s">
        <v>261</v>
      </c>
      <c r="B59" s="10"/>
      <c r="C59" s="24" t="s">
        <v>115</v>
      </c>
      <c r="D59" s="12"/>
      <c r="E59" s="12"/>
      <c r="F59" s="18" t="s">
        <v>116</v>
      </c>
      <c r="G59" s="19">
        <v>8</v>
      </c>
      <c r="H59" s="20"/>
      <c r="I59" s="20">
        <v>0</v>
      </c>
      <c r="J59" s="21">
        <v>2.5</v>
      </c>
      <c r="M59" s="22">
        <f t="shared" ref="M59:M65" si="11">ROUND(ROUND(J59, 2)*I59, 2)</f>
        <v>0</v>
      </c>
      <c r="P59" s="21">
        <v>2.5</v>
      </c>
      <c r="S59" s="22">
        <f t="shared" ref="S59:S65" si="12">ROUND(ROUND(P59, 2)*I59, 2)</f>
        <v>0</v>
      </c>
      <c r="V59" s="9">
        <f t="shared" ref="V59:V65" si="13">ROUND(ROUND(P59, 2)/1.2, 2)</f>
        <v>2.08</v>
      </c>
      <c r="Y59" s="9">
        <f t="shared" si="10"/>
        <v>0</v>
      </c>
      <c r="AD59" s="4" t="s">
        <v>262</v>
      </c>
      <c r="AE59" s="4" t="s">
        <v>263</v>
      </c>
      <c r="AF59" s="4" t="s">
        <v>119</v>
      </c>
    </row>
    <row r="60" spans="1:35" ht="18" x14ac:dyDescent="0.3">
      <c r="A60" s="10" t="s">
        <v>266</v>
      </c>
      <c r="B60" s="10"/>
      <c r="C60" s="24" t="s">
        <v>123</v>
      </c>
      <c r="D60" s="12"/>
      <c r="E60" s="12"/>
      <c r="F60" s="18" t="s">
        <v>70</v>
      </c>
      <c r="G60" s="19">
        <v>1E-3</v>
      </c>
      <c r="H60" s="20"/>
      <c r="I60" s="20">
        <v>0</v>
      </c>
      <c r="J60" s="21">
        <v>208.33</v>
      </c>
      <c r="M60" s="22">
        <f t="shared" si="11"/>
        <v>0</v>
      </c>
      <c r="P60" s="21">
        <v>208.33</v>
      </c>
      <c r="S60" s="22">
        <f t="shared" si="12"/>
        <v>0</v>
      </c>
      <c r="V60" s="9">
        <f t="shared" si="13"/>
        <v>173.61</v>
      </c>
      <c r="Y60" s="9">
        <f t="shared" si="10"/>
        <v>0</v>
      </c>
      <c r="AD60" s="4" t="s">
        <v>267</v>
      </c>
      <c r="AE60" s="4" t="s">
        <v>268</v>
      </c>
      <c r="AF60" s="4" t="s">
        <v>126</v>
      </c>
    </row>
    <row r="61" spans="1:35" ht="18" x14ac:dyDescent="0.3">
      <c r="A61" s="10" t="s">
        <v>271</v>
      </c>
      <c r="B61" s="10"/>
      <c r="C61" s="24" t="s">
        <v>130</v>
      </c>
      <c r="D61" s="12"/>
      <c r="E61" s="12"/>
      <c r="F61" s="18" t="s">
        <v>64</v>
      </c>
      <c r="G61" s="19">
        <v>1.1000000000000001</v>
      </c>
      <c r="H61" s="20"/>
      <c r="I61" s="20">
        <v>0</v>
      </c>
      <c r="J61" s="21">
        <v>155.01</v>
      </c>
      <c r="M61" s="22">
        <f t="shared" si="11"/>
        <v>0</v>
      </c>
      <c r="P61" s="21">
        <v>155.01</v>
      </c>
      <c r="S61" s="22">
        <f t="shared" si="12"/>
        <v>0</v>
      </c>
      <c r="V61" s="9">
        <f t="shared" si="13"/>
        <v>129.18</v>
      </c>
      <c r="Y61" s="9">
        <f t="shared" si="10"/>
        <v>0</v>
      </c>
      <c r="AD61" s="4" t="s">
        <v>272</v>
      </c>
      <c r="AE61" s="4" t="s">
        <v>273</v>
      </c>
      <c r="AF61" s="4" t="s">
        <v>133</v>
      </c>
    </row>
    <row r="62" spans="1:35" ht="18" x14ac:dyDescent="0.3">
      <c r="A62" s="10" t="s">
        <v>276</v>
      </c>
      <c r="B62" s="10"/>
      <c r="C62" s="24" t="s">
        <v>137</v>
      </c>
      <c r="D62" s="12"/>
      <c r="E62" s="12"/>
      <c r="F62" s="18" t="s">
        <v>70</v>
      </c>
      <c r="G62" s="19">
        <v>0.32</v>
      </c>
      <c r="H62" s="20"/>
      <c r="I62" s="20">
        <v>0</v>
      </c>
      <c r="J62" s="21">
        <v>7.5</v>
      </c>
      <c r="M62" s="22">
        <f t="shared" si="11"/>
        <v>0</v>
      </c>
      <c r="P62" s="21">
        <v>7.5</v>
      </c>
      <c r="S62" s="22">
        <f t="shared" si="12"/>
        <v>0</v>
      </c>
      <c r="V62" s="9">
        <f t="shared" si="13"/>
        <v>6.25</v>
      </c>
      <c r="Y62" s="9">
        <f t="shared" si="10"/>
        <v>0</v>
      </c>
      <c r="AD62" s="4" t="s">
        <v>277</v>
      </c>
      <c r="AE62" s="4" t="s">
        <v>278</v>
      </c>
      <c r="AF62" s="4" t="s">
        <v>140</v>
      </c>
    </row>
    <row r="63" spans="1:35" ht="18" x14ac:dyDescent="0.3">
      <c r="A63" s="10" t="s">
        <v>281</v>
      </c>
      <c r="B63" s="10"/>
      <c r="C63" s="24" t="s">
        <v>144</v>
      </c>
      <c r="D63" s="12"/>
      <c r="E63" s="12"/>
      <c r="F63" s="18" t="s">
        <v>98</v>
      </c>
      <c r="G63" s="19">
        <v>1E-3</v>
      </c>
      <c r="H63" s="20"/>
      <c r="I63" s="20">
        <v>0</v>
      </c>
      <c r="J63" s="21">
        <v>1600</v>
      </c>
      <c r="M63" s="22">
        <f t="shared" si="11"/>
        <v>0</v>
      </c>
      <c r="P63" s="21">
        <v>1600</v>
      </c>
      <c r="S63" s="22">
        <f t="shared" si="12"/>
        <v>0</v>
      </c>
      <c r="V63" s="9">
        <f t="shared" si="13"/>
        <v>1333.33</v>
      </c>
      <c r="Y63" s="9">
        <f t="shared" si="10"/>
        <v>0</v>
      </c>
      <c r="AD63" s="4" t="s">
        <v>282</v>
      </c>
      <c r="AE63" s="4" t="s">
        <v>283</v>
      </c>
      <c r="AF63" s="4" t="s">
        <v>147</v>
      </c>
    </row>
    <row r="64" spans="1:35" ht="18" x14ac:dyDescent="0.3">
      <c r="A64" s="10" t="s">
        <v>286</v>
      </c>
      <c r="B64" s="10"/>
      <c r="C64" s="24" t="s">
        <v>86</v>
      </c>
      <c r="D64" s="12"/>
      <c r="E64" s="12"/>
      <c r="F64" s="18" t="s">
        <v>87</v>
      </c>
      <c r="G64" s="19">
        <v>1</v>
      </c>
      <c r="H64" s="20"/>
      <c r="I64" s="20">
        <v>0</v>
      </c>
      <c r="J64" s="21">
        <v>10.4</v>
      </c>
      <c r="M64" s="22">
        <f t="shared" si="11"/>
        <v>0</v>
      </c>
      <c r="P64" s="21">
        <v>10.4</v>
      </c>
      <c r="S64" s="22">
        <f t="shared" si="12"/>
        <v>0</v>
      </c>
      <c r="V64" s="9">
        <f t="shared" si="13"/>
        <v>8.67</v>
      </c>
      <c r="Y64" s="9">
        <f t="shared" si="10"/>
        <v>0</v>
      </c>
      <c r="AD64" s="4" t="s">
        <v>287</v>
      </c>
      <c r="AE64" s="4" t="s">
        <v>288</v>
      </c>
      <c r="AF64" s="4" t="s">
        <v>90</v>
      </c>
    </row>
    <row r="65" spans="1:35" ht="36" x14ac:dyDescent="0.3">
      <c r="A65" s="10" t="s">
        <v>291</v>
      </c>
      <c r="B65" s="10"/>
      <c r="C65" s="24" t="s">
        <v>75</v>
      </c>
      <c r="D65" s="12"/>
      <c r="E65" s="12"/>
      <c r="F65" s="18" t="s">
        <v>70</v>
      </c>
      <c r="G65" s="19">
        <v>0.2</v>
      </c>
      <c r="H65" s="19"/>
      <c r="I65" s="19">
        <v>0</v>
      </c>
      <c r="J65" s="21">
        <v>88.8</v>
      </c>
      <c r="M65" s="22">
        <f t="shared" si="11"/>
        <v>0</v>
      </c>
      <c r="P65" s="21">
        <v>88.8</v>
      </c>
      <c r="S65" s="22">
        <f t="shared" si="12"/>
        <v>0</v>
      </c>
      <c r="V65" s="9">
        <f t="shared" si="13"/>
        <v>74</v>
      </c>
      <c r="Y65" s="9">
        <f t="shared" si="10"/>
        <v>0</v>
      </c>
      <c r="AD65" s="4" t="s">
        <v>292</v>
      </c>
      <c r="AE65" s="4" t="s">
        <v>293</v>
      </c>
      <c r="AF65" s="4" t="s">
        <v>78</v>
      </c>
    </row>
    <row r="66" spans="1:35" ht="36" x14ac:dyDescent="0.3">
      <c r="A66" s="10" t="s">
        <v>296</v>
      </c>
      <c r="B66" s="10" t="s">
        <v>254</v>
      </c>
      <c r="C66" s="11" t="s">
        <v>297</v>
      </c>
      <c r="D66" s="12"/>
      <c r="E66" s="12" t="s">
        <v>298</v>
      </c>
      <c r="F66" s="12" t="s">
        <v>64</v>
      </c>
      <c r="G66" s="13">
        <v>1</v>
      </c>
      <c r="H66" s="13"/>
      <c r="I66" s="13">
        <v>3586.9</v>
      </c>
      <c r="J66" s="14">
        <f>IFERROR(ROUND(SUM(M67,M68,M69,M70,M71)/I66, 2),0)</f>
        <v>935.6</v>
      </c>
      <c r="K66" s="15">
        <v>1014</v>
      </c>
      <c r="L66" s="14">
        <f>J66+ROUND(K66, 2)</f>
        <v>1949.6</v>
      </c>
      <c r="M66" s="14">
        <f>ROUND(J66*I66, 2)</f>
        <v>3355903.64</v>
      </c>
      <c r="N66" s="14">
        <f>ROUND(I66*ROUND(K66, 2), 2)</f>
        <v>3637116.6</v>
      </c>
      <c r="O66" s="14">
        <f>M66+N66</f>
        <v>6993020.2400000002</v>
      </c>
      <c r="P66" s="14">
        <f>IFERROR(ROUND(SUM(S67,S68,S69,S70,S71)/I66, 2),0)</f>
        <v>935.6</v>
      </c>
      <c r="Q66" s="15">
        <v>1014</v>
      </c>
      <c r="R66" s="14">
        <f>P66+ROUND(Q66, 2)</f>
        <v>1949.6</v>
      </c>
      <c r="S66" s="14">
        <f>ROUND(P66*I66, 2)</f>
        <v>3355903.64</v>
      </c>
      <c r="T66" s="14">
        <f>ROUND(I66*ROUND(Q66, 2), 2)</f>
        <v>3637116.6</v>
      </c>
      <c r="U66" s="14">
        <f>S66+T66</f>
        <v>6993020.2400000002</v>
      </c>
      <c r="V66" s="9">
        <f>ROUND(P66 / 1.2, 2)</f>
        <v>779.67</v>
      </c>
      <c r="W66" s="9">
        <f>ROUND(Q66 / 1.2, 2)</f>
        <v>845</v>
      </c>
      <c r="X66" s="9">
        <f>ROUND(R66 / 1.2, 2)</f>
        <v>1624.67</v>
      </c>
      <c r="Y66" s="9">
        <f t="shared" si="10"/>
        <v>2796586.37</v>
      </c>
      <c r="Z66" s="9">
        <f>ROUND(T66 / 1.2, 2)</f>
        <v>3030930.5</v>
      </c>
      <c r="AA66" s="9">
        <f>Y66+Z66</f>
        <v>5827516.8700000001</v>
      </c>
      <c r="AD66" s="4">
        <v>298925371</v>
      </c>
      <c r="AE66" s="4">
        <v>19811234</v>
      </c>
      <c r="AG66" s="4" t="s">
        <v>257</v>
      </c>
      <c r="AH66" s="4" t="s">
        <v>258</v>
      </c>
      <c r="AI66" s="4" t="s">
        <v>67</v>
      </c>
    </row>
    <row r="67" spans="1:35" ht="36" x14ac:dyDescent="0.3">
      <c r="A67" s="10" t="s">
        <v>299</v>
      </c>
      <c r="B67" s="10"/>
      <c r="C67" s="24" t="s">
        <v>75</v>
      </c>
      <c r="D67" s="12"/>
      <c r="E67" s="12"/>
      <c r="F67" s="18" t="s">
        <v>70</v>
      </c>
      <c r="G67" s="19">
        <v>0.2</v>
      </c>
      <c r="H67" s="19"/>
      <c r="I67" s="19">
        <v>717.38</v>
      </c>
      <c r="J67" s="21">
        <v>88.8</v>
      </c>
      <c r="M67" s="22">
        <f>ROUND(ROUND(J67, 2)*I67, 2)</f>
        <v>63703.34</v>
      </c>
      <c r="P67" s="21">
        <v>88.8</v>
      </c>
      <c r="S67" s="22">
        <f>ROUND(ROUND(P67, 2)*I67, 2)</f>
        <v>63703.34</v>
      </c>
      <c r="V67" s="9">
        <f>ROUND(ROUND(P67, 2)/1.2, 2)</f>
        <v>74</v>
      </c>
      <c r="Y67" s="9">
        <f t="shared" si="10"/>
        <v>53086.12</v>
      </c>
      <c r="AD67" s="4" t="s">
        <v>300</v>
      </c>
      <c r="AE67" s="4" t="s">
        <v>301</v>
      </c>
      <c r="AF67" s="4" t="s">
        <v>78</v>
      </c>
    </row>
    <row r="68" spans="1:35" ht="18" x14ac:dyDescent="0.3">
      <c r="A68" s="10" t="s">
        <v>302</v>
      </c>
      <c r="B68" s="10"/>
      <c r="C68" s="24" t="s">
        <v>86</v>
      </c>
      <c r="D68" s="12"/>
      <c r="E68" s="12"/>
      <c r="F68" s="18" t="s">
        <v>87</v>
      </c>
      <c r="G68" s="19">
        <v>1</v>
      </c>
      <c r="H68" s="20"/>
      <c r="I68" s="20">
        <v>1876</v>
      </c>
      <c r="J68" s="21">
        <v>10.4</v>
      </c>
      <c r="M68" s="22">
        <f>ROUND(ROUND(J68, 2)*I68, 2)</f>
        <v>19510.400000000001</v>
      </c>
      <c r="P68" s="21">
        <v>10.4</v>
      </c>
      <c r="S68" s="22">
        <f>ROUND(ROUND(P68, 2)*I68, 2)</f>
        <v>19510.400000000001</v>
      </c>
      <c r="V68" s="9">
        <f>ROUND(ROUND(P68, 2)/1.2, 2)</f>
        <v>8.67</v>
      </c>
      <c r="Y68" s="9">
        <f t="shared" si="10"/>
        <v>16258.67</v>
      </c>
      <c r="AD68" s="4" t="s">
        <v>303</v>
      </c>
      <c r="AE68" s="4" t="s">
        <v>304</v>
      </c>
      <c r="AF68" s="4" t="s">
        <v>90</v>
      </c>
    </row>
    <row r="69" spans="1:35" ht="18" x14ac:dyDescent="0.3">
      <c r="A69" s="10" t="s">
        <v>305</v>
      </c>
      <c r="B69" s="10"/>
      <c r="C69" s="24" t="s">
        <v>130</v>
      </c>
      <c r="D69" s="12"/>
      <c r="E69" s="12"/>
      <c r="F69" s="18" t="s">
        <v>64</v>
      </c>
      <c r="G69" s="19">
        <v>1.1000000000000001</v>
      </c>
      <c r="H69" s="20"/>
      <c r="I69" s="20">
        <v>3945.59</v>
      </c>
      <c r="J69" s="21">
        <v>155.01</v>
      </c>
      <c r="M69" s="22">
        <f>ROUND(ROUND(J69, 2)*I69, 2)</f>
        <v>611605.91</v>
      </c>
      <c r="P69" s="21">
        <v>155.01</v>
      </c>
      <c r="S69" s="22">
        <f>ROUND(ROUND(P69, 2)*I69, 2)</f>
        <v>611605.91</v>
      </c>
      <c r="V69" s="9">
        <f>ROUND(ROUND(P69, 2)/1.2, 2)</f>
        <v>129.18</v>
      </c>
      <c r="Y69" s="9">
        <f t="shared" si="10"/>
        <v>509671.59</v>
      </c>
      <c r="AD69" s="4" t="s">
        <v>306</v>
      </c>
      <c r="AE69" s="4" t="s">
        <v>307</v>
      </c>
      <c r="AF69" s="4" t="s">
        <v>133</v>
      </c>
    </row>
    <row r="70" spans="1:35" ht="18" x14ac:dyDescent="0.3">
      <c r="A70" s="10" t="s">
        <v>308</v>
      </c>
      <c r="B70" s="10"/>
      <c r="C70" s="24" t="s">
        <v>206</v>
      </c>
      <c r="D70" s="12"/>
      <c r="E70" s="12"/>
      <c r="F70" s="18" t="s">
        <v>70</v>
      </c>
      <c r="G70" s="19">
        <v>1.8</v>
      </c>
      <c r="H70" s="20"/>
      <c r="I70" s="20">
        <v>419667.3</v>
      </c>
      <c r="J70" s="21">
        <v>6.17</v>
      </c>
      <c r="M70" s="22">
        <f>ROUND(ROUND(J70, 2)*I70, 2)</f>
        <v>2589347.2400000002</v>
      </c>
      <c r="P70" s="21">
        <v>6.17</v>
      </c>
      <c r="S70" s="22">
        <f>ROUND(ROUND(P70, 2)*I70, 2)</f>
        <v>2589347.2400000002</v>
      </c>
      <c r="V70" s="9">
        <f>ROUND(ROUND(P70, 2)/1.2, 2)</f>
        <v>5.14</v>
      </c>
      <c r="Y70" s="9">
        <f t="shared" si="10"/>
        <v>2157789.37</v>
      </c>
      <c r="AD70" s="4" t="s">
        <v>309</v>
      </c>
      <c r="AE70" s="4" t="s">
        <v>310</v>
      </c>
      <c r="AF70" s="4" t="s">
        <v>209</v>
      </c>
    </row>
    <row r="71" spans="1:35" ht="18" x14ac:dyDescent="0.3">
      <c r="A71" s="10" t="s">
        <v>311</v>
      </c>
      <c r="B71" s="10"/>
      <c r="C71" s="24" t="s">
        <v>115</v>
      </c>
      <c r="D71" s="12"/>
      <c r="E71" s="12"/>
      <c r="F71" s="18" t="s">
        <v>116</v>
      </c>
      <c r="G71" s="19">
        <v>8</v>
      </c>
      <c r="H71" s="20"/>
      <c r="I71" s="20">
        <v>28695.200000000001</v>
      </c>
      <c r="J71" s="21">
        <v>2.5</v>
      </c>
      <c r="M71" s="22">
        <f>ROUND(ROUND(J71, 2)*I71, 2)</f>
        <v>71738</v>
      </c>
      <c r="P71" s="21">
        <v>2.5</v>
      </c>
      <c r="S71" s="22">
        <f>ROUND(ROUND(P71, 2)*I71, 2)</f>
        <v>71738</v>
      </c>
      <c r="V71" s="9">
        <f>ROUND(ROUND(P71, 2)/1.2, 2)</f>
        <v>2.08</v>
      </c>
      <c r="Y71" s="9">
        <f t="shared" si="10"/>
        <v>59781.67</v>
      </c>
      <c r="AD71" s="4" t="s">
        <v>312</v>
      </c>
      <c r="AE71" s="4" t="s">
        <v>313</v>
      </c>
      <c r="AF71" s="4" t="s">
        <v>119</v>
      </c>
    </row>
    <row r="72" spans="1:35" ht="36" x14ac:dyDescent="0.3">
      <c r="A72" s="10" t="s">
        <v>314</v>
      </c>
      <c r="B72" s="10" t="s">
        <v>254</v>
      </c>
      <c r="C72" s="11" t="s">
        <v>297</v>
      </c>
      <c r="D72" s="12"/>
      <c r="E72" s="12" t="s">
        <v>315</v>
      </c>
      <c r="F72" s="12" t="s">
        <v>64</v>
      </c>
      <c r="G72" s="13">
        <v>1</v>
      </c>
      <c r="H72" s="13"/>
      <c r="I72" s="13">
        <v>4266.7</v>
      </c>
      <c r="J72" s="14">
        <f>IFERROR(ROUND(SUM(M73,M74,M75,M76,M77)/I72, 2),0)</f>
        <v>934.72</v>
      </c>
      <c r="K72" s="15">
        <v>1014</v>
      </c>
      <c r="L72" s="14">
        <f>J72+ROUND(K72, 2)</f>
        <v>1948.72</v>
      </c>
      <c r="M72" s="14">
        <f>ROUND(J72*I72, 2)</f>
        <v>3988169.82</v>
      </c>
      <c r="N72" s="14">
        <f>ROUND(I72*ROUND(K72, 2), 2)</f>
        <v>4326433.8</v>
      </c>
      <c r="O72" s="14">
        <f>M72+N72</f>
        <v>8314603.6199999992</v>
      </c>
      <c r="P72" s="14">
        <f>IFERROR(ROUND(SUM(S73,S74,S75,S76,S77)/I72, 2),0)</f>
        <v>934.72</v>
      </c>
      <c r="Q72" s="15">
        <v>1014</v>
      </c>
      <c r="R72" s="14">
        <f>P72+ROUND(Q72, 2)</f>
        <v>1948.72</v>
      </c>
      <c r="S72" s="14">
        <f>ROUND(P72*I72, 2)</f>
        <v>3988169.82</v>
      </c>
      <c r="T72" s="14">
        <f>ROUND(I72*ROUND(Q72, 2), 2)</f>
        <v>4326433.8</v>
      </c>
      <c r="U72" s="14">
        <f>S72+T72</f>
        <v>8314603.6199999992</v>
      </c>
      <c r="V72" s="9">
        <f>ROUND(P72 / 1.2, 2)</f>
        <v>778.93</v>
      </c>
      <c r="W72" s="9">
        <f>ROUND(Q72 / 1.2, 2)</f>
        <v>845</v>
      </c>
      <c r="X72" s="9">
        <f>ROUND(R72 / 1.2, 2)</f>
        <v>1623.93</v>
      </c>
      <c r="Y72" s="9">
        <f t="shared" si="10"/>
        <v>3323474.85</v>
      </c>
      <c r="Z72" s="9">
        <f>ROUND(T72 / 1.2, 2)</f>
        <v>3605361.5</v>
      </c>
      <c r="AA72" s="9">
        <f>Y72+Z72</f>
        <v>6928836.3499999996</v>
      </c>
      <c r="AD72" s="4">
        <v>298925372</v>
      </c>
      <c r="AE72" s="4">
        <v>20229448</v>
      </c>
      <c r="AG72" s="4" t="s">
        <v>257</v>
      </c>
      <c r="AH72" s="4" t="s">
        <v>258</v>
      </c>
      <c r="AI72" s="4" t="s">
        <v>67</v>
      </c>
    </row>
    <row r="73" spans="1:35" ht="18" x14ac:dyDescent="0.3">
      <c r="A73" s="10" t="s">
        <v>316</v>
      </c>
      <c r="B73" s="10"/>
      <c r="C73" s="24" t="s">
        <v>115</v>
      </c>
      <c r="D73" s="12"/>
      <c r="E73" s="12"/>
      <c r="F73" s="18" t="s">
        <v>116</v>
      </c>
      <c r="G73" s="19">
        <v>8</v>
      </c>
      <c r="H73" s="20"/>
      <c r="I73" s="20">
        <v>34133.599999999999</v>
      </c>
      <c r="J73" s="21">
        <v>2.5</v>
      </c>
      <c r="M73" s="22">
        <f>ROUND(ROUND(J73, 2)*I73, 2)</f>
        <v>85334</v>
      </c>
      <c r="P73" s="21">
        <v>2.5</v>
      </c>
      <c r="S73" s="22">
        <f>ROUND(ROUND(P73, 2)*I73, 2)</f>
        <v>85334</v>
      </c>
      <c r="V73" s="9">
        <f>ROUND(ROUND(P73, 2)/1.2, 2)</f>
        <v>2.08</v>
      </c>
      <c r="Y73" s="9">
        <f t="shared" si="10"/>
        <v>71111.67</v>
      </c>
      <c r="AD73" s="4" t="s">
        <v>317</v>
      </c>
      <c r="AE73" s="4" t="s">
        <v>318</v>
      </c>
      <c r="AF73" s="4" t="s">
        <v>119</v>
      </c>
    </row>
    <row r="74" spans="1:35" ht="18" x14ac:dyDescent="0.3">
      <c r="A74" s="10" t="s">
        <v>319</v>
      </c>
      <c r="B74" s="10"/>
      <c r="C74" s="24" t="s">
        <v>206</v>
      </c>
      <c r="D74" s="12"/>
      <c r="E74" s="12"/>
      <c r="F74" s="18" t="s">
        <v>70</v>
      </c>
      <c r="G74" s="19">
        <v>1.8</v>
      </c>
      <c r="H74" s="20"/>
      <c r="I74" s="20">
        <v>499203.9</v>
      </c>
      <c r="J74" s="21">
        <v>6.17</v>
      </c>
      <c r="M74" s="22">
        <f>ROUND(ROUND(J74, 2)*I74, 2)</f>
        <v>3080088.06</v>
      </c>
      <c r="P74" s="21">
        <v>6.17</v>
      </c>
      <c r="S74" s="22">
        <f>ROUND(ROUND(P74, 2)*I74, 2)</f>
        <v>3080088.06</v>
      </c>
      <c r="V74" s="9">
        <f>ROUND(ROUND(P74, 2)/1.2, 2)</f>
        <v>5.14</v>
      </c>
      <c r="Y74" s="9">
        <f t="shared" si="10"/>
        <v>2566740.0499999998</v>
      </c>
      <c r="AD74" s="4" t="s">
        <v>320</v>
      </c>
      <c r="AE74" s="4" t="s">
        <v>321</v>
      </c>
      <c r="AF74" s="4" t="s">
        <v>209</v>
      </c>
    </row>
    <row r="75" spans="1:35" ht="18" x14ac:dyDescent="0.3">
      <c r="A75" s="10" t="s">
        <v>322</v>
      </c>
      <c r="B75" s="10"/>
      <c r="C75" s="24" t="s">
        <v>130</v>
      </c>
      <c r="D75" s="12"/>
      <c r="E75" s="12"/>
      <c r="F75" s="18" t="s">
        <v>64</v>
      </c>
      <c r="G75" s="19">
        <v>1.1000000000000001</v>
      </c>
      <c r="H75" s="20"/>
      <c r="I75" s="20">
        <v>4693.37</v>
      </c>
      <c r="J75" s="21">
        <v>155.01</v>
      </c>
      <c r="M75" s="22">
        <f>ROUND(ROUND(J75, 2)*I75, 2)</f>
        <v>727519.28</v>
      </c>
      <c r="P75" s="21">
        <v>155.01</v>
      </c>
      <c r="S75" s="22">
        <f>ROUND(ROUND(P75, 2)*I75, 2)</f>
        <v>727519.28</v>
      </c>
      <c r="V75" s="9">
        <f>ROUND(ROUND(P75, 2)/1.2, 2)</f>
        <v>129.18</v>
      </c>
      <c r="Y75" s="9">
        <f t="shared" si="10"/>
        <v>606266.06999999995</v>
      </c>
      <c r="AD75" s="4" t="s">
        <v>323</v>
      </c>
      <c r="AE75" s="4" t="s">
        <v>324</v>
      </c>
      <c r="AF75" s="4" t="s">
        <v>133</v>
      </c>
    </row>
    <row r="76" spans="1:35" ht="18" x14ac:dyDescent="0.3">
      <c r="A76" s="10" t="s">
        <v>325</v>
      </c>
      <c r="B76" s="10"/>
      <c r="C76" s="24" t="s">
        <v>86</v>
      </c>
      <c r="D76" s="12"/>
      <c r="E76" s="12"/>
      <c r="F76" s="18" t="s">
        <v>87</v>
      </c>
      <c r="G76" s="19">
        <v>1</v>
      </c>
      <c r="H76" s="20"/>
      <c r="I76" s="20">
        <v>1872</v>
      </c>
      <c r="J76" s="21">
        <v>10.4</v>
      </c>
      <c r="M76" s="22">
        <f>ROUND(ROUND(J76, 2)*I76, 2)</f>
        <v>19468.8</v>
      </c>
      <c r="P76" s="21">
        <v>10.4</v>
      </c>
      <c r="S76" s="22">
        <f>ROUND(ROUND(P76, 2)*I76, 2)</f>
        <v>19468.8</v>
      </c>
      <c r="V76" s="9">
        <f>ROUND(ROUND(P76, 2)/1.2, 2)</f>
        <v>8.67</v>
      </c>
      <c r="Y76" s="9">
        <f t="shared" si="10"/>
        <v>16224</v>
      </c>
      <c r="AD76" s="4" t="s">
        <v>326</v>
      </c>
      <c r="AE76" s="4" t="s">
        <v>327</v>
      </c>
      <c r="AF76" s="4" t="s">
        <v>90</v>
      </c>
    </row>
    <row r="77" spans="1:35" ht="36" x14ac:dyDescent="0.3">
      <c r="A77" s="10" t="s">
        <v>328</v>
      </c>
      <c r="B77" s="10"/>
      <c r="C77" s="24" t="s">
        <v>75</v>
      </c>
      <c r="D77" s="12"/>
      <c r="E77" s="12"/>
      <c r="F77" s="18" t="s">
        <v>70</v>
      </c>
      <c r="G77" s="19">
        <v>0.2</v>
      </c>
      <c r="H77" s="19"/>
      <c r="I77" s="19">
        <v>853.34</v>
      </c>
      <c r="J77" s="21">
        <v>88.8</v>
      </c>
      <c r="M77" s="22">
        <f>ROUND(ROUND(J77, 2)*I77, 2)</f>
        <v>75776.59</v>
      </c>
      <c r="P77" s="21">
        <v>88.8</v>
      </c>
      <c r="S77" s="22">
        <f>ROUND(ROUND(P77, 2)*I77, 2)</f>
        <v>75776.59</v>
      </c>
      <c r="V77" s="9">
        <f>ROUND(ROUND(P77, 2)/1.2, 2)</f>
        <v>74</v>
      </c>
      <c r="Y77" s="9">
        <f t="shared" si="10"/>
        <v>63147.16</v>
      </c>
      <c r="AD77" s="4" t="s">
        <v>329</v>
      </c>
      <c r="AE77" s="4" t="s">
        <v>330</v>
      </c>
      <c r="AF77" s="4" t="s">
        <v>78</v>
      </c>
    </row>
    <row r="78" spans="1:35" ht="16.95" customHeight="1" x14ac:dyDescent="0.3">
      <c r="A78" s="10" t="s">
        <v>331</v>
      </c>
      <c r="B78" s="10" t="s">
        <v>332</v>
      </c>
      <c r="C78" s="352" t="s">
        <v>333</v>
      </c>
      <c r="D78" s="353"/>
      <c r="E78" s="353"/>
      <c r="F78" s="353"/>
      <c r="G78" s="353"/>
      <c r="H78" s="353"/>
      <c r="I78" s="354"/>
      <c r="M78" s="6">
        <f>SUM(M79,M82,M85,M87,M89,M91)</f>
        <v>367766.24</v>
      </c>
      <c r="N78" s="6">
        <f>SUM(N79,N82,N85,N87,N89,N91)</f>
        <v>226361.93</v>
      </c>
      <c r="O78" s="6">
        <f>SUM(O79,O82,O85,O87,O89,O91)</f>
        <v>594128.17000000004</v>
      </c>
      <c r="S78" s="6">
        <f>SUM(S79,S82,S85,S87,S89,S91)</f>
        <v>367766.24</v>
      </c>
      <c r="T78" s="6">
        <f>SUM(T79,T82,T85,T87,T89,T91)</f>
        <v>226361.93</v>
      </c>
      <c r="U78" s="6">
        <f>SUM(U79,U82,U85,U87,U89,U91)</f>
        <v>594128.17000000004</v>
      </c>
      <c r="Y78" s="9">
        <f>SUM(Y79,Y82,Y85,Y87,Y89,Y91)</f>
        <v>306471.87</v>
      </c>
      <c r="Z78" s="9">
        <f>SUM(Z79,Z82,Z85,Z87,Z89,Z91)</f>
        <v>188634.95</v>
      </c>
      <c r="AA78" s="9">
        <f>SUM(AA79,AA82,AA85,AA87,AA89,AA91)</f>
        <v>495106.82</v>
      </c>
      <c r="AD78" s="4">
        <v>298925270</v>
      </c>
      <c r="AE78" s="4">
        <v>16194160</v>
      </c>
    </row>
    <row r="79" spans="1:35" ht="54" x14ac:dyDescent="0.3">
      <c r="A79" s="10" t="s">
        <v>334</v>
      </c>
      <c r="B79" s="10" t="s">
        <v>335</v>
      </c>
      <c r="C79" s="11" t="s">
        <v>336</v>
      </c>
      <c r="D79" s="12"/>
      <c r="E79" s="12" t="s">
        <v>63</v>
      </c>
      <c r="F79" s="12" t="s">
        <v>64</v>
      </c>
      <c r="G79" s="13">
        <v>1</v>
      </c>
      <c r="H79" s="13"/>
      <c r="I79" s="13">
        <v>236.7</v>
      </c>
      <c r="J79" s="14">
        <f>IFERROR(ROUND(SUM(M80,M81)/I79, 2),0)</f>
        <v>386.83</v>
      </c>
      <c r="K79" s="15">
        <v>324</v>
      </c>
      <c r="L79" s="14">
        <f>J79+ROUND(K79, 2)</f>
        <v>710.82999999999993</v>
      </c>
      <c r="M79" s="14">
        <f>ROUND(J79*I79, 2)</f>
        <v>91562.66</v>
      </c>
      <c r="N79" s="14">
        <f>ROUND(I79*ROUND(K79, 2), 2)</f>
        <v>76690.8</v>
      </c>
      <c r="O79" s="14">
        <f>M79+N79</f>
        <v>168253.46000000002</v>
      </c>
      <c r="P79" s="14">
        <f>IFERROR(ROUND(SUM(S80,S81)/I79, 2),0)</f>
        <v>386.83</v>
      </c>
      <c r="Q79" s="15">
        <v>324</v>
      </c>
      <c r="R79" s="14">
        <f>P79+ROUND(Q79, 2)</f>
        <v>710.82999999999993</v>
      </c>
      <c r="S79" s="14">
        <f>ROUND(P79*I79, 2)</f>
        <v>91562.66</v>
      </c>
      <c r="T79" s="14">
        <f>ROUND(I79*ROUND(Q79, 2), 2)</f>
        <v>76690.8</v>
      </c>
      <c r="U79" s="14">
        <f>S79+T79</f>
        <v>168253.46000000002</v>
      </c>
      <c r="V79" s="9">
        <f>ROUND(P79 / 1.2, 2)</f>
        <v>322.36</v>
      </c>
      <c r="W79" s="9">
        <f>ROUND(Q79 / 1.2, 2)</f>
        <v>270</v>
      </c>
      <c r="X79" s="9">
        <f>ROUND(R79 / 1.2, 2)</f>
        <v>592.36</v>
      </c>
      <c r="Y79" s="9">
        <f>ROUND(S79 / 1.2, 2)</f>
        <v>76302.22</v>
      </c>
      <c r="Z79" s="9">
        <f>ROUND(T79 / 1.2, 2)</f>
        <v>63909</v>
      </c>
      <c r="AA79" s="9">
        <f>Y79+Z79</f>
        <v>140211.22</v>
      </c>
      <c r="AD79" s="4">
        <v>298925272</v>
      </c>
      <c r="AE79" s="4">
        <v>16194157</v>
      </c>
      <c r="AG79" s="4" t="s">
        <v>337</v>
      </c>
      <c r="AH79" s="4" t="s">
        <v>338</v>
      </c>
      <c r="AI79" s="4" t="s">
        <v>67</v>
      </c>
    </row>
    <row r="80" spans="1:35" ht="18" x14ac:dyDescent="0.3">
      <c r="A80" s="10" t="s">
        <v>339</v>
      </c>
      <c r="B80" s="10"/>
      <c r="C80" s="24" t="s">
        <v>340</v>
      </c>
      <c r="D80" s="12"/>
      <c r="E80" s="12"/>
      <c r="F80" s="18" t="s">
        <v>70</v>
      </c>
      <c r="G80" s="19">
        <v>0.25</v>
      </c>
      <c r="H80" s="19"/>
      <c r="I80" s="19">
        <v>59.174999999999997</v>
      </c>
      <c r="J80" s="21">
        <v>210.3</v>
      </c>
      <c r="M80" s="22">
        <f>ROUND(ROUND(J80, 2)*I80, 2)</f>
        <v>12444.5</v>
      </c>
      <c r="P80" s="21">
        <v>210.3</v>
      </c>
      <c r="S80" s="22">
        <f>ROUND(ROUND(P80, 2)*I80, 2)</f>
        <v>12444.5</v>
      </c>
      <c r="V80" s="9">
        <f>ROUND(ROUND(P80, 2)/1.2, 2)</f>
        <v>175.25</v>
      </c>
      <c r="Y80" s="9">
        <f t="shared" ref="Y80:Y92" si="14">ROUND(S80 / 1.2, 2)</f>
        <v>10370.42</v>
      </c>
      <c r="AD80" s="4" t="s">
        <v>341</v>
      </c>
      <c r="AE80" s="4" t="s">
        <v>342</v>
      </c>
      <c r="AF80" s="4" t="s">
        <v>343</v>
      </c>
    </row>
    <row r="81" spans="1:35" ht="36" x14ac:dyDescent="0.3">
      <c r="A81" s="10" t="s">
        <v>344</v>
      </c>
      <c r="B81" s="10"/>
      <c r="C81" s="24" t="s">
        <v>345</v>
      </c>
      <c r="D81" s="12"/>
      <c r="E81" s="12"/>
      <c r="F81" s="18" t="s">
        <v>70</v>
      </c>
      <c r="G81" s="19">
        <v>2.5</v>
      </c>
      <c r="H81" s="19"/>
      <c r="I81" s="19">
        <v>591.75</v>
      </c>
      <c r="J81" s="21">
        <v>133.69999999999999</v>
      </c>
      <c r="M81" s="22">
        <f>ROUND(ROUND(J81, 2)*I81, 2)</f>
        <v>79116.98</v>
      </c>
      <c r="P81" s="21">
        <v>133.69999999999999</v>
      </c>
      <c r="S81" s="22">
        <f>ROUND(ROUND(P81, 2)*I81, 2)</f>
        <v>79116.98</v>
      </c>
      <c r="V81" s="9">
        <f>ROUND(ROUND(P81, 2)/1.2, 2)</f>
        <v>111.42</v>
      </c>
      <c r="Y81" s="9">
        <f t="shared" si="14"/>
        <v>65930.820000000007</v>
      </c>
      <c r="AD81" s="4" t="s">
        <v>346</v>
      </c>
      <c r="AE81" s="4" t="s">
        <v>347</v>
      </c>
      <c r="AF81" s="4" t="s">
        <v>348</v>
      </c>
    </row>
    <row r="82" spans="1:35" ht="54" x14ac:dyDescent="0.3">
      <c r="A82" s="10" t="s">
        <v>349</v>
      </c>
      <c r="B82" s="10" t="s">
        <v>335</v>
      </c>
      <c r="C82" s="11" t="s">
        <v>336</v>
      </c>
      <c r="D82" s="12"/>
      <c r="E82" s="12" t="s">
        <v>81</v>
      </c>
      <c r="F82" s="12" t="s">
        <v>64</v>
      </c>
      <c r="G82" s="13">
        <v>1</v>
      </c>
      <c r="H82" s="13"/>
      <c r="I82" s="13">
        <v>150.6</v>
      </c>
      <c r="J82" s="14">
        <f>IFERROR(ROUND(SUM(M83,M84)/I82, 2),0)</f>
        <v>406.08</v>
      </c>
      <c r="K82" s="15">
        <v>324</v>
      </c>
      <c r="L82" s="14">
        <f>J82+ROUND(K82, 2)</f>
        <v>730.07999999999993</v>
      </c>
      <c r="M82" s="14">
        <f>ROUND(J82*I82, 2)</f>
        <v>61155.65</v>
      </c>
      <c r="N82" s="14">
        <f>ROUND(I82*ROUND(K82, 2), 2)</f>
        <v>48794.400000000001</v>
      </c>
      <c r="O82" s="14">
        <f>M82+N82</f>
        <v>109950.05</v>
      </c>
      <c r="P82" s="14">
        <f>IFERROR(ROUND(SUM(S83,S84)/I82, 2),0)</f>
        <v>406.08</v>
      </c>
      <c r="Q82" s="15">
        <v>324</v>
      </c>
      <c r="R82" s="14">
        <f>P82+ROUND(Q82, 2)</f>
        <v>730.07999999999993</v>
      </c>
      <c r="S82" s="14">
        <f>ROUND(P82*I82, 2)</f>
        <v>61155.65</v>
      </c>
      <c r="T82" s="14">
        <f>ROUND(I82*ROUND(Q82, 2), 2)</f>
        <v>48794.400000000001</v>
      </c>
      <c r="U82" s="14">
        <f>S82+T82</f>
        <v>109950.05</v>
      </c>
      <c r="V82" s="9">
        <f>ROUND(P82 / 1.2, 2)</f>
        <v>338.4</v>
      </c>
      <c r="W82" s="9">
        <f>ROUND(Q82 / 1.2, 2)</f>
        <v>270</v>
      </c>
      <c r="X82" s="9">
        <f>ROUND(R82 / 1.2, 2)</f>
        <v>608.4</v>
      </c>
      <c r="Y82" s="9">
        <f t="shared" si="14"/>
        <v>50963.040000000001</v>
      </c>
      <c r="Z82" s="9">
        <f>ROUND(T82 / 1.2, 2)</f>
        <v>40662</v>
      </c>
      <c r="AA82" s="9">
        <f>Y82+Z82</f>
        <v>91625.040000000008</v>
      </c>
      <c r="AD82" s="4">
        <v>298925373</v>
      </c>
      <c r="AE82" s="4">
        <v>19811382</v>
      </c>
      <c r="AG82" s="4" t="s">
        <v>337</v>
      </c>
      <c r="AH82" s="4" t="s">
        <v>338</v>
      </c>
      <c r="AI82" s="4" t="s">
        <v>67</v>
      </c>
    </row>
    <row r="83" spans="1:35" ht="36" x14ac:dyDescent="0.3">
      <c r="A83" s="10" t="s">
        <v>350</v>
      </c>
      <c r="B83" s="10"/>
      <c r="C83" s="24" t="s">
        <v>345</v>
      </c>
      <c r="D83" s="12"/>
      <c r="E83" s="12"/>
      <c r="F83" s="18" t="s">
        <v>70</v>
      </c>
      <c r="G83" s="19">
        <v>2.5</v>
      </c>
      <c r="H83" s="19"/>
      <c r="I83" s="19">
        <v>376.5</v>
      </c>
      <c r="J83" s="21">
        <v>141.4</v>
      </c>
      <c r="M83" s="22">
        <f>ROUND(ROUND(J83, 2)*I83, 2)</f>
        <v>53237.1</v>
      </c>
      <c r="P83" s="21">
        <v>141.4</v>
      </c>
      <c r="S83" s="22">
        <f>ROUND(ROUND(P83, 2)*I83, 2)</f>
        <v>53237.1</v>
      </c>
      <c r="V83" s="9">
        <f>ROUND(ROUND(P83, 2)/1.2, 2)</f>
        <v>117.83</v>
      </c>
      <c r="Y83" s="9">
        <f t="shared" si="14"/>
        <v>44364.25</v>
      </c>
      <c r="AD83" s="4" t="s">
        <v>351</v>
      </c>
      <c r="AE83" s="4" t="s">
        <v>352</v>
      </c>
      <c r="AF83" s="4" t="s">
        <v>348</v>
      </c>
    </row>
    <row r="84" spans="1:35" ht="18" x14ac:dyDescent="0.3">
      <c r="A84" s="10" t="s">
        <v>353</v>
      </c>
      <c r="B84" s="10"/>
      <c r="C84" s="24" t="s">
        <v>340</v>
      </c>
      <c r="D84" s="12"/>
      <c r="E84" s="12"/>
      <c r="F84" s="18" t="s">
        <v>70</v>
      </c>
      <c r="G84" s="19">
        <v>0.25</v>
      </c>
      <c r="H84" s="19"/>
      <c r="I84" s="19">
        <v>37.65</v>
      </c>
      <c r="J84" s="21">
        <v>210.3</v>
      </c>
      <c r="M84" s="22">
        <f>ROUND(ROUND(J84, 2)*I84, 2)</f>
        <v>7917.8</v>
      </c>
      <c r="P84" s="21">
        <v>210.3</v>
      </c>
      <c r="S84" s="22">
        <f>ROUND(ROUND(P84, 2)*I84, 2)</f>
        <v>7917.8</v>
      </c>
      <c r="V84" s="9">
        <f>ROUND(ROUND(P84, 2)/1.2, 2)</f>
        <v>175.25</v>
      </c>
      <c r="Y84" s="9">
        <f t="shared" si="14"/>
        <v>6598.17</v>
      </c>
      <c r="AD84" s="4" t="s">
        <v>354</v>
      </c>
      <c r="AE84" s="4" t="s">
        <v>355</v>
      </c>
      <c r="AF84" s="4" t="s">
        <v>343</v>
      </c>
    </row>
    <row r="85" spans="1:35" ht="36" x14ac:dyDescent="0.3">
      <c r="A85" s="10" t="s">
        <v>356</v>
      </c>
      <c r="B85" s="10" t="s">
        <v>357</v>
      </c>
      <c r="C85" s="11" t="s">
        <v>358</v>
      </c>
      <c r="D85" s="12"/>
      <c r="E85" s="12" t="s">
        <v>63</v>
      </c>
      <c r="F85" s="12" t="s">
        <v>64</v>
      </c>
      <c r="G85" s="13">
        <v>1</v>
      </c>
      <c r="H85" s="13"/>
      <c r="I85" s="13">
        <v>631.29999999999995</v>
      </c>
      <c r="J85" s="14">
        <f>IFERROR(ROUND(SUM(M86)/I85, 2),0)</f>
        <v>173.66</v>
      </c>
      <c r="K85" s="15">
        <v>56</v>
      </c>
      <c r="L85" s="14">
        <f>J85+ROUND(K85, 2)</f>
        <v>229.66</v>
      </c>
      <c r="M85" s="14">
        <f>ROUND(J85*I85, 2)</f>
        <v>109631.56</v>
      </c>
      <c r="N85" s="14">
        <f>ROUND(I85*ROUND(K85, 2), 2)</f>
        <v>35352.800000000003</v>
      </c>
      <c r="O85" s="14">
        <f>M85+N85</f>
        <v>144984.35999999999</v>
      </c>
      <c r="P85" s="14">
        <f>IFERROR(ROUND(SUM(S86)/I85, 2),0)</f>
        <v>173.66</v>
      </c>
      <c r="Q85" s="15">
        <v>56</v>
      </c>
      <c r="R85" s="14">
        <f>P85+ROUND(Q85, 2)</f>
        <v>229.66</v>
      </c>
      <c r="S85" s="14">
        <f>ROUND(P85*I85, 2)</f>
        <v>109631.56</v>
      </c>
      <c r="T85" s="14">
        <f>ROUND(I85*ROUND(Q85, 2), 2)</f>
        <v>35352.800000000003</v>
      </c>
      <c r="U85" s="14">
        <f>S85+T85</f>
        <v>144984.35999999999</v>
      </c>
      <c r="V85" s="9">
        <f>ROUND(P85 / 1.2, 2)</f>
        <v>144.72</v>
      </c>
      <c r="W85" s="9">
        <f>ROUND(Q85 / 1.2, 2)</f>
        <v>46.67</v>
      </c>
      <c r="X85" s="9">
        <f>ROUND(R85 / 1.2, 2)</f>
        <v>191.38</v>
      </c>
      <c r="Y85" s="9">
        <f t="shared" si="14"/>
        <v>91359.63</v>
      </c>
      <c r="Z85" s="9">
        <f>ROUND(T85 / 1.2, 2)</f>
        <v>29460.67</v>
      </c>
      <c r="AA85" s="9">
        <f>Y85+Z85</f>
        <v>120820.3</v>
      </c>
      <c r="AD85" s="4">
        <v>298925274</v>
      </c>
      <c r="AE85" s="4">
        <v>16676511</v>
      </c>
      <c r="AG85" s="4" t="s">
        <v>359</v>
      </c>
      <c r="AH85" s="4" t="s">
        <v>360</v>
      </c>
      <c r="AI85" s="4" t="s">
        <v>67</v>
      </c>
    </row>
    <row r="86" spans="1:35" ht="18" x14ac:dyDescent="0.3">
      <c r="A86" s="10" t="s">
        <v>361</v>
      </c>
      <c r="B86" s="10"/>
      <c r="C86" s="24" t="s">
        <v>362</v>
      </c>
      <c r="D86" s="12"/>
      <c r="E86" s="12" t="s">
        <v>363</v>
      </c>
      <c r="F86" s="18" t="s">
        <v>64</v>
      </c>
      <c r="G86" s="19">
        <v>1.03</v>
      </c>
      <c r="H86" s="19"/>
      <c r="I86" s="19">
        <v>650.23900000000003</v>
      </c>
      <c r="J86" s="21">
        <v>168.6</v>
      </c>
      <c r="M86" s="22">
        <f>ROUND(ROUND(J86, 2)*I86, 2)</f>
        <v>109630.3</v>
      </c>
      <c r="P86" s="21">
        <v>168.6</v>
      </c>
      <c r="S86" s="22">
        <f>ROUND(ROUND(P86, 2)*I86, 2)</f>
        <v>109630.3</v>
      </c>
      <c r="V86" s="9">
        <f>ROUND(ROUND(P86, 2)/1.2, 2)</f>
        <v>140.5</v>
      </c>
      <c r="Y86" s="9">
        <f t="shared" si="14"/>
        <v>91358.58</v>
      </c>
      <c r="AD86" s="4" t="s">
        <v>364</v>
      </c>
      <c r="AE86" s="4" t="s">
        <v>365</v>
      </c>
      <c r="AF86" s="4" t="s">
        <v>366</v>
      </c>
    </row>
    <row r="87" spans="1:35" ht="36" x14ac:dyDescent="0.3">
      <c r="A87" s="10" t="s">
        <v>367</v>
      </c>
      <c r="B87" s="10" t="s">
        <v>357</v>
      </c>
      <c r="C87" s="11" t="s">
        <v>358</v>
      </c>
      <c r="D87" s="12"/>
      <c r="E87" s="12" t="s">
        <v>81</v>
      </c>
      <c r="F87" s="12" t="s">
        <v>64</v>
      </c>
      <c r="G87" s="13">
        <v>1</v>
      </c>
      <c r="H87" s="13"/>
      <c r="I87" s="13">
        <v>248.8</v>
      </c>
      <c r="J87" s="14">
        <f>IFERROR(ROUND(SUM(M88)/I87, 2),0)</f>
        <v>173.66</v>
      </c>
      <c r="K87" s="15">
        <v>56</v>
      </c>
      <c r="L87" s="14">
        <f>J87+ROUND(K87, 2)</f>
        <v>229.66</v>
      </c>
      <c r="M87" s="14">
        <f>ROUND(J87*I87, 2)</f>
        <v>43206.61</v>
      </c>
      <c r="N87" s="14">
        <f>ROUND(I87*ROUND(K87, 2), 2)</f>
        <v>13932.8</v>
      </c>
      <c r="O87" s="14">
        <f>M87+N87</f>
        <v>57139.41</v>
      </c>
      <c r="P87" s="14">
        <f>IFERROR(ROUND(SUM(S88)/I87, 2),0)</f>
        <v>173.66</v>
      </c>
      <c r="Q87" s="15">
        <v>56</v>
      </c>
      <c r="R87" s="14">
        <f>P87+ROUND(Q87, 2)</f>
        <v>229.66</v>
      </c>
      <c r="S87" s="14">
        <f>ROUND(P87*I87, 2)</f>
        <v>43206.61</v>
      </c>
      <c r="T87" s="14">
        <f>ROUND(I87*ROUND(Q87, 2), 2)</f>
        <v>13932.8</v>
      </c>
      <c r="U87" s="14">
        <f>S87+T87</f>
        <v>57139.41</v>
      </c>
      <c r="V87" s="9">
        <f>ROUND(P87 / 1.2, 2)</f>
        <v>144.72</v>
      </c>
      <c r="W87" s="9">
        <f>ROUND(Q87 / 1.2, 2)</f>
        <v>46.67</v>
      </c>
      <c r="X87" s="9">
        <f>ROUND(R87 / 1.2, 2)</f>
        <v>191.38</v>
      </c>
      <c r="Y87" s="9">
        <f t="shared" si="14"/>
        <v>36005.51</v>
      </c>
      <c r="Z87" s="9">
        <f>ROUND(T87 / 1.2, 2)</f>
        <v>11610.67</v>
      </c>
      <c r="AA87" s="9">
        <f>Y87+Z87</f>
        <v>47616.18</v>
      </c>
      <c r="AD87" s="4">
        <v>298925374</v>
      </c>
      <c r="AE87" s="4">
        <v>19811550</v>
      </c>
      <c r="AG87" s="4" t="s">
        <v>359</v>
      </c>
      <c r="AH87" s="4" t="s">
        <v>360</v>
      </c>
      <c r="AI87" s="4" t="s">
        <v>67</v>
      </c>
    </row>
    <row r="88" spans="1:35" ht="18" x14ac:dyDescent="0.3">
      <c r="A88" s="10" t="s">
        <v>368</v>
      </c>
      <c r="B88" s="10"/>
      <c r="C88" s="24" t="s">
        <v>362</v>
      </c>
      <c r="D88" s="12"/>
      <c r="E88" s="12" t="s">
        <v>369</v>
      </c>
      <c r="F88" s="18" t="s">
        <v>64</v>
      </c>
      <c r="G88" s="19">
        <v>1.03</v>
      </c>
      <c r="H88" s="19"/>
      <c r="I88" s="19">
        <v>256.26400000000001</v>
      </c>
      <c r="J88" s="21">
        <v>168.6</v>
      </c>
      <c r="M88" s="22">
        <f>ROUND(ROUND(J88, 2)*I88, 2)</f>
        <v>43206.11</v>
      </c>
      <c r="P88" s="21">
        <v>168.6</v>
      </c>
      <c r="S88" s="22">
        <f>ROUND(ROUND(P88, 2)*I88, 2)</f>
        <v>43206.11</v>
      </c>
      <c r="V88" s="9">
        <f>ROUND(ROUND(P88, 2)/1.2, 2)</f>
        <v>140.5</v>
      </c>
      <c r="Y88" s="9">
        <f t="shared" si="14"/>
        <v>36005.089999999997</v>
      </c>
      <c r="AD88" s="4" t="s">
        <v>370</v>
      </c>
      <c r="AE88" s="4" t="s">
        <v>371</v>
      </c>
      <c r="AF88" s="4" t="s">
        <v>366</v>
      </c>
    </row>
    <row r="89" spans="1:35" ht="18" x14ac:dyDescent="0.3">
      <c r="A89" s="10" t="s">
        <v>372</v>
      </c>
      <c r="B89" s="10" t="s">
        <v>373</v>
      </c>
      <c r="C89" s="11" t="s">
        <v>374</v>
      </c>
      <c r="D89" s="12"/>
      <c r="E89" s="12" t="s">
        <v>63</v>
      </c>
      <c r="F89" s="12" t="s">
        <v>98</v>
      </c>
      <c r="G89" s="13">
        <v>1</v>
      </c>
      <c r="H89" s="13"/>
      <c r="I89" s="13">
        <v>0</v>
      </c>
      <c r="J89" s="14">
        <f>IFERROR(ROUND(SUM(M90)/I89, 2),0)</f>
        <v>0</v>
      </c>
      <c r="K89" s="15">
        <v>2157</v>
      </c>
      <c r="L89" s="14">
        <f>J89+ROUND(K89, 2)</f>
        <v>2157</v>
      </c>
      <c r="M89" s="14">
        <f>ROUND(J89*I89, 2)</f>
        <v>0</v>
      </c>
      <c r="N89" s="14">
        <f>ROUND(I89*ROUND(K89, 2), 2)</f>
        <v>0</v>
      </c>
      <c r="O89" s="14">
        <f>M89+N89</f>
        <v>0</v>
      </c>
      <c r="P89" s="14">
        <f>IFERROR(ROUND(SUM(S90)/I89, 2),0)</f>
        <v>0</v>
      </c>
      <c r="Q89" s="15">
        <v>2157</v>
      </c>
      <c r="R89" s="14">
        <f>P89+ROUND(Q89, 2)</f>
        <v>2157</v>
      </c>
      <c r="S89" s="14">
        <f>ROUND(P89*I89, 2)</f>
        <v>0</v>
      </c>
      <c r="T89" s="14">
        <f>ROUND(I89*ROUND(Q89, 2), 2)</f>
        <v>0</v>
      </c>
      <c r="U89" s="14">
        <f>S89+T89</f>
        <v>0</v>
      </c>
      <c r="V89" s="9">
        <f>ROUND(P89 / 1.2, 2)</f>
        <v>0</v>
      </c>
      <c r="W89" s="9">
        <f>ROUND(Q89 / 1.2, 2)</f>
        <v>1797.5</v>
      </c>
      <c r="X89" s="9">
        <f>ROUND(R89 / 1.2, 2)</f>
        <v>1797.5</v>
      </c>
      <c r="Y89" s="9">
        <f t="shared" si="14"/>
        <v>0</v>
      </c>
      <c r="Z89" s="9">
        <f>ROUND(T89 / 1.2, 2)</f>
        <v>0</v>
      </c>
      <c r="AA89" s="9">
        <f>Y89+Z89</f>
        <v>0</v>
      </c>
      <c r="AD89" s="4">
        <v>298925276</v>
      </c>
      <c r="AE89" s="4">
        <v>16675472</v>
      </c>
      <c r="AG89" s="4" t="s">
        <v>375</v>
      </c>
      <c r="AH89" s="4" t="s">
        <v>376</v>
      </c>
      <c r="AI89" s="4" t="s">
        <v>67</v>
      </c>
    </row>
    <row r="90" spans="1:35" ht="18" x14ac:dyDescent="0.3">
      <c r="A90" s="10" t="s">
        <v>378</v>
      </c>
      <c r="B90" s="10"/>
      <c r="C90" s="24" t="s">
        <v>379</v>
      </c>
      <c r="D90" s="12"/>
      <c r="E90" s="12"/>
      <c r="F90" s="18" t="s">
        <v>98</v>
      </c>
      <c r="G90" s="19">
        <v>1.02</v>
      </c>
      <c r="H90" s="19"/>
      <c r="I90" s="19">
        <v>0</v>
      </c>
      <c r="J90" s="21">
        <v>2550</v>
      </c>
      <c r="M90" s="22">
        <f>ROUND(ROUND(J90, 2)*I90, 2)</f>
        <v>0</v>
      </c>
      <c r="P90" s="21">
        <v>2550</v>
      </c>
      <c r="S90" s="22">
        <f>ROUND(ROUND(P90, 2)*I90, 2)</f>
        <v>0</v>
      </c>
      <c r="V90" s="9">
        <f>ROUND(ROUND(P90, 2)/1.2, 2)</f>
        <v>2125</v>
      </c>
      <c r="Y90" s="9">
        <f t="shared" si="14"/>
        <v>0</v>
      </c>
      <c r="AD90" s="4" t="s">
        <v>380</v>
      </c>
      <c r="AE90" s="4" t="s">
        <v>381</v>
      </c>
      <c r="AF90" s="4" t="s">
        <v>382</v>
      </c>
    </row>
    <row r="91" spans="1:35" ht="36" x14ac:dyDescent="0.3">
      <c r="A91" s="10" t="s">
        <v>385</v>
      </c>
      <c r="B91" s="10" t="s">
        <v>373</v>
      </c>
      <c r="C91" s="11" t="s">
        <v>374</v>
      </c>
      <c r="D91" s="12"/>
      <c r="E91" s="12" t="s">
        <v>386</v>
      </c>
      <c r="F91" s="12" t="s">
        <v>98</v>
      </c>
      <c r="G91" s="13">
        <v>1</v>
      </c>
      <c r="H91" s="13"/>
      <c r="I91" s="13">
        <v>23.917999999999999</v>
      </c>
      <c r="J91" s="14">
        <f>IFERROR(ROUND(SUM(M92)/I91, 2),0)</f>
        <v>2600.96</v>
      </c>
      <c r="K91" s="15">
        <v>2157</v>
      </c>
      <c r="L91" s="14">
        <f>J91+ROUND(K91, 2)</f>
        <v>4757.96</v>
      </c>
      <c r="M91" s="14">
        <f>ROUND(J91*I91, 2)</f>
        <v>62209.760000000002</v>
      </c>
      <c r="N91" s="14">
        <f>ROUND(I91*ROUND(K91, 2), 2)</f>
        <v>51591.13</v>
      </c>
      <c r="O91" s="14">
        <f>M91+N91</f>
        <v>113800.89</v>
      </c>
      <c r="P91" s="14">
        <f>IFERROR(ROUND(SUM(S92)/I91, 2),0)</f>
        <v>2600.96</v>
      </c>
      <c r="Q91" s="15">
        <v>2157</v>
      </c>
      <c r="R91" s="14">
        <f>P91+ROUND(Q91, 2)</f>
        <v>4757.96</v>
      </c>
      <c r="S91" s="14">
        <f>ROUND(P91*I91, 2)</f>
        <v>62209.760000000002</v>
      </c>
      <c r="T91" s="14">
        <f>ROUND(I91*ROUND(Q91, 2), 2)</f>
        <v>51591.13</v>
      </c>
      <c r="U91" s="14">
        <f>S91+T91</f>
        <v>113800.89</v>
      </c>
      <c r="V91" s="9">
        <f>ROUND(P91 / 1.2, 2)</f>
        <v>2167.4699999999998</v>
      </c>
      <c r="W91" s="9">
        <f>ROUND(Q91 / 1.2, 2)</f>
        <v>1797.5</v>
      </c>
      <c r="X91" s="9">
        <f>ROUND(R91 / 1.2, 2)</f>
        <v>3964.97</v>
      </c>
      <c r="Y91" s="9">
        <f t="shared" si="14"/>
        <v>51841.47</v>
      </c>
      <c r="Z91" s="9">
        <f>ROUND(T91 / 1.2, 2)</f>
        <v>42992.61</v>
      </c>
      <c r="AA91" s="9">
        <f>Y91+Z91</f>
        <v>94834.08</v>
      </c>
      <c r="AD91" s="4">
        <v>298925375</v>
      </c>
      <c r="AE91" s="4">
        <v>19811691</v>
      </c>
      <c r="AG91" s="4" t="s">
        <v>375</v>
      </c>
      <c r="AH91" s="4" t="s">
        <v>376</v>
      </c>
      <c r="AI91" s="4" t="s">
        <v>67</v>
      </c>
    </row>
    <row r="92" spans="1:35" ht="18" x14ac:dyDescent="0.3">
      <c r="A92" s="10" t="s">
        <v>387</v>
      </c>
      <c r="B92" s="10"/>
      <c r="C92" s="24" t="s">
        <v>379</v>
      </c>
      <c r="D92" s="12"/>
      <c r="E92" s="12"/>
      <c r="F92" s="18" t="s">
        <v>98</v>
      </c>
      <c r="G92" s="19">
        <v>1.02</v>
      </c>
      <c r="H92" s="19"/>
      <c r="I92" s="19">
        <v>24.396000000000001</v>
      </c>
      <c r="J92" s="21">
        <v>2550</v>
      </c>
      <c r="M92" s="22">
        <f>ROUND(ROUND(J92, 2)*I92, 2)</f>
        <v>62209.8</v>
      </c>
      <c r="P92" s="21">
        <v>2550</v>
      </c>
      <c r="S92" s="22">
        <f>ROUND(ROUND(P92, 2)*I92, 2)</f>
        <v>62209.8</v>
      </c>
      <c r="V92" s="9">
        <f>ROUND(ROUND(P92, 2)/1.2, 2)</f>
        <v>2125</v>
      </c>
      <c r="Y92" s="9">
        <f t="shared" si="14"/>
        <v>51841.5</v>
      </c>
      <c r="AD92" s="4" t="s">
        <v>388</v>
      </c>
      <c r="AE92" s="4" t="s">
        <v>389</v>
      </c>
      <c r="AF92" s="4" t="s">
        <v>382</v>
      </c>
    </row>
    <row r="93" spans="1:35" ht="16.95" customHeight="1" x14ac:dyDescent="0.3">
      <c r="A93" s="10" t="s">
        <v>390</v>
      </c>
      <c r="B93" s="10" t="s">
        <v>391</v>
      </c>
      <c r="C93" s="352" t="s">
        <v>392</v>
      </c>
      <c r="D93" s="353"/>
      <c r="E93" s="353"/>
      <c r="F93" s="353"/>
      <c r="G93" s="353"/>
      <c r="H93" s="353"/>
      <c r="I93" s="354"/>
      <c r="M93" s="6">
        <f>SUM(M94,M100,M105,M108,M112,M116,M119,M122,M125,M127,M129,M134,M139,M144,M149,M154,M159)</f>
        <v>4283418.7799999993</v>
      </c>
      <c r="N93" s="6">
        <f>SUM(N94,N100,N105,N108,N112,N116,N119,N122,N125,N127,N129,N134,N139,N144,N149,N154,N159)</f>
        <v>5989352</v>
      </c>
      <c r="O93" s="6">
        <f>SUM(O94,O100,O105,O108,O112,O116,O119,O122,O125,O127,O129,O134,O139,O144,O149,O154,O159)</f>
        <v>10272770.780000001</v>
      </c>
      <c r="S93" s="6">
        <f>SUM(S94,S100,S105,S108,S112,S116,S119,S122,S125,S127,S129,S134,S139,S144,S149,S154,S159)</f>
        <v>12458678.139999997</v>
      </c>
      <c r="T93" s="6">
        <f>SUM(T94,T100,T105,T108,T112,T116,T119,T122,T125,T127,T129,T134,T139,T144,T149,T154,T159)</f>
        <v>5989352</v>
      </c>
      <c r="U93" s="6">
        <f>SUM(U94,U100,U105,U108,U112,U116,U119,U122,U125,U127,U129,U134,U139,U144,U149,U154,U159)</f>
        <v>18448030.140000001</v>
      </c>
      <c r="Y93" s="9">
        <f>SUM(Y94,Y100,Y105,Y108,Y112,Y116,Y119,Y122,Y125,Y127,Y129,Y134,Y139,Y144,Y149,Y154,Y159)</f>
        <v>10382231.800000001</v>
      </c>
      <c r="Z93" s="9">
        <f>SUM(Z94,Z100,Z105,Z108,Z112,Z116,Z119,Z122,Z125,Z127,Z129,Z134,Z139,Z144,Z149,Z154,Z159)</f>
        <v>4991126.66</v>
      </c>
      <c r="AA93" s="9">
        <f>SUM(AA94,AA100,AA105,AA108,AA112,AA116,AA119,AA122,AA125,AA127,AA129,AA134,AA139,AA144,AA149,AA154,AA159)</f>
        <v>15373358.460000001</v>
      </c>
      <c r="AD93" s="4">
        <v>298925277</v>
      </c>
      <c r="AE93" s="4">
        <v>16194150</v>
      </c>
    </row>
    <row r="94" spans="1:35" ht="54" x14ac:dyDescent="0.3">
      <c r="A94" s="10" t="s">
        <v>393</v>
      </c>
      <c r="B94" s="10" t="s">
        <v>394</v>
      </c>
      <c r="C94" s="11" t="s">
        <v>395</v>
      </c>
      <c r="D94" s="12"/>
      <c r="E94" s="12" t="s">
        <v>396</v>
      </c>
      <c r="F94" s="12" t="s">
        <v>64</v>
      </c>
      <c r="G94" s="13">
        <v>1</v>
      </c>
      <c r="H94" s="13"/>
      <c r="I94" s="13">
        <v>0</v>
      </c>
      <c r="J94" s="14">
        <f>IFERROR(ROUND(SUM(M95,M96,M97,M98,M99)/I94, 2),0)</f>
        <v>0</v>
      </c>
      <c r="K94" s="15">
        <v>1439</v>
      </c>
      <c r="L94" s="14">
        <f>J94+ROUND(K94, 2)</f>
        <v>1439</v>
      </c>
      <c r="M94" s="14">
        <f>ROUND(J94*I94, 2)</f>
        <v>0</v>
      </c>
      <c r="N94" s="14">
        <f>ROUND(I94*ROUND(K94, 2), 2)</f>
        <v>0</v>
      </c>
      <c r="O94" s="14">
        <f>M94+N94</f>
        <v>0</v>
      </c>
      <c r="P94" s="14">
        <f>IFERROR(ROUND(SUM(S95,S96,S97,S98,S99)/I94, 2),0)</f>
        <v>0</v>
      </c>
      <c r="Q94" s="15">
        <v>1251</v>
      </c>
      <c r="R94" s="14">
        <f>P94+ROUND(Q94, 2)</f>
        <v>1251</v>
      </c>
      <c r="S94" s="14">
        <f>ROUND(P94*I94, 2)</f>
        <v>0</v>
      </c>
      <c r="T94" s="14">
        <f>ROUND(I94*ROUND(Q94, 2), 2)</f>
        <v>0</v>
      </c>
      <c r="U94" s="14">
        <f>S94+T94</f>
        <v>0</v>
      </c>
      <c r="V94" s="9">
        <f>ROUND(P94 / 1.2, 2)</f>
        <v>0</v>
      </c>
      <c r="W94" s="9">
        <f>ROUND(Q94 / 1.2, 2)</f>
        <v>1042.5</v>
      </c>
      <c r="X94" s="9">
        <f>ROUND(R94 / 1.2, 2)</f>
        <v>1042.5</v>
      </c>
      <c r="Y94" s="9">
        <f>ROUND(S94 / 1.2, 2)</f>
        <v>0</v>
      </c>
      <c r="Z94" s="9">
        <f>ROUND(T94 / 1.2, 2)</f>
        <v>0</v>
      </c>
      <c r="AA94" s="9">
        <f>Y94+Z94</f>
        <v>0</v>
      </c>
      <c r="AD94" s="4">
        <v>298925279</v>
      </c>
      <c r="AE94" s="4">
        <v>16194165</v>
      </c>
      <c r="AG94" s="4" t="s">
        <v>397</v>
      </c>
      <c r="AH94" s="4" t="s">
        <v>398</v>
      </c>
      <c r="AI94" s="4" t="s">
        <v>67</v>
      </c>
    </row>
    <row r="95" spans="1:35" ht="54" x14ac:dyDescent="0.3">
      <c r="A95" s="10" t="s">
        <v>400</v>
      </c>
      <c r="B95" s="10"/>
      <c r="C95" s="17" t="s">
        <v>401</v>
      </c>
      <c r="D95" s="12"/>
      <c r="E95" s="12" t="s">
        <v>402</v>
      </c>
      <c r="F95" s="18" t="s">
        <v>70</v>
      </c>
      <c r="G95" s="19">
        <v>1.2</v>
      </c>
      <c r="H95" s="20"/>
      <c r="I95" s="20">
        <v>0</v>
      </c>
      <c r="J95" s="21">
        <v>12.33</v>
      </c>
      <c r="M95" s="22">
        <f>ROUND(ROUND(J95, 2)*I95, 2)</f>
        <v>0</v>
      </c>
      <c r="P95" s="21">
        <v>12.33</v>
      </c>
      <c r="S95" s="22">
        <f>ROUND(ROUND(P95, 2)*I95, 2)</f>
        <v>0</v>
      </c>
      <c r="V95" s="9">
        <f>ROUND(ROUND(P95, 2)/1.2, 2)</f>
        <v>10.28</v>
      </c>
      <c r="Y95" s="9">
        <f t="shared" ref="Y95:Y126" si="15">ROUND(S95 / 1.2, 2)</f>
        <v>0</v>
      </c>
      <c r="AD95" s="4" t="s">
        <v>403</v>
      </c>
      <c r="AE95" s="4" t="s">
        <v>404</v>
      </c>
      <c r="AF95" s="4" t="s">
        <v>405</v>
      </c>
    </row>
    <row r="96" spans="1:35" ht="72" x14ac:dyDescent="0.3">
      <c r="A96" s="10" t="s">
        <v>408</v>
      </c>
      <c r="B96" s="10"/>
      <c r="C96" s="24" t="s">
        <v>409</v>
      </c>
      <c r="D96" s="12"/>
      <c r="E96" s="12" t="s">
        <v>410</v>
      </c>
      <c r="F96" s="18" t="s">
        <v>64</v>
      </c>
      <c r="G96" s="19">
        <v>1.07</v>
      </c>
      <c r="H96" s="20"/>
      <c r="I96" s="20">
        <v>0</v>
      </c>
      <c r="J96" s="21">
        <v>1193</v>
      </c>
      <c r="M96" s="22">
        <f>ROUND(ROUND(J96, 2)*I96, 2)</f>
        <v>0</v>
      </c>
      <c r="P96" s="21">
        <v>1193</v>
      </c>
      <c r="S96" s="22">
        <f>ROUND(ROUND(P96, 2)*I96, 2)</f>
        <v>0</v>
      </c>
      <c r="V96" s="9">
        <f>ROUND(ROUND(P96, 2)/1.2, 2)</f>
        <v>994.17</v>
      </c>
      <c r="Y96" s="9">
        <f t="shared" si="15"/>
        <v>0</v>
      </c>
      <c r="AD96" s="4" t="s">
        <v>411</v>
      </c>
      <c r="AE96" s="4" t="s">
        <v>412</v>
      </c>
      <c r="AF96" s="4" t="s">
        <v>413</v>
      </c>
    </row>
    <row r="97" spans="1:35" ht="72" x14ac:dyDescent="0.3">
      <c r="A97" s="10" t="s">
        <v>416</v>
      </c>
      <c r="B97" s="10"/>
      <c r="C97" s="24" t="s">
        <v>417</v>
      </c>
      <c r="D97" s="12"/>
      <c r="E97" s="12" t="s">
        <v>418</v>
      </c>
      <c r="F97" s="18" t="s">
        <v>64</v>
      </c>
      <c r="G97" s="19">
        <v>1.07</v>
      </c>
      <c r="H97" s="20"/>
      <c r="I97" s="20">
        <v>0</v>
      </c>
      <c r="J97" s="21">
        <v>1374.45</v>
      </c>
      <c r="M97" s="22">
        <f>ROUND(ROUND(J97, 2)*I97, 2)</f>
        <v>0</v>
      </c>
      <c r="P97" s="21">
        <v>1290.02</v>
      </c>
      <c r="S97" s="22">
        <f>ROUND(ROUND(P97, 2)*I97, 2)</f>
        <v>0</v>
      </c>
      <c r="V97" s="9">
        <f>ROUND(ROUND(P97, 2)/1.2, 2)</f>
        <v>1075.02</v>
      </c>
      <c r="Y97" s="9">
        <f t="shared" si="15"/>
        <v>0</v>
      </c>
      <c r="AD97" s="4" t="s">
        <v>419</v>
      </c>
      <c r="AE97" s="4" t="s">
        <v>420</v>
      </c>
      <c r="AF97" s="4" t="s">
        <v>421</v>
      </c>
    </row>
    <row r="98" spans="1:35" ht="36" x14ac:dyDescent="0.3">
      <c r="A98" s="10" t="s">
        <v>425</v>
      </c>
      <c r="B98" s="10"/>
      <c r="C98" s="24" t="s">
        <v>426</v>
      </c>
      <c r="D98" s="12"/>
      <c r="E98" s="12"/>
      <c r="F98" s="18" t="s">
        <v>70</v>
      </c>
      <c r="G98" s="19">
        <v>0.25</v>
      </c>
      <c r="H98" s="20"/>
      <c r="I98" s="20">
        <v>0</v>
      </c>
      <c r="J98" s="21">
        <v>40.270000000000003</v>
      </c>
      <c r="M98" s="22">
        <f>ROUND(ROUND(J98, 2)*I98, 2)</f>
        <v>0</v>
      </c>
      <c r="P98" s="21">
        <v>40.270000000000003</v>
      </c>
      <c r="S98" s="22">
        <f>ROUND(ROUND(P98, 2)*I98, 2)</f>
        <v>0</v>
      </c>
      <c r="V98" s="9">
        <f>ROUND(ROUND(P98, 2)/1.2, 2)</f>
        <v>33.56</v>
      </c>
      <c r="Y98" s="9">
        <f t="shared" si="15"/>
        <v>0</v>
      </c>
      <c r="AD98" s="4" t="s">
        <v>427</v>
      </c>
      <c r="AE98" s="4" t="s">
        <v>428</v>
      </c>
      <c r="AF98" s="4" t="s">
        <v>429</v>
      </c>
    </row>
    <row r="99" spans="1:35" ht="36" x14ac:dyDescent="0.3">
      <c r="A99" s="10" t="s">
        <v>432</v>
      </c>
      <c r="B99" s="10"/>
      <c r="C99" s="24" t="s">
        <v>433</v>
      </c>
      <c r="D99" s="12"/>
      <c r="E99" s="12"/>
      <c r="F99" s="18" t="s">
        <v>70</v>
      </c>
      <c r="G99" s="19">
        <v>0.15</v>
      </c>
      <c r="H99" s="19"/>
      <c r="I99" s="19">
        <v>0</v>
      </c>
      <c r="J99" s="21">
        <v>88.8</v>
      </c>
      <c r="M99" s="22">
        <f>ROUND(ROUND(J99, 2)*I99, 2)</f>
        <v>0</v>
      </c>
      <c r="P99" s="21">
        <v>88.8</v>
      </c>
      <c r="S99" s="22">
        <f>ROUND(ROUND(P99, 2)*I99, 2)</f>
        <v>0</v>
      </c>
      <c r="V99" s="9">
        <f>ROUND(ROUND(P99, 2)/1.2, 2)</f>
        <v>74</v>
      </c>
      <c r="Y99" s="9">
        <f t="shared" si="15"/>
        <v>0</v>
      </c>
      <c r="AD99" s="4" t="s">
        <v>434</v>
      </c>
      <c r="AE99" s="4" t="s">
        <v>435</v>
      </c>
      <c r="AF99" s="4" t="s">
        <v>436</v>
      </c>
    </row>
    <row r="100" spans="1:35" ht="18" x14ac:dyDescent="0.3">
      <c r="A100" s="10" t="s">
        <v>439</v>
      </c>
      <c r="B100" s="10" t="s">
        <v>440</v>
      </c>
      <c r="C100" s="11" t="s">
        <v>441</v>
      </c>
      <c r="D100" s="12" t="s">
        <v>442</v>
      </c>
      <c r="E100" s="12" t="s">
        <v>63</v>
      </c>
      <c r="F100" s="12" t="s">
        <v>64</v>
      </c>
      <c r="G100" s="13">
        <v>1</v>
      </c>
      <c r="H100" s="13"/>
      <c r="I100" s="13">
        <v>538.29999999999995</v>
      </c>
      <c r="J100" s="14">
        <f>IFERROR(ROUND(SUM(M101,M102,M103,M104)/I100, 2),0)</f>
        <v>1573.04</v>
      </c>
      <c r="K100" s="15">
        <v>412</v>
      </c>
      <c r="L100" s="14">
        <f>J100+ROUND(K100, 2)</f>
        <v>1985.04</v>
      </c>
      <c r="M100" s="14">
        <f>ROUND(J100*I100, 2)</f>
        <v>846767.43</v>
      </c>
      <c r="N100" s="14">
        <f>ROUND(I100*ROUND(K100, 2), 2)</f>
        <v>221779.6</v>
      </c>
      <c r="O100" s="14">
        <f>M100+N100</f>
        <v>1068547.03</v>
      </c>
      <c r="P100" s="14">
        <f>IFERROR(ROUND(SUM(S101,S102,S103,S104)/I100, 2),0)</f>
        <v>1573.04</v>
      </c>
      <c r="Q100" s="15">
        <v>412</v>
      </c>
      <c r="R100" s="14">
        <f>P100+ROUND(Q100, 2)</f>
        <v>1985.04</v>
      </c>
      <c r="S100" s="14">
        <f>ROUND(P100*I100, 2)</f>
        <v>846767.43</v>
      </c>
      <c r="T100" s="14">
        <f>ROUND(I100*ROUND(Q100, 2), 2)</f>
        <v>221779.6</v>
      </c>
      <c r="U100" s="14">
        <f>S100+T100</f>
        <v>1068547.03</v>
      </c>
      <c r="V100" s="9">
        <f>ROUND(P100 / 1.2, 2)</f>
        <v>1310.87</v>
      </c>
      <c r="W100" s="9">
        <f>ROUND(Q100 / 1.2, 2)</f>
        <v>343.33</v>
      </c>
      <c r="X100" s="9">
        <f>ROUND(R100 / 1.2, 2)</f>
        <v>1654.2</v>
      </c>
      <c r="Y100" s="9">
        <f t="shared" si="15"/>
        <v>705639.53</v>
      </c>
      <c r="Z100" s="9">
        <f>ROUND(T100 / 1.2, 2)</f>
        <v>184816.33</v>
      </c>
      <c r="AA100" s="9">
        <f>Y100+Z100</f>
        <v>890455.86</v>
      </c>
      <c r="AD100" s="4">
        <v>298925281</v>
      </c>
      <c r="AE100" s="4">
        <v>16195443</v>
      </c>
      <c r="AG100" s="4" t="s">
        <v>443</v>
      </c>
      <c r="AH100" s="4" t="s">
        <v>444</v>
      </c>
      <c r="AI100" s="4" t="s">
        <v>67</v>
      </c>
    </row>
    <row r="101" spans="1:35" ht="54" x14ac:dyDescent="0.3">
      <c r="A101" s="10" t="s">
        <v>445</v>
      </c>
      <c r="B101" s="10"/>
      <c r="C101" s="24" t="s">
        <v>446</v>
      </c>
      <c r="D101" s="12"/>
      <c r="E101" s="12" t="s">
        <v>447</v>
      </c>
      <c r="F101" s="18" t="s">
        <v>70</v>
      </c>
      <c r="G101" s="19">
        <v>0.3</v>
      </c>
      <c r="H101" s="19"/>
      <c r="I101" s="19">
        <v>161.49</v>
      </c>
      <c r="J101" s="21">
        <v>220</v>
      </c>
      <c r="M101" s="22">
        <f>ROUND(ROUND(J101, 2)*I101, 2)</f>
        <v>35527.800000000003</v>
      </c>
      <c r="P101" s="21">
        <v>220</v>
      </c>
      <c r="S101" s="22">
        <f>ROUND(ROUND(P101, 2)*I101, 2)</f>
        <v>35527.800000000003</v>
      </c>
      <c r="V101" s="9">
        <f>ROUND(ROUND(P101, 2)/1.2, 2)</f>
        <v>183.33</v>
      </c>
      <c r="Y101" s="9">
        <f t="shared" si="15"/>
        <v>29606.5</v>
      </c>
      <c r="AD101" s="4" t="s">
        <v>448</v>
      </c>
      <c r="AE101" s="4" t="s">
        <v>449</v>
      </c>
      <c r="AF101" s="4" t="s">
        <v>450</v>
      </c>
    </row>
    <row r="102" spans="1:35" ht="36" x14ac:dyDescent="0.3">
      <c r="A102" s="10" t="s">
        <v>451</v>
      </c>
      <c r="B102" s="10"/>
      <c r="C102" s="24" t="s">
        <v>452</v>
      </c>
      <c r="D102" s="12"/>
      <c r="E102" s="12" t="s">
        <v>453</v>
      </c>
      <c r="F102" s="18" t="s">
        <v>70</v>
      </c>
      <c r="G102" s="19">
        <v>0.15</v>
      </c>
      <c r="H102" s="19"/>
      <c r="I102" s="19">
        <v>80.745000000000005</v>
      </c>
      <c r="J102" s="21">
        <v>68.400000000000006</v>
      </c>
      <c r="M102" s="22">
        <f>ROUND(ROUND(J102, 2)*I102, 2)</f>
        <v>5522.96</v>
      </c>
      <c r="P102" s="21">
        <v>68.400000000000006</v>
      </c>
      <c r="S102" s="22">
        <f>ROUND(ROUND(P102, 2)*I102, 2)</f>
        <v>5522.96</v>
      </c>
      <c r="V102" s="9">
        <f>ROUND(ROUND(P102, 2)/1.2, 2)</f>
        <v>57</v>
      </c>
      <c r="Y102" s="9">
        <f t="shared" si="15"/>
        <v>4602.47</v>
      </c>
      <c r="AD102" s="4" t="s">
        <v>454</v>
      </c>
      <c r="AE102" s="4" t="s">
        <v>455</v>
      </c>
      <c r="AF102" s="4" t="s">
        <v>456</v>
      </c>
    </row>
    <row r="103" spans="1:35" ht="72" x14ac:dyDescent="0.3">
      <c r="A103" s="10" t="s">
        <v>457</v>
      </c>
      <c r="B103" s="10"/>
      <c r="C103" s="17" t="s">
        <v>458</v>
      </c>
      <c r="D103" s="12"/>
      <c r="E103" s="12"/>
      <c r="F103" s="18" t="s">
        <v>87</v>
      </c>
      <c r="G103" s="19">
        <v>1</v>
      </c>
      <c r="H103" s="20"/>
      <c r="I103" s="20">
        <v>252</v>
      </c>
      <c r="J103" s="21">
        <v>51</v>
      </c>
      <c r="M103" s="22">
        <f>ROUND(ROUND(J103, 2)*I103, 2)</f>
        <v>12852</v>
      </c>
      <c r="P103" s="21">
        <v>51</v>
      </c>
      <c r="S103" s="22">
        <f>ROUND(ROUND(P103, 2)*I103, 2)</f>
        <v>12852</v>
      </c>
      <c r="V103" s="9">
        <f>ROUND(ROUND(P103, 2)/1.2, 2)</f>
        <v>42.5</v>
      </c>
      <c r="Y103" s="9">
        <f t="shared" si="15"/>
        <v>10710</v>
      </c>
      <c r="AD103" s="4" t="s">
        <v>459</v>
      </c>
      <c r="AE103" s="4" t="s">
        <v>460</v>
      </c>
      <c r="AF103" s="4" t="s">
        <v>461</v>
      </c>
    </row>
    <row r="104" spans="1:35" ht="54" x14ac:dyDescent="0.3">
      <c r="A104" s="10" t="s">
        <v>462</v>
      </c>
      <c r="B104" s="10"/>
      <c r="C104" s="17" t="s">
        <v>463</v>
      </c>
      <c r="D104" s="12"/>
      <c r="E104" s="12"/>
      <c r="F104" s="18" t="s">
        <v>64</v>
      </c>
      <c r="G104" s="19">
        <v>1.1000000000000001</v>
      </c>
      <c r="H104" s="20"/>
      <c r="I104" s="20">
        <v>592.13</v>
      </c>
      <c r="J104" s="21">
        <v>1339</v>
      </c>
      <c r="M104" s="22">
        <f>ROUND(ROUND(J104, 2)*I104, 2)</f>
        <v>792862.07</v>
      </c>
      <c r="P104" s="21">
        <v>1339</v>
      </c>
      <c r="S104" s="22">
        <f>ROUND(ROUND(P104, 2)*I104, 2)</f>
        <v>792862.07</v>
      </c>
      <c r="V104" s="9">
        <f>ROUND(ROUND(P104, 2)/1.2, 2)</f>
        <v>1115.83</v>
      </c>
      <c r="Y104" s="9">
        <f t="shared" si="15"/>
        <v>660718.39</v>
      </c>
      <c r="AD104" s="4" t="s">
        <v>464</v>
      </c>
      <c r="AE104" s="4" t="s">
        <v>465</v>
      </c>
      <c r="AF104" s="4" t="s">
        <v>466</v>
      </c>
    </row>
    <row r="105" spans="1:35" ht="18" x14ac:dyDescent="0.3">
      <c r="A105" s="10" t="s">
        <v>467</v>
      </c>
      <c r="B105" s="10" t="s">
        <v>468</v>
      </c>
      <c r="C105" s="11" t="s">
        <v>469</v>
      </c>
      <c r="D105" s="12"/>
      <c r="E105" s="12" t="s">
        <v>470</v>
      </c>
      <c r="F105" s="12" t="s">
        <v>87</v>
      </c>
      <c r="G105" s="13">
        <v>1</v>
      </c>
      <c r="H105" s="13"/>
      <c r="I105" s="13">
        <v>0</v>
      </c>
      <c r="J105" s="14">
        <f>IFERROR(ROUND(SUM(M106,M107)/I105, 2),0)</f>
        <v>0</v>
      </c>
      <c r="K105" s="15">
        <v>200</v>
      </c>
      <c r="L105" s="14">
        <f>J105+ROUND(K105, 2)</f>
        <v>200</v>
      </c>
      <c r="M105" s="14">
        <f>ROUND(J105*I105, 2)</f>
        <v>0</v>
      </c>
      <c r="N105" s="14">
        <f>ROUND(I105*ROUND(K105, 2), 2)</f>
        <v>0</v>
      </c>
      <c r="O105" s="14">
        <f>M105+N105</f>
        <v>0</v>
      </c>
      <c r="P105" s="14">
        <f>IFERROR(ROUND(SUM(S106,S107)/I105, 2),0)</f>
        <v>0</v>
      </c>
      <c r="Q105" s="15">
        <v>200</v>
      </c>
      <c r="R105" s="14">
        <f>P105+ROUND(Q105, 2)</f>
        <v>200</v>
      </c>
      <c r="S105" s="14">
        <f>ROUND(P105*I105, 2)</f>
        <v>0</v>
      </c>
      <c r="T105" s="14">
        <f>ROUND(I105*ROUND(Q105, 2), 2)</f>
        <v>0</v>
      </c>
      <c r="U105" s="14">
        <f>S105+T105</f>
        <v>0</v>
      </c>
      <c r="V105" s="9">
        <f>ROUND(P105 / 1.2, 2)</f>
        <v>0</v>
      </c>
      <c r="W105" s="9">
        <f>ROUND(Q105 / 1.2, 2)</f>
        <v>166.67</v>
      </c>
      <c r="X105" s="9">
        <f>ROUND(R105 / 1.2, 2)</f>
        <v>166.67</v>
      </c>
      <c r="Y105" s="9">
        <f t="shared" si="15"/>
        <v>0</v>
      </c>
      <c r="Z105" s="9">
        <f>ROUND(T105 / 1.2, 2)</f>
        <v>0</v>
      </c>
      <c r="AA105" s="9">
        <f>Y105+Z105</f>
        <v>0</v>
      </c>
      <c r="AD105" s="4">
        <v>298925283</v>
      </c>
      <c r="AE105" s="4">
        <v>16296644</v>
      </c>
      <c r="AG105" s="4" t="s">
        <v>471</v>
      </c>
      <c r="AH105" s="4" t="s">
        <v>472</v>
      </c>
      <c r="AI105" s="4" t="s">
        <v>67</v>
      </c>
    </row>
    <row r="106" spans="1:35" ht="36" x14ac:dyDescent="0.3">
      <c r="A106" s="10" t="s">
        <v>474</v>
      </c>
      <c r="B106" s="10"/>
      <c r="C106" s="24" t="s">
        <v>475</v>
      </c>
      <c r="D106" s="12"/>
      <c r="E106" s="12"/>
      <c r="F106" s="18" t="s">
        <v>87</v>
      </c>
      <c r="G106" s="19">
        <v>1.05</v>
      </c>
      <c r="H106" s="20"/>
      <c r="I106" s="20">
        <v>0</v>
      </c>
      <c r="J106" s="21">
        <v>90.97</v>
      </c>
      <c r="M106" s="22">
        <f>ROUND(ROUND(J106, 2)*I106, 2)</f>
        <v>0</v>
      </c>
      <c r="P106" s="21">
        <v>90.97</v>
      </c>
      <c r="S106" s="22">
        <f>ROUND(ROUND(P106, 2)*I106, 2)</f>
        <v>0</v>
      </c>
      <c r="V106" s="9">
        <f>ROUND(ROUND(P106, 2)/1.2, 2)</f>
        <v>75.81</v>
      </c>
      <c r="Y106" s="9">
        <f t="shared" si="15"/>
        <v>0</v>
      </c>
      <c r="AD106" s="4" t="s">
        <v>476</v>
      </c>
      <c r="AE106" s="4" t="s">
        <v>477</v>
      </c>
      <c r="AF106" s="4" t="s">
        <v>478</v>
      </c>
    </row>
    <row r="107" spans="1:35" ht="54" x14ac:dyDescent="0.3">
      <c r="A107" s="10" t="s">
        <v>481</v>
      </c>
      <c r="B107" s="10"/>
      <c r="C107" s="24" t="s">
        <v>482</v>
      </c>
      <c r="D107" s="12"/>
      <c r="E107" s="12" t="s">
        <v>483</v>
      </c>
      <c r="F107" s="18" t="s">
        <v>116</v>
      </c>
      <c r="G107" s="63">
        <v>0.09</v>
      </c>
      <c r="H107" s="19"/>
      <c r="I107" s="19">
        <v>0</v>
      </c>
      <c r="J107" s="21">
        <v>100</v>
      </c>
      <c r="M107" s="22">
        <f>ROUND(ROUND(J107, 2)*I107, 2)</f>
        <v>0</v>
      </c>
      <c r="P107" s="21">
        <v>100</v>
      </c>
      <c r="S107" s="22">
        <f>ROUND(ROUND(P107, 2)*I107, 2)</f>
        <v>0</v>
      </c>
      <c r="V107" s="9">
        <f>ROUND(ROUND(P107, 2)/1.2, 2)</f>
        <v>83.33</v>
      </c>
      <c r="Y107" s="9">
        <f t="shared" si="15"/>
        <v>0</v>
      </c>
      <c r="AD107" s="4" t="s">
        <v>484</v>
      </c>
      <c r="AE107" s="4" t="s">
        <v>485</v>
      </c>
      <c r="AF107" s="4" t="s">
        <v>486</v>
      </c>
    </row>
    <row r="108" spans="1:35" ht="18" x14ac:dyDescent="0.3">
      <c r="A108" s="10" t="s">
        <v>489</v>
      </c>
      <c r="B108" s="10" t="s">
        <v>468</v>
      </c>
      <c r="C108" s="11" t="s">
        <v>469</v>
      </c>
      <c r="D108" s="12"/>
      <c r="E108" s="12" t="s">
        <v>490</v>
      </c>
      <c r="F108" s="12" t="s">
        <v>87</v>
      </c>
      <c r="G108" s="13">
        <v>1</v>
      </c>
      <c r="H108" s="13"/>
      <c r="I108" s="13">
        <v>63.14</v>
      </c>
      <c r="J108" s="14">
        <f>IFERROR(ROUND(SUM(M109,M110,M111)/I108, 2),0)</f>
        <v>198.82</v>
      </c>
      <c r="K108" s="15">
        <v>200</v>
      </c>
      <c r="L108" s="14">
        <f>J108+ROUND(K108, 2)</f>
        <v>398.82</v>
      </c>
      <c r="M108" s="14">
        <f>ROUND(J108*I108, 2)</f>
        <v>12553.49</v>
      </c>
      <c r="N108" s="14">
        <f>ROUND(I108*ROUND(K108, 2), 2)</f>
        <v>12628</v>
      </c>
      <c r="O108" s="14">
        <f>M108+N108</f>
        <v>25181.489999999998</v>
      </c>
      <c r="P108" s="14">
        <f>IFERROR(ROUND(SUM(S109,S110,S111)/I108, 2),0)</f>
        <v>198.82</v>
      </c>
      <c r="Q108" s="15">
        <v>200</v>
      </c>
      <c r="R108" s="14">
        <f>P108+ROUND(Q108, 2)</f>
        <v>398.82</v>
      </c>
      <c r="S108" s="14">
        <f>ROUND(P108*I108, 2)</f>
        <v>12553.49</v>
      </c>
      <c r="T108" s="14">
        <f>ROUND(I108*ROUND(Q108, 2), 2)</f>
        <v>12628</v>
      </c>
      <c r="U108" s="14">
        <f>S108+T108</f>
        <v>25181.489999999998</v>
      </c>
      <c r="V108" s="9">
        <f>ROUND(P108 / 1.2, 2)</f>
        <v>165.68</v>
      </c>
      <c r="W108" s="9">
        <f>ROUND(Q108 / 1.2, 2)</f>
        <v>166.67</v>
      </c>
      <c r="X108" s="9">
        <f>ROUND(R108 / 1.2, 2)</f>
        <v>332.35</v>
      </c>
      <c r="Y108" s="9">
        <f t="shared" si="15"/>
        <v>10461.24</v>
      </c>
      <c r="Z108" s="9">
        <f>ROUND(T108 / 1.2, 2)</f>
        <v>10523.33</v>
      </c>
      <c r="AA108" s="9">
        <f>Y108+Z108</f>
        <v>20984.57</v>
      </c>
      <c r="AD108" s="4">
        <v>298925376</v>
      </c>
      <c r="AE108" s="4">
        <v>19812816</v>
      </c>
      <c r="AG108" s="4" t="s">
        <v>471</v>
      </c>
      <c r="AH108" s="4" t="s">
        <v>472</v>
      </c>
      <c r="AI108" s="4" t="s">
        <v>67</v>
      </c>
    </row>
    <row r="109" spans="1:35" ht="54" x14ac:dyDescent="0.3">
      <c r="A109" s="10" t="s">
        <v>491</v>
      </c>
      <c r="B109" s="10"/>
      <c r="C109" s="24" t="s">
        <v>482</v>
      </c>
      <c r="D109" s="12"/>
      <c r="E109" s="12" t="s">
        <v>483</v>
      </c>
      <c r="F109" s="18" t="s">
        <v>116</v>
      </c>
      <c r="G109" s="63">
        <v>0.09</v>
      </c>
      <c r="H109" s="19"/>
      <c r="I109" s="19">
        <v>5.6829999999999998</v>
      </c>
      <c r="J109" s="21">
        <v>100</v>
      </c>
      <c r="M109" s="22">
        <f>ROUND(ROUND(J109, 2)*I109, 2)</f>
        <v>568.29999999999995</v>
      </c>
      <c r="P109" s="21">
        <v>100</v>
      </c>
      <c r="S109" s="22">
        <f>ROUND(ROUND(P109, 2)*I109, 2)</f>
        <v>568.29999999999995</v>
      </c>
      <c r="V109" s="9">
        <f>ROUND(ROUND(P109, 2)/1.2, 2)</f>
        <v>83.33</v>
      </c>
      <c r="Y109" s="9">
        <f t="shared" si="15"/>
        <v>473.58</v>
      </c>
      <c r="AD109" s="4" t="s">
        <v>492</v>
      </c>
      <c r="AE109" s="4" t="s">
        <v>493</v>
      </c>
      <c r="AF109" s="4" t="s">
        <v>486</v>
      </c>
    </row>
    <row r="110" spans="1:35" ht="54" x14ac:dyDescent="0.3">
      <c r="A110" s="10" t="s">
        <v>494</v>
      </c>
      <c r="B110" s="10"/>
      <c r="C110" s="17" t="s">
        <v>475</v>
      </c>
      <c r="D110" s="12"/>
      <c r="E110" s="12" t="s">
        <v>495</v>
      </c>
      <c r="F110" s="18" t="s">
        <v>87</v>
      </c>
      <c r="G110" s="19">
        <v>1.05</v>
      </c>
      <c r="H110" s="20"/>
      <c r="I110" s="20">
        <v>49.591999999999999</v>
      </c>
      <c r="J110" s="21">
        <v>90.21</v>
      </c>
      <c r="M110" s="22">
        <f>ROUND(ROUND(J110, 2)*I110, 2)</f>
        <v>4473.6899999999996</v>
      </c>
      <c r="P110" s="21">
        <v>90.21</v>
      </c>
      <c r="S110" s="22">
        <f>ROUND(ROUND(P110, 2)*I110, 2)</f>
        <v>4473.6899999999996</v>
      </c>
      <c r="V110" s="9">
        <f>ROUND(ROUND(P110, 2)/1.2, 2)</f>
        <v>75.180000000000007</v>
      </c>
      <c r="Y110" s="9">
        <f t="shared" si="15"/>
        <v>3728.08</v>
      </c>
      <c r="AD110" s="4" t="s">
        <v>496</v>
      </c>
      <c r="AE110" s="4" t="s">
        <v>497</v>
      </c>
      <c r="AF110" s="4" t="s">
        <v>478</v>
      </c>
    </row>
    <row r="111" spans="1:35" ht="72" x14ac:dyDescent="0.3">
      <c r="A111" s="10" t="s">
        <v>498</v>
      </c>
      <c r="B111" s="10"/>
      <c r="C111" s="17" t="s">
        <v>499</v>
      </c>
      <c r="D111" s="12"/>
      <c r="E111" s="12" t="s">
        <v>500</v>
      </c>
      <c r="F111" s="18" t="s">
        <v>87</v>
      </c>
      <c r="G111" s="19">
        <v>1.1000000000000001</v>
      </c>
      <c r="H111" s="20"/>
      <c r="I111" s="20">
        <v>17.501000000000001</v>
      </c>
      <c r="J111" s="21">
        <v>429.22</v>
      </c>
      <c r="M111" s="22">
        <f>ROUND(ROUND(J111, 2)*I111, 2)</f>
        <v>7511.78</v>
      </c>
      <c r="P111" s="21">
        <v>429.22</v>
      </c>
      <c r="S111" s="22">
        <f>ROUND(ROUND(P111, 2)*I111, 2)</f>
        <v>7511.78</v>
      </c>
      <c r="V111" s="9">
        <f>ROUND(ROUND(P111, 2)/1.2, 2)</f>
        <v>357.68</v>
      </c>
      <c r="Y111" s="9">
        <f t="shared" si="15"/>
        <v>6259.82</v>
      </c>
      <c r="AD111" s="4" t="s">
        <v>501</v>
      </c>
      <c r="AE111" s="4" t="s">
        <v>502</v>
      </c>
      <c r="AF111" s="4" t="s">
        <v>503</v>
      </c>
    </row>
    <row r="112" spans="1:35" ht="54" x14ac:dyDescent="0.3">
      <c r="A112" s="10" t="s">
        <v>504</v>
      </c>
      <c r="B112" s="10" t="s">
        <v>505</v>
      </c>
      <c r="C112" s="11" t="s">
        <v>506</v>
      </c>
      <c r="D112" s="12"/>
      <c r="E112" s="12" t="s">
        <v>507</v>
      </c>
      <c r="F112" s="12" t="s">
        <v>87</v>
      </c>
      <c r="G112" s="13">
        <v>1</v>
      </c>
      <c r="H112" s="13"/>
      <c r="I112" s="13">
        <v>0</v>
      </c>
      <c r="J112" s="14">
        <f>IFERROR(ROUND(SUM(M113,M114,M115)/I112, 2),0)</f>
        <v>0</v>
      </c>
      <c r="K112" s="15">
        <v>411</v>
      </c>
      <c r="L112" s="14">
        <f>J112+ROUND(K112, 2)</f>
        <v>411</v>
      </c>
      <c r="M112" s="14">
        <f>ROUND(J112*I112, 2)</f>
        <v>0</v>
      </c>
      <c r="N112" s="14">
        <f>ROUND(I112*ROUND(K112, 2), 2)</f>
        <v>0</v>
      </c>
      <c r="O112" s="14">
        <f>M112+N112</f>
        <v>0</v>
      </c>
      <c r="P112" s="14">
        <f>IFERROR(ROUND(SUM(S113,S114,S115)/I112, 2),0)</f>
        <v>0</v>
      </c>
      <c r="Q112" s="15">
        <v>374</v>
      </c>
      <c r="R112" s="14">
        <f>P112+ROUND(Q112, 2)</f>
        <v>374</v>
      </c>
      <c r="S112" s="14">
        <f>ROUND(P112*I112, 2)</f>
        <v>0</v>
      </c>
      <c r="T112" s="14">
        <f>ROUND(I112*ROUND(Q112, 2), 2)</f>
        <v>0</v>
      </c>
      <c r="U112" s="14">
        <f>S112+T112</f>
        <v>0</v>
      </c>
      <c r="V112" s="9">
        <f>ROUND(P112 / 1.2, 2)</f>
        <v>0</v>
      </c>
      <c r="W112" s="9">
        <f>ROUND(Q112 / 1.2, 2)</f>
        <v>311.67</v>
      </c>
      <c r="X112" s="9">
        <f>ROUND(R112 / 1.2, 2)</f>
        <v>311.67</v>
      </c>
      <c r="Y112" s="9">
        <f t="shared" si="15"/>
        <v>0</v>
      </c>
      <c r="Z112" s="9">
        <f>ROUND(T112 / 1.2, 2)</f>
        <v>0</v>
      </c>
      <c r="AA112" s="9">
        <f>Y112+Z112</f>
        <v>0</v>
      </c>
      <c r="AD112" s="4">
        <v>298925285</v>
      </c>
      <c r="AE112" s="4">
        <v>16293721</v>
      </c>
      <c r="AG112" s="4" t="s">
        <v>508</v>
      </c>
      <c r="AH112" s="4" t="s">
        <v>509</v>
      </c>
      <c r="AI112" s="4" t="s">
        <v>67</v>
      </c>
    </row>
    <row r="113" spans="1:35" ht="72" x14ac:dyDescent="0.3">
      <c r="A113" s="10" t="s">
        <v>511</v>
      </c>
      <c r="B113" s="10"/>
      <c r="C113" s="17" t="s">
        <v>512</v>
      </c>
      <c r="D113" s="12"/>
      <c r="E113" s="12" t="s">
        <v>513</v>
      </c>
      <c r="F113" s="18" t="s">
        <v>64</v>
      </c>
      <c r="G113" s="19">
        <v>0.11</v>
      </c>
      <c r="H113" s="19"/>
      <c r="I113" s="19">
        <v>0</v>
      </c>
      <c r="J113" s="21">
        <v>850</v>
      </c>
      <c r="M113" s="22">
        <f>ROUND(ROUND(J113, 2)*I113, 2)</f>
        <v>0</v>
      </c>
      <c r="P113" s="21">
        <v>850</v>
      </c>
      <c r="S113" s="22">
        <f>ROUND(ROUND(P113, 2)*I113, 2)</f>
        <v>0</v>
      </c>
      <c r="V113" s="9">
        <f>ROUND(ROUND(P113, 2)/1.2, 2)</f>
        <v>708.33</v>
      </c>
      <c r="Y113" s="9">
        <f t="shared" si="15"/>
        <v>0</v>
      </c>
      <c r="AD113" s="4" t="s">
        <v>514</v>
      </c>
      <c r="AE113" s="4" t="s">
        <v>515</v>
      </c>
      <c r="AF113" s="4" t="s">
        <v>516</v>
      </c>
    </row>
    <row r="114" spans="1:35" ht="36" x14ac:dyDescent="0.3">
      <c r="A114" s="10" t="s">
        <v>520</v>
      </c>
      <c r="B114" s="10"/>
      <c r="C114" s="24" t="s">
        <v>426</v>
      </c>
      <c r="D114" s="12"/>
      <c r="E114" s="12"/>
      <c r="F114" s="18" t="s">
        <v>70</v>
      </c>
      <c r="G114" s="19">
        <v>0.04</v>
      </c>
      <c r="H114" s="19"/>
      <c r="I114" s="19">
        <v>0</v>
      </c>
      <c r="J114" s="21">
        <v>40.270000000000003</v>
      </c>
      <c r="M114" s="22">
        <f>ROUND(ROUND(J114, 2)*I114, 2)</f>
        <v>0</v>
      </c>
      <c r="P114" s="21">
        <v>40.270000000000003</v>
      </c>
      <c r="S114" s="22">
        <f>ROUND(ROUND(P114, 2)*I114, 2)</f>
        <v>0</v>
      </c>
      <c r="V114" s="9">
        <f>ROUND(ROUND(P114, 2)/1.2, 2)</f>
        <v>33.56</v>
      </c>
      <c r="Y114" s="9">
        <f t="shared" si="15"/>
        <v>0</v>
      </c>
      <c r="AD114" s="4" t="s">
        <v>521</v>
      </c>
      <c r="AE114" s="4" t="s">
        <v>522</v>
      </c>
      <c r="AF114" s="4" t="s">
        <v>429</v>
      </c>
    </row>
    <row r="115" spans="1:35" ht="36" x14ac:dyDescent="0.3">
      <c r="A115" s="10" t="s">
        <v>525</v>
      </c>
      <c r="B115" s="10"/>
      <c r="C115" s="24" t="s">
        <v>433</v>
      </c>
      <c r="D115" s="12"/>
      <c r="E115" s="12"/>
      <c r="F115" s="18" t="s">
        <v>70</v>
      </c>
      <c r="G115" s="19">
        <v>1.4999999999999999E-2</v>
      </c>
      <c r="H115" s="19"/>
      <c r="I115" s="19">
        <v>0</v>
      </c>
      <c r="J115" s="21">
        <v>88.8</v>
      </c>
      <c r="M115" s="22">
        <f>ROUND(ROUND(J115, 2)*I115, 2)</f>
        <v>0</v>
      </c>
      <c r="P115" s="21">
        <v>88.8</v>
      </c>
      <c r="S115" s="22">
        <f>ROUND(ROUND(P115, 2)*I115, 2)</f>
        <v>0</v>
      </c>
      <c r="V115" s="9">
        <f>ROUND(ROUND(P115, 2)/1.2, 2)</f>
        <v>74</v>
      </c>
      <c r="Y115" s="9">
        <f t="shared" si="15"/>
        <v>0</v>
      </c>
      <c r="AD115" s="4" t="s">
        <v>526</v>
      </c>
      <c r="AE115" s="4" t="s">
        <v>527</v>
      </c>
      <c r="AF115" s="4" t="s">
        <v>436</v>
      </c>
    </row>
    <row r="116" spans="1:35" ht="36" x14ac:dyDescent="0.3">
      <c r="A116" s="10" t="s">
        <v>530</v>
      </c>
      <c r="B116" s="10" t="s">
        <v>531</v>
      </c>
      <c r="C116" s="11" t="s">
        <v>532</v>
      </c>
      <c r="D116" s="12"/>
      <c r="E116" s="12" t="s">
        <v>533</v>
      </c>
      <c r="F116" s="12" t="s">
        <v>87</v>
      </c>
      <c r="G116" s="13">
        <v>1</v>
      </c>
      <c r="H116" s="13"/>
      <c r="I116" s="13">
        <v>0</v>
      </c>
      <c r="J116" s="14">
        <f>IFERROR(ROUND(SUM(M117,M118)/I116, 2),0)</f>
        <v>0</v>
      </c>
      <c r="K116" s="15">
        <v>164</v>
      </c>
      <c r="L116" s="14">
        <f>J116+ROUND(K116, 2)</f>
        <v>164</v>
      </c>
      <c r="M116" s="14">
        <f>ROUND(J116*I116, 2)</f>
        <v>0</v>
      </c>
      <c r="N116" s="14">
        <f>ROUND(I116*ROUND(K116, 2), 2)</f>
        <v>0</v>
      </c>
      <c r="O116" s="14">
        <f>M116+N116</f>
        <v>0</v>
      </c>
      <c r="P116" s="14">
        <f>IFERROR(ROUND(SUM(S117,S118)/I116, 2),0)</f>
        <v>0</v>
      </c>
      <c r="Q116" s="15">
        <v>156</v>
      </c>
      <c r="R116" s="14">
        <f>P116+ROUND(Q116, 2)</f>
        <v>156</v>
      </c>
      <c r="S116" s="14">
        <f>ROUND(P116*I116, 2)</f>
        <v>0</v>
      </c>
      <c r="T116" s="14">
        <f>ROUND(I116*ROUND(Q116, 2), 2)</f>
        <v>0</v>
      </c>
      <c r="U116" s="14">
        <f>S116+T116</f>
        <v>0</v>
      </c>
      <c r="V116" s="9">
        <f>ROUND(P116 / 1.2, 2)</f>
        <v>0</v>
      </c>
      <c r="W116" s="9">
        <f>ROUND(Q116 / 1.2, 2)</f>
        <v>130</v>
      </c>
      <c r="X116" s="9">
        <f>ROUND(R116 / 1.2, 2)</f>
        <v>130</v>
      </c>
      <c r="Y116" s="9">
        <f t="shared" si="15"/>
        <v>0</v>
      </c>
      <c r="Z116" s="9">
        <f>ROUND(T116 / 1.2, 2)</f>
        <v>0</v>
      </c>
      <c r="AA116" s="9">
        <f>Y116+Z116</f>
        <v>0</v>
      </c>
      <c r="AD116" s="4">
        <v>298925287</v>
      </c>
      <c r="AE116" s="4">
        <v>16293719</v>
      </c>
      <c r="AG116" s="4" t="s">
        <v>534</v>
      </c>
      <c r="AH116" s="4" t="s">
        <v>535</v>
      </c>
      <c r="AI116" s="4" t="s">
        <v>67</v>
      </c>
    </row>
    <row r="117" spans="1:35" ht="54" x14ac:dyDescent="0.3">
      <c r="A117" s="10" t="s">
        <v>537</v>
      </c>
      <c r="B117" s="10"/>
      <c r="C117" s="24" t="s">
        <v>538</v>
      </c>
      <c r="D117" s="12"/>
      <c r="E117" s="12" t="s">
        <v>539</v>
      </c>
      <c r="F117" s="18" t="s">
        <v>87</v>
      </c>
      <c r="G117" s="19">
        <v>1</v>
      </c>
      <c r="H117" s="20"/>
      <c r="I117" s="20">
        <v>0</v>
      </c>
      <c r="J117" s="21">
        <v>172.74</v>
      </c>
      <c r="M117" s="22">
        <f>ROUND(ROUND(J117, 2)*I117, 2)</f>
        <v>0</v>
      </c>
      <c r="P117" s="21">
        <v>172.74</v>
      </c>
      <c r="S117" s="22">
        <f>ROUND(ROUND(P117, 2)*I117, 2)</f>
        <v>0</v>
      </c>
      <c r="V117" s="9">
        <f>ROUND(ROUND(P117, 2)/1.2, 2)</f>
        <v>143.94999999999999</v>
      </c>
      <c r="Y117" s="9">
        <f t="shared" si="15"/>
        <v>0</v>
      </c>
      <c r="AD117" s="4" t="s">
        <v>540</v>
      </c>
      <c r="AE117" s="4" t="s">
        <v>541</v>
      </c>
      <c r="AF117" s="4" t="s">
        <v>542</v>
      </c>
    </row>
    <row r="118" spans="1:35" ht="54" x14ac:dyDescent="0.3">
      <c r="A118" s="10" t="s">
        <v>545</v>
      </c>
      <c r="B118" s="10"/>
      <c r="C118" s="24" t="s">
        <v>482</v>
      </c>
      <c r="D118" s="12"/>
      <c r="E118" s="12" t="s">
        <v>483</v>
      </c>
      <c r="F118" s="18" t="s">
        <v>116</v>
      </c>
      <c r="G118" s="19">
        <v>0.09</v>
      </c>
      <c r="H118" s="20"/>
      <c r="I118" s="20">
        <v>0</v>
      </c>
      <c r="J118" s="21">
        <v>100</v>
      </c>
      <c r="M118" s="22">
        <f>ROUND(ROUND(J118, 2)*I118, 2)</f>
        <v>0</v>
      </c>
      <c r="P118" s="21">
        <v>100</v>
      </c>
      <c r="S118" s="22">
        <f>ROUND(ROUND(P118, 2)*I118, 2)</f>
        <v>0</v>
      </c>
      <c r="V118" s="9">
        <f>ROUND(ROUND(P118, 2)/1.2, 2)</f>
        <v>83.33</v>
      </c>
      <c r="Y118" s="9">
        <f t="shared" si="15"/>
        <v>0</v>
      </c>
      <c r="AD118" s="4" t="s">
        <v>546</v>
      </c>
      <c r="AE118" s="4" t="s">
        <v>547</v>
      </c>
      <c r="AF118" s="4" t="s">
        <v>486</v>
      </c>
    </row>
    <row r="119" spans="1:35" ht="36" x14ac:dyDescent="0.3">
      <c r="A119" s="10" t="s">
        <v>550</v>
      </c>
      <c r="B119" s="10" t="s">
        <v>551</v>
      </c>
      <c r="C119" s="11" t="s">
        <v>552</v>
      </c>
      <c r="D119" s="12"/>
      <c r="E119" s="12" t="s">
        <v>63</v>
      </c>
      <c r="F119" s="12" t="s">
        <v>64</v>
      </c>
      <c r="G119" s="13">
        <v>1</v>
      </c>
      <c r="H119" s="13"/>
      <c r="I119" s="13">
        <v>0</v>
      </c>
      <c r="J119" s="14">
        <f>IFERROR(ROUND(SUM(M120,M121)/I119, 2),0)</f>
        <v>0</v>
      </c>
      <c r="K119" s="15">
        <v>661</v>
      </c>
      <c r="L119" s="14">
        <f>J119+ROUND(K119, 2)</f>
        <v>661</v>
      </c>
      <c r="M119" s="14">
        <f>ROUND(J119*I119, 2)</f>
        <v>0</v>
      </c>
      <c r="N119" s="14">
        <f>ROUND(I119*ROUND(K119, 2), 2)</f>
        <v>0</v>
      </c>
      <c r="O119" s="14">
        <f>M119+N119</f>
        <v>0</v>
      </c>
      <c r="P119" s="14">
        <f>IFERROR(ROUND(SUM(S120,S121)/I119, 2),0)</f>
        <v>0</v>
      </c>
      <c r="Q119" s="15">
        <v>661</v>
      </c>
      <c r="R119" s="14">
        <f>P119+ROUND(Q119, 2)</f>
        <v>661</v>
      </c>
      <c r="S119" s="14">
        <f>ROUND(P119*I119, 2)</f>
        <v>0</v>
      </c>
      <c r="T119" s="14">
        <f>ROUND(I119*ROUND(Q119, 2), 2)</f>
        <v>0</v>
      </c>
      <c r="U119" s="14">
        <f>S119+T119</f>
        <v>0</v>
      </c>
      <c r="V119" s="9">
        <f>ROUND(P119 / 1.2, 2)</f>
        <v>0</v>
      </c>
      <c r="W119" s="9">
        <f>ROUND(Q119 / 1.2, 2)</f>
        <v>550.83000000000004</v>
      </c>
      <c r="X119" s="9">
        <f>ROUND(R119 / 1.2, 2)</f>
        <v>550.83000000000004</v>
      </c>
      <c r="Y119" s="9">
        <f t="shared" si="15"/>
        <v>0</v>
      </c>
      <c r="Z119" s="9">
        <f>ROUND(T119 / 1.2, 2)</f>
        <v>0</v>
      </c>
      <c r="AA119" s="9">
        <f>Y119+Z119</f>
        <v>0</v>
      </c>
      <c r="AD119" s="4">
        <v>298925289</v>
      </c>
      <c r="AE119" s="4">
        <v>16296636</v>
      </c>
      <c r="AG119" s="4" t="s">
        <v>553</v>
      </c>
      <c r="AH119" s="4" t="s">
        <v>554</v>
      </c>
      <c r="AI119" s="4" t="s">
        <v>67</v>
      </c>
    </row>
    <row r="120" spans="1:35" ht="90" x14ac:dyDescent="0.3">
      <c r="A120" s="10" t="s">
        <v>556</v>
      </c>
      <c r="B120" s="10"/>
      <c r="C120" s="24" t="s">
        <v>557</v>
      </c>
      <c r="D120" s="12"/>
      <c r="E120" s="12" t="s">
        <v>558</v>
      </c>
      <c r="F120" s="18" t="s">
        <v>116</v>
      </c>
      <c r="G120" s="19">
        <v>1</v>
      </c>
      <c r="H120" s="20"/>
      <c r="I120" s="20">
        <v>0</v>
      </c>
      <c r="J120" s="21">
        <v>0</v>
      </c>
      <c r="M120" s="22">
        <f>ROUND(ROUND(J120, 2)*I120, 2)</f>
        <v>0</v>
      </c>
      <c r="P120" s="21">
        <v>4456</v>
      </c>
      <c r="S120" s="22">
        <f>ROUND(ROUND(P120, 2)*I120, 2)</f>
        <v>0</v>
      </c>
      <c r="V120" s="9">
        <f>ROUND(ROUND(P120, 2)/1.2, 2)</f>
        <v>3713.33</v>
      </c>
      <c r="Y120" s="9">
        <f t="shared" si="15"/>
        <v>0</v>
      </c>
      <c r="AD120" s="4" t="s">
        <v>559</v>
      </c>
      <c r="AE120" s="4" t="s">
        <v>560</v>
      </c>
      <c r="AF120" s="4" t="s">
        <v>561</v>
      </c>
    </row>
    <row r="121" spans="1:35" ht="90" x14ac:dyDescent="0.3">
      <c r="A121" s="10" t="s">
        <v>564</v>
      </c>
      <c r="B121" s="10"/>
      <c r="C121" s="24" t="s">
        <v>565</v>
      </c>
      <c r="D121" s="12"/>
      <c r="E121" s="12" t="s">
        <v>566</v>
      </c>
      <c r="F121" s="18" t="s">
        <v>64</v>
      </c>
      <c r="G121" s="19">
        <v>1.03</v>
      </c>
      <c r="H121" s="20"/>
      <c r="I121" s="20">
        <v>0</v>
      </c>
      <c r="J121" s="21">
        <v>0</v>
      </c>
      <c r="M121" s="22">
        <f>ROUND(ROUND(J121, 2)*I121, 2)</f>
        <v>0</v>
      </c>
      <c r="P121" s="21">
        <v>1500</v>
      </c>
      <c r="S121" s="22">
        <f>ROUND(ROUND(P121, 2)*I121, 2)</f>
        <v>0</v>
      </c>
      <c r="V121" s="9">
        <f>ROUND(ROUND(P121, 2)/1.2, 2)</f>
        <v>1250</v>
      </c>
      <c r="Y121" s="9">
        <f t="shared" si="15"/>
        <v>0</v>
      </c>
      <c r="AD121" s="4" t="s">
        <v>567</v>
      </c>
      <c r="AE121" s="4" t="s">
        <v>568</v>
      </c>
      <c r="AF121" s="4" t="s">
        <v>569</v>
      </c>
    </row>
    <row r="122" spans="1:35" ht="36" x14ac:dyDescent="0.3">
      <c r="A122" s="10" t="s">
        <v>572</v>
      </c>
      <c r="B122" s="10" t="s">
        <v>551</v>
      </c>
      <c r="C122" s="11" t="s">
        <v>552</v>
      </c>
      <c r="D122" s="12"/>
      <c r="E122" s="12" t="s">
        <v>81</v>
      </c>
      <c r="F122" s="12" t="s">
        <v>64</v>
      </c>
      <c r="G122" s="13">
        <v>1</v>
      </c>
      <c r="H122" s="13"/>
      <c r="I122" s="13">
        <v>3457.16</v>
      </c>
      <c r="J122" s="14">
        <f>IFERROR(ROUND(SUM(M123,M124)/I122, 2),0)</f>
        <v>0</v>
      </c>
      <c r="K122" s="15">
        <v>661</v>
      </c>
      <c r="L122" s="14">
        <f>J122+ROUND(K122, 2)</f>
        <v>661</v>
      </c>
      <c r="M122" s="14">
        <f>ROUND(J122*I122, 2)</f>
        <v>0</v>
      </c>
      <c r="N122" s="14">
        <f>ROUND(I122*ROUND(K122, 2), 2)</f>
        <v>2285182.7599999998</v>
      </c>
      <c r="O122" s="14">
        <f>M122+N122</f>
        <v>2285182.7599999998</v>
      </c>
      <c r="P122" s="14">
        <f>IFERROR(ROUND(SUM(S123,S124)/I122, 2),0)</f>
        <v>2545</v>
      </c>
      <c r="Q122" s="15">
        <v>661</v>
      </c>
      <c r="R122" s="14">
        <f>P122+ROUND(Q122, 2)</f>
        <v>3206</v>
      </c>
      <c r="S122" s="14">
        <f>ROUND(P122*I122, 2)</f>
        <v>8798472.1999999993</v>
      </c>
      <c r="T122" s="14">
        <f>ROUND(I122*ROUND(Q122, 2), 2)</f>
        <v>2285182.7599999998</v>
      </c>
      <c r="U122" s="14">
        <f>S122+T122</f>
        <v>11083654.959999999</v>
      </c>
      <c r="V122" s="9">
        <f>ROUND(P122 / 1.2, 2)</f>
        <v>2120.83</v>
      </c>
      <c r="W122" s="9">
        <f>ROUND(Q122 / 1.2, 2)</f>
        <v>550.83000000000004</v>
      </c>
      <c r="X122" s="9">
        <f>ROUND(R122 / 1.2, 2)</f>
        <v>2671.67</v>
      </c>
      <c r="Y122" s="9">
        <f t="shared" si="15"/>
        <v>7332060.1699999999</v>
      </c>
      <c r="Z122" s="9">
        <f>ROUND(T122 / 1.2, 2)</f>
        <v>1904318.97</v>
      </c>
      <c r="AA122" s="9">
        <f>Y122+Z122</f>
        <v>9236379.1400000006</v>
      </c>
      <c r="AD122" s="4">
        <v>298925377</v>
      </c>
      <c r="AE122" s="4">
        <v>19813231</v>
      </c>
      <c r="AG122" s="4" t="s">
        <v>553</v>
      </c>
      <c r="AH122" s="4" t="s">
        <v>554</v>
      </c>
      <c r="AI122" s="4" t="s">
        <v>67</v>
      </c>
    </row>
    <row r="123" spans="1:35" ht="90" x14ac:dyDescent="0.3">
      <c r="A123" s="10" t="s">
        <v>573</v>
      </c>
      <c r="B123" s="10"/>
      <c r="C123" s="24" t="s">
        <v>565</v>
      </c>
      <c r="D123" s="12"/>
      <c r="E123" s="12" t="s">
        <v>574</v>
      </c>
      <c r="F123" s="18" t="s">
        <v>64</v>
      </c>
      <c r="G123" s="19">
        <v>1.03</v>
      </c>
      <c r="H123" s="20"/>
      <c r="I123" s="20">
        <v>3560.875</v>
      </c>
      <c r="J123" s="21">
        <v>0</v>
      </c>
      <c r="M123" s="22">
        <f>ROUND(ROUND(J123, 2)*I123, 2)</f>
        <v>0</v>
      </c>
      <c r="P123" s="21">
        <v>1950</v>
      </c>
      <c r="S123" s="22">
        <f>ROUND(ROUND(P123, 2)*I123, 2)</f>
        <v>6943706.25</v>
      </c>
      <c r="V123" s="9">
        <f>ROUND(ROUND(P123, 2)/1.2, 2)</f>
        <v>1625</v>
      </c>
      <c r="Y123" s="9">
        <f t="shared" si="15"/>
        <v>5786421.8799999999</v>
      </c>
      <c r="AD123" s="4" t="s">
        <v>575</v>
      </c>
      <c r="AE123" s="4" t="s">
        <v>576</v>
      </c>
      <c r="AF123" s="4" t="s">
        <v>569</v>
      </c>
    </row>
    <row r="124" spans="1:35" ht="90" x14ac:dyDescent="0.3">
      <c r="A124" s="10" t="s">
        <v>577</v>
      </c>
      <c r="B124" s="10"/>
      <c r="C124" s="24" t="s">
        <v>557</v>
      </c>
      <c r="D124" s="12"/>
      <c r="E124" s="12" t="s">
        <v>558</v>
      </c>
      <c r="F124" s="18" t="s">
        <v>116</v>
      </c>
      <c r="G124" s="19">
        <v>1</v>
      </c>
      <c r="H124" s="20"/>
      <c r="I124" s="20">
        <v>408</v>
      </c>
      <c r="J124" s="21">
        <v>0</v>
      </c>
      <c r="M124" s="22">
        <f>ROUND(ROUND(J124, 2)*I124, 2)</f>
        <v>0</v>
      </c>
      <c r="P124" s="21">
        <v>4546</v>
      </c>
      <c r="S124" s="22">
        <f>ROUND(ROUND(P124, 2)*I124, 2)</f>
        <v>1854768</v>
      </c>
      <c r="V124" s="9">
        <f>ROUND(ROUND(P124, 2)/1.2, 2)</f>
        <v>3788.33</v>
      </c>
      <c r="Y124" s="9">
        <f t="shared" si="15"/>
        <v>1545640</v>
      </c>
      <c r="AD124" s="4" t="s">
        <v>578</v>
      </c>
      <c r="AE124" s="4" t="s">
        <v>579</v>
      </c>
      <c r="AF124" s="4" t="s">
        <v>561</v>
      </c>
    </row>
    <row r="125" spans="1:35" ht="36" x14ac:dyDescent="0.3">
      <c r="A125" s="10" t="s">
        <v>580</v>
      </c>
      <c r="B125" s="10" t="s">
        <v>581</v>
      </c>
      <c r="C125" s="11" t="s">
        <v>582</v>
      </c>
      <c r="D125" s="12"/>
      <c r="E125" s="12" t="s">
        <v>583</v>
      </c>
      <c r="F125" s="12" t="s">
        <v>87</v>
      </c>
      <c r="G125" s="13">
        <v>1</v>
      </c>
      <c r="H125" s="13"/>
      <c r="I125" s="13">
        <v>1560.93</v>
      </c>
      <c r="J125" s="14">
        <f>IFERROR(ROUND(SUM(M126)/I125, 2),0)</f>
        <v>379.23</v>
      </c>
      <c r="K125" s="15">
        <v>210</v>
      </c>
      <c r="L125" s="14">
        <f>J125+ROUND(K125, 2)</f>
        <v>589.23</v>
      </c>
      <c r="M125" s="14">
        <f>ROUND(J125*I125, 2)</f>
        <v>591951.48</v>
      </c>
      <c r="N125" s="14">
        <f>ROUND(I125*ROUND(K125, 2), 2)</f>
        <v>327795.3</v>
      </c>
      <c r="O125" s="14">
        <f>M125+N125</f>
        <v>919746.78</v>
      </c>
      <c r="P125" s="14">
        <f>IFERROR(ROUND(SUM(S126)/I125, 2),0)</f>
        <v>379.23</v>
      </c>
      <c r="Q125" s="15">
        <v>210</v>
      </c>
      <c r="R125" s="14">
        <f>P125+ROUND(Q125, 2)</f>
        <v>589.23</v>
      </c>
      <c r="S125" s="14">
        <f>ROUND(P125*I125, 2)</f>
        <v>591951.48</v>
      </c>
      <c r="T125" s="14">
        <f>ROUND(I125*ROUND(Q125, 2), 2)</f>
        <v>327795.3</v>
      </c>
      <c r="U125" s="14">
        <f>S125+T125</f>
        <v>919746.78</v>
      </c>
      <c r="V125" s="9">
        <f>ROUND(P125 / 1.2, 2)</f>
        <v>316.02999999999997</v>
      </c>
      <c r="W125" s="9">
        <f>ROUND(Q125 / 1.2, 2)</f>
        <v>175</v>
      </c>
      <c r="X125" s="9">
        <f>ROUND(R125 / 1.2, 2)</f>
        <v>491.03</v>
      </c>
      <c r="Y125" s="9">
        <f t="shared" si="15"/>
        <v>493292.9</v>
      </c>
      <c r="Z125" s="9">
        <f>ROUND(T125 / 1.2, 2)</f>
        <v>273162.75</v>
      </c>
      <c r="AA125" s="9">
        <f>Y125+Z125</f>
        <v>766455.65</v>
      </c>
      <c r="AD125" s="4">
        <v>298925291</v>
      </c>
      <c r="AE125" s="4">
        <v>19813576</v>
      </c>
      <c r="AG125" s="4" t="s">
        <v>584</v>
      </c>
      <c r="AH125" s="4" t="s">
        <v>585</v>
      </c>
      <c r="AI125" s="4" t="s">
        <v>67</v>
      </c>
    </row>
    <row r="126" spans="1:35" ht="72" x14ac:dyDescent="0.3">
      <c r="A126" s="10" t="s">
        <v>586</v>
      </c>
      <c r="B126" s="10"/>
      <c r="C126" s="24" t="s">
        <v>587</v>
      </c>
      <c r="D126" s="12"/>
      <c r="E126" s="12"/>
      <c r="F126" s="18" t="s">
        <v>87</v>
      </c>
      <c r="G126" s="19">
        <v>1.1000000000000001</v>
      </c>
      <c r="H126" s="20"/>
      <c r="I126" s="20">
        <v>1717.0229999999999</v>
      </c>
      <c r="J126" s="21">
        <v>344.75</v>
      </c>
      <c r="M126" s="22">
        <f>ROUND(ROUND(J126, 2)*I126, 2)</f>
        <v>591943.68000000005</v>
      </c>
      <c r="P126" s="21">
        <v>344.75</v>
      </c>
      <c r="S126" s="22">
        <f>ROUND(ROUND(P126, 2)*I126, 2)</f>
        <v>591943.68000000005</v>
      </c>
      <c r="V126" s="9">
        <f>ROUND(ROUND(P126, 2)/1.2, 2)</f>
        <v>287.29000000000002</v>
      </c>
      <c r="Y126" s="9">
        <f t="shared" si="15"/>
        <v>493286.40000000002</v>
      </c>
      <c r="AD126" s="4" t="s">
        <v>588</v>
      </c>
      <c r="AE126" s="4" t="s">
        <v>589</v>
      </c>
      <c r="AF126" s="4" t="s">
        <v>590</v>
      </c>
    </row>
    <row r="127" spans="1:35" ht="36" x14ac:dyDescent="0.3">
      <c r="A127" s="10" t="s">
        <v>591</v>
      </c>
      <c r="B127" s="10" t="s">
        <v>581</v>
      </c>
      <c r="C127" s="11" t="s">
        <v>582</v>
      </c>
      <c r="D127" s="12"/>
      <c r="E127" s="12" t="s">
        <v>533</v>
      </c>
      <c r="F127" s="12" t="s">
        <v>87</v>
      </c>
      <c r="G127" s="13">
        <v>1</v>
      </c>
      <c r="H127" s="13"/>
      <c r="I127" s="13">
        <v>1769.72</v>
      </c>
      <c r="J127" s="14">
        <f>IFERROR(ROUND(SUM(M128)/I127, 2),0)</f>
        <v>379.23</v>
      </c>
      <c r="K127" s="15">
        <v>210</v>
      </c>
      <c r="L127" s="14">
        <f>J127+ROUND(K127, 2)</f>
        <v>589.23</v>
      </c>
      <c r="M127" s="14">
        <f>ROUND(J127*I127, 2)</f>
        <v>671130.92</v>
      </c>
      <c r="N127" s="14">
        <f>ROUND(I127*ROUND(K127, 2), 2)</f>
        <v>371641.2</v>
      </c>
      <c r="O127" s="14">
        <f>M127+N127</f>
        <v>1042772.1200000001</v>
      </c>
      <c r="P127" s="14">
        <f>IFERROR(ROUND(SUM(S128)/I127, 2),0)</f>
        <v>379.23</v>
      </c>
      <c r="Q127" s="15">
        <v>210</v>
      </c>
      <c r="R127" s="14">
        <f>P127+ROUND(Q127, 2)</f>
        <v>589.23</v>
      </c>
      <c r="S127" s="14">
        <f>ROUND(P127*I127, 2)</f>
        <v>671130.92</v>
      </c>
      <c r="T127" s="14">
        <f>ROUND(I127*ROUND(Q127, 2), 2)</f>
        <v>371641.2</v>
      </c>
      <c r="U127" s="14">
        <f>S127+T127</f>
        <v>1042772.1200000001</v>
      </c>
      <c r="V127" s="9">
        <f>ROUND(P127 / 1.2, 2)</f>
        <v>316.02999999999997</v>
      </c>
      <c r="W127" s="9">
        <f>ROUND(Q127 / 1.2, 2)</f>
        <v>175</v>
      </c>
      <c r="X127" s="9">
        <f>ROUND(R127 / 1.2, 2)</f>
        <v>491.03</v>
      </c>
      <c r="Y127" s="9">
        <f t="shared" ref="Y127:Y163" si="16">ROUND(S127 / 1.2, 2)</f>
        <v>559275.77</v>
      </c>
      <c r="Z127" s="9">
        <f>ROUND(T127 / 1.2, 2)</f>
        <v>309701</v>
      </c>
      <c r="AA127" s="9">
        <f>Y127+Z127</f>
        <v>868976.77</v>
      </c>
      <c r="AD127" s="4">
        <v>298925378</v>
      </c>
      <c r="AE127" s="4">
        <v>19971569</v>
      </c>
      <c r="AG127" s="4" t="s">
        <v>584</v>
      </c>
      <c r="AH127" s="4" t="s">
        <v>585</v>
      </c>
      <c r="AI127" s="4" t="s">
        <v>67</v>
      </c>
    </row>
    <row r="128" spans="1:35" ht="72" x14ac:dyDescent="0.3">
      <c r="A128" s="10" t="s">
        <v>592</v>
      </c>
      <c r="B128" s="10"/>
      <c r="C128" s="24" t="s">
        <v>587</v>
      </c>
      <c r="D128" s="12"/>
      <c r="E128" s="12"/>
      <c r="F128" s="18" t="s">
        <v>87</v>
      </c>
      <c r="G128" s="19">
        <v>1.1000000000000001</v>
      </c>
      <c r="H128" s="20"/>
      <c r="I128" s="20">
        <v>1946.692</v>
      </c>
      <c r="J128" s="21">
        <v>344.75</v>
      </c>
      <c r="M128" s="22">
        <f>ROUND(ROUND(J128, 2)*I128, 2)</f>
        <v>671122.07</v>
      </c>
      <c r="P128" s="21">
        <v>344.75</v>
      </c>
      <c r="S128" s="22">
        <f>ROUND(ROUND(P128, 2)*I128, 2)</f>
        <v>671122.07</v>
      </c>
      <c r="V128" s="9">
        <f>ROUND(ROUND(P128, 2)/1.2, 2)</f>
        <v>287.29000000000002</v>
      </c>
      <c r="Y128" s="9">
        <f t="shared" si="16"/>
        <v>559268.39</v>
      </c>
      <c r="AD128" s="4" t="s">
        <v>593</v>
      </c>
      <c r="AE128" s="4" t="s">
        <v>594</v>
      </c>
      <c r="AF128" s="4" t="s">
        <v>590</v>
      </c>
    </row>
    <row r="129" spans="1:35" ht="36" x14ac:dyDescent="0.3">
      <c r="A129" s="10" t="s">
        <v>595</v>
      </c>
      <c r="B129" s="10" t="s">
        <v>596</v>
      </c>
      <c r="C129" s="11" t="s">
        <v>597</v>
      </c>
      <c r="D129" s="12"/>
      <c r="E129" s="12" t="s">
        <v>81</v>
      </c>
      <c r="F129" s="12" t="s">
        <v>87</v>
      </c>
      <c r="G129" s="13">
        <v>1</v>
      </c>
      <c r="H129" s="13"/>
      <c r="I129" s="13">
        <v>137.82</v>
      </c>
      <c r="J129" s="14">
        <f>IFERROR(ROUND(SUM(M130,M131,M132,M133)/I129, 2),0)</f>
        <v>375.15</v>
      </c>
      <c r="K129" s="15">
        <v>473</v>
      </c>
      <c r="L129" s="14">
        <f>J129+ROUND(K129, 2)</f>
        <v>848.15</v>
      </c>
      <c r="M129" s="14">
        <f>ROUND(J129*I129, 2)</f>
        <v>51703.17</v>
      </c>
      <c r="N129" s="14">
        <f>ROUND(I129*ROUND(K129, 2), 2)</f>
        <v>65188.86</v>
      </c>
      <c r="O129" s="14">
        <f>M129+N129</f>
        <v>116892.03</v>
      </c>
      <c r="P129" s="14">
        <f>IFERROR(ROUND(SUM(S130,S131,S132,S133)/I129, 2),0)</f>
        <v>375.15</v>
      </c>
      <c r="Q129" s="15">
        <v>473</v>
      </c>
      <c r="R129" s="14">
        <f>P129+ROUND(Q129, 2)</f>
        <v>848.15</v>
      </c>
      <c r="S129" s="14">
        <f>ROUND(P129*I129, 2)</f>
        <v>51703.17</v>
      </c>
      <c r="T129" s="14">
        <f>ROUND(I129*ROUND(Q129, 2), 2)</f>
        <v>65188.86</v>
      </c>
      <c r="U129" s="14">
        <f>S129+T129</f>
        <v>116892.03</v>
      </c>
      <c r="V129" s="9">
        <f>ROUND(P129 / 1.2, 2)</f>
        <v>312.63</v>
      </c>
      <c r="W129" s="9">
        <f>ROUND(Q129 / 1.2, 2)</f>
        <v>394.17</v>
      </c>
      <c r="X129" s="9">
        <f>ROUND(R129 / 1.2, 2)</f>
        <v>706.79</v>
      </c>
      <c r="Y129" s="9">
        <f t="shared" si="16"/>
        <v>43085.98</v>
      </c>
      <c r="Z129" s="9">
        <f>ROUND(T129 / 1.2, 2)</f>
        <v>54324.05</v>
      </c>
      <c r="AA129" s="9">
        <f>Y129+Z129</f>
        <v>97410.03</v>
      </c>
      <c r="AD129" s="4">
        <v>298925293</v>
      </c>
      <c r="AE129" s="4">
        <v>19813577</v>
      </c>
      <c r="AG129" s="4" t="s">
        <v>598</v>
      </c>
      <c r="AH129" s="4" t="s">
        <v>599</v>
      </c>
      <c r="AI129" s="4" t="s">
        <v>67</v>
      </c>
    </row>
    <row r="130" spans="1:35" ht="54" x14ac:dyDescent="0.3">
      <c r="A130" s="10" t="s">
        <v>600</v>
      </c>
      <c r="B130" s="10"/>
      <c r="C130" s="17" t="s">
        <v>601</v>
      </c>
      <c r="D130" s="12"/>
      <c r="E130" s="12" t="s">
        <v>402</v>
      </c>
      <c r="F130" s="18" t="s">
        <v>70</v>
      </c>
      <c r="G130" s="19">
        <v>0.7</v>
      </c>
      <c r="H130" s="20"/>
      <c r="I130" s="20">
        <v>96.474000000000004</v>
      </c>
      <c r="J130" s="21">
        <v>16.11</v>
      </c>
      <c r="M130" s="22">
        <f>ROUND(ROUND(J130, 2)*I130, 2)</f>
        <v>1554.2</v>
      </c>
      <c r="P130" s="21">
        <v>16.11</v>
      </c>
      <c r="S130" s="22">
        <f>ROUND(ROUND(P130, 2)*I130, 2)</f>
        <v>1554.2</v>
      </c>
      <c r="V130" s="9">
        <f>ROUND(ROUND(P130, 2)/1.2, 2)</f>
        <v>13.43</v>
      </c>
      <c r="Y130" s="9">
        <f t="shared" si="16"/>
        <v>1295.17</v>
      </c>
      <c r="AD130" s="4" t="s">
        <v>602</v>
      </c>
      <c r="AE130" s="4" t="s">
        <v>603</v>
      </c>
      <c r="AF130" s="4" t="s">
        <v>604</v>
      </c>
    </row>
    <row r="131" spans="1:35" ht="72" x14ac:dyDescent="0.3">
      <c r="A131" s="10" t="s">
        <v>605</v>
      </c>
      <c r="B131" s="10"/>
      <c r="C131" s="24" t="s">
        <v>606</v>
      </c>
      <c r="D131" s="12"/>
      <c r="E131" s="12" t="s">
        <v>607</v>
      </c>
      <c r="F131" s="18" t="s">
        <v>116</v>
      </c>
      <c r="G131" s="19">
        <v>1.84</v>
      </c>
      <c r="H131" s="20"/>
      <c r="I131" s="20">
        <v>253.589</v>
      </c>
      <c r="J131" s="21">
        <v>196</v>
      </c>
      <c r="M131" s="22">
        <f>ROUND(ROUND(J131, 2)*I131, 2)</f>
        <v>49703.44</v>
      </c>
      <c r="P131" s="21">
        <v>196</v>
      </c>
      <c r="S131" s="22">
        <f>ROUND(ROUND(P131, 2)*I131, 2)</f>
        <v>49703.44</v>
      </c>
      <c r="V131" s="9">
        <f>ROUND(ROUND(P131, 2)/1.2, 2)</f>
        <v>163.33000000000001</v>
      </c>
      <c r="Y131" s="9">
        <f t="shared" si="16"/>
        <v>41419.53</v>
      </c>
      <c r="AD131" s="4" t="s">
        <v>608</v>
      </c>
      <c r="AE131" s="4" t="s">
        <v>609</v>
      </c>
      <c r="AF131" s="4" t="s">
        <v>610</v>
      </c>
    </row>
    <row r="132" spans="1:35" ht="54" x14ac:dyDescent="0.3">
      <c r="A132" s="10" t="s">
        <v>611</v>
      </c>
      <c r="B132" s="10"/>
      <c r="C132" s="24" t="s">
        <v>612</v>
      </c>
      <c r="D132" s="12"/>
      <c r="E132" s="12" t="s">
        <v>613</v>
      </c>
      <c r="F132" s="18" t="s">
        <v>70</v>
      </c>
      <c r="G132" s="19">
        <v>0.04</v>
      </c>
      <c r="H132" s="19"/>
      <c r="I132" s="19">
        <v>5.5129999999999999</v>
      </c>
      <c r="J132" s="21">
        <v>47.44</v>
      </c>
      <c r="M132" s="22">
        <f>ROUND(ROUND(J132, 2)*I132, 2)</f>
        <v>261.54000000000002</v>
      </c>
      <c r="P132" s="21">
        <v>47.44</v>
      </c>
      <c r="S132" s="22">
        <f>ROUND(ROUND(P132, 2)*I132, 2)</f>
        <v>261.54000000000002</v>
      </c>
      <c r="V132" s="9">
        <f>ROUND(ROUND(P132, 2)/1.2, 2)</f>
        <v>39.53</v>
      </c>
      <c r="Y132" s="9">
        <f t="shared" si="16"/>
        <v>217.95</v>
      </c>
      <c r="AD132" s="4" t="s">
        <v>614</v>
      </c>
      <c r="AE132" s="4" t="s">
        <v>615</v>
      </c>
      <c r="AF132" s="4" t="s">
        <v>616</v>
      </c>
    </row>
    <row r="133" spans="1:35" ht="36" x14ac:dyDescent="0.3">
      <c r="A133" s="10" t="s">
        <v>617</v>
      </c>
      <c r="B133" s="10"/>
      <c r="C133" s="24" t="s">
        <v>433</v>
      </c>
      <c r="D133" s="12"/>
      <c r="E133" s="12"/>
      <c r="F133" s="18" t="s">
        <v>70</v>
      </c>
      <c r="G133" s="19">
        <v>1.4999999999999999E-2</v>
      </c>
      <c r="H133" s="19"/>
      <c r="I133" s="19">
        <v>2.0670000000000002</v>
      </c>
      <c r="J133" s="21">
        <v>88.8</v>
      </c>
      <c r="M133" s="22">
        <f>ROUND(ROUND(J133, 2)*I133, 2)</f>
        <v>183.55</v>
      </c>
      <c r="P133" s="21">
        <v>88.8</v>
      </c>
      <c r="S133" s="22">
        <f>ROUND(ROUND(P133, 2)*I133, 2)</f>
        <v>183.55</v>
      </c>
      <c r="V133" s="9">
        <f>ROUND(ROUND(P133, 2)/1.2, 2)</f>
        <v>74</v>
      </c>
      <c r="Y133" s="9">
        <f t="shared" si="16"/>
        <v>152.96</v>
      </c>
      <c r="AD133" s="4" t="s">
        <v>618</v>
      </c>
      <c r="AE133" s="4" t="s">
        <v>619</v>
      </c>
      <c r="AF133" s="4" t="s">
        <v>436</v>
      </c>
    </row>
    <row r="134" spans="1:35" ht="36" x14ac:dyDescent="0.3">
      <c r="A134" s="10" t="s">
        <v>620</v>
      </c>
      <c r="B134" s="10" t="s">
        <v>596</v>
      </c>
      <c r="C134" s="11" t="s">
        <v>597</v>
      </c>
      <c r="D134" s="12"/>
      <c r="E134" s="12" t="s">
        <v>81</v>
      </c>
      <c r="F134" s="12" t="s">
        <v>87</v>
      </c>
      <c r="G134" s="13">
        <v>1</v>
      </c>
      <c r="H134" s="13"/>
      <c r="I134" s="13">
        <v>23.84</v>
      </c>
      <c r="J134" s="14">
        <f>IFERROR(ROUND(SUM(M135,M136,M137,M138)/I134, 2),0)</f>
        <v>63.72</v>
      </c>
      <c r="K134" s="15">
        <v>473</v>
      </c>
      <c r="L134" s="14">
        <f>J134+ROUND(K134, 2)</f>
        <v>536.72</v>
      </c>
      <c r="M134" s="14">
        <f>ROUND(J134*I134, 2)</f>
        <v>1519.08</v>
      </c>
      <c r="N134" s="14">
        <f>ROUND(I134*ROUND(K134, 2), 2)</f>
        <v>11276.32</v>
      </c>
      <c r="O134" s="14">
        <f>M134+N134</f>
        <v>12795.4</v>
      </c>
      <c r="P134" s="14">
        <f>IFERROR(ROUND(SUM(S135,S136,S137,S138)/I134, 2),0)</f>
        <v>63.72</v>
      </c>
      <c r="Q134" s="15">
        <v>473</v>
      </c>
      <c r="R134" s="14">
        <f>P134+ROUND(Q134, 2)</f>
        <v>536.72</v>
      </c>
      <c r="S134" s="14">
        <f>ROUND(P134*I134, 2)</f>
        <v>1519.08</v>
      </c>
      <c r="T134" s="14">
        <f>ROUND(I134*ROUND(Q134, 2), 2)</f>
        <v>11276.32</v>
      </c>
      <c r="U134" s="14">
        <f>S134+T134</f>
        <v>12795.4</v>
      </c>
      <c r="V134" s="9">
        <f>ROUND(P134 / 1.2, 2)</f>
        <v>53.1</v>
      </c>
      <c r="W134" s="9">
        <f>ROUND(Q134 / 1.2, 2)</f>
        <v>394.17</v>
      </c>
      <c r="X134" s="9">
        <f>ROUND(R134 / 1.2, 2)</f>
        <v>447.27</v>
      </c>
      <c r="Y134" s="9">
        <f t="shared" si="16"/>
        <v>1265.9000000000001</v>
      </c>
      <c r="Z134" s="9">
        <f>ROUND(T134 / 1.2, 2)</f>
        <v>9396.93</v>
      </c>
      <c r="AA134" s="9">
        <f>Y134+Z134</f>
        <v>10662.83</v>
      </c>
      <c r="AD134" s="4">
        <v>298925379</v>
      </c>
      <c r="AE134" s="4">
        <v>19820657</v>
      </c>
      <c r="AG134" s="4" t="s">
        <v>598</v>
      </c>
      <c r="AH134" s="4" t="s">
        <v>599</v>
      </c>
      <c r="AI134" s="4" t="s">
        <v>67</v>
      </c>
    </row>
    <row r="135" spans="1:35" ht="36" x14ac:dyDescent="0.3">
      <c r="A135" s="10" t="s">
        <v>621</v>
      </c>
      <c r="B135" s="10"/>
      <c r="C135" s="24" t="s">
        <v>433</v>
      </c>
      <c r="D135" s="12"/>
      <c r="E135" s="12"/>
      <c r="F135" s="18" t="s">
        <v>70</v>
      </c>
      <c r="G135" s="19">
        <v>1.4999999999999999E-2</v>
      </c>
      <c r="H135" s="19"/>
      <c r="I135" s="19">
        <v>0.35799999999999998</v>
      </c>
      <c r="J135" s="21">
        <v>88.8</v>
      </c>
      <c r="M135" s="22">
        <f>ROUND(ROUND(J135, 2)*I135, 2)</f>
        <v>31.79</v>
      </c>
      <c r="P135" s="21">
        <v>88.8</v>
      </c>
      <c r="S135" s="22">
        <f>ROUND(ROUND(P135, 2)*I135, 2)</f>
        <v>31.79</v>
      </c>
      <c r="V135" s="9">
        <f>ROUND(ROUND(P135, 2)/1.2, 2)</f>
        <v>74</v>
      </c>
      <c r="Y135" s="9">
        <f t="shared" si="16"/>
        <v>26.49</v>
      </c>
      <c r="AD135" s="4" t="s">
        <v>622</v>
      </c>
      <c r="AE135" s="4" t="s">
        <v>623</v>
      </c>
      <c r="AF135" s="4" t="s">
        <v>436</v>
      </c>
    </row>
    <row r="136" spans="1:35" ht="18" x14ac:dyDescent="0.3">
      <c r="A136" s="10" t="s">
        <v>624</v>
      </c>
      <c r="B136" s="10"/>
      <c r="C136" s="24" t="s">
        <v>612</v>
      </c>
      <c r="D136" s="12"/>
      <c r="E136" s="12"/>
      <c r="F136" s="18" t="s">
        <v>70</v>
      </c>
      <c r="G136" s="19">
        <v>0.04</v>
      </c>
      <c r="H136" s="19"/>
      <c r="I136" s="19">
        <v>0.95399999999999996</v>
      </c>
      <c r="J136" s="21">
        <v>47.44</v>
      </c>
      <c r="M136" s="22">
        <f>ROUND(ROUND(J136, 2)*I136, 2)</f>
        <v>45.26</v>
      </c>
      <c r="P136" s="21">
        <v>47.44</v>
      </c>
      <c r="S136" s="22">
        <f>ROUND(ROUND(P136, 2)*I136, 2)</f>
        <v>45.26</v>
      </c>
      <c r="V136" s="9">
        <f>ROUND(ROUND(P136, 2)/1.2, 2)</f>
        <v>39.53</v>
      </c>
      <c r="Y136" s="9">
        <f t="shared" si="16"/>
        <v>37.72</v>
      </c>
      <c r="AD136" s="4" t="s">
        <v>625</v>
      </c>
      <c r="AE136" s="4" t="s">
        <v>626</v>
      </c>
      <c r="AF136" s="4" t="s">
        <v>616</v>
      </c>
    </row>
    <row r="137" spans="1:35" ht="90" x14ac:dyDescent="0.3">
      <c r="A137" s="10" t="s">
        <v>627</v>
      </c>
      <c r="B137" s="10"/>
      <c r="C137" s="17" t="s">
        <v>628</v>
      </c>
      <c r="D137" s="12"/>
      <c r="E137" s="12" t="s">
        <v>629</v>
      </c>
      <c r="F137" s="18" t="s">
        <v>64</v>
      </c>
      <c r="G137" s="19">
        <v>0.11</v>
      </c>
      <c r="H137" s="19"/>
      <c r="I137" s="19">
        <v>2.6219999999999999</v>
      </c>
      <c r="J137" s="21">
        <v>447.41</v>
      </c>
      <c r="M137" s="22">
        <f>ROUND(ROUND(J137, 2)*I137, 2)</f>
        <v>1173.1099999999999</v>
      </c>
      <c r="P137" s="21">
        <v>447.41</v>
      </c>
      <c r="S137" s="22">
        <f>ROUND(ROUND(P137, 2)*I137, 2)</f>
        <v>1173.1099999999999</v>
      </c>
      <c r="V137" s="9">
        <f>ROUND(ROUND(P137, 2)/1.2, 2)</f>
        <v>372.84</v>
      </c>
      <c r="Y137" s="9">
        <f t="shared" si="16"/>
        <v>977.59</v>
      </c>
      <c r="AD137" s="4" t="s">
        <v>630</v>
      </c>
      <c r="AE137" s="4" t="s">
        <v>631</v>
      </c>
      <c r="AF137" s="4" t="s">
        <v>632</v>
      </c>
    </row>
    <row r="138" spans="1:35" ht="54" x14ac:dyDescent="0.3">
      <c r="A138" s="10" t="s">
        <v>633</v>
      </c>
      <c r="B138" s="10"/>
      <c r="C138" s="17" t="s">
        <v>601</v>
      </c>
      <c r="D138" s="12"/>
      <c r="E138" s="12" t="s">
        <v>402</v>
      </c>
      <c r="F138" s="18" t="s">
        <v>70</v>
      </c>
      <c r="G138" s="19">
        <v>0.7</v>
      </c>
      <c r="H138" s="20"/>
      <c r="I138" s="20">
        <v>16.687999999999999</v>
      </c>
      <c r="J138" s="21">
        <v>16.11</v>
      </c>
      <c r="M138" s="22">
        <f>ROUND(ROUND(J138, 2)*I138, 2)</f>
        <v>268.83999999999997</v>
      </c>
      <c r="P138" s="21">
        <v>16.11</v>
      </c>
      <c r="S138" s="22">
        <f>ROUND(ROUND(P138, 2)*I138, 2)</f>
        <v>268.83999999999997</v>
      </c>
      <c r="V138" s="9">
        <f>ROUND(ROUND(P138, 2)/1.2, 2)</f>
        <v>13.43</v>
      </c>
      <c r="Y138" s="9">
        <f t="shared" si="16"/>
        <v>224.03</v>
      </c>
      <c r="AD138" s="4" t="s">
        <v>634</v>
      </c>
      <c r="AE138" s="4" t="s">
        <v>635</v>
      </c>
      <c r="AF138" s="4" t="s">
        <v>604</v>
      </c>
    </row>
    <row r="139" spans="1:35" ht="36" x14ac:dyDescent="0.3">
      <c r="A139" s="10" t="s">
        <v>636</v>
      </c>
      <c r="B139" s="10" t="s">
        <v>596</v>
      </c>
      <c r="C139" s="11" t="s">
        <v>597</v>
      </c>
      <c r="D139" s="12"/>
      <c r="E139" s="12" t="s">
        <v>507</v>
      </c>
      <c r="F139" s="12" t="s">
        <v>87</v>
      </c>
      <c r="G139" s="13">
        <v>1</v>
      </c>
      <c r="H139" s="13"/>
      <c r="I139" s="13">
        <v>216.92</v>
      </c>
      <c r="J139" s="14">
        <f>IFERROR(ROUND(SUM(M140,M141,M142,M143)/I139, 2),0)</f>
        <v>375.15</v>
      </c>
      <c r="K139" s="15">
        <v>473</v>
      </c>
      <c r="L139" s="14">
        <f>J139+ROUND(K139, 2)</f>
        <v>848.15</v>
      </c>
      <c r="M139" s="14">
        <f>ROUND(J139*I139, 2)</f>
        <v>81377.539999999994</v>
      </c>
      <c r="N139" s="14">
        <f>ROUND(I139*ROUND(K139, 2), 2)</f>
        <v>102603.16</v>
      </c>
      <c r="O139" s="14">
        <f>M139+N139</f>
        <v>183980.7</v>
      </c>
      <c r="P139" s="14">
        <f>IFERROR(ROUND(SUM(S140,S141,S142,S143)/I139, 2),0)</f>
        <v>375.15</v>
      </c>
      <c r="Q139" s="15">
        <v>473</v>
      </c>
      <c r="R139" s="14">
        <f>P139+ROUND(Q139, 2)</f>
        <v>848.15</v>
      </c>
      <c r="S139" s="14">
        <f>ROUND(P139*I139, 2)</f>
        <v>81377.539999999994</v>
      </c>
      <c r="T139" s="14">
        <f>ROUND(I139*ROUND(Q139, 2), 2)</f>
        <v>102603.16</v>
      </c>
      <c r="U139" s="14">
        <f>S139+T139</f>
        <v>183980.7</v>
      </c>
      <c r="V139" s="9">
        <f>ROUND(P139 / 1.2, 2)</f>
        <v>312.63</v>
      </c>
      <c r="W139" s="9">
        <f>ROUND(Q139 / 1.2, 2)</f>
        <v>394.17</v>
      </c>
      <c r="X139" s="9">
        <f>ROUND(R139 / 1.2, 2)</f>
        <v>706.79</v>
      </c>
      <c r="Y139" s="9">
        <f t="shared" si="16"/>
        <v>67814.62</v>
      </c>
      <c r="Z139" s="9">
        <f>ROUND(T139 / 1.2, 2)</f>
        <v>85502.63</v>
      </c>
      <c r="AA139" s="9">
        <f>Y139+Z139</f>
        <v>153317.25</v>
      </c>
      <c r="AD139" s="4">
        <v>298925380</v>
      </c>
      <c r="AE139" s="4">
        <v>19972701</v>
      </c>
      <c r="AG139" s="4" t="s">
        <v>598</v>
      </c>
      <c r="AH139" s="4" t="s">
        <v>599</v>
      </c>
      <c r="AI139" s="4" t="s">
        <v>67</v>
      </c>
    </row>
    <row r="140" spans="1:35" ht="72" x14ac:dyDescent="0.3">
      <c r="A140" s="10" t="s">
        <v>637</v>
      </c>
      <c r="B140" s="10"/>
      <c r="C140" s="17" t="s">
        <v>601</v>
      </c>
      <c r="D140" s="12"/>
      <c r="E140" s="12" t="s">
        <v>638</v>
      </c>
      <c r="F140" s="18" t="s">
        <v>70</v>
      </c>
      <c r="G140" s="19">
        <v>0.7</v>
      </c>
      <c r="H140" s="20"/>
      <c r="I140" s="20">
        <v>151.84399999999999</v>
      </c>
      <c r="J140" s="21">
        <v>16.11</v>
      </c>
      <c r="M140" s="22">
        <f>ROUND(ROUND(J140, 2)*I140, 2)</f>
        <v>2446.21</v>
      </c>
      <c r="P140" s="21">
        <v>16.11</v>
      </c>
      <c r="S140" s="22">
        <f>ROUND(ROUND(P140, 2)*I140, 2)</f>
        <v>2446.21</v>
      </c>
      <c r="V140" s="9">
        <f>ROUND(ROUND(P140, 2)/1.2, 2)</f>
        <v>13.43</v>
      </c>
      <c r="Y140" s="9">
        <f t="shared" si="16"/>
        <v>2038.51</v>
      </c>
      <c r="AD140" s="4" t="s">
        <v>639</v>
      </c>
      <c r="AE140" s="4" t="s">
        <v>640</v>
      </c>
      <c r="AF140" s="4" t="s">
        <v>604</v>
      </c>
    </row>
    <row r="141" spans="1:35" ht="54" x14ac:dyDescent="0.3">
      <c r="A141" s="10" t="s">
        <v>641</v>
      </c>
      <c r="B141" s="10"/>
      <c r="C141" s="24" t="s">
        <v>606</v>
      </c>
      <c r="D141" s="12"/>
      <c r="E141" s="12" t="s">
        <v>642</v>
      </c>
      <c r="F141" s="18" t="s">
        <v>116</v>
      </c>
      <c r="G141" s="19">
        <v>1.84</v>
      </c>
      <c r="H141" s="20"/>
      <c r="I141" s="20">
        <v>399.13299999999998</v>
      </c>
      <c r="J141" s="21">
        <v>196</v>
      </c>
      <c r="M141" s="22">
        <f>ROUND(ROUND(J141, 2)*I141, 2)</f>
        <v>78230.070000000007</v>
      </c>
      <c r="P141" s="21">
        <v>196</v>
      </c>
      <c r="S141" s="22">
        <f>ROUND(ROUND(P141, 2)*I141, 2)</f>
        <v>78230.070000000007</v>
      </c>
      <c r="V141" s="9">
        <f>ROUND(ROUND(P141, 2)/1.2, 2)</f>
        <v>163.33000000000001</v>
      </c>
      <c r="Y141" s="9">
        <f t="shared" si="16"/>
        <v>65191.73</v>
      </c>
      <c r="AD141" s="4" t="s">
        <v>643</v>
      </c>
      <c r="AE141" s="4" t="s">
        <v>644</v>
      </c>
      <c r="AF141" s="4" t="s">
        <v>610</v>
      </c>
    </row>
    <row r="142" spans="1:35" ht="54" x14ac:dyDescent="0.3">
      <c r="A142" s="10" t="s">
        <v>645</v>
      </c>
      <c r="B142" s="10"/>
      <c r="C142" s="24" t="s">
        <v>612</v>
      </c>
      <c r="D142" s="12"/>
      <c r="E142" s="12" t="s">
        <v>646</v>
      </c>
      <c r="F142" s="18" t="s">
        <v>70</v>
      </c>
      <c r="G142" s="19">
        <v>0.04</v>
      </c>
      <c r="H142" s="19"/>
      <c r="I142" s="19">
        <v>8.6769999999999996</v>
      </c>
      <c r="J142" s="21">
        <v>47.44</v>
      </c>
      <c r="M142" s="22">
        <f>ROUND(ROUND(J142, 2)*I142, 2)</f>
        <v>411.64</v>
      </c>
      <c r="P142" s="21">
        <v>47.44</v>
      </c>
      <c r="S142" s="22">
        <f>ROUND(ROUND(P142, 2)*I142, 2)</f>
        <v>411.64</v>
      </c>
      <c r="V142" s="9">
        <f>ROUND(ROUND(P142, 2)/1.2, 2)</f>
        <v>39.53</v>
      </c>
      <c r="Y142" s="9">
        <f t="shared" si="16"/>
        <v>343.03</v>
      </c>
      <c r="AD142" s="4" t="s">
        <v>647</v>
      </c>
      <c r="AE142" s="4" t="s">
        <v>648</v>
      </c>
      <c r="AF142" s="4" t="s">
        <v>616</v>
      </c>
    </row>
    <row r="143" spans="1:35" ht="36" x14ac:dyDescent="0.3">
      <c r="A143" s="10" t="s">
        <v>649</v>
      </c>
      <c r="B143" s="10"/>
      <c r="C143" s="24" t="s">
        <v>433</v>
      </c>
      <c r="D143" s="12"/>
      <c r="E143" s="12"/>
      <c r="F143" s="18" t="s">
        <v>70</v>
      </c>
      <c r="G143" s="19">
        <v>1.4999999999999999E-2</v>
      </c>
      <c r="H143" s="19"/>
      <c r="I143" s="19">
        <v>3.254</v>
      </c>
      <c r="J143" s="21">
        <v>88.8</v>
      </c>
      <c r="M143" s="22">
        <f>ROUND(ROUND(J143, 2)*I143, 2)</f>
        <v>288.95999999999998</v>
      </c>
      <c r="P143" s="21">
        <v>88.8</v>
      </c>
      <c r="S143" s="22">
        <f>ROUND(ROUND(P143, 2)*I143, 2)</f>
        <v>288.95999999999998</v>
      </c>
      <c r="V143" s="9">
        <f>ROUND(ROUND(P143, 2)/1.2, 2)</f>
        <v>74</v>
      </c>
      <c r="Y143" s="9">
        <f t="shared" si="16"/>
        <v>240.8</v>
      </c>
      <c r="AD143" s="4" t="s">
        <v>650</v>
      </c>
      <c r="AE143" s="4" t="s">
        <v>651</v>
      </c>
      <c r="AF143" s="4" t="s">
        <v>436</v>
      </c>
    </row>
    <row r="144" spans="1:35" ht="54" x14ac:dyDescent="0.3">
      <c r="A144" s="10" t="s">
        <v>652</v>
      </c>
      <c r="B144" s="10" t="s">
        <v>653</v>
      </c>
      <c r="C144" s="11" t="s">
        <v>654</v>
      </c>
      <c r="D144" s="12"/>
      <c r="E144" s="12" t="s">
        <v>655</v>
      </c>
      <c r="F144" s="12" t="s">
        <v>64</v>
      </c>
      <c r="G144" s="13">
        <v>1</v>
      </c>
      <c r="H144" s="13"/>
      <c r="I144" s="13">
        <v>25.81</v>
      </c>
      <c r="J144" s="14">
        <f>IFERROR(ROUND(SUM(M145,M146,M147,M148)/I144, 2),0)</f>
        <v>616.69000000000005</v>
      </c>
      <c r="K144" s="15">
        <v>1655</v>
      </c>
      <c r="L144" s="14">
        <f>J144+ROUND(K144, 2)</f>
        <v>2271.69</v>
      </c>
      <c r="M144" s="14">
        <f>ROUND(J144*I144, 2)</f>
        <v>15916.77</v>
      </c>
      <c r="N144" s="14">
        <f>ROUND(I144*ROUND(K144, 2), 2)</f>
        <v>42715.55</v>
      </c>
      <c r="O144" s="14">
        <f>M144+N144</f>
        <v>58632.320000000007</v>
      </c>
      <c r="P144" s="14">
        <f>IFERROR(ROUND(SUM(S145,S146,S147,S148)/I144, 2),0)</f>
        <v>616.69000000000005</v>
      </c>
      <c r="Q144" s="15">
        <v>1655</v>
      </c>
      <c r="R144" s="14">
        <f>P144+ROUND(Q144, 2)</f>
        <v>2271.69</v>
      </c>
      <c r="S144" s="14">
        <f>ROUND(P144*I144, 2)</f>
        <v>15916.77</v>
      </c>
      <c r="T144" s="14">
        <f>ROUND(I144*ROUND(Q144, 2), 2)</f>
        <v>42715.55</v>
      </c>
      <c r="U144" s="14">
        <f>S144+T144</f>
        <v>58632.320000000007</v>
      </c>
      <c r="V144" s="9">
        <f>ROUND(P144 / 1.2, 2)</f>
        <v>513.91</v>
      </c>
      <c r="W144" s="9">
        <f>ROUND(Q144 / 1.2, 2)</f>
        <v>1379.17</v>
      </c>
      <c r="X144" s="9">
        <f>ROUND(R144 / 1.2, 2)</f>
        <v>1893.08</v>
      </c>
      <c r="Y144" s="9">
        <f t="shared" si="16"/>
        <v>13263.98</v>
      </c>
      <c r="Z144" s="9">
        <f>ROUND(T144 / 1.2, 2)</f>
        <v>35596.29</v>
      </c>
      <c r="AA144" s="9">
        <f>Y144+Z144</f>
        <v>48860.270000000004</v>
      </c>
      <c r="AD144" s="4">
        <v>298925295</v>
      </c>
      <c r="AE144" s="4">
        <v>19973764</v>
      </c>
      <c r="AG144" s="4" t="s">
        <v>656</v>
      </c>
      <c r="AH144" s="4" t="s">
        <v>657</v>
      </c>
      <c r="AI144" s="4" t="s">
        <v>67</v>
      </c>
    </row>
    <row r="145" spans="1:35" ht="54" x14ac:dyDescent="0.3">
      <c r="A145" s="10" t="s">
        <v>658</v>
      </c>
      <c r="B145" s="10"/>
      <c r="C145" s="17" t="s">
        <v>401</v>
      </c>
      <c r="D145" s="12"/>
      <c r="E145" s="12" t="s">
        <v>402</v>
      </c>
      <c r="F145" s="18" t="s">
        <v>70</v>
      </c>
      <c r="G145" s="19">
        <v>7</v>
      </c>
      <c r="H145" s="19"/>
      <c r="I145" s="19">
        <v>180.67</v>
      </c>
      <c r="J145" s="21">
        <v>16.11</v>
      </c>
      <c r="M145" s="22">
        <f>ROUND(ROUND(J145, 2)*I145, 2)</f>
        <v>2910.59</v>
      </c>
      <c r="P145" s="21">
        <v>16.11</v>
      </c>
      <c r="S145" s="22">
        <f>ROUND(ROUND(P145, 2)*I145, 2)</f>
        <v>2910.59</v>
      </c>
      <c r="V145" s="9">
        <f>ROUND(ROUND(P145, 2)/1.2, 2)</f>
        <v>13.43</v>
      </c>
      <c r="Y145" s="9">
        <f t="shared" si="16"/>
        <v>2425.4899999999998</v>
      </c>
      <c r="AD145" s="4" t="s">
        <v>659</v>
      </c>
      <c r="AE145" s="4" t="s">
        <v>660</v>
      </c>
      <c r="AF145" s="4" t="s">
        <v>405</v>
      </c>
    </row>
    <row r="146" spans="1:35" ht="54" x14ac:dyDescent="0.3">
      <c r="A146" s="10" t="s">
        <v>661</v>
      </c>
      <c r="B146" s="10"/>
      <c r="C146" s="17" t="s">
        <v>628</v>
      </c>
      <c r="D146" s="12"/>
      <c r="E146" s="12" t="s">
        <v>662</v>
      </c>
      <c r="F146" s="18" t="s">
        <v>64</v>
      </c>
      <c r="G146" s="19">
        <v>1.07</v>
      </c>
      <c r="H146" s="20"/>
      <c r="I146" s="20">
        <v>27.617000000000001</v>
      </c>
      <c r="J146" s="21">
        <v>447.41</v>
      </c>
      <c r="M146" s="22">
        <f>ROUND(ROUND(J146, 2)*I146, 2)</f>
        <v>12356.12</v>
      </c>
      <c r="P146" s="21">
        <v>447.41</v>
      </c>
      <c r="S146" s="22">
        <f>ROUND(ROUND(P146, 2)*I146, 2)</f>
        <v>12356.12</v>
      </c>
      <c r="V146" s="9">
        <f>ROUND(ROUND(P146, 2)/1.2, 2)</f>
        <v>372.84</v>
      </c>
      <c r="Y146" s="9">
        <f t="shared" si="16"/>
        <v>10296.77</v>
      </c>
      <c r="AD146" s="4" t="s">
        <v>663</v>
      </c>
      <c r="AE146" s="4" t="s">
        <v>664</v>
      </c>
      <c r="AF146" s="4" t="s">
        <v>632</v>
      </c>
    </row>
    <row r="147" spans="1:35" ht="18" x14ac:dyDescent="0.3">
      <c r="A147" s="10" t="s">
        <v>665</v>
      </c>
      <c r="B147" s="10"/>
      <c r="C147" s="24" t="s">
        <v>612</v>
      </c>
      <c r="D147" s="12"/>
      <c r="E147" s="12"/>
      <c r="F147" s="18" t="s">
        <v>70</v>
      </c>
      <c r="G147" s="19">
        <v>0.25</v>
      </c>
      <c r="H147" s="20"/>
      <c r="I147" s="20">
        <v>6.4530000000000003</v>
      </c>
      <c r="J147" s="21">
        <v>47.44</v>
      </c>
      <c r="M147" s="22">
        <f>ROUND(ROUND(J147, 2)*I147, 2)</f>
        <v>306.13</v>
      </c>
      <c r="P147" s="21">
        <v>47.44</v>
      </c>
      <c r="S147" s="22">
        <f>ROUND(ROUND(P147, 2)*I147, 2)</f>
        <v>306.13</v>
      </c>
      <c r="V147" s="9">
        <f>ROUND(ROUND(P147, 2)/1.2, 2)</f>
        <v>39.53</v>
      </c>
      <c r="Y147" s="9">
        <f t="shared" si="16"/>
        <v>255.11</v>
      </c>
      <c r="AD147" s="4" t="s">
        <v>666</v>
      </c>
      <c r="AE147" s="4" t="s">
        <v>667</v>
      </c>
      <c r="AF147" s="4" t="s">
        <v>616</v>
      </c>
    </row>
    <row r="148" spans="1:35" ht="36" x14ac:dyDescent="0.3">
      <c r="A148" s="10" t="s">
        <v>668</v>
      </c>
      <c r="B148" s="10"/>
      <c r="C148" s="24" t="s">
        <v>433</v>
      </c>
      <c r="D148" s="12"/>
      <c r="E148" s="12"/>
      <c r="F148" s="18" t="s">
        <v>70</v>
      </c>
      <c r="G148" s="19">
        <v>0.15</v>
      </c>
      <c r="H148" s="19"/>
      <c r="I148" s="19">
        <v>3.8719999999999999</v>
      </c>
      <c r="J148" s="21">
        <v>88.8</v>
      </c>
      <c r="M148" s="22">
        <f>ROUND(ROUND(J148, 2)*I148, 2)</f>
        <v>343.83</v>
      </c>
      <c r="P148" s="21">
        <v>88.8</v>
      </c>
      <c r="S148" s="22">
        <f>ROUND(ROUND(P148, 2)*I148, 2)</f>
        <v>343.83</v>
      </c>
      <c r="V148" s="9">
        <f>ROUND(ROUND(P148, 2)/1.2, 2)</f>
        <v>74</v>
      </c>
      <c r="Y148" s="9">
        <f t="shared" si="16"/>
        <v>286.52999999999997</v>
      </c>
      <c r="AD148" s="4" t="s">
        <v>669</v>
      </c>
      <c r="AE148" s="4" t="s">
        <v>670</v>
      </c>
      <c r="AF148" s="4" t="s">
        <v>436</v>
      </c>
    </row>
    <row r="149" spans="1:35" ht="54" x14ac:dyDescent="0.3">
      <c r="A149" s="10" t="s">
        <v>671</v>
      </c>
      <c r="B149" s="10" t="s">
        <v>653</v>
      </c>
      <c r="C149" s="11" t="s">
        <v>654</v>
      </c>
      <c r="D149" s="12"/>
      <c r="E149" s="12" t="s">
        <v>672</v>
      </c>
      <c r="F149" s="12" t="s">
        <v>64</v>
      </c>
      <c r="G149" s="13">
        <v>1</v>
      </c>
      <c r="H149" s="13"/>
      <c r="I149" s="13">
        <v>46.37</v>
      </c>
      <c r="J149" s="14">
        <f>IFERROR(ROUND(SUM(M150,M151,M152,M153)/I149, 2),0)</f>
        <v>616.67999999999995</v>
      </c>
      <c r="K149" s="15">
        <v>1655</v>
      </c>
      <c r="L149" s="14">
        <f>J149+ROUND(K149, 2)</f>
        <v>2271.6799999999998</v>
      </c>
      <c r="M149" s="14">
        <f>ROUND(J149*I149, 2)</f>
        <v>28595.45</v>
      </c>
      <c r="N149" s="14">
        <f>ROUND(I149*ROUND(K149, 2), 2)</f>
        <v>76742.350000000006</v>
      </c>
      <c r="O149" s="14">
        <f>M149+N149</f>
        <v>105337.8</v>
      </c>
      <c r="P149" s="14">
        <f>IFERROR(ROUND(SUM(S150,S151,S152,S153)/I149, 2),0)</f>
        <v>616.67999999999995</v>
      </c>
      <c r="Q149" s="15">
        <v>1655</v>
      </c>
      <c r="R149" s="14">
        <f>P149+ROUND(Q149, 2)</f>
        <v>2271.6799999999998</v>
      </c>
      <c r="S149" s="14">
        <f>ROUND(P149*I149, 2)</f>
        <v>28595.45</v>
      </c>
      <c r="T149" s="14">
        <f>ROUND(I149*ROUND(Q149, 2), 2)</f>
        <v>76742.350000000006</v>
      </c>
      <c r="U149" s="14">
        <f>S149+T149</f>
        <v>105337.8</v>
      </c>
      <c r="V149" s="9">
        <f>ROUND(P149 / 1.2, 2)</f>
        <v>513.9</v>
      </c>
      <c r="W149" s="9">
        <f>ROUND(Q149 / 1.2, 2)</f>
        <v>1379.17</v>
      </c>
      <c r="X149" s="9">
        <f>ROUND(R149 / 1.2, 2)</f>
        <v>1893.07</v>
      </c>
      <c r="Y149" s="9">
        <f t="shared" si="16"/>
        <v>23829.54</v>
      </c>
      <c r="Z149" s="9">
        <f>ROUND(T149 / 1.2, 2)</f>
        <v>63951.96</v>
      </c>
      <c r="AA149" s="9">
        <f>Y149+Z149</f>
        <v>87781.5</v>
      </c>
      <c r="AD149" s="4">
        <v>298925381</v>
      </c>
      <c r="AE149" s="4">
        <v>19987963</v>
      </c>
      <c r="AG149" s="4" t="s">
        <v>656</v>
      </c>
      <c r="AH149" s="4" t="s">
        <v>657</v>
      </c>
      <c r="AI149" s="4" t="s">
        <v>67</v>
      </c>
    </row>
    <row r="150" spans="1:35" ht="36" x14ac:dyDescent="0.3">
      <c r="A150" s="10" t="s">
        <v>673</v>
      </c>
      <c r="B150" s="10"/>
      <c r="C150" s="24" t="s">
        <v>433</v>
      </c>
      <c r="D150" s="12"/>
      <c r="E150" s="12"/>
      <c r="F150" s="18" t="s">
        <v>70</v>
      </c>
      <c r="G150" s="19">
        <v>0.15</v>
      </c>
      <c r="H150" s="19"/>
      <c r="I150" s="19">
        <v>6.9560000000000004</v>
      </c>
      <c r="J150" s="21">
        <v>88.8</v>
      </c>
      <c r="M150" s="22">
        <f>ROUND(ROUND(J150, 2)*I150, 2)</f>
        <v>617.69000000000005</v>
      </c>
      <c r="P150" s="21">
        <v>88.8</v>
      </c>
      <c r="S150" s="22">
        <f>ROUND(ROUND(P150, 2)*I150, 2)</f>
        <v>617.69000000000005</v>
      </c>
      <c r="V150" s="9">
        <f>ROUND(ROUND(P150, 2)/1.2, 2)</f>
        <v>74</v>
      </c>
      <c r="Y150" s="9">
        <f t="shared" si="16"/>
        <v>514.74</v>
      </c>
      <c r="AD150" s="4" t="s">
        <v>674</v>
      </c>
      <c r="AE150" s="4" t="s">
        <v>675</v>
      </c>
      <c r="AF150" s="4" t="s">
        <v>436</v>
      </c>
    </row>
    <row r="151" spans="1:35" ht="18" x14ac:dyDescent="0.3">
      <c r="A151" s="10" t="s">
        <v>676</v>
      </c>
      <c r="B151" s="10"/>
      <c r="C151" s="24" t="s">
        <v>612</v>
      </c>
      <c r="D151" s="12"/>
      <c r="E151" s="12"/>
      <c r="F151" s="18" t="s">
        <v>70</v>
      </c>
      <c r="G151" s="19">
        <v>0.25</v>
      </c>
      <c r="H151" s="20"/>
      <c r="I151" s="20">
        <v>11.593</v>
      </c>
      <c r="J151" s="21">
        <v>47.44</v>
      </c>
      <c r="M151" s="22">
        <f>ROUND(ROUND(J151, 2)*I151, 2)</f>
        <v>549.97</v>
      </c>
      <c r="P151" s="21">
        <v>47.44</v>
      </c>
      <c r="S151" s="22">
        <f>ROUND(ROUND(P151, 2)*I151, 2)</f>
        <v>549.97</v>
      </c>
      <c r="V151" s="9">
        <f>ROUND(ROUND(P151, 2)/1.2, 2)</f>
        <v>39.53</v>
      </c>
      <c r="Y151" s="9">
        <f t="shared" si="16"/>
        <v>458.31</v>
      </c>
      <c r="AD151" s="4" t="s">
        <v>677</v>
      </c>
      <c r="AE151" s="4" t="s">
        <v>678</v>
      </c>
      <c r="AF151" s="4" t="s">
        <v>616</v>
      </c>
    </row>
    <row r="152" spans="1:35" ht="36" x14ac:dyDescent="0.3">
      <c r="A152" s="10" t="s">
        <v>679</v>
      </c>
      <c r="B152" s="10"/>
      <c r="C152" s="17" t="s">
        <v>628</v>
      </c>
      <c r="D152" s="12"/>
      <c r="E152" s="12" t="s">
        <v>680</v>
      </c>
      <c r="F152" s="18" t="s">
        <v>64</v>
      </c>
      <c r="G152" s="19">
        <v>1.07</v>
      </c>
      <c r="H152" s="20"/>
      <c r="I152" s="20">
        <v>49.616</v>
      </c>
      <c r="J152" s="21">
        <v>447.41</v>
      </c>
      <c r="M152" s="22">
        <f>ROUND(ROUND(J152, 2)*I152, 2)</f>
        <v>22198.69</v>
      </c>
      <c r="P152" s="21">
        <v>447.41</v>
      </c>
      <c r="S152" s="22">
        <f>ROUND(ROUND(P152, 2)*I152, 2)</f>
        <v>22198.69</v>
      </c>
      <c r="V152" s="9">
        <f>ROUND(ROUND(P152, 2)/1.2, 2)</f>
        <v>372.84</v>
      </c>
      <c r="Y152" s="9">
        <f t="shared" si="16"/>
        <v>18498.91</v>
      </c>
      <c r="AD152" s="4" t="s">
        <v>681</v>
      </c>
      <c r="AE152" s="4" t="s">
        <v>682</v>
      </c>
      <c r="AF152" s="4" t="s">
        <v>632</v>
      </c>
    </row>
    <row r="153" spans="1:35" ht="54" x14ac:dyDescent="0.3">
      <c r="A153" s="10" t="s">
        <v>683</v>
      </c>
      <c r="B153" s="10"/>
      <c r="C153" s="17" t="s">
        <v>401</v>
      </c>
      <c r="D153" s="12"/>
      <c r="E153" s="12" t="s">
        <v>402</v>
      </c>
      <c r="F153" s="18" t="s">
        <v>70</v>
      </c>
      <c r="G153" s="19">
        <v>7</v>
      </c>
      <c r="H153" s="19"/>
      <c r="I153" s="19">
        <v>324.58999999999997</v>
      </c>
      <c r="J153" s="21">
        <v>16.11</v>
      </c>
      <c r="M153" s="22">
        <f>ROUND(ROUND(J153, 2)*I153, 2)</f>
        <v>5229.1400000000003</v>
      </c>
      <c r="P153" s="21">
        <v>16.11</v>
      </c>
      <c r="S153" s="22">
        <f>ROUND(ROUND(P153, 2)*I153, 2)</f>
        <v>5229.1400000000003</v>
      </c>
      <c r="V153" s="9">
        <f>ROUND(ROUND(P153, 2)/1.2, 2)</f>
        <v>13.43</v>
      </c>
      <c r="Y153" s="9">
        <f t="shared" si="16"/>
        <v>4357.62</v>
      </c>
      <c r="AD153" s="4" t="s">
        <v>684</v>
      </c>
      <c r="AE153" s="4" t="s">
        <v>685</v>
      </c>
      <c r="AF153" s="4" t="s">
        <v>405</v>
      </c>
    </row>
    <row r="154" spans="1:35" ht="54" x14ac:dyDescent="0.3">
      <c r="A154" s="10" t="s">
        <v>686</v>
      </c>
      <c r="B154" s="10" t="s">
        <v>687</v>
      </c>
      <c r="C154" s="11" t="s">
        <v>688</v>
      </c>
      <c r="D154" s="12"/>
      <c r="E154" s="12" t="s">
        <v>689</v>
      </c>
      <c r="F154" s="12" t="s">
        <v>64</v>
      </c>
      <c r="G154" s="13">
        <v>1</v>
      </c>
      <c r="H154" s="13"/>
      <c r="I154" s="13">
        <v>335.84</v>
      </c>
      <c r="J154" s="14">
        <f>IFERROR(ROUND(SUM(M155,M156,M157,M158)/I154, 2),0)</f>
        <v>2233.0300000000002</v>
      </c>
      <c r="K154" s="15">
        <v>2785</v>
      </c>
      <c r="L154" s="14">
        <f>J154+ROUND(K154, 2)</f>
        <v>5018.0300000000007</v>
      </c>
      <c r="M154" s="14">
        <f>ROUND(J154*I154, 2)</f>
        <v>749940.8</v>
      </c>
      <c r="N154" s="14">
        <f>ROUND(I154*ROUND(K154, 2), 2)</f>
        <v>935314.4</v>
      </c>
      <c r="O154" s="14">
        <f>M154+N154</f>
        <v>1685255.2000000002</v>
      </c>
      <c r="P154" s="14">
        <f>IFERROR(ROUND(SUM(S155,S156,S157,S158)/I154, 2),0)</f>
        <v>1530.85</v>
      </c>
      <c r="Q154" s="15">
        <v>2785</v>
      </c>
      <c r="R154" s="14">
        <f>P154+ROUND(Q154, 2)</f>
        <v>4315.8500000000004</v>
      </c>
      <c r="S154" s="14">
        <f>ROUND(P154*I154, 2)</f>
        <v>514120.66</v>
      </c>
      <c r="T154" s="14">
        <f>ROUND(I154*ROUND(Q154, 2), 2)</f>
        <v>935314.4</v>
      </c>
      <c r="U154" s="14">
        <f>S154+T154</f>
        <v>1449435.06</v>
      </c>
      <c r="V154" s="9">
        <f>ROUND(P154 / 1.2, 2)</f>
        <v>1275.71</v>
      </c>
      <c r="W154" s="9">
        <f>ROUND(Q154 / 1.2, 2)</f>
        <v>2320.83</v>
      </c>
      <c r="X154" s="9">
        <f>ROUND(R154 / 1.2, 2)</f>
        <v>3596.54</v>
      </c>
      <c r="Y154" s="9">
        <f t="shared" si="16"/>
        <v>428433.88</v>
      </c>
      <c r="Z154" s="9">
        <f>ROUND(T154 / 1.2, 2)</f>
        <v>779428.67</v>
      </c>
      <c r="AA154" s="9">
        <f>Y154+Z154</f>
        <v>1207862.55</v>
      </c>
      <c r="AD154" s="4">
        <v>298925296</v>
      </c>
      <c r="AE154" s="4">
        <v>19973763</v>
      </c>
      <c r="AG154" s="4" t="s">
        <v>690</v>
      </c>
      <c r="AH154" s="4" t="s">
        <v>691</v>
      </c>
      <c r="AI154" s="4" t="s">
        <v>67</v>
      </c>
    </row>
    <row r="155" spans="1:35" ht="54" x14ac:dyDescent="0.3">
      <c r="A155" s="10" t="s">
        <v>692</v>
      </c>
      <c r="B155" s="10"/>
      <c r="C155" s="17" t="s">
        <v>693</v>
      </c>
      <c r="D155" s="12"/>
      <c r="E155" s="12" t="s">
        <v>402</v>
      </c>
      <c r="F155" s="18" t="s">
        <v>70</v>
      </c>
      <c r="G155" s="19">
        <v>1.2</v>
      </c>
      <c r="H155" s="20"/>
      <c r="I155" s="20">
        <v>806.01599999999996</v>
      </c>
      <c r="J155" s="21">
        <v>16.11</v>
      </c>
      <c r="M155" s="22">
        <f>ROUND(ROUND(J155, 2)*I155, 2)</f>
        <v>12984.92</v>
      </c>
      <c r="P155" s="21">
        <v>16.11</v>
      </c>
      <c r="S155" s="22">
        <f>ROUND(ROUND(P155, 2)*I155, 2)</f>
        <v>12984.92</v>
      </c>
      <c r="V155" s="9">
        <f>ROUND(ROUND(P155, 2)/1.2, 2)</f>
        <v>13.43</v>
      </c>
      <c r="Y155" s="9">
        <f t="shared" si="16"/>
        <v>10820.77</v>
      </c>
      <c r="AD155" s="4" t="s">
        <v>694</v>
      </c>
      <c r="AE155" s="4" t="s">
        <v>695</v>
      </c>
      <c r="AF155" s="4" t="s">
        <v>696</v>
      </c>
    </row>
    <row r="156" spans="1:35" ht="72" x14ac:dyDescent="0.3">
      <c r="A156" s="10" t="s">
        <v>697</v>
      </c>
      <c r="B156" s="10"/>
      <c r="C156" s="24" t="s">
        <v>698</v>
      </c>
      <c r="D156" s="12"/>
      <c r="E156" s="12" t="s">
        <v>699</v>
      </c>
      <c r="F156" s="18" t="s">
        <v>64</v>
      </c>
      <c r="G156" s="19">
        <v>1.2</v>
      </c>
      <c r="H156" s="20"/>
      <c r="I156" s="20">
        <v>403.00799999999998</v>
      </c>
      <c r="J156" s="21">
        <v>1809.15</v>
      </c>
      <c r="M156" s="22">
        <f>ROUND(ROUND(J156, 2)*I156, 2)</f>
        <v>729101.92</v>
      </c>
      <c r="P156" s="21">
        <v>1224</v>
      </c>
      <c r="S156" s="22">
        <f>ROUND(ROUND(P156, 2)*I156, 2)</f>
        <v>493281.79</v>
      </c>
      <c r="V156" s="9">
        <f>ROUND(ROUND(P156, 2)/1.2, 2)</f>
        <v>1020</v>
      </c>
      <c r="Y156" s="9">
        <f t="shared" si="16"/>
        <v>411068.15999999997</v>
      </c>
      <c r="AD156" s="4" t="s">
        <v>700</v>
      </c>
      <c r="AE156" s="4" t="s">
        <v>701</v>
      </c>
      <c r="AF156" s="4" t="s">
        <v>702</v>
      </c>
    </row>
    <row r="157" spans="1:35" ht="36" x14ac:dyDescent="0.3">
      <c r="A157" s="10" t="s">
        <v>703</v>
      </c>
      <c r="B157" s="10"/>
      <c r="C157" s="24" t="s">
        <v>426</v>
      </c>
      <c r="D157" s="12"/>
      <c r="E157" s="12"/>
      <c r="F157" s="18" t="s">
        <v>70</v>
      </c>
      <c r="G157" s="19">
        <v>0.25</v>
      </c>
      <c r="H157" s="20"/>
      <c r="I157" s="20">
        <v>83.96</v>
      </c>
      <c r="J157" s="21">
        <v>40.270000000000003</v>
      </c>
      <c r="M157" s="22">
        <f>ROUND(ROUND(J157, 2)*I157, 2)</f>
        <v>3381.07</v>
      </c>
      <c r="P157" s="21">
        <v>40.270000000000003</v>
      </c>
      <c r="S157" s="22">
        <f>ROUND(ROUND(P157, 2)*I157, 2)</f>
        <v>3381.07</v>
      </c>
      <c r="V157" s="9">
        <f>ROUND(ROUND(P157, 2)/1.2, 2)</f>
        <v>33.56</v>
      </c>
      <c r="Y157" s="9">
        <f t="shared" si="16"/>
        <v>2817.56</v>
      </c>
      <c r="AD157" s="4" t="s">
        <v>704</v>
      </c>
      <c r="AE157" s="4" t="s">
        <v>705</v>
      </c>
      <c r="AF157" s="4" t="s">
        <v>429</v>
      </c>
    </row>
    <row r="158" spans="1:35" ht="36" x14ac:dyDescent="0.3">
      <c r="A158" s="10" t="s">
        <v>706</v>
      </c>
      <c r="B158" s="10"/>
      <c r="C158" s="24" t="s">
        <v>433</v>
      </c>
      <c r="D158" s="12"/>
      <c r="E158" s="12"/>
      <c r="F158" s="18" t="s">
        <v>70</v>
      </c>
      <c r="G158" s="19">
        <v>0.15</v>
      </c>
      <c r="H158" s="19"/>
      <c r="I158" s="19">
        <v>50.375999999999998</v>
      </c>
      <c r="J158" s="21">
        <v>88.8</v>
      </c>
      <c r="M158" s="22">
        <f>ROUND(ROUND(J158, 2)*I158, 2)</f>
        <v>4473.3900000000003</v>
      </c>
      <c r="P158" s="21">
        <v>88.8</v>
      </c>
      <c r="S158" s="22">
        <f>ROUND(ROUND(P158, 2)*I158, 2)</f>
        <v>4473.3900000000003</v>
      </c>
      <c r="V158" s="9">
        <f>ROUND(ROUND(P158, 2)/1.2, 2)</f>
        <v>74</v>
      </c>
      <c r="Y158" s="9">
        <f t="shared" si="16"/>
        <v>3727.83</v>
      </c>
      <c r="AD158" s="4" t="s">
        <v>707</v>
      </c>
      <c r="AE158" s="4" t="s">
        <v>708</v>
      </c>
      <c r="AF158" s="4" t="s">
        <v>436</v>
      </c>
    </row>
    <row r="159" spans="1:35" ht="54" x14ac:dyDescent="0.3">
      <c r="A159" s="10" t="s">
        <v>709</v>
      </c>
      <c r="B159" s="10" t="s">
        <v>687</v>
      </c>
      <c r="C159" s="11" t="s">
        <v>688</v>
      </c>
      <c r="D159" s="12"/>
      <c r="E159" s="12" t="s">
        <v>710</v>
      </c>
      <c r="F159" s="12" t="s">
        <v>64</v>
      </c>
      <c r="G159" s="13">
        <v>1</v>
      </c>
      <c r="H159" s="13"/>
      <c r="I159" s="13">
        <v>551.70000000000005</v>
      </c>
      <c r="J159" s="14">
        <f>IFERROR(ROUND(SUM(M160,M161,M162,M163)/I159, 2),0)</f>
        <v>2233.0300000000002</v>
      </c>
      <c r="K159" s="15">
        <v>2785</v>
      </c>
      <c r="L159" s="14">
        <f>J159+ROUND(K159, 2)</f>
        <v>5018.0300000000007</v>
      </c>
      <c r="M159" s="14">
        <f>ROUND(J159*I159, 2)</f>
        <v>1231962.6499999999</v>
      </c>
      <c r="N159" s="14">
        <f>ROUND(I159*ROUND(K159, 2), 2)</f>
        <v>1536484.5</v>
      </c>
      <c r="O159" s="14">
        <f>M159+N159</f>
        <v>2768447.15</v>
      </c>
      <c r="P159" s="14">
        <f>IFERROR(ROUND(SUM(S160,S161,S162,S163)/I159, 2),0)</f>
        <v>1530.85</v>
      </c>
      <c r="Q159" s="15">
        <v>2785</v>
      </c>
      <c r="R159" s="14">
        <f>P159+ROUND(Q159, 2)</f>
        <v>4315.8500000000004</v>
      </c>
      <c r="S159" s="14">
        <f>ROUND(P159*I159, 2)</f>
        <v>844569.95</v>
      </c>
      <c r="T159" s="14">
        <f>ROUND(I159*ROUND(Q159, 2), 2)</f>
        <v>1536484.5</v>
      </c>
      <c r="U159" s="14">
        <f>S159+T159</f>
        <v>2381054.4500000002</v>
      </c>
      <c r="V159" s="9">
        <f>ROUND(P159 / 1.2, 2)</f>
        <v>1275.71</v>
      </c>
      <c r="W159" s="9">
        <f>ROUND(Q159 / 1.2, 2)</f>
        <v>2320.83</v>
      </c>
      <c r="X159" s="9">
        <f>ROUND(R159 / 1.2, 2)</f>
        <v>3596.54</v>
      </c>
      <c r="Y159" s="9">
        <f t="shared" si="16"/>
        <v>703808.29</v>
      </c>
      <c r="Z159" s="9">
        <f>ROUND(T159 / 1.2, 2)</f>
        <v>1280403.75</v>
      </c>
      <c r="AA159" s="9">
        <f>Y159+Z159</f>
        <v>1984212.04</v>
      </c>
      <c r="AD159" s="4">
        <v>298925382</v>
      </c>
      <c r="AE159" s="4">
        <v>19973766</v>
      </c>
      <c r="AG159" s="4" t="s">
        <v>690</v>
      </c>
      <c r="AH159" s="4" t="s">
        <v>691</v>
      </c>
      <c r="AI159" s="4" t="s">
        <v>67</v>
      </c>
    </row>
    <row r="160" spans="1:35" ht="36" x14ac:dyDescent="0.3">
      <c r="A160" s="10" t="s">
        <v>711</v>
      </c>
      <c r="B160" s="10"/>
      <c r="C160" s="24" t="s">
        <v>433</v>
      </c>
      <c r="D160" s="12"/>
      <c r="E160" s="12"/>
      <c r="F160" s="18" t="s">
        <v>70</v>
      </c>
      <c r="G160" s="19">
        <v>0.15</v>
      </c>
      <c r="H160" s="19"/>
      <c r="I160" s="19">
        <v>82.754999999999995</v>
      </c>
      <c r="J160" s="21">
        <v>88.8</v>
      </c>
      <c r="M160" s="22">
        <f>ROUND(ROUND(J160, 2)*I160, 2)</f>
        <v>7348.64</v>
      </c>
      <c r="P160" s="21">
        <v>88.8</v>
      </c>
      <c r="S160" s="22">
        <f>ROUND(ROUND(P160, 2)*I160, 2)</f>
        <v>7348.64</v>
      </c>
      <c r="V160" s="9">
        <f>ROUND(ROUND(P160, 2)/1.2, 2)</f>
        <v>74</v>
      </c>
      <c r="Y160" s="9">
        <f t="shared" si="16"/>
        <v>6123.87</v>
      </c>
      <c r="AD160" s="4" t="s">
        <v>712</v>
      </c>
      <c r="AE160" s="4" t="s">
        <v>713</v>
      </c>
      <c r="AF160" s="4" t="s">
        <v>436</v>
      </c>
    </row>
    <row r="161" spans="1:35" ht="36" x14ac:dyDescent="0.3">
      <c r="A161" s="10" t="s">
        <v>714</v>
      </c>
      <c r="B161" s="10"/>
      <c r="C161" s="24" t="s">
        <v>426</v>
      </c>
      <c r="D161" s="12"/>
      <c r="E161" s="12"/>
      <c r="F161" s="18" t="s">
        <v>70</v>
      </c>
      <c r="G161" s="19">
        <v>0.25</v>
      </c>
      <c r="H161" s="20"/>
      <c r="I161" s="20">
        <v>137.92500000000001</v>
      </c>
      <c r="J161" s="21">
        <v>40.270000000000003</v>
      </c>
      <c r="M161" s="22">
        <f>ROUND(ROUND(J161, 2)*I161, 2)</f>
        <v>5554.24</v>
      </c>
      <c r="P161" s="21">
        <v>40.270000000000003</v>
      </c>
      <c r="S161" s="22">
        <f>ROUND(ROUND(P161, 2)*I161, 2)</f>
        <v>5554.24</v>
      </c>
      <c r="V161" s="9">
        <f>ROUND(ROUND(P161, 2)/1.2, 2)</f>
        <v>33.56</v>
      </c>
      <c r="Y161" s="9">
        <f t="shared" si="16"/>
        <v>4628.53</v>
      </c>
      <c r="AD161" s="4" t="s">
        <v>715</v>
      </c>
      <c r="AE161" s="4" t="s">
        <v>716</v>
      </c>
      <c r="AF161" s="4" t="s">
        <v>429</v>
      </c>
    </row>
    <row r="162" spans="1:35" ht="72" x14ac:dyDescent="0.3">
      <c r="A162" s="10" t="s">
        <v>717</v>
      </c>
      <c r="B162" s="10"/>
      <c r="C162" s="24" t="s">
        <v>698</v>
      </c>
      <c r="D162" s="12"/>
      <c r="E162" s="12" t="s">
        <v>699</v>
      </c>
      <c r="F162" s="18" t="s">
        <v>64</v>
      </c>
      <c r="G162" s="19">
        <v>1.2</v>
      </c>
      <c r="H162" s="20"/>
      <c r="I162" s="20">
        <v>662.04</v>
      </c>
      <c r="J162" s="21">
        <v>1809.15</v>
      </c>
      <c r="M162" s="22">
        <f>ROUND(ROUND(J162, 2)*I162, 2)</f>
        <v>1197729.67</v>
      </c>
      <c r="P162" s="21">
        <v>1224</v>
      </c>
      <c r="S162" s="22">
        <f>ROUND(ROUND(P162, 2)*I162, 2)</f>
        <v>810336.96</v>
      </c>
      <c r="V162" s="9">
        <f>ROUND(ROUND(P162, 2)/1.2, 2)</f>
        <v>1020</v>
      </c>
      <c r="Y162" s="9">
        <f t="shared" si="16"/>
        <v>675280.8</v>
      </c>
      <c r="AD162" s="4" t="s">
        <v>718</v>
      </c>
      <c r="AE162" s="4" t="s">
        <v>719</v>
      </c>
      <c r="AF162" s="4" t="s">
        <v>702</v>
      </c>
    </row>
    <row r="163" spans="1:35" ht="54" x14ac:dyDescent="0.3">
      <c r="A163" s="10" t="s">
        <v>720</v>
      </c>
      <c r="B163" s="10"/>
      <c r="C163" s="17" t="s">
        <v>693</v>
      </c>
      <c r="D163" s="12"/>
      <c r="E163" s="12" t="s">
        <v>402</v>
      </c>
      <c r="F163" s="18" t="s">
        <v>70</v>
      </c>
      <c r="G163" s="19">
        <v>1.2</v>
      </c>
      <c r="H163" s="20"/>
      <c r="I163" s="20">
        <v>1324.08</v>
      </c>
      <c r="J163" s="21">
        <v>16.11</v>
      </c>
      <c r="M163" s="22">
        <f>ROUND(ROUND(J163, 2)*I163, 2)</f>
        <v>21330.93</v>
      </c>
      <c r="P163" s="21">
        <v>16.11</v>
      </c>
      <c r="S163" s="22">
        <f>ROUND(ROUND(P163, 2)*I163, 2)</f>
        <v>21330.93</v>
      </c>
      <c r="V163" s="9">
        <f>ROUND(ROUND(P163, 2)/1.2, 2)</f>
        <v>13.43</v>
      </c>
      <c r="Y163" s="9">
        <f t="shared" si="16"/>
        <v>17775.78</v>
      </c>
      <c r="AD163" s="4" t="s">
        <v>721</v>
      </c>
      <c r="AE163" s="4" t="s">
        <v>722</v>
      </c>
      <c r="AF163" s="4" t="s">
        <v>696</v>
      </c>
    </row>
    <row r="164" spans="1:35" ht="16.95" customHeight="1" x14ac:dyDescent="0.3">
      <c r="A164" s="10" t="s">
        <v>723</v>
      </c>
      <c r="B164" s="10" t="s">
        <v>724</v>
      </c>
      <c r="C164" s="352" t="s">
        <v>725</v>
      </c>
      <c r="D164" s="353"/>
      <c r="E164" s="353"/>
      <c r="F164" s="353"/>
      <c r="G164" s="353"/>
      <c r="H164" s="353"/>
      <c r="I164" s="354"/>
      <c r="M164" s="6">
        <f>SUM(M165,M234,M415,M490)</f>
        <v>11993477.709999999</v>
      </c>
      <c r="N164" s="6">
        <f>SUM(N165,N234,N415,N490)</f>
        <v>47833385.619999997</v>
      </c>
      <c r="O164" s="6">
        <f>SUM(O165,O234,O415,O490)</f>
        <v>59826863.330000006</v>
      </c>
      <c r="S164" s="6">
        <f>SUM(S165,S234,S415,S490)</f>
        <v>13087191.26</v>
      </c>
      <c r="T164" s="6">
        <f>SUM(T165,T234,T415,T490)</f>
        <v>48390099.619999997</v>
      </c>
      <c r="U164" s="6">
        <f>SUM(U165,U234,U415,U490)</f>
        <v>61477290.880000003</v>
      </c>
      <c r="Y164" s="9">
        <f>SUM(Y165,Y234,Y415,Y490)</f>
        <v>10905992.780000001</v>
      </c>
      <c r="Z164" s="9">
        <f>SUM(Z165,Z234,Z415,Z490)</f>
        <v>40325083.050000004</v>
      </c>
      <c r="AA164" s="9">
        <f>SUM(AA165,AA234,AA415,AA490)</f>
        <v>51231075.829999998</v>
      </c>
      <c r="AD164" s="4">
        <v>298925297</v>
      </c>
      <c r="AE164" s="4">
        <v>16211408</v>
      </c>
    </row>
    <row r="165" spans="1:35" ht="16.95" customHeight="1" x14ac:dyDescent="0.3">
      <c r="A165" s="10" t="s">
        <v>726</v>
      </c>
      <c r="B165" s="10" t="s">
        <v>727</v>
      </c>
      <c r="C165" s="352" t="s">
        <v>728</v>
      </c>
      <c r="D165" s="353"/>
      <c r="E165" s="353"/>
      <c r="F165" s="353"/>
      <c r="G165" s="353"/>
      <c r="H165" s="353"/>
      <c r="I165" s="354"/>
      <c r="M165" s="6">
        <f>SUM(M166,M169,M173,M178,M181,M184,M187,M190,M193,M198,M203,M208,M213,M218,M222,M226,M230)</f>
        <v>7216828.5499999989</v>
      </c>
      <c r="N165" s="6">
        <f>SUM(N166,N169,N173,N178,N181,N184,N187,N190,N193,N198,N203,N208,N213,N218,N222,N226,N230)</f>
        <v>34198555.399999999</v>
      </c>
      <c r="O165" s="6">
        <f>SUM(O166,O169,O173,O178,O181,O184,O187,O190,O193,O198,O203,O208,O213,O218,O222,O226,O230)</f>
        <v>41415383.950000003</v>
      </c>
      <c r="S165" s="6">
        <f>SUM(S166,S169,S173,S178,S181,S184,S187,S190,S193,S198,S203,S208,S213,S218,S222,S226,S230)</f>
        <v>6483565.0299999993</v>
      </c>
      <c r="T165" s="6">
        <f>SUM(T166,T169,T173,T178,T181,T184,T187,T190,T193,T198,T203,T208,T213,T218,T222,T226,T230)</f>
        <v>34198555.399999999</v>
      </c>
      <c r="U165" s="6">
        <f>SUM(U166,U169,U173,U178,U181,U184,U187,U190,U193,U198,U203,U208,U213,U218,U222,U226,U230)</f>
        <v>40682120.43</v>
      </c>
      <c r="Y165" s="9">
        <f>SUM(Y166,Y169,Y173,Y178,Y181,Y184,Y187,Y190,Y193,Y198,Y203,Y208,Y213,Y218,Y222,Y226,Y230)</f>
        <v>5402970.870000001</v>
      </c>
      <c r="Z165" s="9">
        <f>SUM(Z166,Z169,Z173,Z178,Z181,Z184,Z187,Z190,Z193,Z198,Z203,Z208,Z213,Z218,Z222,Z226,Z230)</f>
        <v>28498796.18</v>
      </c>
      <c r="AA165" s="9">
        <f>SUM(AA166,AA169,AA173,AA178,AA181,AA184,AA187,AA190,AA193,AA198,AA203,AA208,AA213,AA218,AA222,AA226,AA230)</f>
        <v>33901767.049999997</v>
      </c>
      <c r="AD165" s="4">
        <v>298925298</v>
      </c>
      <c r="AE165" s="4">
        <v>16211414</v>
      </c>
    </row>
    <row r="166" spans="1:35" ht="54" x14ac:dyDescent="0.3">
      <c r="A166" s="10" t="s">
        <v>729</v>
      </c>
      <c r="B166" s="10" t="s">
        <v>730</v>
      </c>
      <c r="C166" s="11" t="s">
        <v>731</v>
      </c>
      <c r="D166" s="12"/>
      <c r="E166" s="12" t="s">
        <v>732</v>
      </c>
      <c r="F166" s="12" t="s">
        <v>87</v>
      </c>
      <c r="G166" s="13">
        <v>1</v>
      </c>
      <c r="H166" s="13"/>
      <c r="I166" s="13">
        <v>3479</v>
      </c>
      <c r="J166" s="14">
        <f>IFERROR(ROUND(SUM(M167,M168)/I166, 2),0)</f>
        <v>11.32</v>
      </c>
      <c r="K166" s="15">
        <v>28</v>
      </c>
      <c r="L166" s="14">
        <f>J166+ROUND(K166, 2)</f>
        <v>39.32</v>
      </c>
      <c r="M166" s="14">
        <f>ROUND(J166*I166, 2)</f>
        <v>39382.28</v>
      </c>
      <c r="N166" s="14">
        <f>ROUND(I166*ROUND(K166, 2), 2)</f>
        <v>97412</v>
      </c>
      <c r="O166" s="14">
        <f>M166+N166</f>
        <v>136794.28</v>
      </c>
      <c r="P166" s="14">
        <f>IFERROR(ROUND(SUM(S167,S168)/I166, 2),0)</f>
        <v>11.32</v>
      </c>
      <c r="Q166" s="15">
        <v>28</v>
      </c>
      <c r="R166" s="14">
        <f>P166+ROUND(Q166, 2)</f>
        <v>39.32</v>
      </c>
      <c r="S166" s="14">
        <f>ROUND(P166*I166, 2)</f>
        <v>39382.28</v>
      </c>
      <c r="T166" s="14">
        <f>ROUND(I166*ROUND(Q166, 2), 2)</f>
        <v>97412</v>
      </c>
      <c r="U166" s="14">
        <f>S166+T166</f>
        <v>136794.28</v>
      </c>
      <c r="V166" s="9">
        <f>ROUND(P166 / 1.2, 2)</f>
        <v>9.43</v>
      </c>
      <c r="W166" s="9">
        <f>ROUND(Q166 / 1.2, 2)</f>
        <v>23.33</v>
      </c>
      <c r="X166" s="9">
        <f>ROUND(R166 / 1.2, 2)</f>
        <v>32.770000000000003</v>
      </c>
      <c r="Y166" s="9">
        <f>ROUND(S166 / 1.2, 2)</f>
        <v>32818.57</v>
      </c>
      <c r="Z166" s="9">
        <f>ROUND(T166 / 1.2, 2)</f>
        <v>81176.67</v>
      </c>
      <c r="AA166" s="9">
        <f>Y166+Z166</f>
        <v>113995.23999999999</v>
      </c>
      <c r="AD166" s="4">
        <v>298925300</v>
      </c>
      <c r="AE166" s="4">
        <v>19813870</v>
      </c>
      <c r="AG166" s="4" t="s">
        <v>733</v>
      </c>
      <c r="AH166" s="4" t="s">
        <v>734</v>
      </c>
      <c r="AI166" s="4" t="s">
        <v>67</v>
      </c>
    </row>
    <row r="167" spans="1:35" ht="36" x14ac:dyDescent="0.3">
      <c r="A167" s="10" t="s">
        <v>735</v>
      </c>
      <c r="B167" s="10"/>
      <c r="C167" s="17" t="s">
        <v>736</v>
      </c>
      <c r="D167" s="12"/>
      <c r="E167" s="12"/>
      <c r="F167" s="18" t="s">
        <v>70</v>
      </c>
      <c r="G167" s="19">
        <v>0.3</v>
      </c>
      <c r="H167" s="20"/>
      <c r="I167" s="20">
        <v>1043.7</v>
      </c>
      <c r="J167" s="21">
        <v>12.07</v>
      </c>
      <c r="M167" s="22">
        <f>ROUND(ROUND(J167, 2)*I167, 2)</f>
        <v>12597.46</v>
      </c>
      <c r="P167" s="21">
        <v>12.07</v>
      </c>
      <c r="S167" s="22">
        <f>ROUND(ROUND(P167, 2)*I167, 2)</f>
        <v>12597.46</v>
      </c>
      <c r="V167" s="9">
        <f>ROUND(ROUND(P167, 2)/1.2, 2)</f>
        <v>10.06</v>
      </c>
      <c r="Y167" s="9">
        <f t="shared" ref="Y167:Y198" si="17">ROUND(S167 / 1.2, 2)</f>
        <v>10497.88</v>
      </c>
      <c r="AD167" s="4" t="s">
        <v>737</v>
      </c>
      <c r="AE167" s="4" t="s">
        <v>738</v>
      </c>
      <c r="AF167" s="4" t="s">
        <v>739</v>
      </c>
    </row>
    <row r="168" spans="1:35" ht="18" x14ac:dyDescent="0.3">
      <c r="A168" s="10" t="s">
        <v>740</v>
      </c>
      <c r="B168" s="10"/>
      <c r="C168" s="24" t="s">
        <v>741</v>
      </c>
      <c r="D168" s="12"/>
      <c r="E168" s="12"/>
      <c r="F168" s="18" t="s">
        <v>87</v>
      </c>
      <c r="G168" s="19">
        <v>1.1000000000000001</v>
      </c>
      <c r="H168" s="20"/>
      <c r="I168" s="20">
        <v>3826.9</v>
      </c>
      <c r="J168" s="21">
        <v>7</v>
      </c>
      <c r="M168" s="22">
        <f>ROUND(ROUND(J168, 2)*I168, 2)</f>
        <v>26788.3</v>
      </c>
      <c r="P168" s="21">
        <v>7</v>
      </c>
      <c r="S168" s="22">
        <f>ROUND(ROUND(P168, 2)*I168, 2)</f>
        <v>26788.3</v>
      </c>
      <c r="V168" s="9">
        <f>ROUND(ROUND(P168, 2)/1.2, 2)</f>
        <v>5.83</v>
      </c>
      <c r="Y168" s="9">
        <f t="shared" si="17"/>
        <v>22323.58</v>
      </c>
      <c r="AD168" s="4" t="s">
        <v>742</v>
      </c>
      <c r="AE168" s="4" t="s">
        <v>743</v>
      </c>
      <c r="AF168" s="4" t="s">
        <v>744</v>
      </c>
    </row>
    <row r="169" spans="1:35" ht="54" x14ac:dyDescent="0.3">
      <c r="A169" s="10" t="s">
        <v>745</v>
      </c>
      <c r="B169" s="10" t="s">
        <v>746</v>
      </c>
      <c r="C169" s="11" t="s">
        <v>747</v>
      </c>
      <c r="D169" s="12"/>
      <c r="E169" s="12" t="s">
        <v>63</v>
      </c>
      <c r="F169" s="12" t="s">
        <v>64</v>
      </c>
      <c r="G169" s="13">
        <v>1</v>
      </c>
      <c r="H169" s="13"/>
      <c r="I169" s="13">
        <v>0</v>
      </c>
      <c r="J169" s="14">
        <f>IFERROR(ROUND(SUM(M170,M171,M172)/I169, 2),0)</f>
        <v>0</v>
      </c>
      <c r="K169" s="15">
        <v>826</v>
      </c>
      <c r="L169" s="14">
        <f>J169+ROUND(K169, 2)</f>
        <v>826</v>
      </c>
      <c r="M169" s="14">
        <f>ROUND(J169*I169, 2)</f>
        <v>0</v>
      </c>
      <c r="N169" s="14">
        <f>ROUND(I169*ROUND(K169, 2), 2)</f>
        <v>0</v>
      </c>
      <c r="O169" s="14">
        <f>M169+N169</f>
        <v>0</v>
      </c>
      <c r="P169" s="14">
        <f>IFERROR(ROUND(SUM(S170,S171,S172)/I169, 2),0)</f>
        <v>0</v>
      </c>
      <c r="Q169" s="15">
        <v>826</v>
      </c>
      <c r="R169" s="14">
        <f>P169+ROUND(Q169, 2)</f>
        <v>826</v>
      </c>
      <c r="S169" s="14">
        <f>ROUND(P169*I169, 2)</f>
        <v>0</v>
      </c>
      <c r="T169" s="14">
        <f>ROUND(I169*ROUND(Q169, 2), 2)</f>
        <v>0</v>
      </c>
      <c r="U169" s="14">
        <f>S169+T169</f>
        <v>0</v>
      </c>
      <c r="V169" s="9">
        <f>ROUND(P169 / 1.2, 2)</f>
        <v>0</v>
      </c>
      <c r="W169" s="9">
        <f>ROUND(Q169 / 1.2, 2)</f>
        <v>688.33</v>
      </c>
      <c r="X169" s="9">
        <f>ROUND(R169 / 1.2, 2)</f>
        <v>688.33</v>
      </c>
      <c r="Y169" s="9">
        <f t="shared" si="17"/>
        <v>0</v>
      </c>
      <c r="Z169" s="9">
        <f>ROUND(T169 / 1.2, 2)</f>
        <v>0</v>
      </c>
      <c r="AA169" s="9">
        <f>Y169+Z169</f>
        <v>0</v>
      </c>
      <c r="AD169" s="4">
        <v>298925302</v>
      </c>
      <c r="AE169" s="4">
        <v>16677750</v>
      </c>
      <c r="AG169" s="4" t="s">
        <v>748</v>
      </c>
      <c r="AH169" s="4" t="s">
        <v>749</v>
      </c>
      <c r="AI169" s="4" t="s">
        <v>67</v>
      </c>
    </row>
    <row r="170" spans="1:35" ht="36" x14ac:dyDescent="0.3">
      <c r="A170" s="10" t="s">
        <v>751</v>
      </c>
      <c r="B170" s="10"/>
      <c r="C170" s="17" t="s">
        <v>752</v>
      </c>
      <c r="D170" s="12"/>
      <c r="E170" s="12" t="s">
        <v>753</v>
      </c>
      <c r="F170" s="18" t="s">
        <v>70</v>
      </c>
      <c r="G170" s="19">
        <v>1</v>
      </c>
      <c r="H170" s="20"/>
      <c r="I170" s="20">
        <v>0</v>
      </c>
      <c r="J170" s="21">
        <v>7.59</v>
      </c>
      <c r="M170" s="22">
        <f>ROUND(ROUND(J170, 2)*I170, 2)</f>
        <v>0</v>
      </c>
      <c r="P170" s="21">
        <v>7.59</v>
      </c>
      <c r="S170" s="22">
        <f>ROUND(ROUND(P170, 2)*I170, 2)</f>
        <v>0</v>
      </c>
      <c r="V170" s="9">
        <f>ROUND(ROUND(P170, 2)/1.2, 2)</f>
        <v>6.33</v>
      </c>
      <c r="Y170" s="9">
        <f t="shared" si="17"/>
        <v>0</v>
      </c>
      <c r="AD170" s="4" t="s">
        <v>754</v>
      </c>
      <c r="AE170" s="4" t="s">
        <v>755</v>
      </c>
      <c r="AF170" s="4" t="s">
        <v>756</v>
      </c>
    </row>
    <row r="171" spans="1:35" ht="18" x14ac:dyDescent="0.3">
      <c r="A171" s="10" t="s">
        <v>759</v>
      </c>
      <c r="B171" s="10"/>
      <c r="C171" s="24" t="s">
        <v>760</v>
      </c>
      <c r="D171" s="12"/>
      <c r="E171" s="12"/>
      <c r="F171" s="18" t="s">
        <v>70</v>
      </c>
      <c r="G171" s="19">
        <v>0.25</v>
      </c>
      <c r="H171" s="19"/>
      <c r="I171" s="19">
        <v>0</v>
      </c>
      <c r="J171" s="21">
        <v>100</v>
      </c>
      <c r="M171" s="22">
        <f>ROUND(ROUND(J171, 2)*I171, 2)</f>
        <v>0</v>
      </c>
      <c r="P171" s="21">
        <v>100</v>
      </c>
      <c r="S171" s="22">
        <f>ROUND(ROUND(P171, 2)*I171, 2)</f>
        <v>0</v>
      </c>
      <c r="V171" s="9">
        <f>ROUND(ROUND(P171, 2)/1.2, 2)</f>
        <v>83.33</v>
      </c>
      <c r="Y171" s="9">
        <f t="shared" si="17"/>
        <v>0</v>
      </c>
      <c r="AD171" s="4" t="s">
        <v>761</v>
      </c>
      <c r="AE171" s="4" t="s">
        <v>762</v>
      </c>
      <c r="AF171" s="4" t="s">
        <v>763</v>
      </c>
    </row>
    <row r="172" spans="1:35" ht="18" x14ac:dyDescent="0.3">
      <c r="A172" s="10" t="s">
        <v>766</v>
      </c>
      <c r="B172" s="10"/>
      <c r="C172" s="24" t="s">
        <v>767</v>
      </c>
      <c r="D172" s="12"/>
      <c r="E172" s="12"/>
      <c r="F172" s="18" t="s">
        <v>87</v>
      </c>
      <c r="G172" s="19">
        <v>1.05</v>
      </c>
      <c r="H172" s="20"/>
      <c r="I172" s="20">
        <v>0</v>
      </c>
      <c r="J172" s="21">
        <v>15.76</v>
      </c>
      <c r="M172" s="22">
        <f>ROUND(ROUND(J172, 2)*I172, 2)</f>
        <v>0</v>
      </c>
      <c r="P172" s="21">
        <v>15.76</v>
      </c>
      <c r="S172" s="22">
        <f>ROUND(ROUND(P172, 2)*I172, 2)</f>
        <v>0</v>
      </c>
      <c r="V172" s="9">
        <f>ROUND(ROUND(P172, 2)/1.2, 2)</f>
        <v>13.13</v>
      </c>
      <c r="Y172" s="9">
        <f t="shared" si="17"/>
        <v>0</v>
      </c>
      <c r="AD172" s="4" t="s">
        <v>768</v>
      </c>
      <c r="AE172" s="4" t="s">
        <v>769</v>
      </c>
      <c r="AF172" s="4" t="s">
        <v>770</v>
      </c>
    </row>
    <row r="173" spans="1:35" ht="54" x14ac:dyDescent="0.3">
      <c r="A173" s="10" t="s">
        <v>773</v>
      </c>
      <c r="B173" s="10" t="s">
        <v>774</v>
      </c>
      <c r="C173" s="11" t="s">
        <v>775</v>
      </c>
      <c r="D173" s="12"/>
      <c r="E173" s="12" t="s">
        <v>776</v>
      </c>
      <c r="F173" s="12" t="s">
        <v>64</v>
      </c>
      <c r="G173" s="13">
        <v>1</v>
      </c>
      <c r="H173" s="13"/>
      <c r="I173" s="13">
        <v>0</v>
      </c>
      <c r="J173" s="14">
        <f>IFERROR(ROUND(SUM(M174,M175,M176,M177)/I173, 2),0)</f>
        <v>0</v>
      </c>
      <c r="K173" s="15">
        <v>329</v>
      </c>
      <c r="L173" s="14">
        <f>J173+ROUND(K173, 2)</f>
        <v>329</v>
      </c>
      <c r="M173" s="14">
        <f>ROUND(J173*I173, 2)</f>
        <v>0</v>
      </c>
      <c r="N173" s="14">
        <f>ROUND(I173*ROUND(K173, 2), 2)</f>
        <v>0</v>
      </c>
      <c r="O173" s="14">
        <f>M173+N173</f>
        <v>0</v>
      </c>
      <c r="P173" s="14">
        <f>IFERROR(ROUND(SUM(S174,S175,S176,S177)/I173, 2),0)</f>
        <v>0</v>
      </c>
      <c r="Q173" s="15">
        <v>329</v>
      </c>
      <c r="R173" s="14">
        <f>P173+ROUND(Q173, 2)</f>
        <v>329</v>
      </c>
      <c r="S173" s="14">
        <f>ROUND(P173*I173, 2)</f>
        <v>0</v>
      </c>
      <c r="T173" s="14">
        <f>ROUND(I173*ROUND(Q173, 2), 2)</f>
        <v>0</v>
      </c>
      <c r="U173" s="14">
        <f>S173+T173</f>
        <v>0</v>
      </c>
      <c r="V173" s="9">
        <f>ROUND(P173 / 1.2, 2)</f>
        <v>0</v>
      </c>
      <c r="W173" s="9">
        <f>ROUND(Q173 / 1.2, 2)</f>
        <v>274.17</v>
      </c>
      <c r="X173" s="9">
        <f>ROUND(R173 / 1.2, 2)</f>
        <v>274.17</v>
      </c>
      <c r="Y173" s="9">
        <f t="shared" si="17"/>
        <v>0</v>
      </c>
      <c r="Z173" s="9">
        <f>ROUND(T173 / 1.2, 2)</f>
        <v>0</v>
      </c>
      <c r="AA173" s="9">
        <f>Y173+Z173</f>
        <v>0</v>
      </c>
      <c r="AD173" s="4">
        <v>298925304</v>
      </c>
      <c r="AE173" s="4">
        <v>16211417</v>
      </c>
      <c r="AG173" s="4" t="s">
        <v>777</v>
      </c>
      <c r="AH173" s="4" t="s">
        <v>778</v>
      </c>
      <c r="AI173" s="4" t="s">
        <v>67</v>
      </c>
    </row>
    <row r="174" spans="1:35" ht="36" x14ac:dyDescent="0.3">
      <c r="A174" s="10" t="s">
        <v>781</v>
      </c>
      <c r="B174" s="10"/>
      <c r="C174" s="17" t="s">
        <v>736</v>
      </c>
      <c r="D174" s="12"/>
      <c r="E174" s="12" t="s">
        <v>782</v>
      </c>
      <c r="F174" s="18" t="s">
        <v>70</v>
      </c>
      <c r="G174" s="19">
        <v>1.8</v>
      </c>
      <c r="H174" s="19"/>
      <c r="I174" s="19">
        <v>0</v>
      </c>
      <c r="J174" s="21">
        <v>12.58</v>
      </c>
      <c r="M174" s="22">
        <f>ROUND(ROUND(J174, 2)*I174, 2)</f>
        <v>0</v>
      </c>
      <c r="P174" s="21">
        <v>12.58</v>
      </c>
      <c r="S174" s="22">
        <f>ROUND(ROUND(P174, 2)*I174, 2)</f>
        <v>0</v>
      </c>
      <c r="V174" s="9">
        <f>ROUND(ROUND(P174, 2)/1.2, 2)</f>
        <v>10.48</v>
      </c>
      <c r="Y174" s="9">
        <f t="shared" si="17"/>
        <v>0</v>
      </c>
      <c r="AD174" s="4" t="s">
        <v>783</v>
      </c>
      <c r="AE174" s="4" t="s">
        <v>784</v>
      </c>
      <c r="AF174" s="4" t="s">
        <v>785</v>
      </c>
    </row>
    <row r="175" spans="1:35" ht="18" x14ac:dyDescent="0.3">
      <c r="A175" s="10" t="s">
        <v>788</v>
      </c>
      <c r="B175" s="10"/>
      <c r="C175" s="24" t="s">
        <v>789</v>
      </c>
      <c r="D175" s="12"/>
      <c r="E175" s="12"/>
      <c r="F175" s="18" t="s">
        <v>116</v>
      </c>
      <c r="G175" s="19">
        <v>0.3</v>
      </c>
      <c r="H175" s="20"/>
      <c r="I175" s="20">
        <v>0</v>
      </c>
      <c r="J175" s="21">
        <v>73.099999999999994</v>
      </c>
      <c r="M175" s="22">
        <f>ROUND(ROUND(J175, 2)*I175, 2)</f>
        <v>0</v>
      </c>
      <c r="P175" s="21">
        <v>73.099999999999994</v>
      </c>
      <c r="S175" s="22">
        <f>ROUND(ROUND(P175, 2)*I175, 2)</f>
        <v>0</v>
      </c>
      <c r="V175" s="9">
        <f>ROUND(ROUND(P175, 2)/1.2, 2)</f>
        <v>60.92</v>
      </c>
      <c r="Y175" s="9">
        <f t="shared" si="17"/>
        <v>0</v>
      </c>
      <c r="AD175" s="4" t="s">
        <v>790</v>
      </c>
      <c r="AE175" s="4" t="s">
        <v>791</v>
      </c>
      <c r="AF175" s="4" t="s">
        <v>792</v>
      </c>
    </row>
    <row r="176" spans="1:35" ht="18" x14ac:dyDescent="0.3">
      <c r="A176" s="10" t="s">
        <v>795</v>
      </c>
      <c r="B176" s="10"/>
      <c r="C176" s="24" t="s">
        <v>796</v>
      </c>
      <c r="D176" s="12"/>
      <c r="E176" s="12"/>
      <c r="F176" s="18" t="s">
        <v>87</v>
      </c>
      <c r="G176" s="19">
        <v>1</v>
      </c>
      <c r="H176" s="20"/>
      <c r="I176" s="20">
        <v>0</v>
      </c>
      <c r="J176" s="21">
        <v>7</v>
      </c>
      <c r="M176" s="22">
        <f>ROUND(ROUND(J176, 2)*I176, 2)</f>
        <v>0</v>
      </c>
      <c r="P176" s="21">
        <v>7</v>
      </c>
      <c r="S176" s="22">
        <f>ROUND(ROUND(P176, 2)*I176, 2)</f>
        <v>0</v>
      </c>
      <c r="V176" s="9">
        <f>ROUND(ROUND(P176, 2)/1.2, 2)</f>
        <v>5.83</v>
      </c>
      <c r="Y176" s="9">
        <f t="shared" si="17"/>
        <v>0</v>
      </c>
      <c r="AD176" s="4" t="s">
        <v>797</v>
      </c>
      <c r="AE176" s="4" t="s">
        <v>798</v>
      </c>
      <c r="AF176" s="4" t="s">
        <v>799</v>
      </c>
    </row>
    <row r="177" spans="1:35" ht="36" x14ac:dyDescent="0.3">
      <c r="A177" s="10" t="s">
        <v>802</v>
      </c>
      <c r="B177" s="10"/>
      <c r="C177" s="24" t="s">
        <v>433</v>
      </c>
      <c r="D177" s="12"/>
      <c r="E177" s="12"/>
      <c r="F177" s="18" t="s">
        <v>70</v>
      </c>
      <c r="G177" s="19">
        <v>0.15</v>
      </c>
      <c r="H177" s="19"/>
      <c r="I177" s="19">
        <v>0</v>
      </c>
      <c r="J177" s="21">
        <v>88.8</v>
      </c>
      <c r="M177" s="22">
        <f>ROUND(ROUND(J177, 2)*I177, 2)</f>
        <v>0</v>
      </c>
      <c r="P177" s="21">
        <v>88.8</v>
      </c>
      <c r="S177" s="22">
        <f>ROUND(ROUND(P177, 2)*I177, 2)</f>
        <v>0</v>
      </c>
      <c r="V177" s="9">
        <f>ROUND(ROUND(P177, 2)/1.2, 2)</f>
        <v>74</v>
      </c>
      <c r="Y177" s="9">
        <f t="shared" si="17"/>
        <v>0</v>
      </c>
      <c r="AD177" s="4" t="s">
        <v>803</v>
      </c>
      <c r="AE177" s="4" t="s">
        <v>804</v>
      </c>
      <c r="AF177" s="4" t="s">
        <v>436</v>
      </c>
    </row>
    <row r="178" spans="1:35" ht="54" x14ac:dyDescent="0.3">
      <c r="A178" s="10" t="s">
        <v>807</v>
      </c>
      <c r="B178" s="10" t="s">
        <v>774</v>
      </c>
      <c r="C178" s="11" t="s">
        <v>775</v>
      </c>
      <c r="D178" s="12"/>
      <c r="E178" s="12" t="s">
        <v>808</v>
      </c>
      <c r="F178" s="12" t="s">
        <v>64</v>
      </c>
      <c r="G178" s="13">
        <v>1</v>
      </c>
      <c r="H178" s="13"/>
      <c r="I178" s="13">
        <v>0</v>
      </c>
      <c r="J178" s="14">
        <f>IFERROR(ROUND(SUM(M179,M180)/I178, 2),0)</f>
        <v>0</v>
      </c>
      <c r="K178" s="15">
        <v>329</v>
      </c>
      <c r="L178" s="14">
        <f>J178+ROUND(K178, 2)</f>
        <v>329</v>
      </c>
      <c r="M178" s="14">
        <f>ROUND(J178*I178, 2)</f>
        <v>0</v>
      </c>
      <c r="N178" s="14">
        <f>ROUND(I178*ROUND(K178, 2), 2)</f>
        <v>0</v>
      </c>
      <c r="O178" s="14">
        <f>M178+N178</f>
        <v>0</v>
      </c>
      <c r="P178" s="14">
        <f>IFERROR(ROUND(SUM(S179,S180)/I178, 2),0)</f>
        <v>0</v>
      </c>
      <c r="Q178" s="15">
        <v>329</v>
      </c>
      <c r="R178" s="14">
        <f>P178+ROUND(Q178, 2)</f>
        <v>329</v>
      </c>
      <c r="S178" s="14">
        <f>ROUND(P178*I178, 2)</f>
        <v>0</v>
      </c>
      <c r="T178" s="14">
        <f>ROUND(I178*ROUND(Q178, 2), 2)</f>
        <v>0</v>
      </c>
      <c r="U178" s="14">
        <f>S178+T178</f>
        <v>0</v>
      </c>
      <c r="V178" s="9">
        <f>ROUND(P178 / 1.2, 2)</f>
        <v>0</v>
      </c>
      <c r="W178" s="9">
        <f>ROUND(Q178 / 1.2, 2)</f>
        <v>274.17</v>
      </c>
      <c r="X178" s="9">
        <f>ROUND(R178 / 1.2, 2)</f>
        <v>274.17</v>
      </c>
      <c r="Y178" s="9">
        <f t="shared" si="17"/>
        <v>0</v>
      </c>
      <c r="Z178" s="9">
        <f>ROUND(T178 / 1.2, 2)</f>
        <v>0</v>
      </c>
      <c r="AA178" s="9">
        <f>Y178+Z178</f>
        <v>0</v>
      </c>
      <c r="AD178" s="4">
        <v>298925383</v>
      </c>
      <c r="AE178" s="4">
        <v>16211418</v>
      </c>
      <c r="AG178" s="4" t="s">
        <v>777</v>
      </c>
      <c r="AH178" s="4" t="s">
        <v>778</v>
      </c>
      <c r="AI178" s="4" t="s">
        <v>67</v>
      </c>
    </row>
    <row r="179" spans="1:35" ht="36" x14ac:dyDescent="0.3">
      <c r="A179" s="10" t="s">
        <v>811</v>
      </c>
      <c r="B179" s="10"/>
      <c r="C179" s="24" t="s">
        <v>433</v>
      </c>
      <c r="D179" s="12"/>
      <c r="E179" s="12"/>
      <c r="F179" s="18" t="s">
        <v>70</v>
      </c>
      <c r="G179" s="19">
        <v>0.15</v>
      </c>
      <c r="H179" s="19"/>
      <c r="I179" s="19">
        <v>0</v>
      </c>
      <c r="J179" s="21">
        <v>88.8</v>
      </c>
      <c r="M179" s="22">
        <f>ROUND(ROUND(J179, 2)*I179, 2)</f>
        <v>0</v>
      </c>
      <c r="P179" s="21">
        <v>88.8</v>
      </c>
      <c r="S179" s="22">
        <f>ROUND(ROUND(P179, 2)*I179, 2)</f>
        <v>0</v>
      </c>
      <c r="V179" s="9">
        <f>ROUND(ROUND(P179, 2)/1.2, 2)</f>
        <v>74</v>
      </c>
      <c r="Y179" s="9">
        <f t="shared" si="17"/>
        <v>0</v>
      </c>
      <c r="AD179" s="4" t="s">
        <v>812</v>
      </c>
      <c r="AE179" s="4" t="s">
        <v>813</v>
      </c>
      <c r="AF179" s="4" t="s">
        <v>436</v>
      </c>
    </row>
    <row r="180" spans="1:35" ht="36" x14ac:dyDescent="0.3">
      <c r="A180" s="10" t="s">
        <v>816</v>
      </c>
      <c r="B180" s="10"/>
      <c r="C180" s="17" t="s">
        <v>736</v>
      </c>
      <c r="D180" s="12"/>
      <c r="E180" s="12" t="s">
        <v>817</v>
      </c>
      <c r="F180" s="18" t="s">
        <v>70</v>
      </c>
      <c r="G180" s="19">
        <v>1.8</v>
      </c>
      <c r="H180" s="19"/>
      <c r="I180" s="19">
        <v>0</v>
      </c>
      <c r="J180" s="21">
        <v>12.58</v>
      </c>
      <c r="M180" s="22">
        <f>ROUND(ROUND(J180, 2)*I180, 2)</f>
        <v>0</v>
      </c>
      <c r="P180" s="21">
        <v>12.58</v>
      </c>
      <c r="S180" s="22">
        <f>ROUND(ROUND(P180, 2)*I180, 2)</f>
        <v>0</v>
      </c>
      <c r="V180" s="9">
        <f>ROUND(ROUND(P180, 2)/1.2, 2)</f>
        <v>10.48</v>
      </c>
      <c r="Y180" s="9">
        <f t="shared" si="17"/>
        <v>0</v>
      </c>
      <c r="AD180" s="4" t="s">
        <v>818</v>
      </c>
      <c r="AE180" s="4" t="s">
        <v>819</v>
      </c>
      <c r="AF180" s="4" t="s">
        <v>785</v>
      </c>
    </row>
    <row r="181" spans="1:35" ht="54" x14ac:dyDescent="0.3">
      <c r="A181" s="10" t="s">
        <v>822</v>
      </c>
      <c r="B181" s="10" t="s">
        <v>823</v>
      </c>
      <c r="C181" s="11" t="s">
        <v>824</v>
      </c>
      <c r="D181" s="12"/>
      <c r="E181" s="12" t="s">
        <v>825</v>
      </c>
      <c r="F181" s="12" t="s">
        <v>64</v>
      </c>
      <c r="G181" s="13">
        <v>1</v>
      </c>
      <c r="H181" s="13"/>
      <c r="I181" s="13">
        <v>8128.4</v>
      </c>
      <c r="J181" s="14">
        <f>IFERROR(ROUND(SUM(M182,M183)/I181, 2),0)</f>
        <v>73.319999999999993</v>
      </c>
      <c r="K181" s="15">
        <v>508</v>
      </c>
      <c r="L181" s="14">
        <f>J181+ROUND(K181, 2)</f>
        <v>581.31999999999994</v>
      </c>
      <c r="M181" s="14">
        <f>ROUND(J181*I181, 2)</f>
        <v>595974.29</v>
      </c>
      <c r="N181" s="14">
        <f>ROUND(I181*ROUND(K181, 2), 2)</f>
        <v>4129227.2</v>
      </c>
      <c r="O181" s="14">
        <f>M181+N181</f>
        <v>4725201.49</v>
      </c>
      <c r="P181" s="14">
        <f>IFERROR(ROUND(SUM(S182,S183)/I181, 2),0)</f>
        <v>26.02</v>
      </c>
      <c r="Q181" s="15">
        <v>508</v>
      </c>
      <c r="R181" s="14">
        <f>P181+ROUND(Q181, 2)</f>
        <v>534.02</v>
      </c>
      <c r="S181" s="14">
        <f>ROUND(P181*I181, 2)</f>
        <v>211500.97</v>
      </c>
      <c r="T181" s="14">
        <f>ROUND(I181*ROUND(Q181, 2), 2)</f>
        <v>4129227.2</v>
      </c>
      <c r="U181" s="14">
        <f>S181+T181</f>
        <v>4340728.17</v>
      </c>
      <c r="V181" s="9">
        <f>ROUND(P181 / 1.2, 2)</f>
        <v>21.68</v>
      </c>
      <c r="W181" s="9">
        <f>ROUND(Q181 / 1.2, 2)</f>
        <v>423.33</v>
      </c>
      <c r="X181" s="9">
        <f>ROUND(R181 / 1.2, 2)</f>
        <v>445.02</v>
      </c>
      <c r="Y181" s="9">
        <f t="shared" si="17"/>
        <v>176250.81</v>
      </c>
      <c r="Z181" s="9">
        <f>ROUND(T181 / 1.2, 2)</f>
        <v>3441022.67</v>
      </c>
      <c r="AA181" s="9">
        <f>Y181+Z181</f>
        <v>3617273.48</v>
      </c>
      <c r="AD181" s="4">
        <v>298925306</v>
      </c>
      <c r="AE181" s="4">
        <v>19976869</v>
      </c>
      <c r="AG181" s="4" t="s">
        <v>826</v>
      </c>
      <c r="AH181" s="4" t="s">
        <v>827</v>
      </c>
      <c r="AI181" s="4" t="s">
        <v>67</v>
      </c>
    </row>
    <row r="182" spans="1:35" ht="36" x14ac:dyDescent="0.3">
      <c r="A182" s="10" t="s">
        <v>828</v>
      </c>
      <c r="B182" s="10"/>
      <c r="C182" s="24" t="s">
        <v>829</v>
      </c>
      <c r="D182" s="12"/>
      <c r="E182" s="12"/>
      <c r="F182" s="18" t="s">
        <v>70</v>
      </c>
      <c r="G182" s="19">
        <v>1</v>
      </c>
      <c r="H182" s="19"/>
      <c r="I182" s="19">
        <v>8128.4</v>
      </c>
      <c r="J182" s="21">
        <v>60</v>
      </c>
      <c r="M182" s="22">
        <f>ROUND(ROUND(J182, 2)*I182, 2)</f>
        <v>487704</v>
      </c>
      <c r="P182" s="21">
        <v>12.7</v>
      </c>
      <c r="S182" s="22">
        <f>ROUND(ROUND(P182, 2)*I182, 2)</f>
        <v>103230.68</v>
      </c>
      <c r="V182" s="9">
        <f>ROUND(ROUND(P182, 2)/1.2, 2)</f>
        <v>10.58</v>
      </c>
      <c r="Y182" s="9">
        <f t="shared" si="17"/>
        <v>86025.57</v>
      </c>
      <c r="AD182" s="4" t="s">
        <v>830</v>
      </c>
      <c r="AE182" s="4" t="s">
        <v>831</v>
      </c>
      <c r="AF182" s="4" t="s">
        <v>832</v>
      </c>
    </row>
    <row r="183" spans="1:35" ht="36" x14ac:dyDescent="0.3">
      <c r="A183" s="10" t="s">
        <v>833</v>
      </c>
      <c r="B183" s="10"/>
      <c r="C183" s="24" t="s">
        <v>433</v>
      </c>
      <c r="D183" s="12"/>
      <c r="E183" s="12"/>
      <c r="F183" s="18" t="s">
        <v>70</v>
      </c>
      <c r="G183" s="19">
        <v>0.15</v>
      </c>
      <c r="H183" s="19"/>
      <c r="I183" s="19">
        <v>1219.26</v>
      </c>
      <c r="J183" s="21">
        <v>88.8</v>
      </c>
      <c r="M183" s="22">
        <f>ROUND(ROUND(J183, 2)*I183, 2)</f>
        <v>108270.29</v>
      </c>
      <c r="P183" s="21">
        <v>88.8</v>
      </c>
      <c r="S183" s="22">
        <f>ROUND(ROUND(P183, 2)*I183, 2)</f>
        <v>108270.29</v>
      </c>
      <c r="V183" s="9">
        <f>ROUND(ROUND(P183, 2)/1.2, 2)</f>
        <v>74</v>
      </c>
      <c r="Y183" s="9">
        <f t="shared" si="17"/>
        <v>90225.24</v>
      </c>
      <c r="AD183" s="4" t="s">
        <v>834</v>
      </c>
      <c r="AE183" s="4" t="s">
        <v>835</v>
      </c>
      <c r="AF183" s="4" t="s">
        <v>436</v>
      </c>
    </row>
    <row r="184" spans="1:35" ht="54" x14ac:dyDescent="0.3">
      <c r="A184" s="10" t="s">
        <v>836</v>
      </c>
      <c r="B184" s="10" t="s">
        <v>823</v>
      </c>
      <c r="C184" s="11" t="s">
        <v>824</v>
      </c>
      <c r="D184" s="12"/>
      <c r="E184" s="12" t="s">
        <v>837</v>
      </c>
      <c r="F184" s="12" t="s">
        <v>64</v>
      </c>
      <c r="G184" s="13">
        <v>1</v>
      </c>
      <c r="H184" s="13"/>
      <c r="I184" s="13">
        <v>7374</v>
      </c>
      <c r="J184" s="14">
        <f>IFERROR(ROUND(SUM(M185,M186)/I184, 2),0)</f>
        <v>73.319999999999993</v>
      </c>
      <c r="K184" s="15">
        <v>508</v>
      </c>
      <c r="L184" s="14">
        <f>J184+ROUND(K184, 2)</f>
        <v>581.31999999999994</v>
      </c>
      <c r="M184" s="14">
        <f>ROUND(J184*I184, 2)</f>
        <v>540661.68000000005</v>
      </c>
      <c r="N184" s="14">
        <f>ROUND(I184*ROUND(K184, 2), 2)</f>
        <v>3745992</v>
      </c>
      <c r="O184" s="14">
        <f>M184+N184</f>
        <v>4286653.68</v>
      </c>
      <c r="P184" s="14">
        <f>IFERROR(ROUND(SUM(S185,S186)/I184, 2),0)</f>
        <v>26.02</v>
      </c>
      <c r="Q184" s="15">
        <v>508</v>
      </c>
      <c r="R184" s="14">
        <f>P184+ROUND(Q184, 2)</f>
        <v>534.02</v>
      </c>
      <c r="S184" s="14">
        <f>ROUND(P184*I184, 2)</f>
        <v>191871.48</v>
      </c>
      <c r="T184" s="14">
        <f>ROUND(I184*ROUND(Q184, 2), 2)</f>
        <v>3745992</v>
      </c>
      <c r="U184" s="14">
        <f>S184+T184</f>
        <v>3937863.48</v>
      </c>
      <c r="V184" s="9">
        <f>ROUND(P184 / 1.2, 2)</f>
        <v>21.68</v>
      </c>
      <c r="W184" s="9">
        <f>ROUND(Q184 / 1.2, 2)</f>
        <v>423.33</v>
      </c>
      <c r="X184" s="9">
        <f>ROUND(R184 / 1.2, 2)</f>
        <v>445.02</v>
      </c>
      <c r="Y184" s="9">
        <f t="shared" si="17"/>
        <v>159892.9</v>
      </c>
      <c r="Z184" s="9">
        <f>ROUND(T184 / 1.2, 2)</f>
        <v>3121660</v>
      </c>
      <c r="AA184" s="9">
        <f>Y184+Z184</f>
        <v>3281552.9</v>
      </c>
      <c r="AD184" s="4">
        <v>298925384</v>
      </c>
      <c r="AE184" s="4">
        <v>19976870</v>
      </c>
      <c r="AG184" s="4" t="s">
        <v>826</v>
      </c>
      <c r="AH184" s="4" t="s">
        <v>827</v>
      </c>
      <c r="AI184" s="4" t="s">
        <v>67</v>
      </c>
    </row>
    <row r="185" spans="1:35" ht="36" x14ac:dyDescent="0.3">
      <c r="A185" s="10" t="s">
        <v>838</v>
      </c>
      <c r="B185" s="10"/>
      <c r="C185" s="24" t="s">
        <v>433</v>
      </c>
      <c r="D185" s="12"/>
      <c r="E185" s="12"/>
      <c r="F185" s="18" t="s">
        <v>70</v>
      </c>
      <c r="G185" s="19">
        <v>0.15</v>
      </c>
      <c r="H185" s="19"/>
      <c r="I185" s="19">
        <v>1106.0999999999999</v>
      </c>
      <c r="J185" s="21">
        <v>88.8</v>
      </c>
      <c r="M185" s="22">
        <f>ROUND(ROUND(J185, 2)*I185, 2)</f>
        <v>98221.68</v>
      </c>
      <c r="P185" s="21">
        <v>88.8</v>
      </c>
      <c r="S185" s="22">
        <f>ROUND(ROUND(P185, 2)*I185, 2)</f>
        <v>98221.68</v>
      </c>
      <c r="V185" s="9">
        <f>ROUND(ROUND(P185, 2)/1.2, 2)</f>
        <v>74</v>
      </c>
      <c r="Y185" s="9">
        <f t="shared" si="17"/>
        <v>81851.399999999994</v>
      </c>
      <c r="AD185" s="4" t="s">
        <v>839</v>
      </c>
      <c r="AE185" s="4" t="s">
        <v>840</v>
      </c>
      <c r="AF185" s="4" t="s">
        <v>436</v>
      </c>
    </row>
    <row r="186" spans="1:35" ht="36" x14ac:dyDescent="0.3">
      <c r="A186" s="10" t="s">
        <v>841</v>
      </c>
      <c r="B186" s="10"/>
      <c r="C186" s="24" t="s">
        <v>829</v>
      </c>
      <c r="D186" s="12"/>
      <c r="E186" s="12"/>
      <c r="F186" s="18" t="s">
        <v>70</v>
      </c>
      <c r="G186" s="19">
        <v>1</v>
      </c>
      <c r="H186" s="19"/>
      <c r="I186" s="19">
        <v>7374</v>
      </c>
      <c r="J186" s="21">
        <v>60</v>
      </c>
      <c r="M186" s="22">
        <f>ROUND(ROUND(J186, 2)*I186, 2)</f>
        <v>442440</v>
      </c>
      <c r="P186" s="21">
        <v>12.7</v>
      </c>
      <c r="S186" s="22">
        <f>ROUND(ROUND(P186, 2)*I186, 2)</f>
        <v>93649.8</v>
      </c>
      <c r="V186" s="9">
        <f>ROUND(ROUND(P186, 2)/1.2, 2)</f>
        <v>10.58</v>
      </c>
      <c r="Y186" s="9">
        <f t="shared" si="17"/>
        <v>78041.5</v>
      </c>
      <c r="AD186" s="4" t="s">
        <v>842</v>
      </c>
      <c r="AE186" s="4" t="s">
        <v>843</v>
      </c>
      <c r="AF186" s="4" t="s">
        <v>832</v>
      </c>
    </row>
    <row r="187" spans="1:35" ht="36" x14ac:dyDescent="0.3">
      <c r="A187" s="10" t="s">
        <v>844</v>
      </c>
      <c r="B187" s="10" t="s">
        <v>823</v>
      </c>
      <c r="C187" s="11" t="s">
        <v>824</v>
      </c>
      <c r="D187" s="12"/>
      <c r="E187" s="12" t="s">
        <v>845</v>
      </c>
      <c r="F187" s="12" t="s">
        <v>64</v>
      </c>
      <c r="G187" s="13">
        <v>1</v>
      </c>
      <c r="H187" s="13"/>
      <c r="I187" s="13">
        <v>8128.4</v>
      </c>
      <c r="J187" s="14">
        <f>IFERROR(ROUND(SUM(M188,M189)/I187, 2),0)</f>
        <v>35.049999999999997</v>
      </c>
      <c r="K187" s="15">
        <v>508</v>
      </c>
      <c r="L187" s="14">
        <f>J187+ROUND(K187, 2)</f>
        <v>543.04999999999995</v>
      </c>
      <c r="M187" s="14">
        <f>ROUND(J187*I187, 2)</f>
        <v>284900.42</v>
      </c>
      <c r="N187" s="14">
        <f>ROUND(I187*ROUND(K187, 2), 2)</f>
        <v>4129227.2</v>
      </c>
      <c r="O187" s="14">
        <f>M187+N187</f>
        <v>4414127.62</v>
      </c>
      <c r="P187" s="14">
        <f>IFERROR(ROUND(SUM(S188,S189)/I187, 2),0)</f>
        <v>35.049999999999997</v>
      </c>
      <c r="Q187" s="15">
        <v>508</v>
      </c>
      <c r="R187" s="14">
        <f>P187+ROUND(Q187, 2)</f>
        <v>543.04999999999995</v>
      </c>
      <c r="S187" s="14">
        <f>ROUND(P187*I187, 2)</f>
        <v>284900.42</v>
      </c>
      <c r="T187" s="14">
        <f>ROUND(I187*ROUND(Q187, 2), 2)</f>
        <v>4129227.2</v>
      </c>
      <c r="U187" s="14">
        <f>S187+T187</f>
        <v>4414127.62</v>
      </c>
      <c r="V187" s="9">
        <f>ROUND(P187 / 1.2, 2)</f>
        <v>29.21</v>
      </c>
      <c r="W187" s="9">
        <f>ROUND(Q187 / 1.2, 2)</f>
        <v>423.33</v>
      </c>
      <c r="X187" s="9">
        <f>ROUND(R187 / 1.2, 2)</f>
        <v>452.54</v>
      </c>
      <c r="Y187" s="9">
        <f t="shared" si="17"/>
        <v>237417.02</v>
      </c>
      <c r="Z187" s="9">
        <f>ROUND(T187 / 1.2, 2)</f>
        <v>3441022.67</v>
      </c>
      <c r="AA187" s="9">
        <f>Y187+Z187</f>
        <v>3678439.69</v>
      </c>
      <c r="AD187" s="4">
        <v>298925385</v>
      </c>
      <c r="AE187" s="4">
        <v>19976875</v>
      </c>
      <c r="AG187" s="4" t="s">
        <v>826</v>
      </c>
      <c r="AH187" s="4" t="s">
        <v>827</v>
      </c>
      <c r="AI187" s="4" t="s">
        <v>67</v>
      </c>
    </row>
    <row r="188" spans="1:35" ht="36" x14ac:dyDescent="0.3">
      <c r="A188" s="10" t="s">
        <v>846</v>
      </c>
      <c r="B188" s="10"/>
      <c r="C188" s="17" t="s">
        <v>736</v>
      </c>
      <c r="D188" s="12"/>
      <c r="E188" s="12"/>
      <c r="F188" s="18" t="s">
        <v>70</v>
      </c>
      <c r="G188" s="19">
        <v>1.8</v>
      </c>
      <c r="H188" s="19"/>
      <c r="I188" s="19">
        <v>14631.12</v>
      </c>
      <c r="J188" s="21">
        <v>12.07</v>
      </c>
      <c r="M188" s="22">
        <f>ROUND(ROUND(J188, 2)*I188, 2)</f>
        <v>176597.62</v>
      </c>
      <c r="P188" s="21">
        <v>12.07</v>
      </c>
      <c r="S188" s="22">
        <f>ROUND(ROUND(P188, 2)*I188, 2)</f>
        <v>176597.62</v>
      </c>
      <c r="V188" s="9">
        <f>ROUND(ROUND(P188, 2)/1.2, 2)</f>
        <v>10.06</v>
      </c>
      <c r="Y188" s="9">
        <f t="shared" si="17"/>
        <v>147164.68</v>
      </c>
      <c r="AD188" s="4" t="s">
        <v>847</v>
      </c>
      <c r="AE188" s="4" t="s">
        <v>848</v>
      </c>
      <c r="AF188" s="4" t="s">
        <v>785</v>
      </c>
    </row>
    <row r="189" spans="1:35" ht="36" x14ac:dyDescent="0.3">
      <c r="A189" s="10" t="s">
        <v>849</v>
      </c>
      <c r="B189" s="10"/>
      <c r="C189" s="24" t="s">
        <v>433</v>
      </c>
      <c r="D189" s="12"/>
      <c r="E189" s="12"/>
      <c r="F189" s="18" t="s">
        <v>70</v>
      </c>
      <c r="G189" s="19">
        <v>0.15</v>
      </c>
      <c r="H189" s="19"/>
      <c r="I189" s="19">
        <v>1219.26</v>
      </c>
      <c r="J189" s="21">
        <v>88.8</v>
      </c>
      <c r="M189" s="22">
        <f>ROUND(ROUND(J189, 2)*I189, 2)</f>
        <v>108270.29</v>
      </c>
      <c r="P189" s="21">
        <v>88.8</v>
      </c>
      <c r="S189" s="22">
        <f>ROUND(ROUND(P189, 2)*I189, 2)</f>
        <v>108270.29</v>
      </c>
      <c r="V189" s="9">
        <f>ROUND(ROUND(P189, 2)/1.2, 2)</f>
        <v>74</v>
      </c>
      <c r="Y189" s="9">
        <f t="shared" si="17"/>
        <v>90225.24</v>
      </c>
      <c r="AD189" s="4" t="s">
        <v>850</v>
      </c>
      <c r="AE189" s="4" t="s">
        <v>851</v>
      </c>
      <c r="AF189" s="4" t="s">
        <v>436</v>
      </c>
    </row>
    <row r="190" spans="1:35" ht="36" x14ac:dyDescent="0.3">
      <c r="A190" s="10" t="s">
        <v>852</v>
      </c>
      <c r="B190" s="10" t="s">
        <v>823</v>
      </c>
      <c r="C190" s="11" t="s">
        <v>824</v>
      </c>
      <c r="D190" s="12"/>
      <c r="E190" s="12" t="s">
        <v>853</v>
      </c>
      <c r="F190" s="12" t="s">
        <v>64</v>
      </c>
      <c r="G190" s="13">
        <v>1</v>
      </c>
      <c r="H190" s="13"/>
      <c r="I190" s="13">
        <v>7374</v>
      </c>
      <c r="J190" s="14">
        <f>IFERROR(ROUND(SUM(M191,M192)/I190, 2),0)</f>
        <v>35.049999999999997</v>
      </c>
      <c r="K190" s="15">
        <v>508</v>
      </c>
      <c r="L190" s="14">
        <f>J190+ROUND(K190, 2)</f>
        <v>543.04999999999995</v>
      </c>
      <c r="M190" s="14">
        <f>ROUND(J190*I190, 2)</f>
        <v>258458.7</v>
      </c>
      <c r="N190" s="14">
        <f>ROUND(I190*ROUND(K190, 2), 2)</f>
        <v>3745992</v>
      </c>
      <c r="O190" s="14">
        <f>M190+N190</f>
        <v>4004450.7</v>
      </c>
      <c r="P190" s="14">
        <f>IFERROR(ROUND(SUM(S191,S192)/I190, 2),0)</f>
        <v>35.049999999999997</v>
      </c>
      <c r="Q190" s="15">
        <v>508</v>
      </c>
      <c r="R190" s="14">
        <f>P190+ROUND(Q190, 2)</f>
        <v>543.04999999999995</v>
      </c>
      <c r="S190" s="14">
        <f>ROUND(P190*I190, 2)</f>
        <v>258458.7</v>
      </c>
      <c r="T190" s="14">
        <f>ROUND(I190*ROUND(Q190, 2), 2)</f>
        <v>3745992</v>
      </c>
      <c r="U190" s="14">
        <f>S190+T190</f>
        <v>4004450.7</v>
      </c>
      <c r="V190" s="9">
        <f>ROUND(P190 / 1.2, 2)</f>
        <v>29.21</v>
      </c>
      <c r="W190" s="9">
        <f>ROUND(Q190 / 1.2, 2)</f>
        <v>423.33</v>
      </c>
      <c r="X190" s="9">
        <f>ROUND(R190 / 1.2, 2)</f>
        <v>452.54</v>
      </c>
      <c r="Y190" s="9">
        <f t="shared" si="17"/>
        <v>215382.25</v>
      </c>
      <c r="Z190" s="9">
        <f>ROUND(T190 / 1.2, 2)</f>
        <v>3121660</v>
      </c>
      <c r="AA190" s="9">
        <f>Y190+Z190</f>
        <v>3337042.25</v>
      </c>
      <c r="AD190" s="4">
        <v>298925386</v>
      </c>
      <c r="AE190" s="4">
        <v>19976876</v>
      </c>
      <c r="AG190" s="4" t="s">
        <v>826</v>
      </c>
      <c r="AH190" s="4" t="s">
        <v>827</v>
      </c>
      <c r="AI190" s="4" t="s">
        <v>67</v>
      </c>
    </row>
    <row r="191" spans="1:35" ht="36" x14ac:dyDescent="0.3">
      <c r="A191" s="10" t="s">
        <v>854</v>
      </c>
      <c r="B191" s="10"/>
      <c r="C191" s="24" t="s">
        <v>433</v>
      </c>
      <c r="D191" s="12"/>
      <c r="E191" s="12"/>
      <c r="F191" s="18" t="s">
        <v>70</v>
      </c>
      <c r="G191" s="19">
        <v>0.15</v>
      </c>
      <c r="H191" s="19"/>
      <c r="I191" s="19">
        <v>1106.0999999999999</v>
      </c>
      <c r="J191" s="21">
        <v>88.8</v>
      </c>
      <c r="M191" s="22">
        <f>ROUND(ROUND(J191, 2)*I191, 2)</f>
        <v>98221.68</v>
      </c>
      <c r="P191" s="21">
        <v>88.8</v>
      </c>
      <c r="S191" s="22">
        <f>ROUND(ROUND(P191, 2)*I191, 2)</f>
        <v>98221.68</v>
      </c>
      <c r="V191" s="9">
        <f>ROUND(ROUND(P191, 2)/1.2, 2)</f>
        <v>74</v>
      </c>
      <c r="Y191" s="9">
        <f t="shared" si="17"/>
        <v>81851.399999999994</v>
      </c>
      <c r="AD191" s="4" t="s">
        <v>855</v>
      </c>
      <c r="AE191" s="4" t="s">
        <v>856</v>
      </c>
      <c r="AF191" s="4" t="s">
        <v>436</v>
      </c>
    </row>
    <row r="192" spans="1:35" ht="36" x14ac:dyDescent="0.3">
      <c r="A192" s="10" t="s">
        <v>857</v>
      </c>
      <c r="B192" s="10"/>
      <c r="C192" s="17" t="s">
        <v>736</v>
      </c>
      <c r="D192" s="12"/>
      <c r="E192" s="12"/>
      <c r="F192" s="18" t="s">
        <v>70</v>
      </c>
      <c r="G192" s="19">
        <v>1.8</v>
      </c>
      <c r="H192" s="19"/>
      <c r="I192" s="19">
        <v>13273.2</v>
      </c>
      <c r="J192" s="21">
        <v>12.07</v>
      </c>
      <c r="M192" s="22">
        <f>ROUND(ROUND(J192, 2)*I192, 2)</f>
        <v>160207.51999999999</v>
      </c>
      <c r="P192" s="21">
        <v>12.07</v>
      </c>
      <c r="S192" s="22">
        <f>ROUND(ROUND(P192, 2)*I192, 2)</f>
        <v>160207.51999999999</v>
      </c>
      <c r="V192" s="9">
        <f>ROUND(ROUND(P192, 2)/1.2, 2)</f>
        <v>10.06</v>
      </c>
      <c r="Y192" s="9">
        <f t="shared" si="17"/>
        <v>133506.26999999999</v>
      </c>
      <c r="AD192" s="4" t="s">
        <v>858</v>
      </c>
      <c r="AE192" s="4" t="s">
        <v>859</v>
      </c>
      <c r="AF192" s="4" t="s">
        <v>785</v>
      </c>
    </row>
    <row r="193" spans="1:35" ht="72" x14ac:dyDescent="0.3">
      <c r="A193" s="10" t="s">
        <v>860</v>
      </c>
      <c r="B193" s="10" t="s">
        <v>861</v>
      </c>
      <c r="C193" s="11" t="s">
        <v>862</v>
      </c>
      <c r="D193" s="12"/>
      <c r="E193" s="12" t="s">
        <v>63</v>
      </c>
      <c r="F193" s="12" t="s">
        <v>64</v>
      </c>
      <c r="G193" s="13">
        <v>1</v>
      </c>
      <c r="H193" s="13"/>
      <c r="I193" s="13">
        <v>0</v>
      </c>
      <c r="J193" s="14">
        <f>IFERROR(ROUND(SUM(M194,M195,M196,M197)/I193, 2),0)</f>
        <v>0</v>
      </c>
      <c r="K193" s="15">
        <v>873</v>
      </c>
      <c r="L193" s="14">
        <f>J193+ROUND(K193, 2)</f>
        <v>873</v>
      </c>
      <c r="M193" s="14">
        <f>ROUND(J193*I193, 2)</f>
        <v>0</v>
      </c>
      <c r="N193" s="14">
        <f>ROUND(I193*ROUND(K193, 2), 2)</f>
        <v>0</v>
      </c>
      <c r="O193" s="14">
        <f>M193+N193</f>
        <v>0</v>
      </c>
      <c r="P193" s="14">
        <f>IFERROR(ROUND(SUM(S194,S195,S196,S197)/I193, 2),0)</f>
        <v>0</v>
      </c>
      <c r="Q193" s="15">
        <v>873</v>
      </c>
      <c r="R193" s="14">
        <f>P193+ROUND(Q193, 2)</f>
        <v>873</v>
      </c>
      <c r="S193" s="14">
        <f>ROUND(P193*I193, 2)</f>
        <v>0</v>
      </c>
      <c r="T193" s="14">
        <f>ROUND(I193*ROUND(Q193, 2), 2)</f>
        <v>0</v>
      </c>
      <c r="U193" s="14">
        <f>S193+T193</f>
        <v>0</v>
      </c>
      <c r="V193" s="9">
        <f>ROUND(P193 / 1.2, 2)</f>
        <v>0</v>
      </c>
      <c r="W193" s="9">
        <f>ROUND(Q193 / 1.2, 2)</f>
        <v>727.5</v>
      </c>
      <c r="X193" s="9">
        <f>ROUND(R193 / 1.2, 2)</f>
        <v>727.5</v>
      </c>
      <c r="Y193" s="9">
        <f t="shared" si="17"/>
        <v>0</v>
      </c>
      <c r="Z193" s="9">
        <f>ROUND(T193 / 1.2, 2)</f>
        <v>0</v>
      </c>
      <c r="AA193" s="9">
        <f>Y193+Z193</f>
        <v>0</v>
      </c>
      <c r="AD193" s="4">
        <v>298925308</v>
      </c>
      <c r="AE193" s="4">
        <v>16678913</v>
      </c>
      <c r="AG193" s="4" t="s">
        <v>863</v>
      </c>
      <c r="AH193" s="4" t="s">
        <v>864</v>
      </c>
      <c r="AI193" s="4" t="s">
        <v>67</v>
      </c>
    </row>
    <row r="194" spans="1:35" ht="36" x14ac:dyDescent="0.3">
      <c r="A194" s="10" t="s">
        <v>866</v>
      </c>
      <c r="B194" s="10"/>
      <c r="C194" s="24" t="s">
        <v>867</v>
      </c>
      <c r="D194" s="12"/>
      <c r="E194" s="12" t="s">
        <v>868</v>
      </c>
      <c r="F194" s="18" t="s">
        <v>70</v>
      </c>
      <c r="G194" s="19">
        <v>1.3</v>
      </c>
      <c r="H194" s="20"/>
      <c r="I194" s="20">
        <v>0</v>
      </c>
      <c r="J194" s="21">
        <v>8.6</v>
      </c>
      <c r="M194" s="22">
        <f>ROUND(ROUND(J194, 2)*I194, 2)</f>
        <v>0</v>
      </c>
      <c r="P194" s="21">
        <v>8.6</v>
      </c>
      <c r="S194" s="22">
        <f>ROUND(ROUND(P194, 2)*I194, 2)</f>
        <v>0</v>
      </c>
      <c r="V194" s="9">
        <f>ROUND(ROUND(P194, 2)/1.2, 2)</f>
        <v>7.17</v>
      </c>
      <c r="Y194" s="9">
        <f t="shared" si="17"/>
        <v>0</v>
      </c>
      <c r="AD194" s="4" t="s">
        <v>869</v>
      </c>
      <c r="AE194" s="4" t="s">
        <v>870</v>
      </c>
      <c r="AF194" s="4" t="s">
        <v>871</v>
      </c>
    </row>
    <row r="195" spans="1:35" ht="18" x14ac:dyDescent="0.3">
      <c r="A195" s="10" t="s">
        <v>874</v>
      </c>
      <c r="B195" s="10"/>
      <c r="C195" s="24" t="s">
        <v>875</v>
      </c>
      <c r="D195" s="12"/>
      <c r="E195" s="12"/>
      <c r="F195" s="18" t="s">
        <v>64</v>
      </c>
      <c r="G195" s="19">
        <v>1.1000000000000001</v>
      </c>
      <c r="H195" s="19"/>
      <c r="I195" s="19">
        <v>0</v>
      </c>
      <c r="J195" s="21">
        <v>26</v>
      </c>
      <c r="M195" s="22">
        <f>ROUND(ROUND(J195, 2)*I195, 2)</f>
        <v>0</v>
      </c>
      <c r="P195" s="21">
        <v>26</v>
      </c>
      <c r="S195" s="22">
        <f>ROUND(ROUND(P195, 2)*I195, 2)</f>
        <v>0</v>
      </c>
      <c r="V195" s="9">
        <f>ROUND(ROUND(P195, 2)/1.2, 2)</f>
        <v>21.67</v>
      </c>
      <c r="Y195" s="9">
        <f t="shared" si="17"/>
        <v>0</v>
      </c>
      <c r="AD195" s="4" t="s">
        <v>876</v>
      </c>
      <c r="AE195" s="4" t="s">
        <v>877</v>
      </c>
      <c r="AF195" s="4" t="s">
        <v>878</v>
      </c>
    </row>
    <row r="196" spans="1:35" ht="18" x14ac:dyDescent="0.3">
      <c r="A196" s="10" t="s">
        <v>881</v>
      </c>
      <c r="B196" s="10"/>
      <c r="C196" s="24" t="s">
        <v>767</v>
      </c>
      <c r="D196" s="12"/>
      <c r="E196" s="12"/>
      <c r="F196" s="18" t="s">
        <v>87</v>
      </c>
      <c r="G196" s="19">
        <v>1</v>
      </c>
      <c r="H196" s="20"/>
      <c r="I196" s="20">
        <v>0</v>
      </c>
      <c r="J196" s="21">
        <v>15.76</v>
      </c>
      <c r="M196" s="22">
        <f>ROUND(ROUND(J196, 2)*I196, 2)</f>
        <v>0</v>
      </c>
      <c r="P196" s="21">
        <v>15.76</v>
      </c>
      <c r="S196" s="22">
        <f>ROUND(ROUND(P196, 2)*I196, 2)</f>
        <v>0</v>
      </c>
      <c r="V196" s="9">
        <f>ROUND(ROUND(P196, 2)/1.2, 2)</f>
        <v>13.13</v>
      </c>
      <c r="Y196" s="9">
        <f t="shared" si="17"/>
        <v>0</v>
      </c>
      <c r="AD196" s="4" t="s">
        <v>882</v>
      </c>
      <c r="AE196" s="4" t="s">
        <v>883</v>
      </c>
      <c r="AF196" s="4" t="s">
        <v>770</v>
      </c>
    </row>
    <row r="197" spans="1:35" ht="18" x14ac:dyDescent="0.3">
      <c r="A197" s="10" t="s">
        <v>886</v>
      </c>
      <c r="B197" s="10"/>
      <c r="C197" s="24" t="s">
        <v>760</v>
      </c>
      <c r="D197" s="12"/>
      <c r="E197" s="12"/>
      <c r="F197" s="18" t="s">
        <v>70</v>
      </c>
      <c r="G197" s="19">
        <v>0.25</v>
      </c>
      <c r="H197" s="19"/>
      <c r="I197" s="19">
        <v>0</v>
      </c>
      <c r="J197" s="21">
        <v>100</v>
      </c>
      <c r="M197" s="22">
        <f>ROUND(ROUND(J197, 2)*I197, 2)</f>
        <v>0</v>
      </c>
      <c r="P197" s="21">
        <v>100</v>
      </c>
      <c r="S197" s="22">
        <f>ROUND(ROUND(P197, 2)*I197, 2)</f>
        <v>0</v>
      </c>
      <c r="V197" s="9">
        <f>ROUND(ROUND(P197, 2)/1.2, 2)</f>
        <v>83.33</v>
      </c>
      <c r="Y197" s="9">
        <f t="shared" si="17"/>
        <v>0</v>
      </c>
      <c r="AD197" s="4" t="s">
        <v>887</v>
      </c>
      <c r="AE197" s="4" t="s">
        <v>888</v>
      </c>
      <c r="AF197" s="4" t="s">
        <v>763</v>
      </c>
    </row>
    <row r="198" spans="1:35" ht="72" x14ac:dyDescent="0.3">
      <c r="A198" s="10" t="s">
        <v>891</v>
      </c>
      <c r="B198" s="10" t="s">
        <v>892</v>
      </c>
      <c r="C198" s="11" t="s">
        <v>893</v>
      </c>
      <c r="D198" s="12"/>
      <c r="E198" s="12" t="s">
        <v>894</v>
      </c>
      <c r="F198" s="12" t="s">
        <v>64</v>
      </c>
      <c r="G198" s="13">
        <v>1</v>
      </c>
      <c r="H198" s="13"/>
      <c r="I198" s="13">
        <v>174.8</v>
      </c>
      <c r="J198" s="14">
        <f>IFERROR(ROUND(SUM(M199,M200,M201,M202)/I198, 2),0)</f>
        <v>460.66</v>
      </c>
      <c r="K198" s="15">
        <v>1067</v>
      </c>
      <c r="L198" s="14">
        <f>J198+ROUND(K198, 2)</f>
        <v>1527.66</v>
      </c>
      <c r="M198" s="14">
        <f>ROUND(J198*I198, 2)</f>
        <v>80523.37</v>
      </c>
      <c r="N198" s="14">
        <f>ROUND(I198*ROUND(K198, 2), 2)</f>
        <v>186511.6</v>
      </c>
      <c r="O198" s="14">
        <f>M198+N198</f>
        <v>267034.96999999997</v>
      </c>
      <c r="P198" s="14">
        <f>IFERROR(ROUND(SUM(S199,S200,S201,S202)/I198, 2),0)</f>
        <v>460.66</v>
      </c>
      <c r="Q198" s="15">
        <v>1067</v>
      </c>
      <c r="R198" s="14">
        <f>P198+ROUND(Q198, 2)</f>
        <v>1527.66</v>
      </c>
      <c r="S198" s="14">
        <f>ROUND(P198*I198, 2)</f>
        <v>80523.37</v>
      </c>
      <c r="T198" s="14">
        <f>ROUND(I198*ROUND(Q198, 2), 2)</f>
        <v>186511.6</v>
      </c>
      <c r="U198" s="14">
        <f>S198+T198</f>
        <v>267034.96999999997</v>
      </c>
      <c r="V198" s="9">
        <f>ROUND(P198 / 1.2, 2)</f>
        <v>383.88</v>
      </c>
      <c r="W198" s="9">
        <f>ROUND(Q198 / 1.2, 2)</f>
        <v>889.17</v>
      </c>
      <c r="X198" s="9">
        <f>ROUND(R198 / 1.2, 2)</f>
        <v>1273.05</v>
      </c>
      <c r="Y198" s="9">
        <f t="shared" si="17"/>
        <v>67102.81</v>
      </c>
      <c r="Z198" s="9">
        <f>ROUND(T198 / 1.2, 2)</f>
        <v>155426.32999999999</v>
      </c>
      <c r="AA198" s="9">
        <f>Y198+Z198</f>
        <v>222529.13999999998</v>
      </c>
      <c r="AD198" s="4">
        <v>298925309</v>
      </c>
      <c r="AE198" s="4">
        <v>16211497</v>
      </c>
      <c r="AG198" s="4" t="s">
        <v>895</v>
      </c>
      <c r="AH198" s="4" t="s">
        <v>896</v>
      </c>
      <c r="AI198" s="4" t="s">
        <v>67</v>
      </c>
    </row>
    <row r="199" spans="1:35" ht="18" x14ac:dyDescent="0.3">
      <c r="A199" s="10" t="s">
        <v>897</v>
      </c>
      <c r="B199" s="10"/>
      <c r="C199" s="24" t="s">
        <v>867</v>
      </c>
      <c r="D199" s="12"/>
      <c r="E199" s="12"/>
      <c r="F199" s="18" t="s">
        <v>70</v>
      </c>
      <c r="G199" s="19">
        <v>1.3</v>
      </c>
      <c r="H199" s="20"/>
      <c r="I199" s="20">
        <v>7953.4</v>
      </c>
      <c r="J199" s="21">
        <v>8.6</v>
      </c>
      <c r="M199" s="22">
        <f>ROUND(ROUND(J199, 2)*I199, 2)</f>
        <v>68399.240000000005</v>
      </c>
      <c r="P199" s="21">
        <v>8.6</v>
      </c>
      <c r="S199" s="22">
        <f>ROUND(ROUND(P199, 2)*I199, 2)</f>
        <v>68399.240000000005</v>
      </c>
      <c r="V199" s="9">
        <f>ROUND(ROUND(P199, 2)/1.2, 2)</f>
        <v>7.17</v>
      </c>
      <c r="Y199" s="9">
        <f t="shared" ref="Y199:Y233" si="18">ROUND(S199 / 1.2, 2)</f>
        <v>56999.37</v>
      </c>
      <c r="AD199" s="4" t="s">
        <v>898</v>
      </c>
      <c r="AE199" s="4" t="s">
        <v>899</v>
      </c>
      <c r="AF199" s="4" t="s">
        <v>871</v>
      </c>
    </row>
    <row r="200" spans="1:35" ht="18" x14ac:dyDescent="0.3">
      <c r="A200" s="10" t="s">
        <v>900</v>
      </c>
      <c r="B200" s="10"/>
      <c r="C200" s="24" t="s">
        <v>875</v>
      </c>
      <c r="D200" s="12"/>
      <c r="E200" s="12"/>
      <c r="F200" s="18" t="s">
        <v>64</v>
      </c>
      <c r="G200" s="19">
        <v>1.1000000000000001</v>
      </c>
      <c r="H200" s="19"/>
      <c r="I200" s="19">
        <v>192.28</v>
      </c>
      <c r="J200" s="21">
        <v>26</v>
      </c>
      <c r="M200" s="22">
        <f>ROUND(ROUND(J200, 2)*I200, 2)</f>
        <v>4999.28</v>
      </c>
      <c r="P200" s="21">
        <v>26</v>
      </c>
      <c r="S200" s="22">
        <f>ROUND(ROUND(P200, 2)*I200, 2)</f>
        <v>4999.28</v>
      </c>
      <c r="V200" s="9">
        <f>ROUND(ROUND(P200, 2)/1.2, 2)</f>
        <v>21.67</v>
      </c>
      <c r="Y200" s="9">
        <f t="shared" si="18"/>
        <v>4166.07</v>
      </c>
      <c r="AD200" s="4" t="s">
        <v>901</v>
      </c>
      <c r="AE200" s="4" t="s">
        <v>902</v>
      </c>
      <c r="AF200" s="4" t="s">
        <v>878</v>
      </c>
    </row>
    <row r="201" spans="1:35" ht="18" x14ac:dyDescent="0.3">
      <c r="A201" s="10" t="s">
        <v>903</v>
      </c>
      <c r="B201" s="10"/>
      <c r="C201" s="24" t="s">
        <v>767</v>
      </c>
      <c r="D201" s="12"/>
      <c r="E201" s="12"/>
      <c r="F201" s="18" t="s">
        <v>87</v>
      </c>
      <c r="G201" s="19">
        <v>1</v>
      </c>
      <c r="H201" s="20"/>
      <c r="I201" s="20">
        <v>174.8</v>
      </c>
      <c r="J201" s="21">
        <v>15.76</v>
      </c>
      <c r="M201" s="22">
        <f>ROUND(ROUND(J201, 2)*I201, 2)</f>
        <v>2754.85</v>
      </c>
      <c r="P201" s="21">
        <v>15.76</v>
      </c>
      <c r="S201" s="22">
        <f>ROUND(ROUND(P201, 2)*I201, 2)</f>
        <v>2754.85</v>
      </c>
      <c r="V201" s="9">
        <f>ROUND(ROUND(P201, 2)/1.2, 2)</f>
        <v>13.13</v>
      </c>
      <c r="Y201" s="9">
        <f t="shared" si="18"/>
        <v>2295.71</v>
      </c>
      <c r="AD201" s="4" t="s">
        <v>904</v>
      </c>
      <c r="AE201" s="4" t="s">
        <v>905</v>
      </c>
      <c r="AF201" s="4" t="s">
        <v>770</v>
      </c>
    </row>
    <row r="202" spans="1:35" ht="18" x14ac:dyDescent="0.3">
      <c r="A202" s="10" t="s">
        <v>906</v>
      </c>
      <c r="B202" s="10"/>
      <c r="C202" s="24" t="s">
        <v>760</v>
      </c>
      <c r="D202" s="12"/>
      <c r="E202" s="12"/>
      <c r="F202" s="18" t="s">
        <v>70</v>
      </c>
      <c r="G202" s="19">
        <v>0.25</v>
      </c>
      <c r="H202" s="19"/>
      <c r="I202" s="19">
        <v>43.7</v>
      </c>
      <c r="J202" s="21">
        <v>100</v>
      </c>
      <c r="M202" s="22">
        <f>ROUND(ROUND(J202, 2)*I202, 2)</f>
        <v>4370</v>
      </c>
      <c r="P202" s="21">
        <v>100</v>
      </c>
      <c r="S202" s="22">
        <f>ROUND(ROUND(P202, 2)*I202, 2)</f>
        <v>4370</v>
      </c>
      <c r="V202" s="9">
        <f>ROUND(ROUND(P202, 2)/1.2, 2)</f>
        <v>83.33</v>
      </c>
      <c r="Y202" s="9">
        <f t="shared" si="18"/>
        <v>3641.67</v>
      </c>
      <c r="AD202" s="4" t="s">
        <v>907</v>
      </c>
      <c r="AE202" s="4" t="s">
        <v>908</v>
      </c>
      <c r="AF202" s="4" t="s">
        <v>763</v>
      </c>
    </row>
    <row r="203" spans="1:35" ht="72" x14ac:dyDescent="0.3">
      <c r="A203" s="10" t="s">
        <v>909</v>
      </c>
      <c r="B203" s="10" t="s">
        <v>892</v>
      </c>
      <c r="C203" s="11" t="s">
        <v>893</v>
      </c>
      <c r="D203" s="12"/>
      <c r="E203" s="12" t="s">
        <v>910</v>
      </c>
      <c r="F203" s="12" t="s">
        <v>64</v>
      </c>
      <c r="G203" s="13">
        <v>1</v>
      </c>
      <c r="H203" s="13"/>
      <c r="I203" s="13">
        <v>808</v>
      </c>
      <c r="J203" s="14">
        <f>IFERROR(ROUND(SUM(M204,M205,M206,M207)/I203, 2),0)</f>
        <v>448.98</v>
      </c>
      <c r="K203" s="15">
        <v>1067</v>
      </c>
      <c r="L203" s="14">
        <f>J203+ROUND(K203, 2)</f>
        <v>1515.98</v>
      </c>
      <c r="M203" s="14">
        <f>ROUND(J203*I203, 2)</f>
        <v>362775.84</v>
      </c>
      <c r="N203" s="14">
        <f>ROUND(I203*ROUND(K203, 2), 2)</f>
        <v>862136</v>
      </c>
      <c r="O203" s="14">
        <f>M203+N203</f>
        <v>1224911.8400000001</v>
      </c>
      <c r="P203" s="14">
        <f>IFERROR(ROUND(SUM(S204,S205,S206,S207)/I203, 2),0)</f>
        <v>448.98</v>
      </c>
      <c r="Q203" s="15">
        <v>1067</v>
      </c>
      <c r="R203" s="14">
        <f>P203+ROUND(Q203, 2)</f>
        <v>1515.98</v>
      </c>
      <c r="S203" s="14">
        <f>ROUND(P203*I203, 2)</f>
        <v>362775.84</v>
      </c>
      <c r="T203" s="14">
        <f>ROUND(I203*ROUND(Q203, 2), 2)</f>
        <v>862136</v>
      </c>
      <c r="U203" s="14">
        <f>S203+T203</f>
        <v>1224911.8400000001</v>
      </c>
      <c r="V203" s="9">
        <f>ROUND(P203 / 1.2, 2)</f>
        <v>374.15</v>
      </c>
      <c r="W203" s="9">
        <f>ROUND(Q203 / 1.2, 2)</f>
        <v>889.17</v>
      </c>
      <c r="X203" s="9">
        <f>ROUND(R203 / 1.2, 2)</f>
        <v>1263.32</v>
      </c>
      <c r="Y203" s="9">
        <f t="shared" si="18"/>
        <v>302313.2</v>
      </c>
      <c r="Z203" s="9">
        <f>ROUND(T203 / 1.2, 2)</f>
        <v>718446.67</v>
      </c>
      <c r="AA203" s="9">
        <f>Y203+Z203</f>
        <v>1020759.8700000001</v>
      </c>
      <c r="AD203" s="4">
        <v>298925387</v>
      </c>
      <c r="AE203" s="4">
        <v>19976809</v>
      </c>
      <c r="AG203" s="4" t="s">
        <v>895</v>
      </c>
      <c r="AH203" s="4" t="s">
        <v>896</v>
      </c>
      <c r="AI203" s="4" t="s">
        <v>67</v>
      </c>
    </row>
    <row r="204" spans="1:35" ht="36" x14ac:dyDescent="0.3">
      <c r="A204" s="10" t="s">
        <v>911</v>
      </c>
      <c r="B204" s="10"/>
      <c r="C204" s="24" t="s">
        <v>433</v>
      </c>
      <c r="D204" s="12"/>
      <c r="E204" s="12"/>
      <c r="F204" s="18" t="s">
        <v>70</v>
      </c>
      <c r="G204" s="19">
        <v>0.15</v>
      </c>
      <c r="H204" s="19"/>
      <c r="I204" s="19">
        <v>121.2</v>
      </c>
      <c r="J204" s="21">
        <v>88.8</v>
      </c>
      <c r="M204" s="22">
        <f>ROUND(ROUND(J204, 2)*I204, 2)</f>
        <v>10762.56</v>
      </c>
      <c r="P204" s="21">
        <v>88.8</v>
      </c>
      <c r="S204" s="22">
        <f>ROUND(ROUND(P204, 2)*I204, 2)</f>
        <v>10762.56</v>
      </c>
      <c r="V204" s="9">
        <f>ROUND(ROUND(P204, 2)/1.2, 2)</f>
        <v>74</v>
      </c>
      <c r="Y204" s="9">
        <f t="shared" si="18"/>
        <v>8968.7999999999993</v>
      </c>
      <c r="AD204" s="4" t="s">
        <v>912</v>
      </c>
      <c r="AE204" s="4" t="s">
        <v>913</v>
      </c>
      <c r="AF204" s="4" t="s">
        <v>436</v>
      </c>
    </row>
    <row r="205" spans="1:35" ht="18" x14ac:dyDescent="0.3">
      <c r="A205" s="10" t="s">
        <v>914</v>
      </c>
      <c r="B205" s="10"/>
      <c r="C205" s="24" t="s">
        <v>767</v>
      </c>
      <c r="D205" s="12"/>
      <c r="E205" s="12"/>
      <c r="F205" s="18" t="s">
        <v>87</v>
      </c>
      <c r="G205" s="19">
        <v>1</v>
      </c>
      <c r="H205" s="20"/>
      <c r="I205" s="20">
        <v>808</v>
      </c>
      <c r="J205" s="21">
        <v>15.76</v>
      </c>
      <c r="M205" s="22">
        <f>ROUND(ROUND(J205, 2)*I205, 2)</f>
        <v>12734.08</v>
      </c>
      <c r="P205" s="21">
        <v>15.76</v>
      </c>
      <c r="S205" s="22">
        <f>ROUND(ROUND(P205, 2)*I205, 2)</f>
        <v>12734.08</v>
      </c>
      <c r="V205" s="9">
        <f>ROUND(ROUND(P205, 2)/1.2, 2)</f>
        <v>13.13</v>
      </c>
      <c r="Y205" s="9">
        <f t="shared" si="18"/>
        <v>10611.73</v>
      </c>
      <c r="AD205" s="4" t="s">
        <v>915</v>
      </c>
      <c r="AE205" s="4" t="s">
        <v>916</v>
      </c>
      <c r="AF205" s="4" t="s">
        <v>770</v>
      </c>
    </row>
    <row r="206" spans="1:35" ht="18" x14ac:dyDescent="0.3">
      <c r="A206" s="10" t="s">
        <v>917</v>
      </c>
      <c r="B206" s="10"/>
      <c r="C206" s="24" t="s">
        <v>875</v>
      </c>
      <c r="D206" s="12"/>
      <c r="E206" s="12"/>
      <c r="F206" s="18" t="s">
        <v>64</v>
      </c>
      <c r="G206" s="19">
        <v>1.1000000000000001</v>
      </c>
      <c r="H206" s="19"/>
      <c r="I206" s="19">
        <v>888.8</v>
      </c>
      <c r="J206" s="21">
        <v>26</v>
      </c>
      <c r="M206" s="22">
        <f>ROUND(ROUND(J206, 2)*I206, 2)</f>
        <v>23108.799999999999</v>
      </c>
      <c r="P206" s="21">
        <v>26</v>
      </c>
      <c r="S206" s="22">
        <f>ROUND(ROUND(P206, 2)*I206, 2)</f>
        <v>23108.799999999999</v>
      </c>
      <c r="V206" s="9">
        <f>ROUND(ROUND(P206, 2)/1.2, 2)</f>
        <v>21.67</v>
      </c>
      <c r="Y206" s="9">
        <f t="shared" si="18"/>
        <v>19257.330000000002</v>
      </c>
      <c r="AD206" s="4" t="s">
        <v>918</v>
      </c>
      <c r="AE206" s="4" t="s">
        <v>919</v>
      </c>
      <c r="AF206" s="4" t="s">
        <v>878</v>
      </c>
    </row>
    <row r="207" spans="1:35" ht="18" x14ac:dyDescent="0.3">
      <c r="A207" s="10" t="s">
        <v>920</v>
      </c>
      <c r="B207" s="10"/>
      <c r="C207" s="24" t="s">
        <v>867</v>
      </c>
      <c r="D207" s="12"/>
      <c r="E207" s="12"/>
      <c r="F207" s="18" t="s">
        <v>70</v>
      </c>
      <c r="G207" s="19">
        <v>1.3</v>
      </c>
      <c r="H207" s="20"/>
      <c r="I207" s="20">
        <v>36764</v>
      </c>
      <c r="J207" s="21">
        <v>8.6</v>
      </c>
      <c r="M207" s="22">
        <f>ROUND(ROUND(J207, 2)*I207, 2)</f>
        <v>316170.40000000002</v>
      </c>
      <c r="P207" s="21">
        <v>8.6</v>
      </c>
      <c r="S207" s="22">
        <f>ROUND(ROUND(P207, 2)*I207, 2)</f>
        <v>316170.40000000002</v>
      </c>
      <c r="V207" s="9">
        <f>ROUND(ROUND(P207, 2)/1.2, 2)</f>
        <v>7.17</v>
      </c>
      <c r="Y207" s="9">
        <f t="shared" si="18"/>
        <v>263475.33</v>
      </c>
      <c r="AD207" s="4" t="s">
        <v>921</v>
      </c>
      <c r="AE207" s="4" t="s">
        <v>922</v>
      </c>
      <c r="AF207" s="4" t="s">
        <v>871</v>
      </c>
    </row>
    <row r="208" spans="1:35" ht="72" x14ac:dyDescent="0.3">
      <c r="A208" s="10" t="s">
        <v>923</v>
      </c>
      <c r="B208" s="10" t="s">
        <v>892</v>
      </c>
      <c r="C208" s="11" t="s">
        <v>893</v>
      </c>
      <c r="D208" s="12"/>
      <c r="E208" s="12" t="s">
        <v>924</v>
      </c>
      <c r="F208" s="12" t="s">
        <v>64</v>
      </c>
      <c r="G208" s="13">
        <v>1</v>
      </c>
      <c r="H208" s="13"/>
      <c r="I208" s="13">
        <v>154.19999999999999</v>
      </c>
      <c r="J208" s="14">
        <f>IFERROR(ROUND(SUM(M209,M210,M211,M212)/I208, 2),0)</f>
        <v>460.66</v>
      </c>
      <c r="K208" s="15">
        <v>1067</v>
      </c>
      <c r="L208" s="14">
        <f>J208+ROUND(K208, 2)</f>
        <v>1527.66</v>
      </c>
      <c r="M208" s="14">
        <f>ROUND(J208*I208, 2)</f>
        <v>71033.77</v>
      </c>
      <c r="N208" s="14">
        <f>ROUND(I208*ROUND(K208, 2), 2)</f>
        <v>164531.4</v>
      </c>
      <c r="O208" s="14">
        <f>M208+N208</f>
        <v>235565.16999999998</v>
      </c>
      <c r="P208" s="14">
        <f>IFERROR(ROUND(SUM(S209,S210,S211,S212)/I208, 2),0)</f>
        <v>460.66</v>
      </c>
      <c r="Q208" s="15">
        <v>1067</v>
      </c>
      <c r="R208" s="14">
        <f>P208+ROUND(Q208, 2)</f>
        <v>1527.66</v>
      </c>
      <c r="S208" s="14">
        <f>ROUND(P208*I208, 2)</f>
        <v>71033.77</v>
      </c>
      <c r="T208" s="14">
        <f>ROUND(I208*ROUND(Q208, 2), 2)</f>
        <v>164531.4</v>
      </c>
      <c r="U208" s="14">
        <f>S208+T208</f>
        <v>235565.16999999998</v>
      </c>
      <c r="V208" s="9">
        <f>ROUND(P208 / 1.2, 2)</f>
        <v>383.88</v>
      </c>
      <c r="W208" s="9">
        <f>ROUND(Q208 / 1.2, 2)</f>
        <v>889.17</v>
      </c>
      <c r="X208" s="9">
        <f>ROUND(R208 / 1.2, 2)</f>
        <v>1273.05</v>
      </c>
      <c r="Y208" s="9">
        <f t="shared" si="18"/>
        <v>59194.81</v>
      </c>
      <c r="Z208" s="9">
        <f>ROUND(T208 / 1.2, 2)</f>
        <v>137109.5</v>
      </c>
      <c r="AA208" s="9">
        <f>Y208+Z208</f>
        <v>196304.31</v>
      </c>
      <c r="AD208" s="4">
        <v>298925388</v>
      </c>
      <c r="AE208" s="4">
        <v>19976810</v>
      </c>
      <c r="AG208" s="4" t="s">
        <v>895</v>
      </c>
      <c r="AH208" s="4" t="s">
        <v>896</v>
      </c>
      <c r="AI208" s="4" t="s">
        <v>67</v>
      </c>
    </row>
    <row r="209" spans="1:35" ht="18" x14ac:dyDescent="0.3">
      <c r="A209" s="10" t="s">
        <v>925</v>
      </c>
      <c r="B209" s="10"/>
      <c r="C209" s="24" t="s">
        <v>867</v>
      </c>
      <c r="D209" s="12"/>
      <c r="E209" s="12"/>
      <c r="F209" s="18" t="s">
        <v>70</v>
      </c>
      <c r="G209" s="19">
        <v>1.3</v>
      </c>
      <c r="H209" s="20"/>
      <c r="I209" s="20">
        <v>7016.1</v>
      </c>
      <c r="J209" s="21">
        <v>8.6</v>
      </c>
      <c r="M209" s="22">
        <f>ROUND(ROUND(J209, 2)*I209, 2)</f>
        <v>60338.46</v>
      </c>
      <c r="P209" s="21">
        <v>8.6</v>
      </c>
      <c r="S209" s="22">
        <f>ROUND(ROUND(P209, 2)*I209, 2)</f>
        <v>60338.46</v>
      </c>
      <c r="V209" s="9">
        <f>ROUND(ROUND(P209, 2)/1.2, 2)</f>
        <v>7.17</v>
      </c>
      <c r="Y209" s="9">
        <f t="shared" si="18"/>
        <v>50282.05</v>
      </c>
      <c r="AD209" s="4" t="s">
        <v>926</v>
      </c>
      <c r="AE209" s="4" t="s">
        <v>927</v>
      </c>
      <c r="AF209" s="4" t="s">
        <v>871</v>
      </c>
    </row>
    <row r="210" spans="1:35" ht="18" x14ac:dyDescent="0.3">
      <c r="A210" s="10" t="s">
        <v>928</v>
      </c>
      <c r="B210" s="10"/>
      <c r="C210" s="24" t="s">
        <v>875</v>
      </c>
      <c r="D210" s="12"/>
      <c r="E210" s="12"/>
      <c r="F210" s="18" t="s">
        <v>64</v>
      </c>
      <c r="G210" s="19">
        <v>1.1000000000000001</v>
      </c>
      <c r="H210" s="19"/>
      <c r="I210" s="19">
        <v>169.62</v>
      </c>
      <c r="J210" s="21">
        <v>26</v>
      </c>
      <c r="M210" s="22">
        <f>ROUND(ROUND(J210, 2)*I210, 2)</f>
        <v>4410.12</v>
      </c>
      <c r="P210" s="21">
        <v>26</v>
      </c>
      <c r="S210" s="22">
        <f>ROUND(ROUND(P210, 2)*I210, 2)</f>
        <v>4410.12</v>
      </c>
      <c r="V210" s="9">
        <f>ROUND(ROUND(P210, 2)/1.2, 2)</f>
        <v>21.67</v>
      </c>
      <c r="Y210" s="9">
        <f t="shared" si="18"/>
        <v>3675.1</v>
      </c>
      <c r="AD210" s="4" t="s">
        <v>929</v>
      </c>
      <c r="AE210" s="4" t="s">
        <v>930</v>
      </c>
      <c r="AF210" s="4" t="s">
        <v>878</v>
      </c>
    </row>
    <row r="211" spans="1:35" ht="18" x14ac:dyDescent="0.3">
      <c r="A211" s="10" t="s">
        <v>931</v>
      </c>
      <c r="B211" s="10"/>
      <c r="C211" s="24" t="s">
        <v>767</v>
      </c>
      <c r="D211" s="12"/>
      <c r="E211" s="12"/>
      <c r="F211" s="18" t="s">
        <v>87</v>
      </c>
      <c r="G211" s="19">
        <v>1</v>
      </c>
      <c r="H211" s="20"/>
      <c r="I211" s="20">
        <v>154.19999999999999</v>
      </c>
      <c r="J211" s="21">
        <v>15.76</v>
      </c>
      <c r="M211" s="22">
        <f>ROUND(ROUND(J211, 2)*I211, 2)</f>
        <v>2430.19</v>
      </c>
      <c r="P211" s="21">
        <v>15.76</v>
      </c>
      <c r="S211" s="22">
        <f>ROUND(ROUND(P211, 2)*I211, 2)</f>
        <v>2430.19</v>
      </c>
      <c r="V211" s="9">
        <f>ROUND(ROUND(P211, 2)/1.2, 2)</f>
        <v>13.13</v>
      </c>
      <c r="Y211" s="9">
        <f t="shared" si="18"/>
        <v>2025.16</v>
      </c>
      <c r="AD211" s="4" t="s">
        <v>932</v>
      </c>
      <c r="AE211" s="4" t="s">
        <v>933</v>
      </c>
      <c r="AF211" s="4" t="s">
        <v>770</v>
      </c>
    </row>
    <row r="212" spans="1:35" ht="18" x14ac:dyDescent="0.3">
      <c r="A212" s="10" t="s">
        <v>934</v>
      </c>
      <c r="B212" s="10"/>
      <c r="C212" s="24" t="s">
        <v>760</v>
      </c>
      <c r="D212" s="12"/>
      <c r="E212" s="12"/>
      <c r="F212" s="18" t="s">
        <v>70</v>
      </c>
      <c r="G212" s="19">
        <v>0.25</v>
      </c>
      <c r="H212" s="19"/>
      <c r="I212" s="19">
        <v>38.549999999999997</v>
      </c>
      <c r="J212" s="21">
        <v>100</v>
      </c>
      <c r="M212" s="22">
        <f>ROUND(ROUND(J212, 2)*I212, 2)</f>
        <v>3855</v>
      </c>
      <c r="P212" s="21">
        <v>100</v>
      </c>
      <c r="S212" s="22">
        <f>ROUND(ROUND(P212, 2)*I212, 2)</f>
        <v>3855</v>
      </c>
      <c r="V212" s="9">
        <f>ROUND(ROUND(P212, 2)/1.2, 2)</f>
        <v>83.33</v>
      </c>
      <c r="Y212" s="9">
        <f t="shared" si="18"/>
        <v>3212.5</v>
      </c>
      <c r="AD212" s="4" t="s">
        <v>935</v>
      </c>
      <c r="AE212" s="4" t="s">
        <v>936</v>
      </c>
      <c r="AF212" s="4" t="s">
        <v>763</v>
      </c>
    </row>
    <row r="213" spans="1:35" ht="72" x14ac:dyDescent="0.3">
      <c r="A213" s="10" t="s">
        <v>937</v>
      </c>
      <c r="B213" s="10" t="s">
        <v>892</v>
      </c>
      <c r="C213" s="11" t="s">
        <v>893</v>
      </c>
      <c r="D213" s="12"/>
      <c r="E213" s="12" t="s">
        <v>938</v>
      </c>
      <c r="F213" s="12" t="s">
        <v>64</v>
      </c>
      <c r="G213" s="13">
        <v>1</v>
      </c>
      <c r="H213" s="13"/>
      <c r="I213" s="13">
        <v>572.4</v>
      </c>
      <c r="J213" s="14">
        <f>IFERROR(ROUND(SUM(M214,M215,M216,M217)/I213, 2),0)</f>
        <v>448.98</v>
      </c>
      <c r="K213" s="15">
        <v>1067</v>
      </c>
      <c r="L213" s="14">
        <f>J213+ROUND(K213, 2)</f>
        <v>1515.98</v>
      </c>
      <c r="M213" s="14">
        <f>ROUND(J213*I213, 2)</f>
        <v>256996.15</v>
      </c>
      <c r="N213" s="14">
        <f>ROUND(I213*ROUND(K213, 2), 2)</f>
        <v>610750.80000000005</v>
      </c>
      <c r="O213" s="14">
        <f>M213+N213</f>
        <v>867746.95000000007</v>
      </c>
      <c r="P213" s="14">
        <f>IFERROR(ROUND(SUM(S214,S215,S216,S217)/I213, 2),0)</f>
        <v>448.98</v>
      </c>
      <c r="Q213" s="15">
        <v>1067</v>
      </c>
      <c r="R213" s="14">
        <f>P213+ROUND(Q213, 2)</f>
        <v>1515.98</v>
      </c>
      <c r="S213" s="14">
        <f>ROUND(P213*I213, 2)</f>
        <v>256996.15</v>
      </c>
      <c r="T213" s="14">
        <f>ROUND(I213*ROUND(Q213, 2), 2)</f>
        <v>610750.80000000005</v>
      </c>
      <c r="U213" s="14">
        <f>S213+T213</f>
        <v>867746.95000000007</v>
      </c>
      <c r="V213" s="9">
        <f>ROUND(P213 / 1.2, 2)</f>
        <v>374.15</v>
      </c>
      <c r="W213" s="9">
        <f>ROUND(Q213 / 1.2, 2)</f>
        <v>889.17</v>
      </c>
      <c r="X213" s="9">
        <f>ROUND(R213 / 1.2, 2)</f>
        <v>1263.32</v>
      </c>
      <c r="Y213" s="9">
        <f t="shared" si="18"/>
        <v>214163.46</v>
      </c>
      <c r="Z213" s="9">
        <f>ROUND(T213 / 1.2, 2)</f>
        <v>508959</v>
      </c>
      <c r="AA213" s="9">
        <f>Y213+Z213</f>
        <v>723122.46</v>
      </c>
      <c r="AD213" s="4">
        <v>298925389</v>
      </c>
      <c r="AE213" s="4">
        <v>19976811</v>
      </c>
      <c r="AG213" s="4" t="s">
        <v>895</v>
      </c>
      <c r="AH213" s="4" t="s">
        <v>896</v>
      </c>
      <c r="AI213" s="4" t="s">
        <v>67</v>
      </c>
    </row>
    <row r="214" spans="1:35" ht="36" x14ac:dyDescent="0.3">
      <c r="A214" s="10" t="s">
        <v>939</v>
      </c>
      <c r="B214" s="10"/>
      <c r="C214" s="24" t="s">
        <v>433</v>
      </c>
      <c r="D214" s="12"/>
      <c r="E214" s="12"/>
      <c r="F214" s="18" t="s">
        <v>70</v>
      </c>
      <c r="G214" s="19">
        <v>0.15</v>
      </c>
      <c r="H214" s="19"/>
      <c r="I214" s="19">
        <v>85.86</v>
      </c>
      <c r="J214" s="21">
        <v>88.8</v>
      </c>
      <c r="M214" s="22">
        <f>ROUND(ROUND(J214, 2)*I214, 2)</f>
        <v>7624.37</v>
      </c>
      <c r="P214" s="21">
        <v>88.8</v>
      </c>
      <c r="S214" s="22">
        <f>ROUND(ROUND(P214, 2)*I214, 2)</f>
        <v>7624.37</v>
      </c>
      <c r="V214" s="9">
        <f>ROUND(ROUND(P214, 2)/1.2, 2)</f>
        <v>74</v>
      </c>
      <c r="Y214" s="9">
        <f t="shared" si="18"/>
        <v>6353.64</v>
      </c>
      <c r="AD214" s="4" t="s">
        <v>940</v>
      </c>
      <c r="AE214" s="4" t="s">
        <v>941</v>
      </c>
      <c r="AF214" s="4" t="s">
        <v>436</v>
      </c>
    </row>
    <row r="215" spans="1:35" ht="18" x14ac:dyDescent="0.3">
      <c r="A215" s="10" t="s">
        <v>942</v>
      </c>
      <c r="B215" s="10"/>
      <c r="C215" s="24" t="s">
        <v>767</v>
      </c>
      <c r="D215" s="12"/>
      <c r="E215" s="12"/>
      <c r="F215" s="18" t="s">
        <v>87</v>
      </c>
      <c r="G215" s="19">
        <v>1</v>
      </c>
      <c r="H215" s="20"/>
      <c r="I215" s="20">
        <v>572.4</v>
      </c>
      <c r="J215" s="21">
        <v>15.76</v>
      </c>
      <c r="M215" s="22">
        <f>ROUND(ROUND(J215, 2)*I215, 2)</f>
        <v>9021.02</v>
      </c>
      <c r="P215" s="21">
        <v>15.76</v>
      </c>
      <c r="S215" s="22">
        <f>ROUND(ROUND(P215, 2)*I215, 2)</f>
        <v>9021.02</v>
      </c>
      <c r="V215" s="9">
        <f>ROUND(ROUND(P215, 2)/1.2, 2)</f>
        <v>13.13</v>
      </c>
      <c r="Y215" s="9">
        <f t="shared" si="18"/>
        <v>7517.52</v>
      </c>
      <c r="AD215" s="4" t="s">
        <v>943</v>
      </c>
      <c r="AE215" s="4" t="s">
        <v>944</v>
      </c>
      <c r="AF215" s="4" t="s">
        <v>770</v>
      </c>
    </row>
    <row r="216" spans="1:35" ht="18" x14ac:dyDescent="0.3">
      <c r="A216" s="10" t="s">
        <v>945</v>
      </c>
      <c r="B216" s="10"/>
      <c r="C216" s="24" t="s">
        <v>875</v>
      </c>
      <c r="D216" s="12"/>
      <c r="E216" s="12"/>
      <c r="F216" s="18" t="s">
        <v>64</v>
      </c>
      <c r="G216" s="19">
        <v>1.1000000000000001</v>
      </c>
      <c r="H216" s="19"/>
      <c r="I216" s="19">
        <v>629.64</v>
      </c>
      <c r="J216" s="21">
        <v>26</v>
      </c>
      <c r="M216" s="22">
        <f>ROUND(ROUND(J216, 2)*I216, 2)</f>
        <v>16370.64</v>
      </c>
      <c r="P216" s="21">
        <v>26</v>
      </c>
      <c r="S216" s="22">
        <f>ROUND(ROUND(P216, 2)*I216, 2)</f>
        <v>16370.64</v>
      </c>
      <c r="V216" s="9">
        <f>ROUND(ROUND(P216, 2)/1.2, 2)</f>
        <v>21.67</v>
      </c>
      <c r="Y216" s="9">
        <f t="shared" si="18"/>
        <v>13642.2</v>
      </c>
      <c r="AD216" s="4" t="s">
        <v>946</v>
      </c>
      <c r="AE216" s="4" t="s">
        <v>947</v>
      </c>
      <c r="AF216" s="4" t="s">
        <v>878</v>
      </c>
    </row>
    <row r="217" spans="1:35" ht="18" x14ac:dyDescent="0.3">
      <c r="A217" s="10" t="s">
        <v>948</v>
      </c>
      <c r="B217" s="10"/>
      <c r="C217" s="24" t="s">
        <v>867</v>
      </c>
      <c r="D217" s="12"/>
      <c r="E217" s="12"/>
      <c r="F217" s="18" t="s">
        <v>70</v>
      </c>
      <c r="G217" s="19">
        <v>1.3</v>
      </c>
      <c r="H217" s="20"/>
      <c r="I217" s="20">
        <v>26044.2</v>
      </c>
      <c r="J217" s="21">
        <v>8.6</v>
      </c>
      <c r="M217" s="22">
        <f>ROUND(ROUND(J217, 2)*I217, 2)</f>
        <v>223980.12</v>
      </c>
      <c r="P217" s="21">
        <v>8.6</v>
      </c>
      <c r="S217" s="22">
        <f>ROUND(ROUND(P217, 2)*I217, 2)</f>
        <v>223980.12</v>
      </c>
      <c r="V217" s="9">
        <f>ROUND(ROUND(P217, 2)/1.2, 2)</f>
        <v>7.17</v>
      </c>
      <c r="Y217" s="9">
        <f t="shared" si="18"/>
        <v>186650.1</v>
      </c>
      <c r="AD217" s="4" t="s">
        <v>949</v>
      </c>
      <c r="AE217" s="4" t="s">
        <v>950</v>
      </c>
      <c r="AF217" s="4" t="s">
        <v>871</v>
      </c>
    </row>
    <row r="218" spans="1:35" ht="54" x14ac:dyDescent="0.3">
      <c r="A218" s="10" t="s">
        <v>951</v>
      </c>
      <c r="B218" s="10" t="s">
        <v>952</v>
      </c>
      <c r="C218" s="11" t="s">
        <v>953</v>
      </c>
      <c r="D218" s="12"/>
      <c r="E218" s="12" t="s">
        <v>894</v>
      </c>
      <c r="F218" s="12" t="s">
        <v>64</v>
      </c>
      <c r="G218" s="13">
        <v>1</v>
      </c>
      <c r="H218" s="13"/>
      <c r="I218" s="13">
        <v>3617.6</v>
      </c>
      <c r="J218" s="14">
        <f>IFERROR(ROUND(SUM(M219,M220,M221)/I218, 2),0)</f>
        <v>313.41000000000003</v>
      </c>
      <c r="K218" s="15">
        <v>1073</v>
      </c>
      <c r="L218" s="14">
        <f>J218+ROUND(K218, 2)</f>
        <v>1386.41</v>
      </c>
      <c r="M218" s="14">
        <f>ROUND(J218*I218, 2)</f>
        <v>1133792.02</v>
      </c>
      <c r="N218" s="14">
        <f>ROUND(I218*ROUND(K218, 2), 2)</f>
        <v>3881684.8</v>
      </c>
      <c r="O218" s="14">
        <f>M218+N218</f>
        <v>5015476.82</v>
      </c>
      <c r="P218" s="14">
        <f>IFERROR(ROUND(SUM(S219,S220,S221)/I218, 2),0)</f>
        <v>313.41000000000003</v>
      </c>
      <c r="Q218" s="15">
        <v>1073</v>
      </c>
      <c r="R218" s="14">
        <f>P218+ROUND(Q218, 2)</f>
        <v>1386.41</v>
      </c>
      <c r="S218" s="14">
        <f>ROUND(P218*I218, 2)</f>
        <v>1133792.02</v>
      </c>
      <c r="T218" s="14">
        <f>ROUND(I218*ROUND(Q218, 2), 2)</f>
        <v>3881684.8</v>
      </c>
      <c r="U218" s="14">
        <f>S218+T218</f>
        <v>5015476.82</v>
      </c>
      <c r="V218" s="9">
        <f>ROUND(P218 / 1.2, 2)</f>
        <v>261.18</v>
      </c>
      <c r="W218" s="9">
        <f>ROUND(Q218 / 1.2, 2)</f>
        <v>894.17</v>
      </c>
      <c r="X218" s="9">
        <f>ROUND(R218 / 1.2, 2)</f>
        <v>1155.3399999999999</v>
      </c>
      <c r="Y218" s="9">
        <f t="shared" si="18"/>
        <v>944826.68</v>
      </c>
      <c r="Z218" s="9">
        <f>ROUND(T218 / 1.2, 2)</f>
        <v>3234737.33</v>
      </c>
      <c r="AA218" s="9">
        <f>Y218+Z218</f>
        <v>4179564.0100000002</v>
      </c>
      <c r="AD218" s="4">
        <v>298925311</v>
      </c>
      <c r="AE218" s="4">
        <v>19976797</v>
      </c>
      <c r="AG218" s="4" t="s">
        <v>954</v>
      </c>
      <c r="AH218" s="4" t="s">
        <v>955</v>
      </c>
      <c r="AI218" s="4" t="s">
        <v>67</v>
      </c>
    </row>
    <row r="219" spans="1:35" ht="36" x14ac:dyDescent="0.3">
      <c r="A219" s="10" t="s">
        <v>956</v>
      </c>
      <c r="B219" s="10"/>
      <c r="C219" s="17" t="s">
        <v>752</v>
      </c>
      <c r="D219" s="12"/>
      <c r="E219" s="12"/>
      <c r="F219" s="18" t="s">
        <v>70</v>
      </c>
      <c r="G219" s="19">
        <v>1</v>
      </c>
      <c r="H219" s="20"/>
      <c r="I219" s="20">
        <v>126616</v>
      </c>
      <c r="J219" s="21">
        <v>7.79</v>
      </c>
      <c r="M219" s="22">
        <f>ROUND(ROUND(J219, 2)*I219, 2)</f>
        <v>986338.64</v>
      </c>
      <c r="P219" s="21">
        <v>7.79</v>
      </c>
      <c r="S219" s="22">
        <f>ROUND(ROUND(P219, 2)*I219, 2)</f>
        <v>986338.64</v>
      </c>
      <c r="V219" s="9">
        <f>ROUND(ROUND(P219, 2)/1.2, 2)</f>
        <v>6.49</v>
      </c>
      <c r="Y219" s="9">
        <f t="shared" si="18"/>
        <v>821948.87</v>
      </c>
      <c r="AD219" s="4" t="s">
        <v>957</v>
      </c>
      <c r="AE219" s="4" t="s">
        <v>958</v>
      </c>
      <c r="AF219" s="4" t="s">
        <v>756</v>
      </c>
    </row>
    <row r="220" spans="1:35" ht="18" x14ac:dyDescent="0.3">
      <c r="A220" s="10" t="s">
        <v>959</v>
      </c>
      <c r="B220" s="10"/>
      <c r="C220" s="24" t="s">
        <v>767</v>
      </c>
      <c r="D220" s="12"/>
      <c r="E220" s="12"/>
      <c r="F220" s="18" t="s">
        <v>87</v>
      </c>
      <c r="G220" s="19">
        <v>1</v>
      </c>
      <c r="H220" s="20"/>
      <c r="I220" s="20">
        <v>3617.6</v>
      </c>
      <c r="J220" s="21">
        <v>15.76</v>
      </c>
      <c r="M220" s="22">
        <f>ROUND(ROUND(J220, 2)*I220, 2)</f>
        <v>57013.38</v>
      </c>
      <c r="P220" s="21">
        <v>15.76</v>
      </c>
      <c r="S220" s="22">
        <f>ROUND(ROUND(P220, 2)*I220, 2)</f>
        <v>57013.38</v>
      </c>
      <c r="V220" s="9">
        <f>ROUND(ROUND(P220, 2)/1.2, 2)</f>
        <v>13.13</v>
      </c>
      <c r="Y220" s="9">
        <f t="shared" si="18"/>
        <v>47511.15</v>
      </c>
      <c r="AD220" s="4" t="s">
        <v>960</v>
      </c>
      <c r="AE220" s="4" t="s">
        <v>961</v>
      </c>
      <c r="AF220" s="4" t="s">
        <v>770</v>
      </c>
    </row>
    <row r="221" spans="1:35" ht="18" x14ac:dyDescent="0.3">
      <c r="A221" s="10" t="s">
        <v>962</v>
      </c>
      <c r="B221" s="10"/>
      <c r="C221" s="24" t="s">
        <v>760</v>
      </c>
      <c r="D221" s="12"/>
      <c r="E221" s="12"/>
      <c r="F221" s="18" t="s">
        <v>70</v>
      </c>
      <c r="G221" s="19">
        <v>0.25</v>
      </c>
      <c r="H221" s="19"/>
      <c r="I221" s="19">
        <v>904.4</v>
      </c>
      <c r="J221" s="21">
        <v>100</v>
      </c>
      <c r="M221" s="22">
        <f>ROUND(ROUND(J221, 2)*I221, 2)</f>
        <v>90440</v>
      </c>
      <c r="P221" s="21">
        <v>100</v>
      </c>
      <c r="S221" s="22">
        <f>ROUND(ROUND(P221, 2)*I221, 2)</f>
        <v>90440</v>
      </c>
      <c r="V221" s="9">
        <f>ROUND(ROUND(P221, 2)/1.2, 2)</f>
        <v>83.33</v>
      </c>
      <c r="Y221" s="9">
        <f t="shared" si="18"/>
        <v>75366.67</v>
      </c>
      <c r="AD221" s="4" t="s">
        <v>963</v>
      </c>
      <c r="AE221" s="4" t="s">
        <v>964</v>
      </c>
      <c r="AF221" s="4" t="s">
        <v>763</v>
      </c>
    </row>
    <row r="222" spans="1:35" ht="54" x14ac:dyDescent="0.3">
      <c r="A222" s="10" t="s">
        <v>965</v>
      </c>
      <c r="B222" s="10" t="s">
        <v>952</v>
      </c>
      <c r="C222" s="11" t="s">
        <v>953</v>
      </c>
      <c r="D222" s="12"/>
      <c r="E222" s="12" t="s">
        <v>966</v>
      </c>
      <c r="F222" s="12" t="s">
        <v>64</v>
      </c>
      <c r="G222" s="13">
        <v>1</v>
      </c>
      <c r="H222" s="13"/>
      <c r="I222" s="13">
        <v>4460.8</v>
      </c>
      <c r="J222" s="14">
        <f>IFERROR(ROUND(SUM(M223,M224,M225)/I222, 2),0)</f>
        <v>301.73</v>
      </c>
      <c r="K222" s="15">
        <v>1073</v>
      </c>
      <c r="L222" s="14">
        <f>J222+ROUND(K222, 2)</f>
        <v>1374.73</v>
      </c>
      <c r="M222" s="14">
        <f>ROUND(J222*I222, 2)</f>
        <v>1345957.18</v>
      </c>
      <c r="N222" s="14">
        <f>ROUND(I222*ROUND(K222, 2), 2)</f>
        <v>4786438.4000000004</v>
      </c>
      <c r="O222" s="14">
        <f>M222+N222</f>
        <v>6132395.5800000001</v>
      </c>
      <c r="P222" s="14">
        <f>IFERROR(ROUND(SUM(S223,S224,S225)/I222, 2),0)</f>
        <v>301.73</v>
      </c>
      <c r="Q222" s="15">
        <v>1073</v>
      </c>
      <c r="R222" s="14">
        <f>P222+ROUND(Q222, 2)</f>
        <v>1374.73</v>
      </c>
      <c r="S222" s="14">
        <f>ROUND(P222*I222, 2)</f>
        <v>1345957.18</v>
      </c>
      <c r="T222" s="14">
        <f>ROUND(I222*ROUND(Q222, 2), 2)</f>
        <v>4786438.4000000004</v>
      </c>
      <c r="U222" s="14">
        <f>S222+T222</f>
        <v>6132395.5800000001</v>
      </c>
      <c r="V222" s="9">
        <f>ROUND(P222 / 1.2, 2)</f>
        <v>251.44</v>
      </c>
      <c r="W222" s="9">
        <f>ROUND(Q222 / 1.2, 2)</f>
        <v>894.17</v>
      </c>
      <c r="X222" s="9">
        <f>ROUND(R222 / 1.2, 2)</f>
        <v>1145.6099999999999</v>
      </c>
      <c r="Y222" s="9">
        <f t="shared" si="18"/>
        <v>1121630.98</v>
      </c>
      <c r="Z222" s="9">
        <f>ROUND(T222 / 1.2, 2)</f>
        <v>3988698.67</v>
      </c>
      <c r="AA222" s="9">
        <f>Y222+Z222</f>
        <v>5110329.6500000004</v>
      </c>
      <c r="AD222" s="4">
        <v>298925390</v>
      </c>
      <c r="AE222" s="4">
        <v>19976798</v>
      </c>
      <c r="AG222" s="4" t="s">
        <v>954</v>
      </c>
      <c r="AH222" s="4" t="s">
        <v>955</v>
      </c>
      <c r="AI222" s="4" t="s">
        <v>67</v>
      </c>
    </row>
    <row r="223" spans="1:35" ht="36" x14ac:dyDescent="0.3">
      <c r="A223" s="10" t="s">
        <v>967</v>
      </c>
      <c r="B223" s="10"/>
      <c r="C223" s="24" t="s">
        <v>433</v>
      </c>
      <c r="D223" s="12"/>
      <c r="E223" s="12"/>
      <c r="F223" s="18" t="s">
        <v>70</v>
      </c>
      <c r="G223" s="19">
        <v>0.15</v>
      </c>
      <c r="H223" s="20"/>
      <c r="I223" s="20">
        <v>669.12</v>
      </c>
      <c r="J223" s="21">
        <v>88.8</v>
      </c>
      <c r="M223" s="22">
        <f>ROUND(ROUND(J223, 2)*I223, 2)</f>
        <v>59417.86</v>
      </c>
      <c r="P223" s="21">
        <v>88.8</v>
      </c>
      <c r="S223" s="22">
        <f>ROUND(ROUND(P223, 2)*I223, 2)</f>
        <v>59417.86</v>
      </c>
      <c r="V223" s="9">
        <f>ROUND(ROUND(P223, 2)/1.2, 2)</f>
        <v>74</v>
      </c>
      <c r="Y223" s="9">
        <f t="shared" si="18"/>
        <v>49514.879999999997</v>
      </c>
      <c r="AD223" s="4" t="s">
        <v>968</v>
      </c>
      <c r="AE223" s="4" t="s">
        <v>969</v>
      </c>
      <c r="AF223" s="4" t="s">
        <v>436</v>
      </c>
    </row>
    <row r="224" spans="1:35" ht="18" x14ac:dyDescent="0.3">
      <c r="A224" s="10" t="s">
        <v>970</v>
      </c>
      <c r="B224" s="10"/>
      <c r="C224" s="24" t="s">
        <v>767</v>
      </c>
      <c r="D224" s="12"/>
      <c r="E224" s="12"/>
      <c r="F224" s="18" t="s">
        <v>87</v>
      </c>
      <c r="G224" s="19">
        <v>1</v>
      </c>
      <c r="H224" s="20"/>
      <c r="I224" s="20">
        <v>4460.8</v>
      </c>
      <c r="J224" s="21">
        <v>15.76</v>
      </c>
      <c r="M224" s="22">
        <f>ROUND(ROUND(J224, 2)*I224, 2)</f>
        <v>70302.210000000006</v>
      </c>
      <c r="P224" s="21">
        <v>15.76</v>
      </c>
      <c r="S224" s="22">
        <f>ROUND(ROUND(P224, 2)*I224, 2)</f>
        <v>70302.210000000006</v>
      </c>
      <c r="V224" s="9">
        <f>ROUND(ROUND(P224, 2)/1.2, 2)</f>
        <v>13.13</v>
      </c>
      <c r="Y224" s="9">
        <f t="shared" si="18"/>
        <v>58585.18</v>
      </c>
      <c r="AD224" s="4" t="s">
        <v>971</v>
      </c>
      <c r="AE224" s="4" t="s">
        <v>972</v>
      </c>
      <c r="AF224" s="4" t="s">
        <v>770</v>
      </c>
    </row>
    <row r="225" spans="1:35" ht="36" x14ac:dyDescent="0.3">
      <c r="A225" s="10" t="s">
        <v>973</v>
      </c>
      <c r="B225" s="10"/>
      <c r="C225" s="17" t="s">
        <v>752</v>
      </c>
      <c r="D225" s="12"/>
      <c r="E225" s="12"/>
      <c r="F225" s="18" t="s">
        <v>70</v>
      </c>
      <c r="G225" s="19">
        <v>1</v>
      </c>
      <c r="H225" s="20"/>
      <c r="I225" s="20">
        <v>156128</v>
      </c>
      <c r="J225" s="21">
        <v>7.79</v>
      </c>
      <c r="M225" s="22">
        <f>ROUND(ROUND(J225, 2)*I225, 2)</f>
        <v>1216237.1200000001</v>
      </c>
      <c r="P225" s="21">
        <v>7.79</v>
      </c>
      <c r="S225" s="22">
        <f>ROUND(ROUND(P225, 2)*I225, 2)</f>
        <v>1216237.1200000001</v>
      </c>
      <c r="V225" s="9">
        <f>ROUND(ROUND(P225, 2)/1.2, 2)</f>
        <v>6.49</v>
      </c>
      <c r="Y225" s="9">
        <f t="shared" si="18"/>
        <v>1013530.93</v>
      </c>
      <c r="AD225" s="4" t="s">
        <v>974</v>
      </c>
      <c r="AE225" s="4" t="s">
        <v>975</v>
      </c>
      <c r="AF225" s="4" t="s">
        <v>756</v>
      </c>
    </row>
    <row r="226" spans="1:35" ht="54" x14ac:dyDescent="0.3">
      <c r="A226" s="10" t="s">
        <v>976</v>
      </c>
      <c r="B226" s="10" t="s">
        <v>952</v>
      </c>
      <c r="C226" s="11" t="s">
        <v>953</v>
      </c>
      <c r="D226" s="12"/>
      <c r="E226" s="12" t="s">
        <v>924</v>
      </c>
      <c r="F226" s="12" t="s">
        <v>64</v>
      </c>
      <c r="G226" s="13">
        <v>1</v>
      </c>
      <c r="H226" s="13"/>
      <c r="I226" s="13">
        <v>3125.2</v>
      </c>
      <c r="J226" s="14">
        <f>IFERROR(ROUND(SUM(M227,M228,M229)/I226, 2),0)</f>
        <v>313.41000000000003</v>
      </c>
      <c r="K226" s="15">
        <v>1073</v>
      </c>
      <c r="L226" s="14">
        <f>J226+ROUND(K226, 2)</f>
        <v>1386.41</v>
      </c>
      <c r="M226" s="14">
        <f>ROUND(J226*I226, 2)</f>
        <v>979468.93</v>
      </c>
      <c r="N226" s="14">
        <f>ROUND(I226*ROUND(K226, 2), 2)</f>
        <v>3353339.6</v>
      </c>
      <c r="O226" s="14">
        <f>M226+N226</f>
        <v>4332808.53</v>
      </c>
      <c r="P226" s="14">
        <f>IFERROR(ROUND(SUM(S227,S228,S229)/I226, 2),0)</f>
        <v>313.41000000000003</v>
      </c>
      <c r="Q226" s="15">
        <v>1073</v>
      </c>
      <c r="R226" s="14">
        <f>P226+ROUND(Q226, 2)</f>
        <v>1386.41</v>
      </c>
      <c r="S226" s="14">
        <f>ROUND(P226*I226, 2)</f>
        <v>979468.93</v>
      </c>
      <c r="T226" s="14">
        <f>ROUND(I226*ROUND(Q226, 2), 2)</f>
        <v>3353339.6</v>
      </c>
      <c r="U226" s="14">
        <f>S226+T226</f>
        <v>4332808.53</v>
      </c>
      <c r="V226" s="9">
        <f>ROUND(P226 / 1.2, 2)</f>
        <v>261.18</v>
      </c>
      <c r="W226" s="9">
        <f>ROUND(Q226 / 1.2, 2)</f>
        <v>894.17</v>
      </c>
      <c r="X226" s="9">
        <f>ROUND(R226 / 1.2, 2)</f>
        <v>1155.3399999999999</v>
      </c>
      <c r="Y226" s="9">
        <f t="shared" si="18"/>
        <v>816224.11</v>
      </c>
      <c r="Z226" s="9">
        <f>ROUND(T226 / 1.2, 2)</f>
        <v>2794449.67</v>
      </c>
      <c r="AA226" s="9">
        <f>Y226+Z226</f>
        <v>3610673.78</v>
      </c>
      <c r="AD226" s="4">
        <v>298925391</v>
      </c>
      <c r="AE226" s="4">
        <v>19976799</v>
      </c>
      <c r="AG226" s="4" t="s">
        <v>954</v>
      </c>
      <c r="AH226" s="4" t="s">
        <v>955</v>
      </c>
      <c r="AI226" s="4" t="s">
        <v>67</v>
      </c>
    </row>
    <row r="227" spans="1:35" ht="36" x14ac:dyDescent="0.3">
      <c r="A227" s="10" t="s">
        <v>977</v>
      </c>
      <c r="B227" s="10"/>
      <c r="C227" s="17" t="s">
        <v>752</v>
      </c>
      <c r="D227" s="12"/>
      <c r="E227" s="12"/>
      <c r="F227" s="18" t="s">
        <v>70</v>
      </c>
      <c r="G227" s="19">
        <v>1</v>
      </c>
      <c r="H227" s="20"/>
      <c r="I227" s="20">
        <v>109382</v>
      </c>
      <c r="J227" s="21">
        <v>7.79</v>
      </c>
      <c r="M227" s="22">
        <f>ROUND(ROUND(J227, 2)*I227, 2)</f>
        <v>852085.78</v>
      </c>
      <c r="P227" s="21">
        <v>7.79</v>
      </c>
      <c r="S227" s="22">
        <f>ROUND(ROUND(P227, 2)*I227, 2)</f>
        <v>852085.78</v>
      </c>
      <c r="V227" s="9">
        <f>ROUND(ROUND(P227, 2)/1.2, 2)</f>
        <v>6.49</v>
      </c>
      <c r="Y227" s="9">
        <f t="shared" si="18"/>
        <v>710071.48</v>
      </c>
      <c r="AD227" s="4" t="s">
        <v>978</v>
      </c>
      <c r="AE227" s="4" t="s">
        <v>979</v>
      </c>
      <c r="AF227" s="4" t="s">
        <v>756</v>
      </c>
    </row>
    <row r="228" spans="1:35" ht="18" x14ac:dyDescent="0.3">
      <c r="A228" s="10" t="s">
        <v>980</v>
      </c>
      <c r="B228" s="10"/>
      <c r="C228" s="24" t="s">
        <v>767</v>
      </c>
      <c r="D228" s="12"/>
      <c r="E228" s="12"/>
      <c r="F228" s="18" t="s">
        <v>87</v>
      </c>
      <c r="G228" s="19">
        <v>1</v>
      </c>
      <c r="H228" s="20"/>
      <c r="I228" s="20">
        <v>3125.2</v>
      </c>
      <c r="J228" s="21">
        <v>15.76</v>
      </c>
      <c r="M228" s="22">
        <f>ROUND(ROUND(J228, 2)*I228, 2)</f>
        <v>49253.15</v>
      </c>
      <c r="P228" s="21">
        <v>15.76</v>
      </c>
      <c r="S228" s="22">
        <f>ROUND(ROUND(P228, 2)*I228, 2)</f>
        <v>49253.15</v>
      </c>
      <c r="V228" s="9">
        <f>ROUND(ROUND(P228, 2)/1.2, 2)</f>
        <v>13.13</v>
      </c>
      <c r="Y228" s="9">
        <f t="shared" si="18"/>
        <v>41044.29</v>
      </c>
      <c r="AD228" s="4" t="s">
        <v>981</v>
      </c>
      <c r="AE228" s="4" t="s">
        <v>982</v>
      </c>
      <c r="AF228" s="4" t="s">
        <v>770</v>
      </c>
    </row>
    <row r="229" spans="1:35" ht="18" x14ac:dyDescent="0.3">
      <c r="A229" s="10" t="s">
        <v>983</v>
      </c>
      <c r="B229" s="10"/>
      <c r="C229" s="24" t="s">
        <v>760</v>
      </c>
      <c r="D229" s="12"/>
      <c r="E229" s="12"/>
      <c r="F229" s="18" t="s">
        <v>70</v>
      </c>
      <c r="G229" s="19">
        <v>0.25</v>
      </c>
      <c r="H229" s="19"/>
      <c r="I229" s="19">
        <v>781.3</v>
      </c>
      <c r="J229" s="21">
        <v>100</v>
      </c>
      <c r="M229" s="22">
        <f>ROUND(ROUND(J229, 2)*I229, 2)</f>
        <v>78130</v>
      </c>
      <c r="P229" s="21">
        <v>100</v>
      </c>
      <c r="S229" s="22">
        <f>ROUND(ROUND(P229, 2)*I229, 2)</f>
        <v>78130</v>
      </c>
      <c r="V229" s="9">
        <f>ROUND(ROUND(P229, 2)/1.2, 2)</f>
        <v>83.33</v>
      </c>
      <c r="Y229" s="9">
        <f t="shared" si="18"/>
        <v>65108.33</v>
      </c>
      <c r="AD229" s="4" t="s">
        <v>984</v>
      </c>
      <c r="AE229" s="4" t="s">
        <v>985</v>
      </c>
      <c r="AF229" s="4" t="s">
        <v>763</v>
      </c>
    </row>
    <row r="230" spans="1:35" ht="54" x14ac:dyDescent="0.3">
      <c r="A230" s="10" t="s">
        <v>986</v>
      </c>
      <c r="B230" s="10" t="s">
        <v>952</v>
      </c>
      <c r="C230" s="11" t="s">
        <v>953</v>
      </c>
      <c r="D230" s="12"/>
      <c r="E230" s="12" t="s">
        <v>987</v>
      </c>
      <c r="F230" s="12" t="s">
        <v>64</v>
      </c>
      <c r="G230" s="13">
        <v>1</v>
      </c>
      <c r="H230" s="13"/>
      <c r="I230" s="13">
        <v>4198.8</v>
      </c>
      <c r="J230" s="14">
        <f>IFERROR(ROUND(SUM(M231,M232,M233)/I230, 2),0)</f>
        <v>301.73</v>
      </c>
      <c r="K230" s="15">
        <v>1073</v>
      </c>
      <c r="L230" s="14">
        <f>J230+ROUND(K230, 2)</f>
        <v>1374.73</v>
      </c>
      <c r="M230" s="14">
        <f>ROUND(J230*I230, 2)</f>
        <v>1266903.92</v>
      </c>
      <c r="N230" s="14">
        <f>ROUND(I230*ROUND(K230, 2), 2)</f>
        <v>4505312.4000000004</v>
      </c>
      <c r="O230" s="14">
        <f>M230+N230</f>
        <v>5772216.3200000003</v>
      </c>
      <c r="P230" s="14">
        <f>IFERROR(ROUND(SUM(S231,S232,S233)/I230, 2),0)</f>
        <v>301.73</v>
      </c>
      <c r="Q230" s="15">
        <v>1073</v>
      </c>
      <c r="R230" s="14">
        <f>P230+ROUND(Q230, 2)</f>
        <v>1374.73</v>
      </c>
      <c r="S230" s="14">
        <f>ROUND(P230*I230, 2)</f>
        <v>1266903.92</v>
      </c>
      <c r="T230" s="14">
        <f>ROUND(I230*ROUND(Q230, 2), 2)</f>
        <v>4505312.4000000004</v>
      </c>
      <c r="U230" s="14">
        <f>S230+T230</f>
        <v>5772216.3200000003</v>
      </c>
      <c r="V230" s="9">
        <f>ROUND(P230 / 1.2, 2)</f>
        <v>251.44</v>
      </c>
      <c r="W230" s="9">
        <f>ROUND(Q230 / 1.2, 2)</f>
        <v>894.17</v>
      </c>
      <c r="X230" s="9">
        <f>ROUND(R230 / 1.2, 2)</f>
        <v>1145.6099999999999</v>
      </c>
      <c r="Y230" s="9">
        <f t="shared" si="18"/>
        <v>1055753.27</v>
      </c>
      <c r="Z230" s="9">
        <f>ROUND(T230 / 1.2, 2)</f>
        <v>3754427</v>
      </c>
      <c r="AA230" s="9">
        <f>Y230+Z230</f>
        <v>4810180.2699999996</v>
      </c>
      <c r="AD230" s="4">
        <v>298925392</v>
      </c>
      <c r="AE230" s="4">
        <v>19976800</v>
      </c>
      <c r="AG230" s="4" t="s">
        <v>954</v>
      </c>
      <c r="AH230" s="4" t="s">
        <v>955</v>
      </c>
      <c r="AI230" s="4" t="s">
        <v>67</v>
      </c>
    </row>
    <row r="231" spans="1:35" ht="36" x14ac:dyDescent="0.3">
      <c r="A231" s="10" t="s">
        <v>988</v>
      </c>
      <c r="B231" s="10"/>
      <c r="C231" s="24" t="s">
        <v>433</v>
      </c>
      <c r="D231" s="12"/>
      <c r="E231" s="12"/>
      <c r="F231" s="18" t="s">
        <v>70</v>
      </c>
      <c r="G231" s="19">
        <v>0.15</v>
      </c>
      <c r="H231" s="20"/>
      <c r="I231" s="20">
        <v>629.82000000000005</v>
      </c>
      <c r="J231" s="21">
        <v>88.8</v>
      </c>
      <c r="M231" s="22">
        <f>ROUND(ROUND(J231, 2)*I231, 2)</f>
        <v>55928.02</v>
      </c>
      <c r="P231" s="21">
        <v>88.8</v>
      </c>
      <c r="S231" s="22">
        <f>ROUND(ROUND(P231, 2)*I231, 2)</f>
        <v>55928.02</v>
      </c>
      <c r="V231" s="9">
        <f>ROUND(ROUND(P231, 2)/1.2, 2)</f>
        <v>74</v>
      </c>
      <c r="Y231" s="9">
        <f t="shared" si="18"/>
        <v>46606.68</v>
      </c>
      <c r="AD231" s="4" t="s">
        <v>989</v>
      </c>
      <c r="AE231" s="4" t="s">
        <v>990</v>
      </c>
      <c r="AF231" s="4" t="s">
        <v>436</v>
      </c>
    </row>
    <row r="232" spans="1:35" ht="18" x14ac:dyDescent="0.3">
      <c r="A232" s="10" t="s">
        <v>991</v>
      </c>
      <c r="B232" s="10"/>
      <c r="C232" s="24" t="s">
        <v>767</v>
      </c>
      <c r="D232" s="12"/>
      <c r="E232" s="12"/>
      <c r="F232" s="18" t="s">
        <v>87</v>
      </c>
      <c r="G232" s="19">
        <v>1</v>
      </c>
      <c r="H232" s="20"/>
      <c r="I232" s="20">
        <v>4198.8</v>
      </c>
      <c r="J232" s="21">
        <v>15.76</v>
      </c>
      <c r="M232" s="22">
        <f>ROUND(ROUND(J232, 2)*I232, 2)</f>
        <v>66173.09</v>
      </c>
      <c r="P232" s="21">
        <v>15.76</v>
      </c>
      <c r="S232" s="22">
        <f>ROUND(ROUND(P232, 2)*I232, 2)</f>
        <v>66173.09</v>
      </c>
      <c r="V232" s="9">
        <f>ROUND(ROUND(P232, 2)/1.2, 2)</f>
        <v>13.13</v>
      </c>
      <c r="Y232" s="9">
        <f t="shared" si="18"/>
        <v>55144.24</v>
      </c>
      <c r="AD232" s="4" t="s">
        <v>992</v>
      </c>
      <c r="AE232" s="4" t="s">
        <v>993</v>
      </c>
      <c r="AF232" s="4" t="s">
        <v>770</v>
      </c>
    </row>
    <row r="233" spans="1:35" ht="36" x14ac:dyDescent="0.3">
      <c r="A233" s="10" t="s">
        <v>994</v>
      </c>
      <c r="B233" s="10"/>
      <c r="C233" s="17" t="s">
        <v>752</v>
      </c>
      <c r="D233" s="12"/>
      <c r="E233" s="12"/>
      <c r="F233" s="18" t="s">
        <v>70</v>
      </c>
      <c r="G233" s="19">
        <v>1</v>
      </c>
      <c r="H233" s="20"/>
      <c r="I233" s="20">
        <v>146958</v>
      </c>
      <c r="J233" s="21">
        <v>7.79</v>
      </c>
      <c r="M233" s="22">
        <f>ROUND(ROUND(J233, 2)*I233, 2)</f>
        <v>1144802.82</v>
      </c>
      <c r="P233" s="21">
        <v>7.79</v>
      </c>
      <c r="S233" s="22">
        <f>ROUND(ROUND(P233, 2)*I233, 2)</f>
        <v>1144802.82</v>
      </c>
      <c r="V233" s="9">
        <f>ROUND(ROUND(P233, 2)/1.2, 2)</f>
        <v>6.49</v>
      </c>
      <c r="Y233" s="9">
        <f t="shared" si="18"/>
        <v>954002.35</v>
      </c>
      <c r="AD233" s="4" t="s">
        <v>995</v>
      </c>
      <c r="AE233" s="4" t="s">
        <v>996</v>
      </c>
      <c r="AF233" s="4" t="s">
        <v>756</v>
      </c>
    </row>
    <row r="234" spans="1:35" ht="16.95" customHeight="1" x14ac:dyDescent="0.3">
      <c r="A234" s="10" t="s">
        <v>997</v>
      </c>
      <c r="B234" s="10" t="s">
        <v>998</v>
      </c>
      <c r="C234" s="352" t="s">
        <v>999</v>
      </c>
      <c r="D234" s="353"/>
      <c r="E234" s="353"/>
      <c r="F234" s="353"/>
      <c r="G234" s="353"/>
      <c r="H234" s="353"/>
      <c r="I234" s="354"/>
      <c r="M234" s="6">
        <f>SUM(M235,M241,M247,M250,M253,M256,M259,M262,M265,M268,M271,M274,M277,M280,M283,M286,M289,M292,M295,M298,M301,M304,M307,M310,M313,M316,M319,M322,M325,M328,M331,M334,M339,M344,M349,M353,M358,M362,M368,M374,M379,M384,M389,M394,M399,M405,M410)</f>
        <v>2456982.8000000003</v>
      </c>
      <c r="N234" s="6">
        <f>SUM(N235,N241,N247,N250,N253,N256,N259,N262,N265,N268,N271,N274,N277,N280,N283,N286,N289,N292,N295,N298,N301,N304,N307,N310,N313,N316,N319,N322,N325,N328,N331,N334,N339,N344,N349,N353,N358,N362,N368,N374,N379,N384,N389,N394,N399,N405,N410)</f>
        <v>10285693.439999998</v>
      </c>
      <c r="O234" s="6">
        <f>SUM(O235,O241,O247,O250,O253,O256,O259,O262,O265,O268,O271,O274,O277,O280,O283,O286,O289,O292,O295,O298,O301,O304,O307,O310,O313,O316,O319,O322,O325,O328,O331,O334,O339,O344,O349,O353,O358,O362,O368,O374,O379,O384,O389,O394,O399,O405,O410)</f>
        <v>12742676.24</v>
      </c>
      <c r="S234" s="6">
        <f>SUM(S235,S241,S247,S250,S253,S256,S259,S262,S265,S268,S271,S274,S277,S280,S283,S286,S289,S292,S295,S298,S301,S304,S307,S310,S313,S316,S319,S322,S325,S328,S331,S334,S339,S344,S349,S353,S358,S362,S368,S374,S379,S384,S389,S394,S399,S405,S410)</f>
        <v>2321278.4100000006</v>
      </c>
      <c r="T234" s="6">
        <f>SUM(T235,T241,T247,T250,T253,T256,T259,T262,T265,T268,T271,T274,T277,T280,T283,T286,T289,T292,T295,T298,T301,T304,T307,T310,T313,T316,T319,T322,T325,T328,T331,T334,T339,T344,T349,T353,T358,T362,T368,T374,T379,T384,T389,T394,T399,T405,T410)</f>
        <v>10285693.439999998</v>
      </c>
      <c r="U234" s="6">
        <f>SUM(U235,U241,U247,U250,U253,U256,U259,U262,U265,U268,U271,U274,U277,U280,U283,U286,U289,U292,U295,U298,U301,U304,U307,U310,U313,U316,U319,U322,U325,U328,U331,U334,U339,U344,U349,U353,U358,U362,U368,U374,U379,U384,U389,U394,U399,U405,U410)</f>
        <v>12606971.850000003</v>
      </c>
      <c r="Y234" s="9">
        <f>SUM(Y235,Y241,Y247,Y250,Y253,Y256,Y259,Y262,Y265,Y268,Y271,Y274,Y277,Y280,Y283,Y286,Y289,Y292,Y295,Y298,Y301,Y304,Y307,Y310,Y313,Y316,Y319,Y322,Y325,Y328,Y331,Y334,Y339,Y344,Y349,Y353,Y358,Y362,Y368,Y374,Y379,Y384,Y389,Y394,Y399,Y405,Y410)</f>
        <v>1934398.7300000002</v>
      </c>
      <c r="Z234" s="9">
        <f>SUM(Z235,Z241,Z247,Z250,Z253,Z256,Z259,Z262,Z265,Z268,Z271,Z274,Z277,Z280,Z283,Z286,Z289,Z292,Z295,Z298,Z301,Z304,Z307,Z310,Z313,Z316,Z319,Z322,Z325,Z328,Z331,Z334,Z339,Z344,Z349,Z353,Z358,Z362,Z368,Z374,Z379,Z384,Z389,Z394,Z399,Z405,Z410)</f>
        <v>8571411.2099999972</v>
      </c>
      <c r="AA234" s="9">
        <f>SUM(AA235,AA241,AA247,AA250,AA253,AA256,AA259,AA262,AA265,AA268,AA271,AA274,AA277,AA280,AA283,AA286,AA289,AA292,AA295,AA298,AA301,AA304,AA307,AA310,AA313,AA316,AA319,AA322,AA325,AA328,AA331,AA334,AA339,AA344,AA349,AA353,AA358,AA362,AA368,AA374,AA379,AA384,AA389,AA394,AA399,AA405,AA410)</f>
        <v>10505809.939999999</v>
      </c>
      <c r="AD234" s="4">
        <v>298925312</v>
      </c>
      <c r="AE234" s="4">
        <v>16211525</v>
      </c>
    </row>
    <row r="235" spans="1:35" ht="54" x14ac:dyDescent="0.3">
      <c r="A235" s="10" t="s">
        <v>1000</v>
      </c>
      <c r="B235" s="10" t="s">
        <v>1001</v>
      </c>
      <c r="C235" s="11" t="s">
        <v>1002</v>
      </c>
      <c r="D235" s="12"/>
      <c r="E235" s="12" t="s">
        <v>63</v>
      </c>
      <c r="F235" s="12" t="s">
        <v>64</v>
      </c>
      <c r="G235" s="13">
        <v>1</v>
      </c>
      <c r="H235" s="13"/>
      <c r="I235" s="13">
        <v>0</v>
      </c>
      <c r="J235" s="14">
        <f>IFERROR(ROUND(SUM(M236,M237,M238,M239,M240)/I235, 2),0)</f>
        <v>0</v>
      </c>
      <c r="K235" s="15">
        <v>2056</v>
      </c>
      <c r="L235" s="14">
        <f>J235+ROUND(K235, 2)</f>
        <v>2056</v>
      </c>
      <c r="M235" s="14">
        <f>ROUND(J235*I235, 2)</f>
        <v>0</v>
      </c>
      <c r="N235" s="14">
        <f>ROUND(I235*ROUND(K235, 2), 2)</f>
        <v>0</v>
      </c>
      <c r="O235" s="14">
        <f>M235+N235</f>
        <v>0</v>
      </c>
      <c r="P235" s="14">
        <f>IFERROR(ROUND(SUM(S236,S237,S238,S239,S240)/I235, 2),0)</f>
        <v>0</v>
      </c>
      <c r="Q235" s="15">
        <v>1869</v>
      </c>
      <c r="R235" s="14">
        <f>P235+ROUND(Q235, 2)</f>
        <v>1869</v>
      </c>
      <c r="S235" s="14">
        <f>ROUND(P235*I235, 2)</f>
        <v>0</v>
      </c>
      <c r="T235" s="14">
        <f>ROUND(I235*ROUND(Q235, 2), 2)</f>
        <v>0</v>
      </c>
      <c r="U235" s="14">
        <f>S235+T235</f>
        <v>0</v>
      </c>
      <c r="V235" s="9">
        <f>ROUND(P235 / 1.2, 2)</f>
        <v>0</v>
      </c>
      <c r="W235" s="9">
        <f>ROUND(Q235 / 1.2, 2)</f>
        <v>1557.5</v>
      </c>
      <c r="X235" s="9">
        <f>ROUND(R235 / 1.2, 2)</f>
        <v>1557.5</v>
      </c>
      <c r="Y235" s="9">
        <f>ROUND(S235 / 1.2, 2)</f>
        <v>0</v>
      </c>
      <c r="Z235" s="9">
        <f>ROUND(T235 / 1.2, 2)</f>
        <v>0</v>
      </c>
      <c r="AA235" s="9">
        <f>Y235+Z235</f>
        <v>0</v>
      </c>
      <c r="AD235" s="4">
        <v>298925314</v>
      </c>
      <c r="AE235" s="4">
        <v>16211621</v>
      </c>
      <c r="AG235" s="4" t="s">
        <v>1003</v>
      </c>
      <c r="AH235" s="4" t="s">
        <v>1004</v>
      </c>
      <c r="AI235" s="4" t="s">
        <v>67</v>
      </c>
    </row>
    <row r="236" spans="1:35" ht="36" x14ac:dyDescent="0.3">
      <c r="A236" s="10" t="s">
        <v>1006</v>
      </c>
      <c r="B236" s="10"/>
      <c r="C236" s="24" t="s">
        <v>1007</v>
      </c>
      <c r="D236" s="12"/>
      <c r="E236" s="12"/>
      <c r="F236" s="18" t="s">
        <v>87</v>
      </c>
      <c r="G236" s="19">
        <v>0.23</v>
      </c>
      <c r="H236" s="20"/>
      <c r="I236" s="20">
        <v>0</v>
      </c>
      <c r="J236" s="21">
        <v>97.71</v>
      </c>
      <c r="M236" s="22">
        <f>ROUND(ROUND(J236, 2)*I236, 2)</f>
        <v>0</v>
      </c>
      <c r="P236" s="21">
        <v>97.71</v>
      </c>
      <c r="S236" s="22">
        <f>ROUND(ROUND(P236, 2)*I236, 2)</f>
        <v>0</v>
      </c>
      <c r="V236" s="9">
        <f>ROUND(ROUND(P236, 2)/1.2, 2)</f>
        <v>81.430000000000007</v>
      </c>
      <c r="Y236" s="9">
        <f t="shared" ref="Y236:Y267" si="19">ROUND(S236 / 1.2, 2)</f>
        <v>0</v>
      </c>
      <c r="AD236" s="4" t="s">
        <v>1008</v>
      </c>
      <c r="AE236" s="4" t="s">
        <v>1009</v>
      </c>
      <c r="AF236" s="4" t="s">
        <v>1010</v>
      </c>
    </row>
    <row r="237" spans="1:35" ht="54" x14ac:dyDescent="0.3">
      <c r="A237" s="10" t="s">
        <v>1013</v>
      </c>
      <c r="B237" s="10"/>
      <c r="C237" s="17" t="s">
        <v>601</v>
      </c>
      <c r="D237" s="12"/>
      <c r="E237" s="12" t="s">
        <v>402</v>
      </c>
      <c r="F237" s="18" t="s">
        <v>70</v>
      </c>
      <c r="G237" s="19">
        <v>1.2</v>
      </c>
      <c r="H237" s="20"/>
      <c r="I237" s="20">
        <v>0</v>
      </c>
      <c r="J237" s="21">
        <v>12.33</v>
      </c>
      <c r="M237" s="22">
        <f>ROUND(ROUND(J237, 2)*I237, 2)</f>
        <v>0</v>
      </c>
      <c r="P237" s="21">
        <v>12.33</v>
      </c>
      <c r="S237" s="22">
        <f>ROUND(ROUND(P237, 2)*I237, 2)</f>
        <v>0</v>
      </c>
      <c r="V237" s="9">
        <f>ROUND(ROUND(P237, 2)/1.2, 2)</f>
        <v>10.28</v>
      </c>
      <c r="Y237" s="9">
        <f t="shared" si="19"/>
        <v>0</v>
      </c>
      <c r="AD237" s="4" t="s">
        <v>1014</v>
      </c>
      <c r="AE237" s="4" t="s">
        <v>1015</v>
      </c>
      <c r="AF237" s="4" t="s">
        <v>604</v>
      </c>
    </row>
    <row r="238" spans="1:35" ht="90" x14ac:dyDescent="0.3">
      <c r="A238" s="10" t="s">
        <v>1018</v>
      </c>
      <c r="B238" s="10"/>
      <c r="C238" s="17" t="s">
        <v>1019</v>
      </c>
      <c r="D238" s="12"/>
      <c r="E238" s="12" t="s">
        <v>1020</v>
      </c>
      <c r="F238" s="18" t="s">
        <v>64</v>
      </c>
      <c r="G238" s="19">
        <v>1.07</v>
      </c>
      <c r="H238" s="20"/>
      <c r="I238" s="20">
        <v>0</v>
      </c>
      <c r="J238" s="21">
        <v>1279.95</v>
      </c>
      <c r="M238" s="22">
        <f>ROUND(ROUND(J238, 2)*I238, 2)</f>
        <v>0</v>
      </c>
      <c r="P238" s="21">
        <v>637.79999999999995</v>
      </c>
      <c r="S238" s="22">
        <f>ROUND(ROUND(P238, 2)*I238, 2)</f>
        <v>0</v>
      </c>
      <c r="V238" s="9">
        <f>ROUND(ROUND(P238, 2)/1.2, 2)</f>
        <v>531.5</v>
      </c>
      <c r="Y238" s="9">
        <f t="shared" si="19"/>
        <v>0</v>
      </c>
      <c r="AD238" s="4" t="s">
        <v>1021</v>
      </c>
      <c r="AE238" s="4" t="s">
        <v>1022</v>
      </c>
      <c r="AF238" s="4" t="s">
        <v>1023</v>
      </c>
    </row>
    <row r="239" spans="1:35" ht="36" x14ac:dyDescent="0.3">
      <c r="A239" s="10" t="s">
        <v>1026</v>
      </c>
      <c r="B239" s="10"/>
      <c r="C239" s="24" t="s">
        <v>426</v>
      </c>
      <c r="D239" s="12"/>
      <c r="E239" s="12"/>
      <c r="F239" s="18" t="s">
        <v>70</v>
      </c>
      <c r="G239" s="19">
        <v>0.25</v>
      </c>
      <c r="H239" s="20"/>
      <c r="I239" s="20">
        <v>0</v>
      </c>
      <c r="J239" s="21">
        <v>40.270000000000003</v>
      </c>
      <c r="M239" s="22">
        <f>ROUND(ROUND(J239, 2)*I239, 2)</f>
        <v>0</v>
      </c>
      <c r="P239" s="21">
        <v>40.270000000000003</v>
      </c>
      <c r="S239" s="22">
        <f>ROUND(ROUND(P239, 2)*I239, 2)</f>
        <v>0</v>
      </c>
      <c r="V239" s="9">
        <f>ROUND(ROUND(P239, 2)/1.2, 2)</f>
        <v>33.56</v>
      </c>
      <c r="Y239" s="9">
        <f t="shared" si="19"/>
        <v>0</v>
      </c>
      <c r="AD239" s="4" t="s">
        <v>1027</v>
      </c>
      <c r="AE239" s="4" t="s">
        <v>1028</v>
      </c>
      <c r="AF239" s="4" t="s">
        <v>429</v>
      </c>
    </row>
    <row r="240" spans="1:35" ht="36" x14ac:dyDescent="0.3">
      <c r="A240" s="10" t="s">
        <v>1031</v>
      </c>
      <c r="B240" s="10"/>
      <c r="C240" s="24" t="s">
        <v>452</v>
      </c>
      <c r="D240" s="12"/>
      <c r="E240" s="12"/>
      <c r="F240" s="18" t="s">
        <v>70</v>
      </c>
      <c r="G240" s="19">
        <v>0.15</v>
      </c>
      <c r="H240" s="19"/>
      <c r="I240" s="19">
        <v>0</v>
      </c>
      <c r="J240" s="21">
        <v>68.400000000000006</v>
      </c>
      <c r="M240" s="22">
        <f>ROUND(ROUND(J240, 2)*I240, 2)</f>
        <v>0</v>
      </c>
      <c r="P240" s="21">
        <v>68.400000000000006</v>
      </c>
      <c r="S240" s="22">
        <f>ROUND(ROUND(P240, 2)*I240, 2)</f>
        <v>0</v>
      </c>
      <c r="V240" s="9">
        <f>ROUND(ROUND(P240, 2)/1.2, 2)</f>
        <v>57</v>
      </c>
      <c r="Y240" s="9">
        <f t="shared" si="19"/>
        <v>0</v>
      </c>
      <c r="AD240" s="4" t="s">
        <v>1032</v>
      </c>
      <c r="AE240" s="4" t="s">
        <v>1033</v>
      </c>
      <c r="AF240" s="4" t="s">
        <v>456</v>
      </c>
    </row>
    <row r="241" spans="1:35" ht="54" x14ac:dyDescent="0.3">
      <c r="A241" s="10" t="s">
        <v>1036</v>
      </c>
      <c r="B241" s="10" t="s">
        <v>1001</v>
      </c>
      <c r="C241" s="11" t="s">
        <v>1002</v>
      </c>
      <c r="D241" s="12"/>
      <c r="E241" s="12" t="s">
        <v>63</v>
      </c>
      <c r="F241" s="12" t="s">
        <v>64</v>
      </c>
      <c r="G241" s="13">
        <v>1</v>
      </c>
      <c r="H241" s="13"/>
      <c r="I241" s="13">
        <v>0</v>
      </c>
      <c r="J241" s="14">
        <f>IFERROR(ROUND(SUM(M242,M243,M244,M245,M246)/I241, 2),0)</f>
        <v>0</v>
      </c>
      <c r="K241" s="15">
        <v>2056</v>
      </c>
      <c r="L241" s="14">
        <f>J241+ROUND(K241, 2)</f>
        <v>2056</v>
      </c>
      <c r="M241" s="14">
        <f>ROUND(J241*I241, 2)</f>
        <v>0</v>
      </c>
      <c r="N241" s="14">
        <f>ROUND(I241*ROUND(K241, 2), 2)</f>
        <v>0</v>
      </c>
      <c r="O241" s="14">
        <f>M241+N241</f>
        <v>0</v>
      </c>
      <c r="P241" s="14">
        <f>IFERROR(ROUND(SUM(S242,S243,S244,S245,S246)/I241, 2),0)</f>
        <v>0</v>
      </c>
      <c r="Q241" s="15">
        <v>1869</v>
      </c>
      <c r="R241" s="14">
        <f>P241+ROUND(Q241, 2)</f>
        <v>1869</v>
      </c>
      <c r="S241" s="14">
        <f>ROUND(P241*I241, 2)</f>
        <v>0</v>
      </c>
      <c r="T241" s="14">
        <f>ROUND(I241*ROUND(Q241, 2), 2)</f>
        <v>0</v>
      </c>
      <c r="U241" s="14">
        <f>S241+T241</f>
        <v>0</v>
      </c>
      <c r="V241" s="9">
        <f>ROUND(P241 / 1.2, 2)</f>
        <v>0</v>
      </c>
      <c r="W241" s="9">
        <f>ROUND(Q241 / 1.2, 2)</f>
        <v>1557.5</v>
      </c>
      <c r="X241" s="9">
        <f>ROUND(R241 / 1.2, 2)</f>
        <v>1557.5</v>
      </c>
      <c r="Y241" s="9">
        <f t="shared" si="19"/>
        <v>0</v>
      </c>
      <c r="Z241" s="9">
        <f>ROUND(T241 / 1.2, 2)</f>
        <v>0</v>
      </c>
      <c r="AA241" s="9">
        <f>Y241+Z241</f>
        <v>0</v>
      </c>
      <c r="AD241" s="4">
        <v>298925393</v>
      </c>
      <c r="AE241" s="4">
        <v>16211622</v>
      </c>
      <c r="AG241" s="4" t="s">
        <v>1003</v>
      </c>
      <c r="AH241" s="4" t="s">
        <v>1004</v>
      </c>
      <c r="AI241" s="4" t="s">
        <v>67</v>
      </c>
    </row>
    <row r="242" spans="1:35" ht="36" x14ac:dyDescent="0.3">
      <c r="A242" s="10" t="s">
        <v>1038</v>
      </c>
      <c r="B242" s="10"/>
      <c r="C242" s="24" t="s">
        <v>452</v>
      </c>
      <c r="D242" s="12"/>
      <c r="E242" s="12"/>
      <c r="F242" s="18" t="s">
        <v>70</v>
      </c>
      <c r="G242" s="19">
        <v>0.15</v>
      </c>
      <c r="H242" s="19"/>
      <c r="I242" s="19">
        <v>0</v>
      </c>
      <c r="J242" s="21">
        <v>68.400000000000006</v>
      </c>
      <c r="M242" s="22">
        <f>ROUND(ROUND(J242, 2)*I242, 2)</f>
        <v>0</v>
      </c>
      <c r="P242" s="21">
        <v>68.400000000000006</v>
      </c>
      <c r="S242" s="22">
        <f>ROUND(ROUND(P242, 2)*I242, 2)</f>
        <v>0</v>
      </c>
      <c r="V242" s="9">
        <f>ROUND(ROUND(P242, 2)/1.2, 2)</f>
        <v>57</v>
      </c>
      <c r="Y242" s="9">
        <f t="shared" si="19"/>
        <v>0</v>
      </c>
      <c r="AD242" s="4" t="s">
        <v>1039</v>
      </c>
      <c r="AE242" s="4" t="s">
        <v>1040</v>
      </c>
      <c r="AF242" s="4" t="s">
        <v>456</v>
      </c>
    </row>
    <row r="243" spans="1:35" ht="18" x14ac:dyDescent="0.3">
      <c r="A243" s="10" t="s">
        <v>1043</v>
      </c>
      <c r="B243" s="10"/>
      <c r="C243" s="24" t="s">
        <v>1044</v>
      </c>
      <c r="D243" s="12"/>
      <c r="E243" s="12" t="s">
        <v>1045</v>
      </c>
      <c r="F243" s="18" t="s">
        <v>70</v>
      </c>
      <c r="G243" s="19">
        <v>0.25</v>
      </c>
      <c r="H243" s="20"/>
      <c r="I243" s="20">
        <v>0</v>
      </c>
      <c r="J243" s="21">
        <v>40.270000000000003</v>
      </c>
      <c r="M243" s="22">
        <f>ROUND(ROUND(J243, 2)*I243, 2)</f>
        <v>0</v>
      </c>
      <c r="P243" s="21">
        <v>40.270000000000003</v>
      </c>
      <c r="S243" s="22">
        <f>ROUND(ROUND(P243, 2)*I243, 2)</f>
        <v>0</v>
      </c>
      <c r="V243" s="9">
        <f>ROUND(ROUND(P243, 2)/1.2, 2)</f>
        <v>33.56</v>
      </c>
      <c r="Y243" s="9">
        <f t="shared" si="19"/>
        <v>0</v>
      </c>
      <c r="AD243" s="4" t="s">
        <v>1046</v>
      </c>
      <c r="AE243" s="4" t="s">
        <v>1047</v>
      </c>
      <c r="AF243" s="4" t="s">
        <v>1048</v>
      </c>
    </row>
    <row r="244" spans="1:35" ht="72" x14ac:dyDescent="0.3">
      <c r="A244" s="10" t="s">
        <v>1051</v>
      </c>
      <c r="B244" s="10"/>
      <c r="C244" s="24" t="s">
        <v>1052</v>
      </c>
      <c r="D244" s="12"/>
      <c r="E244" s="12" t="s">
        <v>1053</v>
      </c>
      <c r="F244" s="18" t="s">
        <v>64</v>
      </c>
      <c r="G244" s="19">
        <v>1.07</v>
      </c>
      <c r="H244" s="20"/>
      <c r="I244" s="20">
        <v>0</v>
      </c>
      <c r="J244" s="21">
        <v>1374.45</v>
      </c>
      <c r="M244" s="22">
        <f>ROUND(ROUND(J244, 2)*I244, 2)</f>
        <v>0</v>
      </c>
      <c r="P244" s="21">
        <v>837.4</v>
      </c>
      <c r="S244" s="22">
        <f>ROUND(ROUND(P244, 2)*I244, 2)</f>
        <v>0</v>
      </c>
      <c r="V244" s="9">
        <f>ROUND(ROUND(P244, 2)/1.2, 2)</f>
        <v>697.83</v>
      </c>
      <c r="Y244" s="9">
        <f t="shared" si="19"/>
        <v>0</v>
      </c>
      <c r="AD244" s="4" t="s">
        <v>1054</v>
      </c>
      <c r="AE244" s="4" t="s">
        <v>1055</v>
      </c>
      <c r="AF244" s="4" t="s">
        <v>1056</v>
      </c>
    </row>
    <row r="245" spans="1:35" ht="54" x14ac:dyDescent="0.3">
      <c r="A245" s="10" t="s">
        <v>1059</v>
      </c>
      <c r="B245" s="10"/>
      <c r="C245" s="17" t="s">
        <v>601</v>
      </c>
      <c r="D245" s="12"/>
      <c r="E245" s="12" t="s">
        <v>402</v>
      </c>
      <c r="F245" s="18" t="s">
        <v>70</v>
      </c>
      <c r="G245" s="19">
        <v>1.2</v>
      </c>
      <c r="H245" s="20"/>
      <c r="I245" s="20">
        <v>0</v>
      </c>
      <c r="J245" s="21">
        <v>12.33</v>
      </c>
      <c r="M245" s="22">
        <f>ROUND(ROUND(J245, 2)*I245, 2)</f>
        <v>0</v>
      </c>
      <c r="P245" s="21">
        <v>12.33</v>
      </c>
      <c r="S245" s="22">
        <f>ROUND(ROUND(P245, 2)*I245, 2)</f>
        <v>0</v>
      </c>
      <c r="V245" s="9">
        <f>ROUND(ROUND(P245, 2)/1.2, 2)</f>
        <v>10.28</v>
      </c>
      <c r="Y245" s="9">
        <f t="shared" si="19"/>
        <v>0</v>
      </c>
      <c r="AD245" s="4" t="s">
        <v>1060</v>
      </c>
      <c r="AE245" s="4" t="s">
        <v>1061</v>
      </c>
      <c r="AF245" s="4" t="s">
        <v>604</v>
      </c>
    </row>
    <row r="246" spans="1:35" ht="36" x14ac:dyDescent="0.3">
      <c r="A246" s="10" t="s">
        <v>1064</v>
      </c>
      <c r="B246" s="10"/>
      <c r="C246" s="24" t="s">
        <v>1007</v>
      </c>
      <c r="D246" s="12"/>
      <c r="E246" s="12"/>
      <c r="F246" s="18" t="s">
        <v>87</v>
      </c>
      <c r="G246" s="19">
        <v>0.23</v>
      </c>
      <c r="H246" s="20"/>
      <c r="I246" s="20">
        <v>0</v>
      </c>
      <c r="J246" s="21">
        <v>97.71</v>
      </c>
      <c r="M246" s="22">
        <f>ROUND(ROUND(J246, 2)*I246, 2)</f>
        <v>0</v>
      </c>
      <c r="P246" s="21">
        <v>97.71</v>
      </c>
      <c r="S246" s="22">
        <f>ROUND(ROUND(P246, 2)*I246, 2)</f>
        <v>0</v>
      </c>
      <c r="V246" s="9">
        <f>ROUND(ROUND(P246, 2)/1.2, 2)</f>
        <v>81.430000000000007</v>
      </c>
      <c r="Y246" s="9">
        <f t="shared" si="19"/>
        <v>0</v>
      </c>
      <c r="AD246" s="4" t="s">
        <v>1065</v>
      </c>
      <c r="AE246" s="4" t="s">
        <v>1066</v>
      </c>
      <c r="AF246" s="4" t="s">
        <v>1010</v>
      </c>
    </row>
    <row r="247" spans="1:35" ht="36" x14ac:dyDescent="0.3">
      <c r="A247" s="10" t="s">
        <v>1069</v>
      </c>
      <c r="B247" s="10" t="s">
        <v>1070</v>
      </c>
      <c r="C247" s="11" t="s">
        <v>1071</v>
      </c>
      <c r="D247" s="12"/>
      <c r="E247" s="12" t="s">
        <v>63</v>
      </c>
      <c r="F247" s="12" t="s">
        <v>64</v>
      </c>
      <c r="G247" s="13">
        <v>1</v>
      </c>
      <c r="H247" s="13"/>
      <c r="I247" s="13">
        <v>0</v>
      </c>
      <c r="J247" s="14">
        <f>IFERROR(ROUND(SUM(M248,M249)/I247, 2),0)</f>
        <v>0</v>
      </c>
      <c r="K247" s="15">
        <v>276</v>
      </c>
      <c r="L247" s="14">
        <f>J247+ROUND(K247, 2)</f>
        <v>276</v>
      </c>
      <c r="M247" s="14">
        <f>ROUND(J247*I247, 2)</f>
        <v>0</v>
      </c>
      <c r="N247" s="14">
        <f>ROUND(I247*ROUND(K247, 2), 2)</f>
        <v>0</v>
      </c>
      <c r="O247" s="14">
        <f>M247+N247</f>
        <v>0</v>
      </c>
      <c r="P247" s="14">
        <f>IFERROR(ROUND(SUM(S248,S249)/I247, 2),0)</f>
        <v>0</v>
      </c>
      <c r="Q247" s="15">
        <v>251</v>
      </c>
      <c r="R247" s="14">
        <f>P247+ROUND(Q247, 2)</f>
        <v>251</v>
      </c>
      <c r="S247" s="14">
        <f>ROUND(P247*I247, 2)</f>
        <v>0</v>
      </c>
      <c r="T247" s="14">
        <f>ROUND(I247*ROUND(Q247, 2), 2)</f>
        <v>0</v>
      </c>
      <c r="U247" s="14">
        <f>S247+T247</f>
        <v>0</v>
      </c>
      <c r="V247" s="9">
        <f>ROUND(P247 / 1.2, 2)</f>
        <v>0</v>
      </c>
      <c r="W247" s="9">
        <f>ROUND(Q247 / 1.2, 2)</f>
        <v>209.17</v>
      </c>
      <c r="X247" s="9">
        <f>ROUND(R247 / 1.2, 2)</f>
        <v>209.17</v>
      </c>
      <c r="Y247" s="9">
        <f t="shared" si="19"/>
        <v>0</v>
      </c>
      <c r="Z247" s="9">
        <f>ROUND(T247 / 1.2, 2)</f>
        <v>0</v>
      </c>
      <c r="AA247" s="9">
        <f>Y247+Z247</f>
        <v>0</v>
      </c>
      <c r="AD247" s="4">
        <v>298925316</v>
      </c>
      <c r="AE247" s="4">
        <v>16211512</v>
      </c>
      <c r="AG247" s="4" t="s">
        <v>1072</v>
      </c>
      <c r="AH247" s="4" t="s">
        <v>1073</v>
      </c>
      <c r="AI247" s="4" t="s">
        <v>67</v>
      </c>
    </row>
    <row r="248" spans="1:35" ht="36" x14ac:dyDescent="0.3">
      <c r="A248" s="10" t="s">
        <v>1075</v>
      </c>
      <c r="B248" s="10"/>
      <c r="C248" s="24" t="s">
        <v>433</v>
      </c>
      <c r="D248" s="12"/>
      <c r="E248" s="12"/>
      <c r="F248" s="18" t="s">
        <v>70</v>
      </c>
      <c r="G248" s="19">
        <v>0.15</v>
      </c>
      <c r="H248" s="19"/>
      <c r="I248" s="19">
        <v>0</v>
      </c>
      <c r="J248" s="21">
        <v>88.8</v>
      </c>
      <c r="M248" s="22">
        <f>ROUND(ROUND(J248, 2)*I248, 2)</f>
        <v>0</v>
      </c>
      <c r="P248" s="21">
        <v>88.8</v>
      </c>
      <c r="S248" s="22">
        <f>ROUND(ROUND(P248, 2)*I248, 2)</f>
        <v>0</v>
      </c>
      <c r="V248" s="9">
        <f>ROUND(ROUND(P248, 2)/1.2, 2)</f>
        <v>74</v>
      </c>
      <c r="Y248" s="9">
        <f t="shared" si="19"/>
        <v>0</v>
      </c>
      <c r="AD248" s="4" t="s">
        <v>1076</v>
      </c>
      <c r="AE248" s="4" t="s">
        <v>1077</v>
      </c>
      <c r="AF248" s="4" t="s">
        <v>436</v>
      </c>
    </row>
    <row r="249" spans="1:35" ht="90" x14ac:dyDescent="0.3">
      <c r="A249" s="10" t="s">
        <v>1080</v>
      </c>
      <c r="B249" s="10"/>
      <c r="C249" s="24" t="s">
        <v>1081</v>
      </c>
      <c r="D249" s="12"/>
      <c r="E249" s="12" t="s">
        <v>1082</v>
      </c>
      <c r="F249" s="18" t="s">
        <v>70</v>
      </c>
      <c r="G249" s="19">
        <v>0.3</v>
      </c>
      <c r="H249" s="19"/>
      <c r="I249" s="19">
        <v>0</v>
      </c>
      <c r="J249" s="21">
        <v>252.47</v>
      </c>
      <c r="M249" s="22">
        <f>ROUND(ROUND(J249, 2)*I249, 2)</f>
        <v>0</v>
      </c>
      <c r="P249" s="21">
        <v>252.47</v>
      </c>
      <c r="S249" s="22">
        <f>ROUND(ROUND(P249, 2)*I249, 2)</f>
        <v>0</v>
      </c>
      <c r="V249" s="9">
        <f>ROUND(ROUND(P249, 2)/1.2, 2)</f>
        <v>210.39</v>
      </c>
      <c r="Y249" s="9">
        <f t="shared" si="19"/>
        <v>0</v>
      </c>
      <c r="AD249" s="4" t="s">
        <v>1083</v>
      </c>
      <c r="AE249" s="4" t="s">
        <v>1084</v>
      </c>
      <c r="AF249" s="4" t="s">
        <v>1085</v>
      </c>
    </row>
    <row r="250" spans="1:35" ht="36" x14ac:dyDescent="0.3">
      <c r="A250" s="10" t="s">
        <v>1088</v>
      </c>
      <c r="B250" s="10" t="s">
        <v>1070</v>
      </c>
      <c r="C250" s="11" t="s">
        <v>1071</v>
      </c>
      <c r="D250" s="12"/>
      <c r="E250" s="12" t="s">
        <v>63</v>
      </c>
      <c r="F250" s="12" t="s">
        <v>64</v>
      </c>
      <c r="G250" s="13">
        <v>1</v>
      </c>
      <c r="H250" s="13"/>
      <c r="I250" s="13">
        <v>0</v>
      </c>
      <c r="J250" s="14">
        <f>IFERROR(ROUND(SUM(M251,M252)/I250, 2),0)</f>
        <v>0</v>
      </c>
      <c r="K250" s="15">
        <v>276</v>
      </c>
      <c r="L250" s="14">
        <f>J250+ROUND(K250, 2)</f>
        <v>276</v>
      </c>
      <c r="M250" s="14">
        <f>ROUND(J250*I250, 2)</f>
        <v>0</v>
      </c>
      <c r="N250" s="14">
        <f>ROUND(I250*ROUND(K250, 2), 2)</f>
        <v>0</v>
      </c>
      <c r="O250" s="14">
        <f>M250+N250</f>
        <v>0</v>
      </c>
      <c r="P250" s="14">
        <f>IFERROR(ROUND(SUM(S251,S252)/I250, 2),0)</f>
        <v>0</v>
      </c>
      <c r="Q250" s="15">
        <v>251</v>
      </c>
      <c r="R250" s="14">
        <f>P250+ROUND(Q250, 2)</f>
        <v>251</v>
      </c>
      <c r="S250" s="14">
        <f>ROUND(P250*I250, 2)</f>
        <v>0</v>
      </c>
      <c r="T250" s="14">
        <f>ROUND(I250*ROUND(Q250, 2), 2)</f>
        <v>0</v>
      </c>
      <c r="U250" s="14">
        <f>S250+T250</f>
        <v>0</v>
      </c>
      <c r="V250" s="9">
        <f>ROUND(P250 / 1.2, 2)</f>
        <v>0</v>
      </c>
      <c r="W250" s="9">
        <f>ROUND(Q250 / 1.2, 2)</f>
        <v>209.17</v>
      </c>
      <c r="X250" s="9">
        <f>ROUND(R250 / 1.2, 2)</f>
        <v>209.17</v>
      </c>
      <c r="Y250" s="9">
        <f t="shared" si="19"/>
        <v>0</v>
      </c>
      <c r="Z250" s="9">
        <f>ROUND(T250 / 1.2, 2)</f>
        <v>0</v>
      </c>
      <c r="AA250" s="9">
        <f>Y250+Z250</f>
        <v>0</v>
      </c>
      <c r="AD250" s="4">
        <v>298925394</v>
      </c>
      <c r="AE250" s="4">
        <v>16211513</v>
      </c>
      <c r="AG250" s="4" t="s">
        <v>1072</v>
      </c>
      <c r="AH250" s="4" t="s">
        <v>1073</v>
      </c>
      <c r="AI250" s="4" t="s">
        <v>67</v>
      </c>
    </row>
    <row r="251" spans="1:35" ht="90" x14ac:dyDescent="0.3">
      <c r="A251" s="10" t="s">
        <v>1090</v>
      </c>
      <c r="B251" s="10"/>
      <c r="C251" s="24" t="s">
        <v>1091</v>
      </c>
      <c r="D251" s="12"/>
      <c r="E251" s="12" t="s">
        <v>1092</v>
      </c>
      <c r="F251" s="18" t="s">
        <v>70</v>
      </c>
      <c r="G251" s="19">
        <v>0.3</v>
      </c>
      <c r="H251" s="19"/>
      <c r="I251" s="19">
        <v>0</v>
      </c>
      <c r="J251" s="21">
        <v>388.89</v>
      </c>
      <c r="M251" s="22">
        <f>ROUND(ROUND(J251, 2)*I251, 2)</f>
        <v>0</v>
      </c>
      <c r="P251" s="21">
        <v>388.89</v>
      </c>
      <c r="S251" s="22">
        <f>ROUND(ROUND(P251, 2)*I251, 2)</f>
        <v>0</v>
      </c>
      <c r="V251" s="9">
        <f>ROUND(ROUND(P251, 2)/1.2, 2)</f>
        <v>324.08</v>
      </c>
      <c r="Y251" s="9">
        <f t="shared" si="19"/>
        <v>0</v>
      </c>
      <c r="AD251" s="4" t="s">
        <v>1093</v>
      </c>
      <c r="AE251" s="4" t="s">
        <v>1094</v>
      </c>
      <c r="AF251" s="4" t="s">
        <v>1095</v>
      </c>
    </row>
    <row r="252" spans="1:35" ht="36" x14ac:dyDescent="0.3">
      <c r="A252" s="10" t="s">
        <v>1098</v>
      </c>
      <c r="B252" s="10"/>
      <c r="C252" s="24" t="s">
        <v>433</v>
      </c>
      <c r="D252" s="12"/>
      <c r="E252" s="12"/>
      <c r="F252" s="18" t="s">
        <v>70</v>
      </c>
      <c r="G252" s="19">
        <v>0.15</v>
      </c>
      <c r="H252" s="19"/>
      <c r="I252" s="19">
        <v>0</v>
      </c>
      <c r="J252" s="21">
        <v>88.8</v>
      </c>
      <c r="M252" s="22">
        <f>ROUND(ROUND(J252, 2)*I252, 2)</f>
        <v>0</v>
      </c>
      <c r="P252" s="21">
        <v>88.8</v>
      </c>
      <c r="S252" s="22">
        <f>ROUND(ROUND(P252, 2)*I252, 2)</f>
        <v>0</v>
      </c>
      <c r="V252" s="9">
        <f>ROUND(ROUND(P252, 2)/1.2, 2)</f>
        <v>74</v>
      </c>
      <c r="Y252" s="9">
        <f t="shared" si="19"/>
        <v>0</v>
      </c>
      <c r="AD252" s="4" t="s">
        <v>1099</v>
      </c>
      <c r="AE252" s="4" t="s">
        <v>1100</v>
      </c>
      <c r="AF252" s="4" t="s">
        <v>436</v>
      </c>
    </row>
    <row r="253" spans="1:35" ht="36" x14ac:dyDescent="0.3">
      <c r="A253" s="10" t="s">
        <v>1103</v>
      </c>
      <c r="B253" s="10" t="s">
        <v>1070</v>
      </c>
      <c r="C253" s="11" t="s">
        <v>1071</v>
      </c>
      <c r="D253" s="12"/>
      <c r="E253" s="12" t="s">
        <v>63</v>
      </c>
      <c r="F253" s="12" t="s">
        <v>64</v>
      </c>
      <c r="G253" s="13">
        <v>1</v>
      </c>
      <c r="H253" s="13"/>
      <c r="I253" s="13">
        <v>0</v>
      </c>
      <c r="J253" s="14">
        <f>IFERROR(ROUND(SUM(M254,M255)/I253, 2),0)</f>
        <v>0</v>
      </c>
      <c r="K253" s="15">
        <v>276</v>
      </c>
      <c r="L253" s="14">
        <f>J253+ROUND(K253, 2)</f>
        <v>276</v>
      </c>
      <c r="M253" s="14">
        <f>ROUND(J253*I253, 2)</f>
        <v>0</v>
      </c>
      <c r="N253" s="14">
        <f>ROUND(I253*ROUND(K253, 2), 2)</f>
        <v>0</v>
      </c>
      <c r="O253" s="14">
        <f>M253+N253</f>
        <v>0</v>
      </c>
      <c r="P253" s="14">
        <f>IFERROR(ROUND(SUM(S254,S255)/I253, 2),0)</f>
        <v>0</v>
      </c>
      <c r="Q253" s="15">
        <v>251</v>
      </c>
      <c r="R253" s="14">
        <f>P253+ROUND(Q253, 2)</f>
        <v>251</v>
      </c>
      <c r="S253" s="14">
        <f>ROUND(P253*I253, 2)</f>
        <v>0</v>
      </c>
      <c r="T253" s="14">
        <f>ROUND(I253*ROUND(Q253, 2), 2)</f>
        <v>0</v>
      </c>
      <c r="U253" s="14">
        <f>S253+T253</f>
        <v>0</v>
      </c>
      <c r="V253" s="9">
        <f>ROUND(P253 / 1.2, 2)</f>
        <v>0</v>
      </c>
      <c r="W253" s="9">
        <f>ROUND(Q253 / 1.2, 2)</f>
        <v>209.17</v>
      </c>
      <c r="X253" s="9">
        <f>ROUND(R253 / 1.2, 2)</f>
        <v>209.17</v>
      </c>
      <c r="Y253" s="9">
        <f t="shared" si="19"/>
        <v>0</v>
      </c>
      <c r="Z253" s="9">
        <f>ROUND(T253 / 1.2, 2)</f>
        <v>0</v>
      </c>
      <c r="AA253" s="9">
        <f>Y253+Z253</f>
        <v>0</v>
      </c>
      <c r="AD253" s="4">
        <v>298925395</v>
      </c>
      <c r="AE253" s="4">
        <v>16211514</v>
      </c>
      <c r="AG253" s="4" t="s">
        <v>1072</v>
      </c>
      <c r="AH253" s="4" t="s">
        <v>1073</v>
      </c>
      <c r="AI253" s="4" t="s">
        <v>67</v>
      </c>
    </row>
    <row r="254" spans="1:35" ht="36" x14ac:dyDescent="0.3">
      <c r="A254" s="10" t="s">
        <v>1105</v>
      </c>
      <c r="B254" s="10"/>
      <c r="C254" s="24" t="s">
        <v>433</v>
      </c>
      <c r="D254" s="12"/>
      <c r="E254" s="12"/>
      <c r="F254" s="18" t="s">
        <v>70</v>
      </c>
      <c r="G254" s="19">
        <v>0.15</v>
      </c>
      <c r="H254" s="19"/>
      <c r="I254" s="19">
        <v>0</v>
      </c>
      <c r="J254" s="21">
        <v>88.8</v>
      </c>
      <c r="M254" s="22">
        <f>ROUND(ROUND(J254, 2)*I254, 2)</f>
        <v>0</v>
      </c>
      <c r="P254" s="21">
        <v>88.8</v>
      </c>
      <c r="S254" s="22">
        <f>ROUND(ROUND(P254, 2)*I254, 2)</f>
        <v>0</v>
      </c>
      <c r="V254" s="9">
        <f>ROUND(ROUND(P254, 2)/1.2, 2)</f>
        <v>74</v>
      </c>
      <c r="Y254" s="9">
        <f t="shared" si="19"/>
        <v>0</v>
      </c>
      <c r="AD254" s="4" t="s">
        <v>1106</v>
      </c>
      <c r="AE254" s="4" t="s">
        <v>1107</v>
      </c>
      <c r="AF254" s="4" t="s">
        <v>436</v>
      </c>
    </row>
    <row r="255" spans="1:35" ht="54" x14ac:dyDescent="0.3">
      <c r="A255" s="10" t="s">
        <v>1110</v>
      </c>
      <c r="B255" s="10"/>
      <c r="C255" s="24" t="s">
        <v>1111</v>
      </c>
      <c r="D255" s="12"/>
      <c r="E255" s="12" t="s">
        <v>1112</v>
      </c>
      <c r="F255" s="18" t="s">
        <v>70</v>
      </c>
      <c r="G255" s="19">
        <v>0.3</v>
      </c>
      <c r="H255" s="19"/>
      <c r="I255" s="19">
        <v>0</v>
      </c>
      <c r="J255" s="21">
        <v>0</v>
      </c>
      <c r="M255" s="22">
        <f>ROUND(ROUND(J255, 2)*I255, 2)</f>
        <v>0</v>
      </c>
      <c r="P255" s="21">
        <v>0</v>
      </c>
      <c r="S255" s="22">
        <f>ROUND(ROUND(P255, 2)*I255, 2)</f>
        <v>0</v>
      </c>
      <c r="V255" s="9">
        <f>ROUND(ROUND(P255, 2)/1.2, 2)</f>
        <v>0</v>
      </c>
      <c r="Y255" s="9">
        <f t="shared" si="19"/>
        <v>0</v>
      </c>
      <c r="AD255" s="4" t="s">
        <v>1113</v>
      </c>
      <c r="AE255" s="4" t="s">
        <v>1114</v>
      </c>
      <c r="AF255" s="4" t="s">
        <v>1115</v>
      </c>
    </row>
    <row r="256" spans="1:35" ht="36" x14ac:dyDescent="0.3">
      <c r="A256" s="10" t="s">
        <v>1118</v>
      </c>
      <c r="B256" s="10" t="s">
        <v>1070</v>
      </c>
      <c r="C256" s="11" t="s">
        <v>1071</v>
      </c>
      <c r="D256" s="12"/>
      <c r="E256" s="12" t="s">
        <v>63</v>
      </c>
      <c r="F256" s="12" t="s">
        <v>64</v>
      </c>
      <c r="G256" s="13">
        <v>1</v>
      </c>
      <c r="H256" s="13"/>
      <c r="I256" s="13">
        <v>0</v>
      </c>
      <c r="J256" s="14">
        <f>IFERROR(ROUND(SUM(M257,M258)/I256, 2),0)</f>
        <v>0</v>
      </c>
      <c r="K256" s="15">
        <v>276</v>
      </c>
      <c r="L256" s="14">
        <f>J256+ROUND(K256, 2)</f>
        <v>276</v>
      </c>
      <c r="M256" s="14">
        <f>ROUND(J256*I256, 2)</f>
        <v>0</v>
      </c>
      <c r="N256" s="14">
        <f>ROUND(I256*ROUND(K256, 2), 2)</f>
        <v>0</v>
      </c>
      <c r="O256" s="14">
        <f>M256+N256</f>
        <v>0</v>
      </c>
      <c r="P256" s="14">
        <f>IFERROR(ROUND(SUM(S257,S258)/I256, 2),0)</f>
        <v>0</v>
      </c>
      <c r="Q256" s="15">
        <v>251</v>
      </c>
      <c r="R256" s="14">
        <f>P256+ROUND(Q256, 2)</f>
        <v>251</v>
      </c>
      <c r="S256" s="14">
        <f>ROUND(P256*I256, 2)</f>
        <v>0</v>
      </c>
      <c r="T256" s="14">
        <f>ROUND(I256*ROUND(Q256, 2), 2)</f>
        <v>0</v>
      </c>
      <c r="U256" s="14">
        <f>S256+T256</f>
        <v>0</v>
      </c>
      <c r="V256" s="9">
        <f>ROUND(P256 / 1.2, 2)</f>
        <v>0</v>
      </c>
      <c r="W256" s="9">
        <f>ROUND(Q256 / 1.2, 2)</f>
        <v>209.17</v>
      </c>
      <c r="X256" s="9">
        <f>ROUND(R256 / 1.2, 2)</f>
        <v>209.17</v>
      </c>
      <c r="Y256" s="9">
        <f t="shared" si="19"/>
        <v>0</v>
      </c>
      <c r="Z256" s="9">
        <f>ROUND(T256 / 1.2, 2)</f>
        <v>0</v>
      </c>
      <c r="AA256" s="9">
        <f>Y256+Z256</f>
        <v>0</v>
      </c>
      <c r="AD256" s="4">
        <v>298925396</v>
      </c>
      <c r="AE256" s="4">
        <v>16211515</v>
      </c>
      <c r="AG256" s="4" t="s">
        <v>1072</v>
      </c>
      <c r="AH256" s="4" t="s">
        <v>1073</v>
      </c>
      <c r="AI256" s="4" t="s">
        <v>67</v>
      </c>
    </row>
    <row r="257" spans="1:35" ht="90" x14ac:dyDescent="0.3">
      <c r="A257" s="10" t="s">
        <v>1120</v>
      </c>
      <c r="B257" s="10"/>
      <c r="C257" s="24" t="s">
        <v>1091</v>
      </c>
      <c r="D257" s="12"/>
      <c r="E257" s="12" t="s">
        <v>1121</v>
      </c>
      <c r="F257" s="18" t="s">
        <v>70</v>
      </c>
      <c r="G257" s="19">
        <v>0.3</v>
      </c>
      <c r="H257" s="19"/>
      <c r="I257" s="19">
        <v>0</v>
      </c>
      <c r="J257" s="21">
        <v>388.89</v>
      </c>
      <c r="M257" s="22">
        <f>ROUND(ROUND(J257, 2)*I257, 2)</f>
        <v>0</v>
      </c>
      <c r="P257" s="21">
        <v>388.89</v>
      </c>
      <c r="S257" s="22">
        <f>ROUND(ROUND(P257, 2)*I257, 2)</f>
        <v>0</v>
      </c>
      <c r="V257" s="9">
        <f>ROUND(ROUND(P257, 2)/1.2, 2)</f>
        <v>324.08</v>
      </c>
      <c r="Y257" s="9">
        <f t="shared" si="19"/>
        <v>0</v>
      </c>
      <c r="AD257" s="4" t="s">
        <v>1122</v>
      </c>
      <c r="AE257" s="4" t="s">
        <v>1123</v>
      </c>
      <c r="AF257" s="4" t="s">
        <v>1095</v>
      </c>
    </row>
    <row r="258" spans="1:35" ht="36" x14ac:dyDescent="0.3">
      <c r="A258" s="10" t="s">
        <v>1126</v>
      </c>
      <c r="B258" s="10"/>
      <c r="C258" s="24" t="s">
        <v>433</v>
      </c>
      <c r="D258" s="12"/>
      <c r="E258" s="12"/>
      <c r="F258" s="18" t="s">
        <v>70</v>
      </c>
      <c r="G258" s="19">
        <v>0.15</v>
      </c>
      <c r="H258" s="19"/>
      <c r="I258" s="19">
        <v>0</v>
      </c>
      <c r="J258" s="21">
        <v>88.8</v>
      </c>
      <c r="M258" s="22">
        <f>ROUND(ROUND(J258, 2)*I258, 2)</f>
        <v>0</v>
      </c>
      <c r="P258" s="21">
        <v>88.8</v>
      </c>
      <c r="S258" s="22">
        <f>ROUND(ROUND(P258, 2)*I258, 2)</f>
        <v>0</v>
      </c>
      <c r="V258" s="9">
        <f>ROUND(ROUND(P258, 2)/1.2, 2)</f>
        <v>74</v>
      </c>
      <c r="Y258" s="9">
        <f t="shared" si="19"/>
        <v>0</v>
      </c>
      <c r="AD258" s="4" t="s">
        <v>1127</v>
      </c>
      <c r="AE258" s="4" t="s">
        <v>1128</v>
      </c>
      <c r="AF258" s="4" t="s">
        <v>436</v>
      </c>
    </row>
    <row r="259" spans="1:35" ht="36" x14ac:dyDescent="0.3">
      <c r="A259" s="10" t="s">
        <v>1131</v>
      </c>
      <c r="B259" s="10" t="s">
        <v>1070</v>
      </c>
      <c r="C259" s="11" t="s">
        <v>1071</v>
      </c>
      <c r="D259" s="12"/>
      <c r="E259" s="12" t="s">
        <v>63</v>
      </c>
      <c r="F259" s="12" t="s">
        <v>64</v>
      </c>
      <c r="G259" s="13">
        <v>1</v>
      </c>
      <c r="H259" s="13"/>
      <c r="I259" s="13">
        <v>0</v>
      </c>
      <c r="J259" s="14">
        <f>IFERROR(ROUND(SUM(M260,M261)/I259, 2),0)</f>
        <v>0</v>
      </c>
      <c r="K259" s="15">
        <v>276</v>
      </c>
      <c r="L259" s="14">
        <f>J259+ROUND(K259, 2)</f>
        <v>276</v>
      </c>
      <c r="M259" s="14">
        <f>ROUND(J259*I259, 2)</f>
        <v>0</v>
      </c>
      <c r="N259" s="14">
        <f>ROUND(I259*ROUND(K259, 2), 2)</f>
        <v>0</v>
      </c>
      <c r="O259" s="14">
        <f>M259+N259</f>
        <v>0</v>
      </c>
      <c r="P259" s="14">
        <f>IFERROR(ROUND(SUM(S260,S261)/I259, 2),0)</f>
        <v>0</v>
      </c>
      <c r="Q259" s="15">
        <v>251</v>
      </c>
      <c r="R259" s="14">
        <f>P259+ROUND(Q259, 2)</f>
        <v>251</v>
      </c>
      <c r="S259" s="14">
        <f>ROUND(P259*I259, 2)</f>
        <v>0</v>
      </c>
      <c r="T259" s="14">
        <f>ROUND(I259*ROUND(Q259, 2), 2)</f>
        <v>0</v>
      </c>
      <c r="U259" s="14">
        <f>S259+T259</f>
        <v>0</v>
      </c>
      <c r="V259" s="9">
        <f>ROUND(P259 / 1.2, 2)</f>
        <v>0</v>
      </c>
      <c r="W259" s="9">
        <f>ROUND(Q259 / 1.2, 2)</f>
        <v>209.17</v>
      </c>
      <c r="X259" s="9">
        <f>ROUND(R259 / 1.2, 2)</f>
        <v>209.17</v>
      </c>
      <c r="Y259" s="9">
        <f t="shared" si="19"/>
        <v>0</v>
      </c>
      <c r="Z259" s="9">
        <f>ROUND(T259 / 1.2, 2)</f>
        <v>0</v>
      </c>
      <c r="AA259" s="9">
        <f>Y259+Z259</f>
        <v>0</v>
      </c>
      <c r="AD259" s="4">
        <v>298925397</v>
      </c>
      <c r="AE259" s="4">
        <v>16211516</v>
      </c>
      <c r="AG259" s="4" t="s">
        <v>1072</v>
      </c>
      <c r="AH259" s="4" t="s">
        <v>1073</v>
      </c>
      <c r="AI259" s="4" t="s">
        <v>67</v>
      </c>
    </row>
    <row r="260" spans="1:35" ht="36" x14ac:dyDescent="0.3">
      <c r="A260" s="10" t="s">
        <v>1133</v>
      </c>
      <c r="B260" s="10"/>
      <c r="C260" s="24" t="s">
        <v>433</v>
      </c>
      <c r="D260" s="12"/>
      <c r="E260" s="12"/>
      <c r="F260" s="18" t="s">
        <v>70</v>
      </c>
      <c r="G260" s="19">
        <v>0.15</v>
      </c>
      <c r="H260" s="19"/>
      <c r="I260" s="19">
        <v>0</v>
      </c>
      <c r="J260" s="21">
        <v>88.8</v>
      </c>
      <c r="M260" s="22">
        <f>ROUND(ROUND(J260, 2)*I260, 2)</f>
        <v>0</v>
      </c>
      <c r="P260" s="21">
        <v>88.8</v>
      </c>
      <c r="S260" s="22">
        <f>ROUND(ROUND(P260, 2)*I260, 2)</f>
        <v>0</v>
      </c>
      <c r="V260" s="9">
        <f>ROUND(ROUND(P260, 2)/1.2, 2)</f>
        <v>74</v>
      </c>
      <c r="Y260" s="9">
        <f t="shared" si="19"/>
        <v>0</v>
      </c>
      <c r="AD260" s="4" t="s">
        <v>1134</v>
      </c>
      <c r="AE260" s="4" t="s">
        <v>1135</v>
      </c>
      <c r="AF260" s="4" t="s">
        <v>436</v>
      </c>
    </row>
    <row r="261" spans="1:35" ht="90" x14ac:dyDescent="0.3">
      <c r="A261" s="10" t="s">
        <v>1138</v>
      </c>
      <c r="B261" s="10"/>
      <c r="C261" s="24" t="s">
        <v>1091</v>
      </c>
      <c r="D261" s="12"/>
      <c r="E261" s="12" t="s">
        <v>1139</v>
      </c>
      <c r="F261" s="18" t="s">
        <v>70</v>
      </c>
      <c r="G261" s="19">
        <v>0.3</v>
      </c>
      <c r="H261" s="19"/>
      <c r="I261" s="19">
        <v>0</v>
      </c>
      <c r="J261" s="21">
        <v>388.89</v>
      </c>
      <c r="M261" s="22">
        <f>ROUND(ROUND(J261, 2)*I261, 2)</f>
        <v>0</v>
      </c>
      <c r="P261" s="21">
        <v>388.89</v>
      </c>
      <c r="S261" s="22">
        <f>ROUND(ROUND(P261, 2)*I261, 2)</f>
        <v>0</v>
      </c>
      <c r="V261" s="9">
        <f>ROUND(ROUND(P261, 2)/1.2, 2)</f>
        <v>324.08</v>
      </c>
      <c r="Y261" s="9">
        <f t="shared" si="19"/>
        <v>0</v>
      </c>
      <c r="AD261" s="4" t="s">
        <v>1140</v>
      </c>
      <c r="AE261" s="4" t="s">
        <v>1141</v>
      </c>
      <c r="AF261" s="4" t="s">
        <v>1095</v>
      </c>
    </row>
    <row r="262" spans="1:35" ht="36" x14ac:dyDescent="0.3">
      <c r="A262" s="10" t="s">
        <v>1144</v>
      </c>
      <c r="B262" s="10" t="s">
        <v>1070</v>
      </c>
      <c r="C262" s="11" t="s">
        <v>1071</v>
      </c>
      <c r="D262" s="12"/>
      <c r="E262" s="12" t="s">
        <v>63</v>
      </c>
      <c r="F262" s="12" t="s">
        <v>64</v>
      </c>
      <c r="G262" s="13">
        <v>1</v>
      </c>
      <c r="H262" s="13"/>
      <c r="I262" s="13">
        <v>0</v>
      </c>
      <c r="J262" s="14">
        <f>IFERROR(ROUND(SUM(M263,M264)/I262, 2),0)</f>
        <v>0</v>
      </c>
      <c r="K262" s="15">
        <v>276</v>
      </c>
      <c r="L262" s="14">
        <f>J262+ROUND(K262, 2)</f>
        <v>276</v>
      </c>
      <c r="M262" s="14">
        <f>ROUND(J262*I262, 2)</f>
        <v>0</v>
      </c>
      <c r="N262" s="14">
        <f>ROUND(I262*ROUND(K262, 2), 2)</f>
        <v>0</v>
      </c>
      <c r="O262" s="14">
        <f>M262+N262</f>
        <v>0</v>
      </c>
      <c r="P262" s="14">
        <f>IFERROR(ROUND(SUM(S263,S264)/I262, 2),0)</f>
        <v>0</v>
      </c>
      <c r="Q262" s="15">
        <v>251</v>
      </c>
      <c r="R262" s="14">
        <f>P262+ROUND(Q262, 2)</f>
        <v>251</v>
      </c>
      <c r="S262" s="14">
        <f>ROUND(P262*I262, 2)</f>
        <v>0</v>
      </c>
      <c r="T262" s="14">
        <f>ROUND(I262*ROUND(Q262, 2), 2)</f>
        <v>0</v>
      </c>
      <c r="U262" s="14">
        <f>S262+T262</f>
        <v>0</v>
      </c>
      <c r="V262" s="9">
        <f>ROUND(P262 / 1.2, 2)</f>
        <v>0</v>
      </c>
      <c r="W262" s="9">
        <f>ROUND(Q262 / 1.2, 2)</f>
        <v>209.17</v>
      </c>
      <c r="X262" s="9">
        <f>ROUND(R262 / 1.2, 2)</f>
        <v>209.17</v>
      </c>
      <c r="Y262" s="9">
        <f t="shared" si="19"/>
        <v>0</v>
      </c>
      <c r="Z262" s="9">
        <f>ROUND(T262 / 1.2, 2)</f>
        <v>0</v>
      </c>
      <c r="AA262" s="9">
        <f>Y262+Z262</f>
        <v>0</v>
      </c>
      <c r="AD262" s="4">
        <v>298925398</v>
      </c>
      <c r="AE262" s="4">
        <v>16211517</v>
      </c>
      <c r="AG262" s="4" t="s">
        <v>1072</v>
      </c>
      <c r="AH262" s="4" t="s">
        <v>1073</v>
      </c>
      <c r="AI262" s="4" t="s">
        <v>67</v>
      </c>
    </row>
    <row r="263" spans="1:35" ht="90" x14ac:dyDescent="0.3">
      <c r="A263" s="10" t="s">
        <v>1146</v>
      </c>
      <c r="B263" s="10"/>
      <c r="C263" s="24" t="s">
        <v>1091</v>
      </c>
      <c r="D263" s="12"/>
      <c r="E263" s="12" t="s">
        <v>1147</v>
      </c>
      <c r="F263" s="18" t="s">
        <v>70</v>
      </c>
      <c r="G263" s="19">
        <v>0.3</v>
      </c>
      <c r="H263" s="19"/>
      <c r="I263" s="19">
        <v>0</v>
      </c>
      <c r="J263" s="21">
        <v>388.89</v>
      </c>
      <c r="M263" s="22">
        <f>ROUND(ROUND(J263, 2)*I263, 2)</f>
        <v>0</v>
      </c>
      <c r="P263" s="21">
        <v>388.89</v>
      </c>
      <c r="S263" s="22">
        <f>ROUND(ROUND(P263, 2)*I263, 2)</f>
        <v>0</v>
      </c>
      <c r="V263" s="9">
        <f>ROUND(ROUND(P263, 2)/1.2, 2)</f>
        <v>324.08</v>
      </c>
      <c r="Y263" s="9">
        <f t="shared" si="19"/>
        <v>0</v>
      </c>
      <c r="AD263" s="4" t="s">
        <v>1148</v>
      </c>
      <c r="AE263" s="4" t="s">
        <v>1149</v>
      </c>
      <c r="AF263" s="4" t="s">
        <v>1095</v>
      </c>
    </row>
    <row r="264" spans="1:35" ht="36" x14ac:dyDescent="0.3">
      <c r="A264" s="10" t="s">
        <v>1152</v>
      </c>
      <c r="B264" s="10"/>
      <c r="C264" s="24" t="s">
        <v>433</v>
      </c>
      <c r="D264" s="12"/>
      <c r="E264" s="12"/>
      <c r="F264" s="18" t="s">
        <v>70</v>
      </c>
      <c r="G264" s="19">
        <v>0.15</v>
      </c>
      <c r="H264" s="19"/>
      <c r="I264" s="19">
        <v>0</v>
      </c>
      <c r="J264" s="21">
        <v>88.8</v>
      </c>
      <c r="M264" s="22">
        <f>ROUND(ROUND(J264, 2)*I264, 2)</f>
        <v>0</v>
      </c>
      <c r="P264" s="21">
        <v>88.8</v>
      </c>
      <c r="S264" s="22">
        <f>ROUND(ROUND(P264, 2)*I264, 2)</f>
        <v>0</v>
      </c>
      <c r="V264" s="9">
        <f>ROUND(ROUND(P264, 2)/1.2, 2)</f>
        <v>74</v>
      </c>
      <c r="Y264" s="9">
        <f t="shared" si="19"/>
        <v>0</v>
      </c>
      <c r="AD264" s="4" t="s">
        <v>1153</v>
      </c>
      <c r="AE264" s="4" t="s">
        <v>1154</v>
      </c>
      <c r="AF264" s="4" t="s">
        <v>436</v>
      </c>
    </row>
    <row r="265" spans="1:35" ht="36" x14ac:dyDescent="0.3">
      <c r="A265" s="10" t="s">
        <v>1157</v>
      </c>
      <c r="B265" s="10" t="s">
        <v>1070</v>
      </c>
      <c r="C265" s="11" t="s">
        <v>1071</v>
      </c>
      <c r="D265" s="12"/>
      <c r="E265" s="12" t="s">
        <v>63</v>
      </c>
      <c r="F265" s="12" t="s">
        <v>64</v>
      </c>
      <c r="G265" s="13">
        <v>1</v>
      </c>
      <c r="H265" s="13"/>
      <c r="I265" s="13">
        <v>0</v>
      </c>
      <c r="J265" s="14">
        <f>IFERROR(ROUND(SUM(M266,M267)/I265, 2),0)</f>
        <v>0</v>
      </c>
      <c r="K265" s="15">
        <v>276</v>
      </c>
      <c r="L265" s="14">
        <f>J265+ROUND(K265, 2)</f>
        <v>276</v>
      </c>
      <c r="M265" s="14">
        <f>ROUND(J265*I265, 2)</f>
        <v>0</v>
      </c>
      <c r="N265" s="14">
        <f>ROUND(I265*ROUND(K265, 2), 2)</f>
        <v>0</v>
      </c>
      <c r="O265" s="14">
        <f>M265+N265</f>
        <v>0</v>
      </c>
      <c r="P265" s="14">
        <f>IFERROR(ROUND(SUM(S266,S267)/I265, 2),0)</f>
        <v>0</v>
      </c>
      <c r="Q265" s="15">
        <v>251</v>
      </c>
      <c r="R265" s="14">
        <f>P265+ROUND(Q265, 2)</f>
        <v>251</v>
      </c>
      <c r="S265" s="14">
        <f>ROUND(P265*I265, 2)</f>
        <v>0</v>
      </c>
      <c r="T265" s="14">
        <f>ROUND(I265*ROUND(Q265, 2), 2)</f>
        <v>0</v>
      </c>
      <c r="U265" s="14">
        <f>S265+T265</f>
        <v>0</v>
      </c>
      <c r="V265" s="9">
        <f>ROUND(P265 / 1.2, 2)</f>
        <v>0</v>
      </c>
      <c r="W265" s="9">
        <f>ROUND(Q265 / 1.2, 2)</f>
        <v>209.17</v>
      </c>
      <c r="X265" s="9">
        <f>ROUND(R265 / 1.2, 2)</f>
        <v>209.17</v>
      </c>
      <c r="Y265" s="9">
        <f t="shared" si="19"/>
        <v>0</v>
      </c>
      <c r="Z265" s="9">
        <f>ROUND(T265 / 1.2, 2)</f>
        <v>0</v>
      </c>
      <c r="AA265" s="9">
        <f>Y265+Z265</f>
        <v>0</v>
      </c>
      <c r="AD265" s="4">
        <v>298925399</v>
      </c>
      <c r="AE265" s="4">
        <v>16211518</v>
      </c>
      <c r="AG265" s="4" t="s">
        <v>1072</v>
      </c>
      <c r="AH265" s="4" t="s">
        <v>1073</v>
      </c>
      <c r="AI265" s="4" t="s">
        <v>67</v>
      </c>
    </row>
    <row r="266" spans="1:35" ht="36" x14ac:dyDescent="0.3">
      <c r="A266" s="10" t="s">
        <v>1159</v>
      </c>
      <c r="B266" s="10"/>
      <c r="C266" s="24" t="s">
        <v>433</v>
      </c>
      <c r="D266" s="12"/>
      <c r="E266" s="12"/>
      <c r="F266" s="18" t="s">
        <v>70</v>
      </c>
      <c r="G266" s="19">
        <v>0.15</v>
      </c>
      <c r="H266" s="19"/>
      <c r="I266" s="19">
        <v>0</v>
      </c>
      <c r="J266" s="21">
        <v>88.8</v>
      </c>
      <c r="M266" s="22">
        <f>ROUND(ROUND(J266, 2)*I266, 2)</f>
        <v>0</v>
      </c>
      <c r="P266" s="21">
        <v>88.8</v>
      </c>
      <c r="S266" s="22">
        <f>ROUND(ROUND(P266, 2)*I266, 2)</f>
        <v>0</v>
      </c>
      <c r="V266" s="9">
        <f>ROUND(ROUND(P266, 2)/1.2, 2)</f>
        <v>74</v>
      </c>
      <c r="Y266" s="9">
        <f t="shared" si="19"/>
        <v>0</v>
      </c>
      <c r="AD266" s="4" t="s">
        <v>1160</v>
      </c>
      <c r="AE266" s="4" t="s">
        <v>1161</v>
      </c>
      <c r="AF266" s="4" t="s">
        <v>436</v>
      </c>
    </row>
    <row r="267" spans="1:35" ht="90" x14ac:dyDescent="0.3">
      <c r="A267" s="10" t="s">
        <v>1164</v>
      </c>
      <c r="B267" s="10"/>
      <c r="C267" s="24" t="s">
        <v>1091</v>
      </c>
      <c r="D267" s="12"/>
      <c r="E267" s="12" t="s">
        <v>1121</v>
      </c>
      <c r="F267" s="18" t="s">
        <v>70</v>
      </c>
      <c r="G267" s="19">
        <v>0.3</v>
      </c>
      <c r="H267" s="19"/>
      <c r="I267" s="19">
        <v>0</v>
      </c>
      <c r="J267" s="21">
        <v>388.89</v>
      </c>
      <c r="M267" s="22">
        <f>ROUND(ROUND(J267, 2)*I267, 2)</f>
        <v>0</v>
      </c>
      <c r="P267" s="21">
        <v>388.89</v>
      </c>
      <c r="S267" s="22">
        <f>ROUND(ROUND(P267, 2)*I267, 2)</f>
        <v>0</v>
      </c>
      <c r="V267" s="9">
        <f>ROUND(ROUND(P267, 2)/1.2, 2)</f>
        <v>324.08</v>
      </c>
      <c r="Y267" s="9">
        <f t="shared" si="19"/>
        <v>0</v>
      </c>
      <c r="AD267" s="4" t="s">
        <v>1165</v>
      </c>
      <c r="AE267" s="4" t="s">
        <v>1166</v>
      </c>
      <c r="AF267" s="4" t="s">
        <v>1095</v>
      </c>
    </row>
    <row r="268" spans="1:35" ht="36" x14ac:dyDescent="0.3">
      <c r="A268" s="10" t="s">
        <v>1169</v>
      </c>
      <c r="B268" s="10" t="s">
        <v>1170</v>
      </c>
      <c r="C268" s="11" t="s">
        <v>1171</v>
      </c>
      <c r="D268" s="12"/>
      <c r="E268" s="12" t="s">
        <v>1172</v>
      </c>
      <c r="F268" s="12" t="s">
        <v>64</v>
      </c>
      <c r="G268" s="13">
        <v>1</v>
      </c>
      <c r="H268" s="13"/>
      <c r="I268" s="13">
        <v>5404.01</v>
      </c>
      <c r="J268" s="14">
        <f>IFERROR(ROUND(SUM(M269,M270)/I268, 2),0)</f>
        <v>13.32</v>
      </c>
      <c r="K268" s="15">
        <v>428</v>
      </c>
      <c r="L268" s="14">
        <f>J268+ROUND(K268, 2)</f>
        <v>441.32</v>
      </c>
      <c r="M268" s="14">
        <f>ROUND(J268*I268, 2)</f>
        <v>71981.41</v>
      </c>
      <c r="N268" s="14">
        <f>ROUND(I268*ROUND(K268, 2), 2)</f>
        <v>2312916.2799999998</v>
      </c>
      <c r="O268" s="14">
        <f>M268+N268</f>
        <v>2384897.69</v>
      </c>
      <c r="P268" s="14">
        <f>IFERROR(ROUND(SUM(S269,S270)/I268, 2),0)</f>
        <v>68.28</v>
      </c>
      <c r="Q268" s="15">
        <v>428</v>
      </c>
      <c r="R268" s="14">
        <f>P268+ROUND(Q268, 2)</f>
        <v>496.28</v>
      </c>
      <c r="S268" s="14">
        <f>ROUND(P268*I268, 2)</f>
        <v>368985.8</v>
      </c>
      <c r="T268" s="14">
        <f>ROUND(I268*ROUND(Q268, 2), 2)</f>
        <v>2312916.2799999998</v>
      </c>
      <c r="U268" s="14">
        <f>S268+T268</f>
        <v>2681902.0799999996</v>
      </c>
      <c r="V268" s="9">
        <f>ROUND(P268 / 1.2, 2)</f>
        <v>56.9</v>
      </c>
      <c r="W268" s="9">
        <f>ROUND(Q268 / 1.2, 2)</f>
        <v>356.67</v>
      </c>
      <c r="X268" s="9">
        <f>ROUND(R268 / 1.2, 2)</f>
        <v>413.57</v>
      </c>
      <c r="Y268" s="9">
        <f t="shared" ref="Y268:Y299" si="20">ROUND(S268 / 1.2, 2)</f>
        <v>307488.17</v>
      </c>
      <c r="Z268" s="9">
        <f>ROUND(T268 / 1.2, 2)</f>
        <v>1927430.23</v>
      </c>
      <c r="AA268" s="9">
        <f>Y268+Z268</f>
        <v>2234918.4</v>
      </c>
      <c r="AD268" s="4">
        <v>298925318</v>
      </c>
      <c r="AE268" s="4">
        <v>19990349</v>
      </c>
      <c r="AG268" s="4" t="s">
        <v>1173</v>
      </c>
      <c r="AH268" s="4" t="s">
        <v>1174</v>
      </c>
      <c r="AI268" s="4" t="s">
        <v>67</v>
      </c>
    </row>
    <row r="269" spans="1:35" ht="108" x14ac:dyDescent="0.3">
      <c r="A269" s="10" t="s">
        <v>1175</v>
      </c>
      <c r="B269" s="10"/>
      <c r="C269" s="24" t="s">
        <v>1176</v>
      </c>
      <c r="D269" s="12"/>
      <c r="E269" s="12" t="s">
        <v>1177</v>
      </c>
      <c r="F269" s="18" t="s">
        <v>70</v>
      </c>
      <c r="G269" s="19">
        <v>0.3</v>
      </c>
      <c r="H269" s="19"/>
      <c r="I269" s="19">
        <v>1621.203</v>
      </c>
      <c r="J269" s="21">
        <v>0</v>
      </c>
      <c r="M269" s="22">
        <f>ROUND(ROUND(J269, 2)*I269, 2)</f>
        <v>0</v>
      </c>
      <c r="P269" s="21">
        <v>183.2</v>
      </c>
      <c r="S269" s="22">
        <f>ROUND(ROUND(P269, 2)*I269, 2)</f>
        <v>297004.39</v>
      </c>
      <c r="V269" s="9">
        <f>ROUND(ROUND(P269, 2)/1.2, 2)</f>
        <v>152.66999999999999</v>
      </c>
      <c r="Y269" s="9">
        <f t="shared" si="20"/>
        <v>247503.66</v>
      </c>
      <c r="AD269" s="4" t="s">
        <v>1178</v>
      </c>
      <c r="AE269" s="4" t="s">
        <v>1179</v>
      </c>
      <c r="AF269" s="4" t="s">
        <v>1180</v>
      </c>
    </row>
    <row r="270" spans="1:35" ht="36" x14ac:dyDescent="0.3">
      <c r="A270" s="10" t="s">
        <v>1181</v>
      </c>
      <c r="B270" s="10"/>
      <c r="C270" s="24" t="s">
        <v>433</v>
      </c>
      <c r="D270" s="12"/>
      <c r="E270" s="12"/>
      <c r="F270" s="18" t="s">
        <v>70</v>
      </c>
      <c r="G270" s="19">
        <v>0.15</v>
      </c>
      <c r="H270" s="19"/>
      <c r="I270" s="19">
        <v>810.60199999999998</v>
      </c>
      <c r="J270" s="21">
        <v>88.8</v>
      </c>
      <c r="M270" s="22">
        <f>ROUND(ROUND(J270, 2)*I270, 2)</f>
        <v>71981.460000000006</v>
      </c>
      <c r="P270" s="21">
        <v>88.8</v>
      </c>
      <c r="S270" s="22">
        <f>ROUND(ROUND(P270, 2)*I270, 2)</f>
        <v>71981.460000000006</v>
      </c>
      <c r="V270" s="9">
        <f>ROUND(ROUND(P270, 2)/1.2, 2)</f>
        <v>74</v>
      </c>
      <c r="Y270" s="9">
        <f t="shared" si="20"/>
        <v>59984.55</v>
      </c>
      <c r="AD270" s="4" t="s">
        <v>1182</v>
      </c>
      <c r="AE270" s="4" t="s">
        <v>1183</v>
      </c>
      <c r="AF270" s="4" t="s">
        <v>436</v>
      </c>
    </row>
    <row r="271" spans="1:35" ht="36" x14ac:dyDescent="0.3">
      <c r="A271" s="10" t="s">
        <v>1184</v>
      </c>
      <c r="B271" s="10" t="s">
        <v>1170</v>
      </c>
      <c r="C271" s="11" t="s">
        <v>1171</v>
      </c>
      <c r="D271" s="12"/>
      <c r="E271" s="12" t="s">
        <v>1185</v>
      </c>
      <c r="F271" s="12" t="s">
        <v>64</v>
      </c>
      <c r="G271" s="13">
        <v>1</v>
      </c>
      <c r="H271" s="13"/>
      <c r="I271" s="13">
        <v>8.4</v>
      </c>
      <c r="J271" s="14">
        <f>IFERROR(ROUND(SUM(M272,M273)/I271, 2),0)</f>
        <v>13.32</v>
      </c>
      <c r="K271" s="15">
        <v>428</v>
      </c>
      <c r="L271" s="14">
        <f>J271+ROUND(K271, 2)</f>
        <v>441.32</v>
      </c>
      <c r="M271" s="14">
        <f>ROUND(J271*I271, 2)</f>
        <v>111.89</v>
      </c>
      <c r="N271" s="14">
        <f>ROUND(I271*ROUND(K271, 2), 2)</f>
        <v>3595.2</v>
      </c>
      <c r="O271" s="14">
        <f>M271+N271</f>
        <v>3707.0899999999997</v>
      </c>
      <c r="P271" s="14">
        <f>IFERROR(ROUND(SUM(S272,S273)/I271, 2),0)</f>
        <v>75.27</v>
      </c>
      <c r="Q271" s="15">
        <v>428</v>
      </c>
      <c r="R271" s="14">
        <f>P271+ROUND(Q271, 2)</f>
        <v>503.27</v>
      </c>
      <c r="S271" s="14">
        <f>ROUND(P271*I271, 2)</f>
        <v>632.27</v>
      </c>
      <c r="T271" s="14">
        <f>ROUND(I271*ROUND(Q271, 2), 2)</f>
        <v>3595.2</v>
      </c>
      <c r="U271" s="14">
        <f>S271+T271</f>
        <v>4227.4699999999993</v>
      </c>
      <c r="V271" s="9">
        <f>ROUND(P271 / 1.2, 2)</f>
        <v>62.73</v>
      </c>
      <c r="W271" s="9">
        <f>ROUND(Q271 / 1.2, 2)</f>
        <v>356.67</v>
      </c>
      <c r="X271" s="9">
        <f>ROUND(R271 / 1.2, 2)</f>
        <v>419.39</v>
      </c>
      <c r="Y271" s="9">
        <f t="shared" si="20"/>
        <v>526.89</v>
      </c>
      <c r="Z271" s="9">
        <f>ROUND(T271 / 1.2, 2)</f>
        <v>2996</v>
      </c>
      <c r="AA271" s="9">
        <f>Y271+Z271</f>
        <v>3522.89</v>
      </c>
      <c r="AD271" s="4">
        <v>298925400</v>
      </c>
      <c r="AE271" s="4">
        <v>19990351</v>
      </c>
      <c r="AG271" s="4" t="s">
        <v>1173</v>
      </c>
      <c r="AH271" s="4" t="s">
        <v>1174</v>
      </c>
      <c r="AI271" s="4" t="s">
        <v>67</v>
      </c>
    </row>
    <row r="272" spans="1:35" ht="36" x14ac:dyDescent="0.3">
      <c r="A272" s="10" t="s">
        <v>1186</v>
      </c>
      <c r="B272" s="10"/>
      <c r="C272" s="24" t="s">
        <v>433</v>
      </c>
      <c r="D272" s="12"/>
      <c r="E272" s="12"/>
      <c r="F272" s="18" t="s">
        <v>70</v>
      </c>
      <c r="G272" s="19">
        <v>0.15</v>
      </c>
      <c r="H272" s="19"/>
      <c r="I272" s="19">
        <v>1.26</v>
      </c>
      <c r="J272" s="21">
        <v>88.8</v>
      </c>
      <c r="M272" s="22">
        <f>ROUND(ROUND(J272, 2)*I272, 2)</f>
        <v>111.89</v>
      </c>
      <c r="P272" s="21">
        <v>88.8</v>
      </c>
      <c r="S272" s="22">
        <f>ROUND(ROUND(P272, 2)*I272, 2)</f>
        <v>111.89</v>
      </c>
      <c r="V272" s="9">
        <f>ROUND(ROUND(P272, 2)/1.2, 2)</f>
        <v>74</v>
      </c>
      <c r="Y272" s="9">
        <f t="shared" si="20"/>
        <v>93.24</v>
      </c>
      <c r="AD272" s="4" t="s">
        <v>1187</v>
      </c>
      <c r="AE272" s="4" t="s">
        <v>1188</v>
      </c>
      <c r="AF272" s="4" t="s">
        <v>436</v>
      </c>
    </row>
    <row r="273" spans="1:35" ht="108" x14ac:dyDescent="0.3">
      <c r="A273" s="10" t="s">
        <v>1189</v>
      </c>
      <c r="B273" s="10"/>
      <c r="C273" s="24" t="s">
        <v>1091</v>
      </c>
      <c r="D273" s="12"/>
      <c r="E273" s="12" t="s">
        <v>1190</v>
      </c>
      <c r="F273" s="18" t="s">
        <v>70</v>
      </c>
      <c r="G273" s="19">
        <v>0.3</v>
      </c>
      <c r="H273" s="19"/>
      <c r="I273" s="19">
        <v>2.52</v>
      </c>
      <c r="J273" s="21">
        <v>0</v>
      </c>
      <c r="M273" s="22">
        <f>ROUND(ROUND(J273, 2)*I273, 2)</f>
        <v>0</v>
      </c>
      <c r="P273" s="21">
        <v>206.5</v>
      </c>
      <c r="S273" s="22">
        <f>ROUND(ROUND(P273, 2)*I273, 2)</f>
        <v>520.38</v>
      </c>
      <c r="V273" s="9">
        <f>ROUND(ROUND(P273, 2)/1.2, 2)</f>
        <v>172.08</v>
      </c>
      <c r="Y273" s="9">
        <f t="shared" si="20"/>
        <v>433.65</v>
      </c>
      <c r="AD273" s="4" t="s">
        <v>1191</v>
      </c>
      <c r="AE273" s="4" t="s">
        <v>1192</v>
      </c>
      <c r="AF273" s="4" t="s">
        <v>1095</v>
      </c>
    </row>
    <row r="274" spans="1:35" ht="36" x14ac:dyDescent="0.3">
      <c r="A274" s="10" t="s">
        <v>1193</v>
      </c>
      <c r="B274" s="10" t="s">
        <v>1170</v>
      </c>
      <c r="C274" s="11" t="s">
        <v>1171</v>
      </c>
      <c r="D274" s="12"/>
      <c r="E274" s="12" t="s">
        <v>1194</v>
      </c>
      <c r="F274" s="12" t="s">
        <v>64</v>
      </c>
      <c r="G274" s="13">
        <v>1</v>
      </c>
      <c r="H274" s="13"/>
      <c r="I274" s="13">
        <v>20.66</v>
      </c>
      <c r="J274" s="14">
        <f>IFERROR(ROUND(SUM(M275,M276)/I274, 2),0)</f>
        <v>13.32</v>
      </c>
      <c r="K274" s="15">
        <v>428</v>
      </c>
      <c r="L274" s="14">
        <f>J274+ROUND(K274, 2)</f>
        <v>441.32</v>
      </c>
      <c r="M274" s="14">
        <f>ROUND(J274*I274, 2)</f>
        <v>275.19</v>
      </c>
      <c r="N274" s="14">
        <f>ROUND(I274*ROUND(K274, 2), 2)</f>
        <v>8842.48</v>
      </c>
      <c r="O274" s="14">
        <f>M274+N274</f>
        <v>9117.67</v>
      </c>
      <c r="P274" s="14">
        <f>IFERROR(ROUND(SUM(S275,S276)/I274, 2),0)</f>
        <v>75.27</v>
      </c>
      <c r="Q274" s="15">
        <v>428</v>
      </c>
      <c r="R274" s="14">
        <f>P274+ROUND(Q274, 2)</f>
        <v>503.27</v>
      </c>
      <c r="S274" s="14">
        <f>ROUND(P274*I274, 2)</f>
        <v>1555.08</v>
      </c>
      <c r="T274" s="14">
        <f>ROUND(I274*ROUND(Q274, 2), 2)</f>
        <v>8842.48</v>
      </c>
      <c r="U274" s="14">
        <f>S274+T274</f>
        <v>10397.56</v>
      </c>
      <c r="V274" s="9">
        <f>ROUND(P274 / 1.2, 2)</f>
        <v>62.73</v>
      </c>
      <c r="W274" s="9">
        <f>ROUND(Q274 / 1.2, 2)</f>
        <v>356.67</v>
      </c>
      <c r="X274" s="9">
        <f>ROUND(R274 / 1.2, 2)</f>
        <v>419.39</v>
      </c>
      <c r="Y274" s="9">
        <f t="shared" si="20"/>
        <v>1295.9000000000001</v>
      </c>
      <c r="Z274" s="9">
        <f>ROUND(T274 / 1.2, 2)</f>
        <v>7368.73</v>
      </c>
      <c r="AA274" s="9">
        <f>Y274+Z274</f>
        <v>8664.6299999999992</v>
      </c>
      <c r="AD274" s="4">
        <v>298925401</v>
      </c>
      <c r="AE274" s="4">
        <v>19990352</v>
      </c>
      <c r="AG274" s="4" t="s">
        <v>1173</v>
      </c>
      <c r="AH274" s="4" t="s">
        <v>1174</v>
      </c>
      <c r="AI274" s="4" t="s">
        <v>67</v>
      </c>
    </row>
    <row r="275" spans="1:35" ht="108" x14ac:dyDescent="0.3">
      <c r="A275" s="10" t="s">
        <v>1195</v>
      </c>
      <c r="B275" s="10"/>
      <c r="C275" s="24" t="s">
        <v>1091</v>
      </c>
      <c r="D275" s="12"/>
      <c r="E275" s="12" t="s">
        <v>1196</v>
      </c>
      <c r="F275" s="18" t="s">
        <v>70</v>
      </c>
      <c r="G275" s="19">
        <v>0.3</v>
      </c>
      <c r="H275" s="19"/>
      <c r="I275" s="19">
        <v>6.1980000000000004</v>
      </c>
      <c r="J275" s="21">
        <v>0</v>
      </c>
      <c r="M275" s="22">
        <f>ROUND(ROUND(J275, 2)*I275, 2)</f>
        <v>0</v>
      </c>
      <c r="P275" s="21">
        <v>206.5</v>
      </c>
      <c r="S275" s="22">
        <f>ROUND(ROUND(P275, 2)*I275, 2)</f>
        <v>1279.8900000000001</v>
      </c>
      <c r="V275" s="9">
        <f>ROUND(ROUND(P275, 2)/1.2, 2)</f>
        <v>172.08</v>
      </c>
      <c r="Y275" s="9">
        <f t="shared" si="20"/>
        <v>1066.58</v>
      </c>
      <c r="AD275" s="4" t="s">
        <v>1197</v>
      </c>
      <c r="AE275" s="4" t="s">
        <v>1198</v>
      </c>
      <c r="AF275" s="4" t="s">
        <v>1095</v>
      </c>
    </row>
    <row r="276" spans="1:35" ht="36" x14ac:dyDescent="0.3">
      <c r="A276" s="10" t="s">
        <v>1199</v>
      </c>
      <c r="B276" s="10"/>
      <c r="C276" s="24" t="s">
        <v>433</v>
      </c>
      <c r="D276" s="12"/>
      <c r="E276" s="12"/>
      <c r="F276" s="18" t="s">
        <v>70</v>
      </c>
      <c r="G276" s="19">
        <v>0.15</v>
      </c>
      <c r="H276" s="19"/>
      <c r="I276" s="19">
        <v>3.0990000000000002</v>
      </c>
      <c r="J276" s="21">
        <v>88.8</v>
      </c>
      <c r="M276" s="22">
        <f>ROUND(ROUND(J276, 2)*I276, 2)</f>
        <v>275.19</v>
      </c>
      <c r="P276" s="21">
        <v>88.8</v>
      </c>
      <c r="S276" s="22">
        <f>ROUND(ROUND(P276, 2)*I276, 2)</f>
        <v>275.19</v>
      </c>
      <c r="V276" s="9">
        <f>ROUND(ROUND(P276, 2)/1.2, 2)</f>
        <v>74</v>
      </c>
      <c r="Y276" s="9">
        <f t="shared" si="20"/>
        <v>229.33</v>
      </c>
      <c r="AD276" s="4" t="s">
        <v>1200</v>
      </c>
      <c r="AE276" s="4" t="s">
        <v>1201</v>
      </c>
      <c r="AF276" s="4" t="s">
        <v>436</v>
      </c>
    </row>
    <row r="277" spans="1:35" ht="36" x14ac:dyDescent="0.3">
      <c r="A277" s="10" t="s">
        <v>1202</v>
      </c>
      <c r="B277" s="10" t="s">
        <v>1170</v>
      </c>
      <c r="C277" s="11" t="s">
        <v>1171</v>
      </c>
      <c r="D277" s="12"/>
      <c r="E277" s="12" t="s">
        <v>1203</v>
      </c>
      <c r="F277" s="12" t="s">
        <v>64</v>
      </c>
      <c r="G277" s="13">
        <v>1</v>
      </c>
      <c r="H277" s="13"/>
      <c r="I277" s="13">
        <v>10.39</v>
      </c>
      <c r="J277" s="14">
        <f>IFERROR(ROUND(SUM(M278,M279)/I277, 2),0)</f>
        <v>13.32</v>
      </c>
      <c r="K277" s="15">
        <v>428</v>
      </c>
      <c r="L277" s="14">
        <f>J277+ROUND(K277, 2)</f>
        <v>441.32</v>
      </c>
      <c r="M277" s="14">
        <f>ROUND(J277*I277, 2)</f>
        <v>138.38999999999999</v>
      </c>
      <c r="N277" s="14">
        <f>ROUND(I277*ROUND(K277, 2), 2)</f>
        <v>4446.92</v>
      </c>
      <c r="O277" s="14">
        <f>M277+N277</f>
        <v>4585.3100000000004</v>
      </c>
      <c r="P277" s="14">
        <f>IFERROR(ROUND(SUM(S278,S279)/I277, 2),0)</f>
        <v>75.27</v>
      </c>
      <c r="Q277" s="15">
        <v>428</v>
      </c>
      <c r="R277" s="14">
        <f>P277+ROUND(Q277, 2)</f>
        <v>503.27</v>
      </c>
      <c r="S277" s="14">
        <f>ROUND(P277*I277, 2)</f>
        <v>782.06</v>
      </c>
      <c r="T277" s="14">
        <f>ROUND(I277*ROUND(Q277, 2), 2)</f>
        <v>4446.92</v>
      </c>
      <c r="U277" s="14">
        <f>S277+T277</f>
        <v>5228.9799999999996</v>
      </c>
      <c r="V277" s="9">
        <f>ROUND(P277 / 1.2, 2)</f>
        <v>62.73</v>
      </c>
      <c r="W277" s="9">
        <f>ROUND(Q277 / 1.2, 2)</f>
        <v>356.67</v>
      </c>
      <c r="X277" s="9">
        <f>ROUND(R277 / 1.2, 2)</f>
        <v>419.39</v>
      </c>
      <c r="Y277" s="9">
        <f t="shared" si="20"/>
        <v>651.72</v>
      </c>
      <c r="Z277" s="9">
        <f>ROUND(T277 / 1.2, 2)</f>
        <v>3705.77</v>
      </c>
      <c r="AA277" s="9">
        <f>Y277+Z277</f>
        <v>4357.49</v>
      </c>
      <c r="AD277" s="4">
        <v>298925402</v>
      </c>
      <c r="AE277" s="4">
        <v>19990353</v>
      </c>
      <c r="AG277" s="4" t="s">
        <v>1173</v>
      </c>
      <c r="AH277" s="4" t="s">
        <v>1174</v>
      </c>
      <c r="AI277" s="4" t="s">
        <v>67</v>
      </c>
    </row>
    <row r="278" spans="1:35" ht="36" x14ac:dyDescent="0.3">
      <c r="A278" s="10" t="s">
        <v>1204</v>
      </c>
      <c r="B278" s="10"/>
      <c r="C278" s="24" t="s">
        <v>433</v>
      </c>
      <c r="D278" s="12"/>
      <c r="E278" s="12"/>
      <c r="F278" s="18" t="s">
        <v>70</v>
      </c>
      <c r="G278" s="19">
        <v>0.15</v>
      </c>
      <c r="H278" s="19"/>
      <c r="I278" s="19">
        <v>1.5589999999999999</v>
      </c>
      <c r="J278" s="21">
        <v>88.8</v>
      </c>
      <c r="M278" s="22">
        <f>ROUND(ROUND(J278, 2)*I278, 2)</f>
        <v>138.44</v>
      </c>
      <c r="P278" s="21">
        <v>88.8</v>
      </c>
      <c r="S278" s="22">
        <f>ROUND(ROUND(P278, 2)*I278, 2)</f>
        <v>138.44</v>
      </c>
      <c r="V278" s="9">
        <f>ROUND(ROUND(P278, 2)/1.2, 2)</f>
        <v>74</v>
      </c>
      <c r="Y278" s="9">
        <f t="shared" si="20"/>
        <v>115.37</v>
      </c>
      <c r="AD278" s="4" t="s">
        <v>1205</v>
      </c>
      <c r="AE278" s="4" t="s">
        <v>1206</v>
      </c>
      <c r="AF278" s="4" t="s">
        <v>436</v>
      </c>
    </row>
    <row r="279" spans="1:35" ht="108" x14ac:dyDescent="0.3">
      <c r="A279" s="10" t="s">
        <v>1207</v>
      </c>
      <c r="B279" s="10"/>
      <c r="C279" s="24" t="s">
        <v>1091</v>
      </c>
      <c r="D279" s="12"/>
      <c r="E279" s="12" t="s">
        <v>1208</v>
      </c>
      <c r="F279" s="18" t="s">
        <v>70</v>
      </c>
      <c r="G279" s="19">
        <v>0.3</v>
      </c>
      <c r="H279" s="19"/>
      <c r="I279" s="19">
        <v>3.117</v>
      </c>
      <c r="J279" s="21">
        <v>0</v>
      </c>
      <c r="M279" s="22">
        <f>ROUND(ROUND(J279, 2)*I279, 2)</f>
        <v>0</v>
      </c>
      <c r="P279" s="21">
        <v>206.5</v>
      </c>
      <c r="S279" s="22">
        <f>ROUND(ROUND(P279, 2)*I279, 2)</f>
        <v>643.66</v>
      </c>
      <c r="V279" s="9">
        <f>ROUND(ROUND(P279, 2)/1.2, 2)</f>
        <v>172.08</v>
      </c>
      <c r="Y279" s="9">
        <f t="shared" si="20"/>
        <v>536.38</v>
      </c>
      <c r="AD279" s="4" t="s">
        <v>1209</v>
      </c>
      <c r="AE279" s="4" t="s">
        <v>1210</v>
      </c>
      <c r="AF279" s="4" t="s">
        <v>1095</v>
      </c>
    </row>
    <row r="280" spans="1:35" ht="36" x14ac:dyDescent="0.3">
      <c r="A280" s="10" t="s">
        <v>1211</v>
      </c>
      <c r="B280" s="10" t="s">
        <v>1170</v>
      </c>
      <c r="C280" s="11" t="s">
        <v>1171</v>
      </c>
      <c r="D280" s="12"/>
      <c r="E280" s="12" t="s">
        <v>1212</v>
      </c>
      <c r="F280" s="12" t="s">
        <v>64</v>
      </c>
      <c r="G280" s="13">
        <v>1</v>
      </c>
      <c r="H280" s="13"/>
      <c r="I280" s="13">
        <v>5.0999999999999996</v>
      </c>
      <c r="J280" s="14">
        <f>IFERROR(ROUND(SUM(M281,M282)/I280, 2),0)</f>
        <v>13.32</v>
      </c>
      <c r="K280" s="15">
        <v>428</v>
      </c>
      <c r="L280" s="14">
        <f>J280+ROUND(K280, 2)</f>
        <v>441.32</v>
      </c>
      <c r="M280" s="14">
        <f>ROUND(J280*I280, 2)</f>
        <v>67.930000000000007</v>
      </c>
      <c r="N280" s="14">
        <f>ROUND(I280*ROUND(K280, 2), 2)</f>
        <v>2182.8000000000002</v>
      </c>
      <c r="O280" s="14">
        <f>M280+N280</f>
        <v>2250.73</v>
      </c>
      <c r="P280" s="14">
        <f>IFERROR(ROUND(SUM(S281,S282)/I280, 2),0)</f>
        <v>75.27</v>
      </c>
      <c r="Q280" s="15">
        <v>428</v>
      </c>
      <c r="R280" s="14">
        <f>P280+ROUND(Q280, 2)</f>
        <v>503.27</v>
      </c>
      <c r="S280" s="14">
        <f>ROUND(P280*I280, 2)</f>
        <v>383.88</v>
      </c>
      <c r="T280" s="14">
        <f>ROUND(I280*ROUND(Q280, 2), 2)</f>
        <v>2182.8000000000002</v>
      </c>
      <c r="U280" s="14">
        <f>S280+T280</f>
        <v>2566.6800000000003</v>
      </c>
      <c r="V280" s="9">
        <f>ROUND(P280 / 1.2, 2)</f>
        <v>62.73</v>
      </c>
      <c r="W280" s="9">
        <f>ROUND(Q280 / 1.2, 2)</f>
        <v>356.67</v>
      </c>
      <c r="X280" s="9">
        <f>ROUND(R280 / 1.2, 2)</f>
        <v>419.39</v>
      </c>
      <c r="Y280" s="9">
        <f t="shared" si="20"/>
        <v>319.89999999999998</v>
      </c>
      <c r="Z280" s="9">
        <f>ROUND(T280 / 1.2, 2)</f>
        <v>1819</v>
      </c>
      <c r="AA280" s="9">
        <f>Y280+Z280</f>
        <v>2138.9</v>
      </c>
      <c r="AD280" s="4">
        <v>298925403</v>
      </c>
      <c r="AE280" s="4">
        <v>19990354</v>
      </c>
      <c r="AG280" s="4" t="s">
        <v>1173</v>
      </c>
      <c r="AH280" s="4" t="s">
        <v>1174</v>
      </c>
      <c r="AI280" s="4" t="s">
        <v>67</v>
      </c>
    </row>
    <row r="281" spans="1:35" ht="108" x14ac:dyDescent="0.3">
      <c r="A281" s="10" t="s">
        <v>1213</v>
      </c>
      <c r="B281" s="10"/>
      <c r="C281" s="24" t="s">
        <v>1091</v>
      </c>
      <c r="D281" s="12"/>
      <c r="E281" s="12" t="s">
        <v>1214</v>
      </c>
      <c r="F281" s="18" t="s">
        <v>70</v>
      </c>
      <c r="G281" s="19">
        <v>0.3</v>
      </c>
      <c r="H281" s="19"/>
      <c r="I281" s="19">
        <v>1.53</v>
      </c>
      <c r="J281" s="21">
        <v>0</v>
      </c>
      <c r="M281" s="22">
        <f>ROUND(ROUND(J281, 2)*I281, 2)</f>
        <v>0</v>
      </c>
      <c r="P281" s="21">
        <v>206.5</v>
      </c>
      <c r="S281" s="22">
        <f>ROUND(ROUND(P281, 2)*I281, 2)</f>
        <v>315.95</v>
      </c>
      <c r="V281" s="9">
        <f>ROUND(ROUND(P281, 2)/1.2, 2)</f>
        <v>172.08</v>
      </c>
      <c r="Y281" s="9">
        <f t="shared" si="20"/>
        <v>263.29000000000002</v>
      </c>
      <c r="AD281" s="4" t="s">
        <v>1215</v>
      </c>
      <c r="AE281" s="4" t="s">
        <v>1216</v>
      </c>
      <c r="AF281" s="4" t="s">
        <v>1095</v>
      </c>
    </row>
    <row r="282" spans="1:35" ht="36" x14ac:dyDescent="0.3">
      <c r="A282" s="10" t="s">
        <v>1217</v>
      </c>
      <c r="B282" s="10"/>
      <c r="C282" s="24" t="s">
        <v>433</v>
      </c>
      <c r="D282" s="12"/>
      <c r="E282" s="12"/>
      <c r="F282" s="18" t="s">
        <v>70</v>
      </c>
      <c r="G282" s="19">
        <v>0.15</v>
      </c>
      <c r="H282" s="19"/>
      <c r="I282" s="19">
        <v>0.76500000000000001</v>
      </c>
      <c r="J282" s="21">
        <v>88.8</v>
      </c>
      <c r="M282" s="22">
        <f>ROUND(ROUND(J282, 2)*I282, 2)</f>
        <v>67.930000000000007</v>
      </c>
      <c r="P282" s="21">
        <v>88.8</v>
      </c>
      <c r="S282" s="22">
        <f>ROUND(ROUND(P282, 2)*I282, 2)</f>
        <v>67.930000000000007</v>
      </c>
      <c r="V282" s="9">
        <f>ROUND(ROUND(P282, 2)/1.2, 2)</f>
        <v>74</v>
      </c>
      <c r="Y282" s="9">
        <f t="shared" si="20"/>
        <v>56.61</v>
      </c>
      <c r="AD282" s="4" t="s">
        <v>1218</v>
      </c>
      <c r="AE282" s="4" t="s">
        <v>1219</v>
      </c>
      <c r="AF282" s="4" t="s">
        <v>436</v>
      </c>
    </row>
    <row r="283" spans="1:35" ht="36" x14ac:dyDescent="0.3">
      <c r="A283" s="10" t="s">
        <v>1220</v>
      </c>
      <c r="B283" s="10" t="s">
        <v>1170</v>
      </c>
      <c r="C283" s="11" t="s">
        <v>1171</v>
      </c>
      <c r="D283" s="12"/>
      <c r="E283" s="12" t="s">
        <v>1221</v>
      </c>
      <c r="F283" s="12" t="s">
        <v>64</v>
      </c>
      <c r="G283" s="13">
        <v>1</v>
      </c>
      <c r="H283" s="13"/>
      <c r="I283" s="13">
        <v>11.75</v>
      </c>
      <c r="J283" s="14">
        <f>IFERROR(ROUND(SUM(M284,M285)/I283, 2),0)</f>
        <v>13.32</v>
      </c>
      <c r="K283" s="15">
        <v>428</v>
      </c>
      <c r="L283" s="14">
        <f>J283+ROUND(K283, 2)</f>
        <v>441.32</v>
      </c>
      <c r="M283" s="14">
        <f>ROUND(J283*I283, 2)</f>
        <v>156.51</v>
      </c>
      <c r="N283" s="14">
        <f>ROUND(I283*ROUND(K283, 2), 2)</f>
        <v>5029</v>
      </c>
      <c r="O283" s="14">
        <f>M283+N283</f>
        <v>5185.51</v>
      </c>
      <c r="P283" s="14">
        <f>IFERROR(ROUND(SUM(S284,S285)/I283, 2),0)</f>
        <v>75.27</v>
      </c>
      <c r="Q283" s="15">
        <v>428</v>
      </c>
      <c r="R283" s="14">
        <f>P283+ROUND(Q283, 2)</f>
        <v>503.27</v>
      </c>
      <c r="S283" s="14">
        <f>ROUND(P283*I283, 2)</f>
        <v>884.42</v>
      </c>
      <c r="T283" s="14">
        <f>ROUND(I283*ROUND(Q283, 2), 2)</f>
        <v>5029</v>
      </c>
      <c r="U283" s="14">
        <f>S283+T283</f>
        <v>5913.42</v>
      </c>
      <c r="V283" s="9">
        <f>ROUND(P283 / 1.2, 2)</f>
        <v>62.73</v>
      </c>
      <c r="W283" s="9">
        <f>ROUND(Q283 / 1.2, 2)</f>
        <v>356.67</v>
      </c>
      <c r="X283" s="9">
        <f>ROUND(R283 / 1.2, 2)</f>
        <v>419.39</v>
      </c>
      <c r="Y283" s="9">
        <f t="shared" si="20"/>
        <v>737.02</v>
      </c>
      <c r="Z283" s="9">
        <f>ROUND(T283 / 1.2, 2)</f>
        <v>4190.83</v>
      </c>
      <c r="AA283" s="9">
        <f>Y283+Z283</f>
        <v>4927.8500000000004</v>
      </c>
      <c r="AD283" s="4">
        <v>298925404</v>
      </c>
      <c r="AE283" s="4">
        <v>19990355</v>
      </c>
      <c r="AG283" s="4" t="s">
        <v>1173</v>
      </c>
      <c r="AH283" s="4" t="s">
        <v>1174</v>
      </c>
      <c r="AI283" s="4" t="s">
        <v>67</v>
      </c>
    </row>
    <row r="284" spans="1:35" ht="36" x14ac:dyDescent="0.3">
      <c r="A284" s="10" t="s">
        <v>1222</v>
      </c>
      <c r="B284" s="10"/>
      <c r="C284" s="24" t="s">
        <v>433</v>
      </c>
      <c r="D284" s="12"/>
      <c r="E284" s="12"/>
      <c r="F284" s="18" t="s">
        <v>70</v>
      </c>
      <c r="G284" s="19">
        <v>0.15</v>
      </c>
      <c r="H284" s="19"/>
      <c r="I284" s="19">
        <v>1.7629999999999999</v>
      </c>
      <c r="J284" s="21">
        <v>88.8</v>
      </c>
      <c r="M284" s="22">
        <f>ROUND(ROUND(J284, 2)*I284, 2)</f>
        <v>156.55000000000001</v>
      </c>
      <c r="P284" s="21">
        <v>88.8</v>
      </c>
      <c r="S284" s="22">
        <f>ROUND(ROUND(P284, 2)*I284, 2)</f>
        <v>156.55000000000001</v>
      </c>
      <c r="V284" s="9">
        <f>ROUND(ROUND(P284, 2)/1.2, 2)</f>
        <v>74</v>
      </c>
      <c r="Y284" s="9">
        <f t="shared" si="20"/>
        <v>130.46</v>
      </c>
      <c r="AD284" s="4" t="s">
        <v>1223</v>
      </c>
      <c r="AE284" s="4" t="s">
        <v>1224</v>
      </c>
      <c r="AF284" s="4" t="s">
        <v>436</v>
      </c>
    </row>
    <row r="285" spans="1:35" ht="108" x14ac:dyDescent="0.3">
      <c r="A285" s="10" t="s">
        <v>1225</v>
      </c>
      <c r="B285" s="10"/>
      <c r="C285" s="24" t="s">
        <v>1091</v>
      </c>
      <c r="D285" s="12"/>
      <c r="E285" s="12" t="s">
        <v>1226</v>
      </c>
      <c r="F285" s="18" t="s">
        <v>70</v>
      </c>
      <c r="G285" s="19">
        <v>0.3</v>
      </c>
      <c r="H285" s="19"/>
      <c r="I285" s="19">
        <v>3.5249999999999999</v>
      </c>
      <c r="J285" s="21">
        <v>0</v>
      </c>
      <c r="M285" s="22">
        <f>ROUND(ROUND(J285, 2)*I285, 2)</f>
        <v>0</v>
      </c>
      <c r="P285" s="21">
        <v>206.5</v>
      </c>
      <c r="S285" s="22">
        <f>ROUND(ROUND(P285, 2)*I285, 2)</f>
        <v>727.91</v>
      </c>
      <c r="V285" s="9">
        <f>ROUND(ROUND(P285, 2)/1.2, 2)</f>
        <v>172.08</v>
      </c>
      <c r="Y285" s="9">
        <f t="shared" si="20"/>
        <v>606.59</v>
      </c>
      <c r="AD285" s="4" t="s">
        <v>1227</v>
      </c>
      <c r="AE285" s="4" t="s">
        <v>1228</v>
      </c>
      <c r="AF285" s="4" t="s">
        <v>1095</v>
      </c>
    </row>
    <row r="286" spans="1:35" ht="36" x14ac:dyDescent="0.3">
      <c r="A286" s="10" t="s">
        <v>1229</v>
      </c>
      <c r="B286" s="10" t="s">
        <v>1170</v>
      </c>
      <c r="C286" s="11" t="s">
        <v>1171</v>
      </c>
      <c r="D286" s="12"/>
      <c r="E286" s="12" t="s">
        <v>1230</v>
      </c>
      <c r="F286" s="12" t="s">
        <v>64</v>
      </c>
      <c r="G286" s="13">
        <v>1</v>
      </c>
      <c r="H286" s="13"/>
      <c r="I286" s="13">
        <v>78.400000000000006</v>
      </c>
      <c r="J286" s="14">
        <f>IFERROR(ROUND(SUM(M287,M288)/I286, 2),0)</f>
        <v>13.32</v>
      </c>
      <c r="K286" s="15">
        <v>428</v>
      </c>
      <c r="L286" s="14">
        <f>J286+ROUND(K286, 2)</f>
        <v>441.32</v>
      </c>
      <c r="M286" s="14">
        <f>ROUND(J286*I286, 2)</f>
        <v>1044.29</v>
      </c>
      <c r="N286" s="14">
        <f>ROUND(I286*ROUND(K286, 2), 2)</f>
        <v>33555.199999999997</v>
      </c>
      <c r="O286" s="14">
        <f>M286+N286</f>
        <v>34599.49</v>
      </c>
      <c r="P286" s="14">
        <f>IFERROR(ROUND(SUM(S287,S288)/I286, 2),0)</f>
        <v>75.27</v>
      </c>
      <c r="Q286" s="15">
        <v>428</v>
      </c>
      <c r="R286" s="14">
        <f>P286+ROUND(Q286, 2)</f>
        <v>503.27</v>
      </c>
      <c r="S286" s="14">
        <f>ROUND(P286*I286, 2)</f>
        <v>5901.17</v>
      </c>
      <c r="T286" s="14">
        <f>ROUND(I286*ROUND(Q286, 2), 2)</f>
        <v>33555.199999999997</v>
      </c>
      <c r="U286" s="14">
        <f>S286+T286</f>
        <v>39456.369999999995</v>
      </c>
      <c r="V286" s="9">
        <f>ROUND(P286 / 1.2, 2)</f>
        <v>62.73</v>
      </c>
      <c r="W286" s="9">
        <f>ROUND(Q286 / 1.2, 2)</f>
        <v>356.67</v>
      </c>
      <c r="X286" s="9">
        <f>ROUND(R286 / 1.2, 2)</f>
        <v>419.39</v>
      </c>
      <c r="Y286" s="9">
        <f t="shared" si="20"/>
        <v>4917.6400000000003</v>
      </c>
      <c r="Z286" s="9">
        <f>ROUND(T286 / 1.2, 2)</f>
        <v>27962.67</v>
      </c>
      <c r="AA286" s="9">
        <f>Y286+Z286</f>
        <v>32880.31</v>
      </c>
      <c r="AD286" s="4">
        <v>298925405</v>
      </c>
      <c r="AE286" s="4">
        <v>19990350</v>
      </c>
      <c r="AG286" s="4" t="s">
        <v>1173</v>
      </c>
      <c r="AH286" s="4" t="s">
        <v>1174</v>
      </c>
      <c r="AI286" s="4" t="s">
        <v>67</v>
      </c>
    </row>
    <row r="287" spans="1:35" ht="108" x14ac:dyDescent="0.3">
      <c r="A287" s="10" t="s">
        <v>1231</v>
      </c>
      <c r="B287" s="10"/>
      <c r="C287" s="24" t="s">
        <v>1091</v>
      </c>
      <c r="D287" s="12"/>
      <c r="E287" s="12" t="s">
        <v>1232</v>
      </c>
      <c r="F287" s="18" t="s">
        <v>70</v>
      </c>
      <c r="G287" s="19">
        <v>0.3</v>
      </c>
      <c r="H287" s="19"/>
      <c r="I287" s="19">
        <v>23.52</v>
      </c>
      <c r="J287" s="21">
        <v>0</v>
      </c>
      <c r="M287" s="22">
        <f>ROUND(ROUND(J287, 2)*I287, 2)</f>
        <v>0</v>
      </c>
      <c r="P287" s="21">
        <v>206.5</v>
      </c>
      <c r="S287" s="22">
        <f>ROUND(ROUND(P287, 2)*I287, 2)</f>
        <v>4856.88</v>
      </c>
      <c r="V287" s="9">
        <f>ROUND(ROUND(P287, 2)/1.2, 2)</f>
        <v>172.08</v>
      </c>
      <c r="Y287" s="9">
        <f t="shared" si="20"/>
        <v>4047.4</v>
      </c>
      <c r="AD287" s="4" t="s">
        <v>1233</v>
      </c>
      <c r="AE287" s="4" t="s">
        <v>1234</v>
      </c>
      <c r="AF287" s="4" t="s">
        <v>1095</v>
      </c>
    </row>
    <row r="288" spans="1:35" ht="36" x14ac:dyDescent="0.3">
      <c r="A288" s="10" t="s">
        <v>1235</v>
      </c>
      <c r="B288" s="10"/>
      <c r="C288" s="24" t="s">
        <v>433</v>
      </c>
      <c r="D288" s="12"/>
      <c r="E288" s="12"/>
      <c r="F288" s="18" t="s">
        <v>70</v>
      </c>
      <c r="G288" s="19">
        <v>0.15</v>
      </c>
      <c r="H288" s="19"/>
      <c r="I288" s="19">
        <v>11.76</v>
      </c>
      <c r="J288" s="21">
        <v>88.8</v>
      </c>
      <c r="M288" s="22">
        <f>ROUND(ROUND(J288, 2)*I288, 2)</f>
        <v>1044.29</v>
      </c>
      <c r="P288" s="21">
        <v>88.8</v>
      </c>
      <c r="S288" s="22">
        <f>ROUND(ROUND(P288, 2)*I288, 2)</f>
        <v>1044.29</v>
      </c>
      <c r="V288" s="9">
        <f>ROUND(ROUND(P288, 2)/1.2, 2)</f>
        <v>74</v>
      </c>
      <c r="Y288" s="9">
        <f t="shared" si="20"/>
        <v>870.24</v>
      </c>
      <c r="AD288" s="4" t="s">
        <v>1236</v>
      </c>
      <c r="AE288" s="4" t="s">
        <v>1237</v>
      </c>
      <c r="AF288" s="4" t="s">
        <v>436</v>
      </c>
    </row>
    <row r="289" spans="1:35" ht="36" x14ac:dyDescent="0.3">
      <c r="A289" s="10" t="s">
        <v>1238</v>
      </c>
      <c r="B289" s="10" t="s">
        <v>1170</v>
      </c>
      <c r="C289" s="11" t="s">
        <v>1171</v>
      </c>
      <c r="D289" s="12"/>
      <c r="E289" s="12" t="s">
        <v>1239</v>
      </c>
      <c r="F289" s="12" t="s">
        <v>64</v>
      </c>
      <c r="G289" s="13">
        <v>1</v>
      </c>
      <c r="H289" s="13"/>
      <c r="I289" s="13">
        <v>351.8</v>
      </c>
      <c r="J289" s="14">
        <f>IFERROR(ROUND(SUM(M290,M291)/I289, 2),0)</f>
        <v>13.32</v>
      </c>
      <c r="K289" s="15">
        <v>428</v>
      </c>
      <c r="L289" s="14">
        <f>J289+ROUND(K289, 2)</f>
        <v>441.32</v>
      </c>
      <c r="M289" s="14">
        <f>ROUND(J289*I289, 2)</f>
        <v>4685.9799999999996</v>
      </c>
      <c r="N289" s="14">
        <f>ROUND(I289*ROUND(K289, 2), 2)</f>
        <v>150570.4</v>
      </c>
      <c r="O289" s="14">
        <f>M289+N289</f>
        <v>155256.38</v>
      </c>
      <c r="P289" s="14">
        <f>IFERROR(ROUND(SUM(S290,S291)/I289, 2),0)</f>
        <v>75.27</v>
      </c>
      <c r="Q289" s="15">
        <v>428</v>
      </c>
      <c r="R289" s="14">
        <f>P289+ROUND(Q289, 2)</f>
        <v>503.27</v>
      </c>
      <c r="S289" s="14">
        <f>ROUND(P289*I289, 2)</f>
        <v>26479.99</v>
      </c>
      <c r="T289" s="14">
        <f>ROUND(I289*ROUND(Q289, 2), 2)</f>
        <v>150570.4</v>
      </c>
      <c r="U289" s="14">
        <f>S289+T289</f>
        <v>177050.38999999998</v>
      </c>
      <c r="V289" s="9">
        <f>ROUND(P289 / 1.2, 2)</f>
        <v>62.73</v>
      </c>
      <c r="W289" s="9">
        <f>ROUND(Q289 / 1.2, 2)</f>
        <v>356.67</v>
      </c>
      <c r="X289" s="9">
        <f>ROUND(R289 / 1.2, 2)</f>
        <v>419.39</v>
      </c>
      <c r="Y289" s="9">
        <f t="shared" si="20"/>
        <v>22066.66</v>
      </c>
      <c r="Z289" s="9">
        <f>ROUND(T289 / 1.2, 2)</f>
        <v>125475.33</v>
      </c>
      <c r="AA289" s="9">
        <f>Y289+Z289</f>
        <v>147541.99</v>
      </c>
      <c r="AD289" s="4">
        <v>298925406</v>
      </c>
      <c r="AE289" s="4">
        <v>19990914</v>
      </c>
      <c r="AG289" s="4" t="s">
        <v>1173</v>
      </c>
      <c r="AH289" s="4" t="s">
        <v>1174</v>
      </c>
      <c r="AI289" s="4" t="s">
        <v>67</v>
      </c>
    </row>
    <row r="290" spans="1:35" ht="36" x14ac:dyDescent="0.3">
      <c r="A290" s="10" t="s">
        <v>1240</v>
      </c>
      <c r="B290" s="10"/>
      <c r="C290" s="24" t="s">
        <v>433</v>
      </c>
      <c r="D290" s="12"/>
      <c r="E290" s="12"/>
      <c r="F290" s="18" t="s">
        <v>70</v>
      </c>
      <c r="G290" s="19">
        <v>0.15</v>
      </c>
      <c r="H290" s="19"/>
      <c r="I290" s="19">
        <v>52.77</v>
      </c>
      <c r="J290" s="21">
        <v>88.8</v>
      </c>
      <c r="M290" s="22">
        <f>ROUND(ROUND(J290, 2)*I290, 2)</f>
        <v>4685.9799999999996</v>
      </c>
      <c r="P290" s="21">
        <v>88.8</v>
      </c>
      <c r="S290" s="22">
        <f>ROUND(ROUND(P290, 2)*I290, 2)</f>
        <v>4685.9799999999996</v>
      </c>
      <c r="V290" s="9">
        <f>ROUND(ROUND(P290, 2)/1.2, 2)</f>
        <v>74</v>
      </c>
      <c r="Y290" s="9">
        <f t="shared" si="20"/>
        <v>3904.98</v>
      </c>
      <c r="AD290" s="4" t="s">
        <v>1241</v>
      </c>
      <c r="AE290" s="4" t="s">
        <v>1242</v>
      </c>
      <c r="AF290" s="4" t="s">
        <v>436</v>
      </c>
    </row>
    <row r="291" spans="1:35" ht="108" x14ac:dyDescent="0.3">
      <c r="A291" s="10" t="s">
        <v>1243</v>
      </c>
      <c r="B291" s="10"/>
      <c r="C291" s="24" t="s">
        <v>1091</v>
      </c>
      <c r="D291" s="12"/>
      <c r="E291" s="12" t="s">
        <v>1244</v>
      </c>
      <c r="F291" s="18" t="s">
        <v>70</v>
      </c>
      <c r="G291" s="19">
        <v>0.3</v>
      </c>
      <c r="H291" s="19"/>
      <c r="I291" s="19">
        <v>105.54</v>
      </c>
      <c r="J291" s="21">
        <v>0</v>
      </c>
      <c r="M291" s="22">
        <f>ROUND(ROUND(J291, 2)*I291, 2)</f>
        <v>0</v>
      </c>
      <c r="P291" s="21">
        <v>206.5</v>
      </c>
      <c r="S291" s="22">
        <f>ROUND(ROUND(P291, 2)*I291, 2)</f>
        <v>21794.01</v>
      </c>
      <c r="V291" s="9">
        <f>ROUND(ROUND(P291, 2)/1.2, 2)</f>
        <v>172.08</v>
      </c>
      <c r="Y291" s="9">
        <f t="shared" si="20"/>
        <v>18161.68</v>
      </c>
      <c r="AD291" s="4" t="s">
        <v>1245</v>
      </c>
      <c r="AE291" s="4" t="s">
        <v>1246</v>
      </c>
      <c r="AF291" s="4" t="s">
        <v>1095</v>
      </c>
    </row>
    <row r="292" spans="1:35" ht="36" x14ac:dyDescent="0.3">
      <c r="A292" s="10" t="s">
        <v>1247</v>
      </c>
      <c r="B292" s="10" t="s">
        <v>1170</v>
      </c>
      <c r="C292" s="11" t="s">
        <v>1171</v>
      </c>
      <c r="D292" s="12"/>
      <c r="E292" s="12" t="s">
        <v>1248</v>
      </c>
      <c r="F292" s="12" t="s">
        <v>64</v>
      </c>
      <c r="G292" s="13">
        <v>1</v>
      </c>
      <c r="H292" s="13"/>
      <c r="I292" s="13">
        <v>2020.16</v>
      </c>
      <c r="J292" s="14">
        <f>IFERROR(ROUND(SUM(M293,M294)/I292, 2),0)</f>
        <v>13.32</v>
      </c>
      <c r="K292" s="15">
        <v>428</v>
      </c>
      <c r="L292" s="14">
        <f>J292+ROUND(K292, 2)</f>
        <v>441.32</v>
      </c>
      <c r="M292" s="14">
        <f>ROUND(J292*I292, 2)</f>
        <v>26908.53</v>
      </c>
      <c r="N292" s="14">
        <f>ROUND(I292*ROUND(K292, 2), 2)</f>
        <v>864628.48</v>
      </c>
      <c r="O292" s="14">
        <f>M292+N292</f>
        <v>891537.01</v>
      </c>
      <c r="P292" s="14">
        <f>IFERROR(ROUND(SUM(S293,S294)/I292, 2),0)</f>
        <v>68.28</v>
      </c>
      <c r="Q292" s="15">
        <v>428</v>
      </c>
      <c r="R292" s="14">
        <f>P292+ROUND(Q292, 2)</f>
        <v>496.28</v>
      </c>
      <c r="S292" s="14">
        <f>ROUND(P292*I292, 2)</f>
        <v>137936.51999999999</v>
      </c>
      <c r="T292" s="14">
        <f>ROUND(I292*ROUND(Q292, 2), 2)</f>
        <v>864628.48</v>
      </c>
      <c r="U292" s="14">
        <f>S292+T292</f>
        <v>1002565</v>
      </c>
      <c r="V292" s="9">
        <f>ROUND(P292 / 1.2, 2)</f>
        <v>56.9</v>
      </c>
      <c r="W292" s="9">
        <f>ROUND(Q292 / 1.2, 2)</f>
        <v>356.67</v>
      </c>
      <c r="X292" s="9">
        <f>ROUND(R292 / 1.2, 2)</f>
        <v>413.57</v>
      </c>
      <c r="Y292" s="9">
        <f t="shared" si="20"/>
        <v>114947.1</v>
      </c>
      <c r="Z292" s="9">
        <f>ROUND(T292 / 1.2, 2)</f>
        <v>720523.73</v>
      </c>
      <c r="AA292" s="9">
        <f>Y292+Z292</f>
        <v>835470.83</v>
      </c>
      <c r="AD292" s="4">
        <v>298925407</v>
      </c>
      <c r="AE292" s="4">
        <v>19990916</v>
      </c>
      <c r="AG292" s="4" t="s">
        <v>1173</v>
      </c>
      <c r="AH292" s="4" t="s">
        <v>1174</v>
      </c>
      <c r="AI292" s="4" t="s">
        <v>67</v>
      </c>
    </row>
    <row r="293" spans="1:35" ht="126" x14ac:dyDescent="0.3">
      <c r="A293" s="10" t="s">
        <v>1249</v>
      </c>
      <c r="B293" s="10"/>
      <c r="C293" s="24" t="s">
        <v>1111</v>
      </c>
      <c r="D293" s="12"/>
      <c r="E293" s="12" t="s">
        <v>1250</v>
      </c>
      <c r="F293" s="18" t="s">
        <v>70</v>
      </c>
      <c r="G293" s="19">
        <v>0.3</v>
      </c>
      <c r="H293" s="19"/>
      <c r="I293" s="19">
        <v>606.048</v>
      </c>
      <c r="J293" s="21">
        <v>0</v>
      </c>
      <c r="M293" s="22">
        <f>ROUND(ROUND(J293, 2)*I293, 2)</f>
        <v>0</v>
      </c>
      <c r="P293" s="21">
        <v>183.2</v>
      </c>
      <c r="S293" s="22">
        <f>ROUND(ROUND(P293, 2)*I293, 2)</f>
        <v>111027.99</v>
      </c>
      <c r="V293" s="9">
        <f>ROUND(ROUND(P293, 2)/1.2, 2)</f>
        <v>152.66999999999999</v>
      </c>
      <c r="Y293" s="9">
        <f t="shared" si="20"/>
        <v>92523.33</v>
      </c>
      <c r="AD293" s="4" t="s">
        <v>1251</v>
      </c>
      <c r="AE293" s="4" t="s">
        <v>1252</v>
      </c>
      <c r="AF293" s="4" t="s">
        <v>1115</v>
      </c>
    </row>
    <row r="294" spans="1:35" ht="36" x14ac:dyDescent="0.3">
      <c r="A294" s="10" t="s">
        <v>1253</v>
      </c>
      <c r="B294" s="10"/>
      <c r="C294" s="24" t="s">
        <v>433</v>
      </c>
      <c r="D294" s="12"/>
      <c r="E294" s="12"/>
      <c r="F294" s="18" t="s">
        <v>70</v>
      </c>
      <c r="G294" s="19">
        <v>0.15</v>
      </c>
      <c r="H294" s="19"/>
      <c r="I294" s="19">
        <v>303.024</v>
      </c>
      <c r="J294" s="21">
        <v>88.8</v>
      </c>
      <c r="M294" s="22">
        <f>ROUND(ROUND(J294, 2)*I294, 2)</f>
        <v>26908.53</v>
      </c>
      <c r="P294" s="21">
        <v>88.8</v>
      </c>
      <c r="S294" s="22">
        <f>ROUND(ROUND(P294, 2)*I294, 2)</f>
        <v>26908.53</v>
      </c>
      <c r="V294" s="9">
        <f>ROUND(ROUND(P294, 2)/1.2, 2)</f>
        <v>74</v>
      </c>
      <c r="Y294" s="9">
        <f t="shared" si="20"/>
        <v>22423.78</v>
      </c>
      <c r="AD294" s="4" t="s">
        <v>1254</v>
      </c>
      <c r="AE294" s="4" t="s">
        <v>1255</v>
      </c>
      <c r="AF294" s="4" t="s">
        <v>436</v>
      </c>
    </row>
    <row r="295" spans="1:35" ht="36" x14ac:dyDescent="0.3">
      <c r="A295" s="10" t="s">
        <v>1256</v>
      </c>
      <c r="B295" s="10" t="s">
        <v>1170</v>
      </c>
      <c r="C295" s="11" t="s">
        <v>1171</v>
      </c>
      <c r="D295" s="12"/>
      <c r="E295" s="12" t="s">
        <v>1257</v>
      </c>
      <c r="F295" s="12" t="s">
        <v>64</v>
      </c>
      <c r="G295" s="13">
        <v>1</v>
      </c>
      <c r="H295" s="13"/>
      <c r="I295" s="13">
        <v>141.44999999999999</v>
      </c>
      <c r="J295" s="14">
        <f>IFERROR(ROUND(SUM(M296,M297)/I295, 2),0)</f>
        <v>13.32</v>
      </c>
      <c r="K295" s="15">
        <v>428</v>
      </c>
      <c r="L295" s="14">
        <f>J295+ROUND(K295, 2)</f>
        <v>441.32</v>
      </c>
      <c r="M295" s="14">
        <f>ROUND(J295*I295, 2)</f>
        <v>1884.11</v>
      </c>
      <c r="N295" s="14">
        <f>ROUND(I295*ROUND(K295, 2), 2)</f>
        <v>60540.6</v>
      </c>
      <c r="O295" s="14">
        <f>M295+N295</f>
        <v>62424.71</v>
      </c>
      <c r="P295" s="14">
        <f>IFERROR(ROUND(SUM(S296,S297)/I295, 2),0)</f>
        <v>75.27</v>
      </c>
      <c r="Q295" s="15">
        <v>428</v>
      </c>
      <c r="R295" s="14">
        <f>P295+ROUND(Q295, 2)</f>
        <v>503.27</v>
      </c>
      <c r="S295" s="14">
        <f>ROUND(P295*I295, 2)</f>
        <v>10646.94</v>
      </c>
      <c r="T295" s="14">
        <f>ROUND(I295*ROUND(Q295, 2), 2)</f>
        <v>60540.6</v>
      </c>
      <c r="U295" s="14">
        <f>S295+T295</f>
        <v>71187.539999999994</v>
      </c>
      <c r="V295" s="9">
        <f>ROUND(P295 / 1.2, 2)</f>
        <v>62.73</v>
      </c>
      <c r="W295" s="9">
        <f>ROUND(Q295 / 1.2, 2)</f>
        <v>356.67</v>
      </c>
      <c r="X295" s="9">
        <f>ROUND(R295 / 1.2, 2)</f>
        <v>419.39</v>
      </c>
      <c r="Y295" s="9">
        <f t="shared" si="20"/>
        <v>8872.4500000000007</v>
      </c>
      <c r="Z295" s="9">
        <f>ROUND(T295 / 1.2, 2)</f>
        <v>50450.5</v>
      </c>
      <c r="AA295" s="9">
        <f>Y295+Z295</f>
        <v>59322.95</v>
      </c>
      <c r="AD295" s="4">
        <v>298925408</v>
      </c>
      <c r="AE295" s="4">
        <v>19990917</v>
      </c>
      <c r="AG295" s="4" t="s">
        <v>1173</v>
      </c>
      <c r="AH295" s="4" t="s">
        <v>1174</v>
      </c>
      <c r="AI295" s="4" t="s">
        <v>67</v>
      </c>
    </row>
    <row r="296" spans="1:35" ht="36" x14ac:dyDescent="0.3">
      <c r="A296" s="10" t="s">
        <v>1258</v>
      </c>
      <c r="B296" s="10"/>
      <c r="C296" s="24" t="s">
        <v>433</v>
      </c>
      <c r="D296" s="12"/>
      <c r="E296" s="12"/>
      <c r="F296" s="18" t="s">
        <v>70</v>
      </c>
      <c r="G296" s="19">
        <v>0.15</v>
      </c>
      <c r="H296" s="19"/>
      <c r="I296" s="19">
        <v>21.218</v>
      </c>
      <c r="J296" s="21">
        <v>88.8</v>
      </c>
      <c r="M296" s="22">
        <f>ROUND(ROUND(J296, 2)*I296, 2)</f>
        <v>1884.16</v>
      </c>
      <c r="P296" s="21">
        <v>88.8</v>
      </c>
      <c r="S296" s="22">
        <f>ROUND(ROUND(P296, 2)*I296, 2)</f>
        <v>1884.16</v>
      </c>
      <c r="V296" s="9">
        <f>ROUND(ROUND(P296, 2)/1.2, 2)</f>
        <v>74</v>
      </c>
      <c r="Y296" s="9">
        <f t="shared" si="20"/>
        <v>1570.13</v>
      </c>
      <c r="AD296" s="4" t="s">
        <v>1259</v>
      </c>
      <c r="AE296" s="4" t="s">
        <v>1260</v>
      </c>
      <c r="AF296" s="4" t="s">
        <v>436</v>
      </c>
    </row>
    <row r="297" spans="1:35" ht="108" x14ac:dyDescent="0.3">
      <c r="A297" s="10" t="s">
        <v>1261</v>
      </c>
      <c r="B297" s="10"/>
      <c r="C297" s="24" t="s">
        <v>1091</v>
      </c>
      <c r="D297" s="12"/>
      <c r="E297" s="12" t="s">
        <v>1262</v>
      </c>
      <c r="F297" s="18" t="s">
        <v>70</v>
      </c>
      <c r="G297" s="19">
        <v>0.3</v>
      </c>
      <c r="H297" s="19"/>
      <c r="I297" s="19">
        <v>42.435000000000002</v>
      </c>
      <c r="J297" s="21">
        <v>0</v>
      </c>
      <c r="M297" s="22">
        <f>ROUND(ROUND(J297, 2)*I297, 2)</f>
        <v>0</v>
      </c>
      <c r="P297" s="21">
        <v>206.5</v>
      </c>
      <c r="S297" s="22">
        <f>ROUND(ROUND(P297, 2)*I297, 2)</f>
        <v>8762.83</v>
      </c>
      <c r="V297" s="9">
        <f>ROUND(ROUND(P297, 2)/1.2, 2)</f>
        <v>172.08</v>
      </c>
      <c r="Y297" s="9">
        <f t="shared" si="20"/>
        <v>7302.36</v>
      </c>
      <c r="AD297" s="4" t="s">
        <v>1263</v>
      </c>
      <c r="AE297" s="4" t="s">
        <v>1264</v>
      </c>
      <c r="AF297" s="4" t="s">
        <v>1095</v>
      </c>
    </row>
    <row r="298" spans="1:35" ht="36" x14ac:dyDescent="0.3">
      <c r="A298" s="10" t="s">
        <v>1265</v>
      </c>
      <c r="B298" s="10" t="s">
        <v>1170</v>
      </c>
      <c r="C298" s="11" t="s">
        <v>1171</v>
      </c>
      <c r="D298" s="12"/>
      <c r="E298" s="12" t="s">
        <v>1266</v>
      </c>
      <c r="F298" s="12" t="s">
        <v>64</v>
      </c>
      <c r="G298" s="13">
        <v>1</v>
      </c>
      <c r="H298" s="13"/>
      <c r="I298" s="13">
        <v>25.11</v>
      </c>
      <c r="J298" s="14">
        <f>IFERROR(ROUND(SUM(M299,M300)/I298, 2),0)</f>
        <v>13.32</v>
      </c>
      <c r="K298" s="15">
        <v>428</v>
      </c>
      <c r="L298" s="14">
        <f>J298+ROUND(K298, 2)</f>
        <v>441.32</v>
      </c>
      <c r="M298" s="14">
        <f>ROUND(J298*I298, 2)</f>
        <v>334.47</v>
      </c>
      <c r="N298" s="14">
        <f>ROUND(I298*ROUND(K298, 2), 2)</f>
        <v>10747.08</v>
      </c>
      <c r="O298" s="14">
        <f>M298+N298</f>
        <v>11081.55</v>
      </c>
      <c r="P298" s="14">
        <f>IFERROR(ROUND(SUM(S299,S300)/I298, 2),0)</f>
        <v>75.27</v>
      </c>
      <c r="Q298" s="15">
        <v>428</v>
      </c>
      <c r="R298" s="14">
        <f>P298+ROUND(Q298, 2)</f>
        <v>503.27</v>
      </c>
      <c r="S298" s="14">
        <f>ROUND(P298*I298, 2)</f>
        <v>1890.03</v>
      </c>
      <c r="T298" s="14">
        <f>ROUND(I298*ROUND(Q298, 2), 2)</f>
        <v>10747.08</v>
      </c>
      <c r="U298" s="14">
        <f>S298+T298</f>
        <v>12637.11</v>
      </c>
      <c r="V298" s="9">
        <f>ROUND(P298 / 1.2, 2)</f>
        <v>62.73</v>
      </c>
      <c r="W298" s="9">
        <f>ROUND(Q298 / 1.2, 2)</f>
        <v>356.67</v>
      </c>
      <c r="X298" s="9">
        <f>ROUND(R298 / 1.2, 2)</f>
        <v>419.39</v>
      </c>
      <c r="Y298" s="9">
        <f t="shared" si="20"/>
        <v>1575.03</v>
      </c>
      <c r="Z298" s="9">
        <f>ROUND(T298 / 1.2, 2)</f>
        <v>8955.9</v>
      </c>
      <c r="AA298" s="9">
        <f>Y298+Z298</f>
        <v>10530.93</v>
      </c>
      <c r="AD298" s="4">
        <v>298925409</v>
      </c>
      <c r="AE298" s="4">
        <v>19990915</v>
      </c>
      <c r="AG298" s="4" t="s">
        <v>1173</v>
      </c>
      <c r="AH298" s="4" t="s">
        <v>1174</v>
      </c>
      <c r="AI298" s="4" t="s">
        <v>67</v>
      </c>
    </row>
    <row r="299" spans="1:35" ht="108" x14ac:dyDescent="0.3">
      <c r="A299" s="10" t="s">
        <v>1267</v>
      </c>
      <c r="B299" s="10"/>
      <c r="C299" s="24" t="s">
        <v>1091</v>
      </c>
      <c r="D299" s="12"/>
      <c r="E299" s="12" t="s">
        <v>1268</v>
      </c>
      <c r="F299" s="18" t="s">
        <v>70</v>
      </c>
      <c r="G299" s="19">
        <v>0.3</v>
      </c>
      <c r="H299" s="19"/>
      <c r="I299" s="19">
        <v>7.5330000000000004</v>
      </c>
      <c r="J299" s="21">
        <v>0</v>
      </c>
      <c r="M299" s="22">
        <f>ROUND(ROUND(J299, 2)*I299, 2)</f>
        <v>0</v>
      </c>
      <c r="P299" s="21">
        <v>206.5</v>
      </c>
      <c r="S299" s="22">
        <f>ROUND(ROUND(P299, 2)*I299, 2)</f>
        <v>1555.56</v>
      </c>
      <c r="V299" s="9">
        <f>ROUND(ROUND(P299, 2)/1.2, 2)</f>
        <v>172.08</v>
      </c>
      <c r="Y299" s="9">
        <f t="shared" si="20"/>
        <v>1296.3</v>
      </c>
      <c r="AD299" s="4" t="s">
        <v>1269</v>
      </c>
      <c r="AE299" s="4" t="s">
        <v>1270</v>
      </c>
      <c r="AF299" s="4" t="s">
        <v>1095</v>
      </c>
    </row>
    <row r="300" spans="1:35" ht="36" x14ac:dyDescent="0.3">
      <c r="A300" s="10" t="s">
        <v>1271</v>
      </c>
      <c r="B300" s="10"/>
      <c r="C300" s="24" t="s">
        <v>433</v>
      </c>
      <c r="D300" s="12"/>
      <c r="E300" s="12"/>
      <c r="F300" s="18" t="s">
        <v>70</v>
      </c>
      <c r="G300" s="19">
        <v>0.15</v>
      </c>
      <c r="H300" s="19"/>
      <c r="I300" s="19">
        <v>3.7669999999999999</v>
      </c>
      <c r="J300" s="21">
        <v>88.8</v>
      </c>
      <c r="M300" s="22">
        <f>ROUND(ROUND(J300, 2)*I300, 2)</f>
        <v>334.51</v>
      </c>
      <c r="P300" s="21">
        <v>88.8</v>
      </c>
      <c r="S300" s="22">
        <f>ROUND(ROUND(P300, 2)*I300, 2)</f>
        <v>334.51</v>
      </c>
      <c r="V300" s="9">
        <f>ROUND(ROUND(P300, 2)/1.2, 2)</f>
        <v>74</v>
      </c>
      <c r="Y300" s="9">
        <f t="shared" ref="Y300:Y331" si="21">ROUND(S300 / 1.2, 2)</f>
        <v>278.76</v>
      </c>
      <c r="AD300" s="4" t="s">
        <v>1272</v>
      </c>
      <c r="AE300" s="4" t="s">
        <v>1273</v>
      </c>
      <c r="AF300" s="4" t="s">
        <v>436</v>
      </c>
    </row>
    <row r="301" spans="1:35" ht="36" x14ac:dyDescent="0.3">
      <c r="A301" s="10" t="s">
        <v>1274</v>
      </c>
      <c r="B301" s="10" t="s">
        <v>1170</v>
      </c>
      <c r="C301" s="11" t="s">
        <v>1171</v>
      </c>
      <c r="D301" s="12"/>
      <c r="E301" s="12" t="s">
        <v>1275</v>
      </c>
      <c r="F301" s="12" t="s">
        <v>64</v>
      </c>
      <c r="G301" s="13">
        <v>1</v>
      </c>
      <c r="H301" s="13"/>
      <c r="I301" s="13">
        <v>4509.45</v>
      </c>
      <c r="J301" s="14">
        <f>IFERROR(ROUND(SUM(M302,M303)/I301, 2),0)</f>
        <v>13.32</v>
      </c>
      <c r="K301" s="15">
        <v>428</v>
      </c>
      <c r="L301" s="14">
        <f>J301+ROUND(K301, 2)</f>
        <v>441.32</v>
      </c>
      <c r="M301" s="14">
        <f>ROUND(J301*I301, 2)</f>
        <v>60065.87</v>
      </c>
      <c r="N301" s="14">
        <f>ROUND(I301*ROUND(K301, 2), 2)</f>
        <v>1930044.6</v>
      </c>
      <c r="O301" s="14">
        <f>M301+N301</f>
        <v>1990110.4700000002</v>
      </c>
      <c r="P301" s="14">
        <f>IFERROR(ROUND(SUM(S302,S303)/I301, 2),0)</f>
        <v>68.28</v>
      </c>
      <c r="Q301" s="15">
        <v>428</v>
      </c>
      <c r="R301" s="14">
        <f>P301+ROUND(Q301, 2)</f>
        <v>496.28</v>
      </c>
      <c r="S301" s="14">
        <f>ROUND(P301*I301, 2)</f>
        <v>307905.25</v>
      </c>
      <c r="T301" s="14">
        <f>ROUND(I301*ROUND(Q301, 2), 2)</f>
        <v>1930044.6</v>
      </c>
      <c r="U301" s="14">
        <f>S301+T301</f>
        <v>2237949.85</v>
      </c>
      <c r="V301" s="9">
        <f>ROUND(P301 / 1.2, 2)</f>
        <v>56.9</v>
      </c>
      <c r="W301" s="9">
        <f>ROUND(Q301 / 1.2, 2)</f>
        <v>356.67</v>
      </c>
      <c r="X301" s="9">
        <f>ROUND(R301 / 1.2, 2)</f>
        <v>413.57</v>
      </c>
      <c r="Y301" s="9">
        <f t="shared" si="21"/>
        <v>256587.71</v>
      </c>
      <c r="Z301" s="9">
        <f>ROUND(T301 / 1.2, 2)</f>
        <v>1608370.5</v>
      </c>
      <c r="AA301" s="9">
        <f>Y301+Z301</f>
        <v>1864958.21</v>
      </c>
      <c r="AD301" s="4">
        <v>298925410</v>
      </c>
      <c r="AE301" s="4">
        <v>19991512</v>
      </c>
      <c r="AG301" s="4" t="s">
        <v>1173</v>
      </c>
      <c r="AH301" s="4" t="s">
        <v>1174</v>
      </c>
      <c r="AI301" s="4" t="s">
        <v>67</v>
      </c>
    </row>
    <row r="302" spans="1:35" ht="36" x14ac:dyDescent="0.3">
      <c r="A302" s="10" t="s">
        <v>1276</v>
      </c>
      <c r="B302" s="10"/>
      <c r="C302" s="24" t="s">
        <v>433</v>
      </c>
      <c r="D302" s="12"/>
      <c r="E302" s="12"/>
      <c r="F302" s="18" t="s">
        <v>70</v>
      </c>
      <c r="G302" s="19">
        <v>0.15</v>
      </c>
      <c r="H302" s="19"/>
      <c r="I302" s="19">
        <v>676.41800000000001</v>
      </c>
      <c r="J302" s="21">
        <v>88.8</v>
      </c>
      <c r="M302" s="22">
        <f>ROUND(ROUND(J302, 2)*I302, 2)</f>
        <v>60065.919999999998</v>
      </c>
      <c r="P302" s="21">
        <v>88.8</v>
      </c>
      <c r="S302" s="22">
        <f>ROUND(ROUND(P302, 2)*I302, 2)</f>
        <v>60065.919999999998</v>
      </c>
      <c r="V302" s="9">
        <f>ROUND(ROUND(P302, 2)/1.2, 2)</f>
        <v>74</v>
      </c>
      <c r="Y302" s="9">
        <f t="shared" si="21"/>
        <v>50054.93</v>
      </c>
      <c r="AD302" s="4" t="s">
        <v>1277</v>
      </c>
      <c r="AE302" s="4" t="s">
        <v>1278</v>
      </c>
      <c r="AF302" s="4" t="s">
        <v>436</v>
      </c>
    </row>
    <row r="303" spans="1:35" ht="108" x14ac:dyDescent="0.3">
      <c r="A303" s="10" t="s">
        <v>1279</v>
      </c>
      <c r="B303" s="10"/>
      <c r="C303" s="24" t="s">
        <v>1176</v>
      </c>
      <c r="D303" s="12"/>
      <c r="E303" s="12" t="s">
        <v>1177</v>
      </c>
      <c r="F303" s="18" t="s">
        <v>70</v>
      </c>
      <c r="G303" s="19">
        <v>0.3</v>
      </c>
      <c r="H303" s="19"/>
      <c r="I303" s="19">
        <v>1352.835</v>
      </c>
      <c r="J303" s="21">
        <v>0</v>
      </c>
      <c r="M303" s="22">
        <f>ROUND(ROUND(J303, 2)*I303, 2)</f>
        <v>0</v>
      </c>
      <c r="P303" s="21">
        <v>183.2</v>
      </c>
      <c r="S303" s="22">
        <f>ROUND(ROUND(P303, 2)*I303, 2)</f>
        <v>247839.37</v>
      </c>
      <c r="V303" s="9">
        <f>ROUND(ROUND(P303, 2)/1.2, 2)</f>
        <v>152.66999999999999</v>
      </c>
      <c r="Y303" s="9">
        <f t="shared" si="21"/>
        <v>206532.81</v>
      </c>
      <c r="AD303" s="4" t="s">
        <v>1280</v>
      </c>
      <c r="AE303" s="4" t="s">
        <v>1281</v>
      </c>
      <c r="AF303" s="4" t="s">
        <v>1180</v>
      </c>
    </row>
    <row r="304" spans="1:35" ht="36" x14ac:dyDescent="0.3">
      <c r="A304" s="10" t="s">
        <v>1282</v>
      </c>
      <c r="B304" s="10" t="s">
        <v>1170</v>
      </c>
      <c r="C304" s="11" t="s">
        <v>1171</v>
      </c>
      <c r="D304" s="12"/>
      <c r="E304" s="12" t="s">
        <v>1283</v>
      </c>
      <c r="F304" s="12" t="s">
        <v>64</v>
      </c>
      <c r="G304" s="13">
        <v>1</v>
      </c>
      <c r="H304" s="13"/>
      <c r="I304" s="13">
        <v>8.64</v>
      </c>
      <c r="J304" s="14">
        <f>IFERROR(ROUND(SUM(M305,M306)/I304, 2),0)</f>
        <v>13.32</v>
      </c>
      <c r="K304" s="15">
        <v>428</v>
      </c>
      <c r="L304" s="14">
        <f>J304+ROUND(K304, 2)</f>
        <v>441.32</v>
      </c>
      <c r="M304" s="14">
        <f>ROUND(J304*I304, 2)</f>
        <v>115.08</v>
      </c>
      <c r="N304" s="14">
        <f>ROUND(I304*ROUND(K304, 2), 2)</f>
        <v>3697.92</v>
      </c>
      <c r="O304" s="14">
        <f>M304+N304</f>
        <v>3813</v>
      </c>
      <c r="P304" s="14">
        <f>IFERROR(ROUND(SUM(S305,S306)/I304, 2),0)</f>
        <v>75.27</v>
      </c>
      <c r="Q304" s="15">
        <v>428</v>
      </c>
      <c r="R304" s="14">
        <f>P304+ROUND(Q304, 2)</f>
        <v>503.27</v>
      </c>
      <c r="S304" s="14">
        <f>ROUND(P304*I304, 2)</f>
        <v>650.33000000000004</v>
      </c>
      <c r="T304" s="14">
        <f>ROUND(I304*ROUND(Q304, 2), 2)</f>
        <v>3697.92</v>
      </c>
      <c r="U304" s="14">
        <f>S304+T304</f>
        <v>4348.25</v>
      </c>
      <c r="V304" s="9">
        <f>ROUND(P304 / 1.2, 2)</f>
        <v>62.73</v>
      </c>
      <c r="W304" s="9">
        <f>ROUND(Q304 / 1.2, 2)</f>
        <v>356.67</v>
      </c>
      <c r="X304" s="9">
        <f>ROUND(R304 / 1.2, 2)</f>
        <v>419.39</v>
      </c>
      <c r="Y304" s="9">
        <f t="shared" si="21"/>
        <v>541.94000000000005</v>
      </c>
      <c r="Z304" s="9">
        <f>ROUND(T304 / 1.2, 2)</f>
        <v>3081.6</v>
      </c>
      <c r="AA304" s="9">
        <f>Y304+Z304</f>
        <v>3623.54</v>
      </c>
      <c r="AD304" s="4">
        <v>298925411</v>
      </c>
      <c r="AE304" s="4">
        <v>19991513</v>
      </c>
      <c r="AG304" s="4" t="s">
        <v>1173</v>
      </c>
      <c r="AH304" s="4" t="s">
        <v>1174</v>
      </c>
      <c r="AI304" s="4" t="s">
        <v>67</v>
      </c>
    </row>
    <row r="305" spans="1:35" ht="108" x14ac:dyDescent="0.3">
      <c r="A305" s="10" t="s">
        <v>1284</v>
      </c>
      <c r="B305" s="10"/>
      <c r="C305" s="24" t="s">
        <v>1091</v>
      </c>
      <c r="D305" s="12"/>
      <c r="E305" s="12" t="s">
        <v>1190</v>
      </c>
      <c r="F305" s="18" t="s">
        <v>70</v>
      </c>
      <c r="G305" s="19">
        <v>0.3</v>
      </c>
      <c r="H305" s="19"/>
      <c r="I305" s="19">
        <v>2.5920000000000001</v>
      </c>
      <c r="J305" s="21">
        <v>0</v>
      </c>
      <c r="M305" s="22">
        <f>ROUND(ROUND(J305, 2)*I305, 2)</f>
        <v>0</v>
      </c>
      <c r="P305" s="21">
        <v>206.5</v>
      </c>
      <c r="S305" s="22">
        <f>ROUND(ROUND(P305, 2)*I305, 2)</f>
        <v>535.25</v>
      </c>
      <c r="V305" s="9">
        <f>ROUND(ROUND(P305, 2)/1.2, 2)</f>
        <v>172.08</v>
      </c>
      <c r="Y305" s="9">
        <f t="shared" si="21"/>
        <v>446.04</v>
      </c>
      <c r="AD305" s="4" t="s">
        <v>1285</v>
      </c>
      <c r="AE305" s="4" t="s">
        <v>1286</v>
      </c>
      <c r="AF305" s="4" t="s">
        <v>1095</v>
      </c>
    </row>
    <row r="306" spans="1:35" ht="36" x14ac:dyDescent="0.3">
      <c r="A306" s="10" t="s">
        <v>1287</v>
      </c>
      <c r="B306" s="10"/>
      <c r="C306" s="24" t="s">
        <v>433</v>
      </c>
      <c r="D306" s="12"/>
      <c r="E306" s="12"/>
      <c r="F306" s="18" t="s">
        <v>70</v>
      </c>
      <c r="G306" s="19">
        <v>0.15</v>
      </c>
      <c r="H306" s="19"/>
      <c r="I306" s="19">
        <v>1.296</v>
      </c>
      <c r="J306" s="21">
        <v>88.8</v>
      </c>
      <c r="M306" s="22">
        <f>ROUND(ROUND(J306, 2)*I306, 2)</f>
        <v>115.08</v>
      </c>
      <c r="P306" s="21">
        <v>88.8</v>
      </c>
      <c r="S306" s="22">
        <f>ROUND(ROUND(P306, 2)*I306, 2)</f>
        <v>115.08</v>
      </c>
      <c r="V306" s="9">
        <f>ROUND(ROUND(P306, 2)/1.2, 2)</f>
        <v>74</v>
      </c>
      <c r="Y306" s="9">
        <f t="shared" si="21"/>
        <v>95.9</v>
      </c>
      <c r="AD306" s="4" t="s">
        <v>1288</v>
      </c>
      <c r="AE306" s="4" t="s">
        <v>1289</v>
      </c>
      <c r="AF306" s="4" t="s">
        <v>436</v>
      </c>
    </row>
    <row r="307" spans="1:35" ht="36" x14ac:dyDescent="0.3">
      <c r="A307" s="10" t="s">
        <v>1290</v>
      </c>
      <c r="B307" s="10" t="s">
        <v>1170</v>
      </c>
      <c r="C307" s="11" t="s">
        <v>1171</v>
      </c>
      <c r="D307" s="12"/>
      <c r="E307" s="12" t="s">
        <v>1291</v>
      </c>
      <c r="F307" s="12" t="s">
        <v>64</v>
      </c>
      <c r="G307" s="13">
        <v>1</v>
      </c>
      <c r="H307" s="13"/>
      <c r="I307" s="13">
        <v>34.68</v>
      </c>
      <c r="J307" s="14">
        <f>IFERROR(ROUND(SUM(M308,M309)/I307, 2),0)</f>
        <v>13.32</v>
      </c>
      <c r="K307" s="15">
        <v>428</v>
      </c>
      <c r="L307" s="14">
        <f>J307+ROUND(K307, 2)</f>
        <v>441.32</v>
      </c>
      <c r="M307" s="14">
        <f>ROUND(J307*I307, 2)</f>
        <v>461.94</v>
      </c>
      <c r="N307" s="14">
        <f>ROUND(I307*ROUND(K307, 2), 2)</f>
        <v>14843.04</v>
      </c>
      <c r="O307" s="14">
        <f>M307+N307</f>
        <v>15304.980000000001</v>
      </c>
      <c r="P307" s="14">
        <f>IFERROR(ROUND(SUM(S308,S309)/I307, 2),0)</f>
        <v>75.27</v>
      </c>
      <c r="Q307" s="15">
        <v>428</v>
      </c>
      <c r="R307" s="14">
        <f>P307+ROUND(Q307, 2)</f>
        <v>503.27</v>
      </c>
      <c r="S307" s="14">
        <f>ROUND(P307*I307, 2)</f>
        <v>2610.36</v>
      </c>
      <c r="T307" s="14">
        <f>ROUND(I307*ROUND(Q307, 2), 2)</f>
        <v>14843.04</v>
      </c>
      <c r="U307" s="14">
        <f>S307+T307</f>
        <v>17453.400000000001</v>
      </c>
      <c r="V307" s="9">
        <f>ROUND(P307 / 1.2, 2)</f>
        <v>62.73</v>
      </c>
      <c r="W307" s="9">
        <f>ROUND(Q307 / 1.2, 2)</f>
        <v>356.67</v>
      </c>
      <c r="X307" s="9">
        <f>ROUND(R307 / 1.2, 2)</f>
        <v>419.39</v>
      </c>
      <c r="Y307" s="9">
        <f t="shared" si="21"/>
        <v>2175.3000000000002</v>
      </c>
      <c r="Z307" s="9">
        <f>ROUND(T307 / 1.2, 2)</f>
        <v>12369.2</v>
      </c>
      <c r="AA307" s="9">
        <f>Y307+Z307</f>
        <v>14544.5</v>
      </c>
      <c r="AD307" s="4">
        <v>298925412</v>
      </c>
      <c r="AE307" s="4">
        <v>19991514</v>
      </c>
      <c r="AG307" s="4" t="s">
        <v>1173</v>
      </c>
      <c r="AH307" s="4" t="s">
        <v>1174</v>
      </c>
      <c r="AI307" s="4" t="s">
        <v>67</v>
      </c>
    </row>
    <row r="308" spans="1:35" ht="36" x14ac:dyDescent="0.3">
      <c r="A308" s="10" t="s">
        <v>1292</v>
      </c>
      <c r="B308" s="10"/>
      <c r="C308" s="24" t="s">
        <v>433</v>
      </c>
      <c r="D308" s="12"/>
      <c r="E308" s="12"/>
      <c r="F308" s="18" t="s">
        <v>70</v>
      </c>
      <c r="G308" s="19">
        <v>0.15</v>
      </c>
      <c r="H308" s="19"/>
      <c r="I308" s="19">
        <v>5.202</v>
      </c>
      <c r="J308" s="21">
        <v>88.8</v>
      </c>
      <c r="M308" s="22">
        <f>ROUND(ROUND(J308, 2)*I308, 2)</f>
        <v>461.94</v>
      </c>
      <c r="P308" s="21">
        <v>88.8</v>
      </c>
      <c r="S308" s="22">
        <f>ROUND(ROUND(P308, 2)*I308, 2)</f>
        <v>461.94</v>
      </c>
      <c r="V308" s="9">
        <f>ROUND(ROUND(P308, 2)/1.2, 2)</f>
        <v>74</v>
      </c>
      <c r="Y308" s="9">
        <f t="shared" si="21"/>
        <v>384.95</v>
      </c>
      <c r="AD308" s="4" t="s">
        <v>1293</v>
      </c>
      <c r="AE308" s="4" t="s">
        <v>1294</v>
      </c>
      <c r="AF308" s="4" t="s">
        <v>436</v>
      </c>
    </row>
    <row r="309" spans="1:35" ht="108" x14ac:dyDescent="0.3">
      <c r="A309" s="10" t="s">
        <v>1295</v>
      </c>
      <c r="B309" s="10"/>
      <c r="C309" s="24" t="s">
        <v>1091</v>
      </c>
      <c r="D309" s="12"/>
      <c r="E309" s="12" t="s">
        <v>1196</v>
      </c>
      <c r="F309" s="18" t="s">
        <v>70</v>
      </c>
      <c r="G309" s="19">
        <v>0.3</v>
      </c>
      <c r="H309" s="19"/>
      <c r="I309" s="19">
        <v>10.404</v>
      </c>
      <c r="J309" s="21">
        <v>0</v>
      </c>
      <c r="M309" s="22">
        <f>ROUND(ROUND(J309, 2)*I309, 2)</f>
        <v>0</v>
      </c>
      <c r="P309" s="21">
        <v>206.5</v>
      </c>
      <c r="S309" s="22">
        <f>ROUND(ROUND(P309, 2)*I309, 2)</f>
        <v>2148.4299999999998</v>
      </c>
      <c r="V309" s="9">
        <f>ROUND(ROUND(P309, 2)/1.2, 2)</f>
        <v>172.08</v>
      </c>
      <c r="Y309" s="9">
        <f t="shared" si="21"/>
        <v>1790.36</v>
      </c>
      <c r="AD309" s="4" t="s">
        <v>1296</v>
      </c>
      <c r="AE309" s="4" t="s">
        <v>1297</v>
      </c>
      <c r="AF309" s="4" t="s">
        <v>1095</v>
      </c>
    </row>
    <row r="310" spans="1:35" ht="36" x14ac:dyDescent="0.3">
      <c r="A310" s="10" t="s">
        <v>1298</v>
      </c>
      <c r="B310" s="10" t="s">
        <v>1170</v>
      </c>
      <c r="C310" s="11" t="s">
        <v>1171</v>
      </c>
      <c r="D310" s="12"/>
      <c r="E310" s="12" t="s">
        <v>1299</v>
      </c>
      <c r="F310" s="12" t="s">
        <v>64</v>
      </c>
      <c r="G310" s="13">
        <v>1</v>
      </c>
      <c r="H310" s="13"/>
      <c r="I310" s="13">
        <v>24.37</v>
      </c>
      <c r="J310" s="14">
        <f>IFERROR(ROUND(SUM(M311,M312)/I310, 2),0)</f>
        <v>13.32</v>
      </c>
      <c r="K310" s="15">
        <v>428</v>
      </c>
      <c r="L310" s="14">
        <f>J310+ROUND(K310, 2)</f>
        <v>441.32</v>
      </c>
      <c r="M310" s="14">
        <f>ROUND(J310*I310, 2)</f>
        <v>324.61</v>
      </c>
      <c r="N310" s="14">
        <f>ROUND(I310*ROUND(K310, 2), 2)</f>
        <v>10430.36</v>
      </c>
      <c r="O310" s="14">
        <f>M310+N310</f>
        <v>10754.970000000001</v>
      </c>
      <c r="P310" s="14">
        <f>IFERROR(ROUND(SUM(S311,S312)/I310, 2),0)</f>
        <v>75.27</v>
      </c>
      <c r="Q310" s="15">
        <v>428</v>
      </c>
      <c r="R310" s="14">
        <f>P310+ROUND(Q310, 2)</f>
        <v>503.27</v>
      </c>
      <c r="S310" s="14">
        <f>ROUND(P310*I310, 2)</f>
        <v>1834.33</v>
      </c>
      <c r="T310" s="14">
        <f>ROUND(I310*ROUND(Q310, 2), 2)</f>
        <v>10430.36</v>
      </c>
      <c r="U310" s="14">
        <f>S310+T310</f>
        <v>12264.69</v>
      </c>
      <c r="V310" s="9">
        <f>ROUND(P310 / 1.2, 2)</f>
        <v>62.73</v>
      </c>
      <c r="W310" s="9">
        <f>ROUND(Q310 / 1.2, 2)</f>
        <v>356.67</v>
      </c>
      <c r="X310" s="9">
        <f>ROUND(R310 / 1.2, 2)</f>
        <v>419.39</v>
      </c>
      <c r="Y310" s="9">
        <f t="shared" si="21"/>
        <v>1528.61</v>
      </c>
      <c r="Z310" s="9">
        <f>ROUND(T310 / 1.2, 2)</f>
        <v>8691.9699999999993</v>
      </c>
      <c r="AA310" s="9">
        <f>Y310+Z310</f>
        <v>10220.58</v>
      </c>
      <c r="AD310" s="4">
        <v>298925413</v>
      </c>
      <c r="AE310" s="4">
        <v>19991515</v>
      </c>
      <c r="AG310" s="4" t="s">
        <v>1173</v>
      </c>
      <c r="AH310" s="4" t="s">
        <v>1174</v>
      </c>
      <c r="AI310" s="4" t="s">
        <v>67</v>
      </c>
    </row>
    <row r="311" spans="1:35" ht="108" x14ac:dyDescent="0.3">
      <c r="A311" s="10" t="s">
        <v>1300</v>
      </c>
      <c r="B311" s="10"/>
      <c r="C311" s="24" t="s">
        <v>1091</v>
      </c>
      <c r="D311" s="12"/>
      <c r="E311" s="12" t="s">
        <v>1208</v>
      </c>
      <c r="F311" s="18" t="s">
        <v>70</v>
      </c>
      <c r="G311" s="19">
        <v>0.3</v>
      </c>
      <c r="H311" s="19"/>
      <c r="I311" s="19">
        <v>7.3109999999999999</v>
      </c>
      <c r="J311" s="21">
        <v>0</v>
      </c>
      <c r="M311" s="22">
        <f>ROUND(ROUND(J311, 2)*I311, 2)</f>
        <v>0</v>
      </c>
      <c r="P311" s="21">
        <v>206.5</v>
      </c>
      <c r="S311" s="22">
        <f>ROUND(ROUND(P311, 2)*I311, 2)</f>
        <v>1509.72</v>
      </c>
      <c r="V311" s="9">
        <f>ROUND(ROUND(P311, 2)/1.2, 2)</f>
        <v>172.08</v>
      </c>
      <c r="Y311" s="9">
        <f t="shared" si="21"/>
        <v>1258.0999999999999</v>
      </c>
      <c r="AD311" s="4" t="s">
        <v>1301</v>
      </c>
      <c r="AE311" s="4" t="s">
        <v>1302</v>
      </c>
      <c r="AF311" s="4" t="s">
        <v>1095</v>
      </c>
    </row>
    <row r="312" spans="1:35" ht="36" x14ac:dyDescent="0.3">
      <c r="A312" s="10" t="s">
        <v>1303</v>
      </c>
      <c r="B312" s="10"/>
      <c r="C312" s="24" t="s">
        <v>433</v>
      </c>
      <c r="D312" s="12"/>
      <c r="E312" s="12"/>
      <c r="F312" s="18" t="s">
        <v>70</v>
      </c>
      <c r="G312" s="19">
        <v>0.15</v>
      </c>
      <c r="H312" s="19"/>
      <c r="I312" s="19">
        <v>3.6560000000000001</v>
      </c>
      <c r="J312" s="21">
        <v>88.8</v>
      </c>
      <c r="M312" s="22">
        <f>ROUND(ROUND(J312, 2)*I312, 2)</f>
        <v>324.64999999999998</v>
      </c>
      <c r="P312" s="21">
        <v>88.8</v>
      </c>
      <c r="S312" s="22">
        <f>ROUND(ROUND(P312, 2)*I312, 2)</f>
        <v>324.64999999999998</v>
      </c>
      <c r="V312" s="9">
        <f>ROUND(ROUND(P312, 2)/1.2, 2)</f>
        <v>74</v>
      </c>
      <c r="Y312" s="9">
        <f t="shared" si="21"/>
        <v>270.54000000000002</v>
      </c>
      <c r="AD312" s="4" t="s">
        <v>1304</v>
      </c>
      <c r="AE312" s="4" t="s">
        <v>1305</v>
      </c>
      <c r="AF312" s="4" t="s">
        <v>436</v>
      </c>
    </row>
    <row r="313" spans="1:35" ht="36" x14ac:dyDescent="0.3">
      <c r="A313" s="10" t="s">
        <v>1306</v>
      </c>
      <c r="B313" s="10" t="s">
        <v>1170</v>
      </c>
      <c r="C313" s="11" t="s">
        <v>1171</v>
      </c>
      <c r="D313" s="12"/>
      <c r="E313" s="12" t="s">
        <v>1307</v>
      </c>
      <c r="F313" s="12" t="s">
        <v>64</v>
      </c>
      <c r="G313" s="13">
        <v>1</v>
      </c>
      <c r="H313" s="13"/>
      <c r="I313" s="13">
        <v>4.95</v>
      </c>
      <c r="J313" s="14">
        <f>IFERROR(ROUND(SUM(M314,M315)/I313, 2),0)</f>
        <v>13.33</v>
      </c>
      <c r="K313" s="15">
        <v>428</v>
      </c>
      <c r="L313" s="14">
        <f>J313+ROUND(K313, 2)</f>
        <v>441.33</v>
      </c>
      <c r="M313" s="14">
        <f>ROUND(J313*I313, 2)</f>
        <v>65.98</v>
      </c>
      <c r="N313" s="14">
        <f>ROUND(I313*ROUND(K313, 2), 2)</f>
        <v>2118.6</v>
      </c>
      <c r="O313" s="14">
        <f>M313+N313</f>
        <v>2184.58</v>
      </c>
      <c r="P313" s="14">
        <f>IFERROR(ROUND(SUM(S314,S315)/I313, 2),0)</f>
        <v>75.28</v>
      </c>
      <c r="Q313" s="15">
        <v>428</v>
      </c>
      <c r="R313" s="14">
        <f>P313+ROUND(Q313, 2)</f>
        <v>503.28</v>
      </c>
      <c r="S313" s="14">
        <f>ROUND(P313*I313, 2)</f>
        <v>372.64</v>
      </c>
      <c r="T313" s="14">
        <f>ROUND(I313*ROUND(Q313, 2), 2)</f>
        <v>2118.6</v>
      </c>
      <c r="U313" s="14">
        <f>S313+T313</f>
        <v>2491.2399999999998</v>
      </c>
      <c r="V313" s="9">
        <f>ROUND(P313 / 1.2, 2)</f>
        <v>62.73</v>
      </c>
      <c r="W313" s="9">
        <f>ROUND(Q313 / 1.2, 2)</f>
        <v>356.67</v>
      </c>
      <c r="X313" s="9">
        <f>ROUND(R313 / 1.2, 2)</f>
        <v>419.4</v>
      </c>
      <c r="Y313" s="9">
        <f t="shared" si="21"/>
        <v>310.52999999999997</v>
      </c>
      <c r="Z313" s="9">
        <f>ROUND(T313 / 1.2, 2)</f>
        <v>1765.5</v>
      </c>
      <c r="AA313" s="9">
        <f>Y313+Z313</f>
        <v>2076.0299999999997</v>
      </c>
      <c r="AD313" s="4">
        <v>298925414</v>
      </c>
      <c r="AE313" s="4">
        <v>19992002</v>
      </c>
      <c r="AG313" s="4" t="s">
        <v>1173</v>
      </c>
      <c r="AH313" s="4" t="s">
        <v>1174</v>
      </c>
      <c r="AI313" s="4" t="s">
        <v>67</v>
      </c>
    </row>
    <row r="314" spans="1:35" ht="36" x14ac:dyDescent="0.3">
      <c r="A314" s="10" t="s">
        <v>1308</v>
      </c>
      <c r="B314" s="10"/>
      <c r="C314" s="24" t="s">
        <v>433</v>
      </c>
      <c r="D314" s="12"/>
      <c r="E314" s="12"/>
      <c r="F314" s="18" t="s">
        <v>70</v>
      </c>
      <c r="G314" s="19">
        <v>0.15</v>
      </c>
      <c r="H314" s="19"/>
      <c r="I314" s="19">
        <v>0.74299999999999999</v>
      </c>
      <c r="J314" s="21">
        <v>88.8</v>
      </c>
      <c r="M314" s="22">
        <f>ROUND(ROUND(J314, 2)*I314, 2)</f>
        <v>65.98</v>
      </c>
      <c r="P314" s="21">
        <v>88.8</v>
      </c>
      <c r="S314" s="22">
        <f>ROUND(ROUND(P314, 2)*I314, 2)</f>
        <v>65.98</v>
      </c>
      <c r="V314" s="9">
        <f>ROUND(ROUND(P314, 2)/1.2, 2)</f>
        <v>74</v>
      </c>
      <c r="Y314" s="9">
        <f t="shared" si="21"/>
        <v>54.98</v>
      </c>
      <c r="AD314" s="4" t="s">
        <v>1309</v>
      </c>
      <c r="AE314" s="4" t="s">
        <v>1310</v>
      </c>
      <c r="AF314" s="4" t="s">
        <v>436</v>
      </c>
    </row>
    <row r="315" spans="1:35" ht="108" x14ac:dyDescent="0.3">
      <c r="A315" s="10" t="s">
        <v>1311</v>
      </c>
      <c r="B315" s="10"/>
      <c r="C315" s="24" t="s">
        <v>1091</v>
      </c>
      <c r="D315" s="12"/>
      <c r="E315" s="12" t="s">
        <v>1214</v>
      </c>
      <c r="F315" s="18" t="s">
        <v>70</v>
      </c>
      <c r="G315" s="19">
        <v>0.3</v>
      </c>
      <c r="H315" s="19"/>
      <c r="I315" s="19">
        <v>1.4850000000000001</v>
      </c>
      <c r="J315" s="21">
        <v>0</v>
      </c>
      <c r="M315" s="22">
        <f>ROUND(ROUND(J315, 2)*I315, 2)</f>
        <v>0</v>
      </c>
      <c r="P315" s="21">
        <v>206.5</v>
      </c>
      <c r="S315" s="22">
        <f>ROUND(ROUND(P315, 2)*I315, 2)</f>
        <v>306.64999999999998</v>
      </c>
      <c r="V315" s="9">
        <f>ROUND(ROUND(P315, 2)/1.2, 2)</f>
        <v>172.08</v>
      </c>
      <c r="Y315" s="9">
        <f t="shared" si="21"/>
        <v>255.54</v>
      </c>
      <c r="AD315" s="4" t="s">
        <v>1312</v>
      </c>
      <c r="AE315" s="4" t="s">
        <v>1313</v>
      </c>
      <c r="AF315" s="4" t="s">
        <v>1095</v>
      </c>
    </row>
    <row r="316" spans="1:35" ht="36" x14ac:dyDescent="0.3">
      <c r="A316" s="10" t="s">
        <v>1314</v>
      </c>
      <c r="B316" s="10" t="s">
        <v>1170</v>
      </c>
      <c r="C316" s="11" t="s">
        <v>1171</v>
      </c>
      <c r="D316" s="12"/>
      <c r="E316" s="12" t="s">
        <v>1315</v>
      </c>
      <c r="F316" s="12" t="s">
        <v>64</v>
      </c>
      <c r="G316" s="13">
        <v>1</v>
      </c>
      <c r="H316" s="13"/>
      <c r="I316" s="13">
        <v>11.73</v>
      </c>
      <c r="J316" s="14">
        <f>IFERROR(ROUND(SUM(M317,M318)/I316, 2),0)</f>
        <v>13.32</v>
      </c>
      <c r="K316" s="15">
        <v>428</v>
      </c>
      <c r="L316" s="14">
        <f>J316+ROUND(K316, 2)</f>
        <v>441.32</v>
      </c>
      <c r="M316" s="14">
        <f>ROUND(J316*I316, 2)</f>
        <v>156.24</v>
      </c>
      <c r="N316" s="14">
        <f>ROUND(I316*ROUND(K316, 2), 2)</f>
        <v>5020.4399999999996</v>
      </c>
      <c r="O316" s="14">
        <f>M316+N316</f>
        <v>5176.6799999999994</v>
      </c>
      <c r="P316" s="14">
        <f>IFERROR(ROUND(SUM(S317,S318)/I316, 2),0)</f>
        <v>75.27</v>
      </c>
      <c r="Q316" s="15">
        <v>428</v>
      </c>
      <c r="R316" s="14">
        <f>P316+ROUND(Q316, 2)</f>
        <v>503.27</v>
      </c>
      <c r="S316" s="14">
        <f>ROUND(P316*I316, 2)</f>
        <v>882.92</v>
      </c>
      <c r="T316" s="14">
        <f>ROUND(I316*ROUND(Q316, 2), 2)</f>
        <v>5020.4399999999996</v>
      </c>
      <c r="U316" s="14">
        <f>S316+T316</f>
        <v>5903.36</v>
      </c>
      <c r="V316" s="9">
        <f>ROUND(P316 / 1.2, 2)</f>
        <v>62.73</v>
      </c>
      <c r="W316" s="9">
        <f>ROUND(Q316 / 1.2, 2)</f>
        <v>356.67</v>
      </c>
      <c r="X316" s="9">
        <f>ROUND(R316 / 1.2, 2)</f>
        <v>419.39</v>
      </c>
      <c r="Y316" s="9">
        <f t="shared" si="21"/>
        <v>735.77</v>
      </c>
      <c r="Z316" s="9">
        <f>ROUND(T316 / 1.2, 2)</f>
        <v>4183.7</v>
      </c>
      <c r="AA316" s="9">
        <f>Y316+Z316</f>
        <v>4919.4699999999993</v>
      </c>
      <c r="AD316" s="4">
        <v>298925415</v>
      </c>
      <c r="AE316" s="4">
        <v>19992003</v>
      </c>
      <c r="AG316" s="4" t="s">
        <v>1173</v>
      </c>
      <c r="AH316" s="4" t="s">
        <v>1174</v>
      </c>
      <c r="AI316" s="4" t="s">
        <v>67</v>
      </c>
    </row>
    <row r="317" spans="1:35" ht="108" x14ac:dyDescent="0.3">
      <c r="A317" s="10" t="s">
        <v>1316</v>
      </c>
      <c r="B317" s="10"/>
      <c r="C317" s="24" t="s">
        <v>1091</v>
      </c>
      <c r="D317" s="12"/>
      <c r="E317" s="12" t="s">
        <v>1226</v>
      </c>
      <c r="F317" s="18" t="s">
        <v>70</v>
      </c>
      <c r="G317" s="19">
        <v>0.3</v>
      </c>
      <c r="H317" s="19"/>
      <c r="I317" s="19">
        <v>3.5190000000000001</v>
      </c>
      <c r="J317" s="21">
        <v>0</v>
      </c>
      <c r="M317" s="22">
        <f>ROUND(ROUND(J317, 2)*I317, 2)</f>
        <v>0</v>
      </c>
      <c r="P317" s="21">
        <v>206.5</v>
      </c>
      <c r="S317" s="22">
        <f>ROUND(ROUND(P317, 2)*I317, 2)</f>
        <v>726.67</v>
      </c>
      <c r="V317" s="9">
        <f>ROUND(ROUND(P317, 2)/1.2, 2)</f>
        <v>172.08</v>
      </c>
      <c r="Y317" s="9">
        <f t="shared" si="21"/>
        <v>605.55999999999995</v>
      </c>
      <c r="AD317" s="4" t="s">
        <v>1317</v>
      </c>
      <c r="AE317" s="4" t="s">
        <v>1318</v>
      </c>
      <c r="AF317" s="4" t="s">
        <v>1095</v>
      </c>
    </row>
    <row r="318" spans="1:35" ht="36" x14ac:dyDescent="0.3">
      <c r="A318" s="10" t="s">
        <v>1319</v>
      </c>
      <c r="B318" s="10"/>
      <c r="C318" s="24" t="s">
        <v>433</v>
      </c>
      <c r="D318" s="12"/>
      <c r="E318" s="12"/>
      <c r="F318" s="18" t="s">
        <v>70</v>
      </c>
      <c r="G318" s="19">
        <v>0.15</v>
      </c>
      <c r="H318" s="19"/>
      <c r="I318" s="19">
        <v>1.76</v>
      </c>
      <c r="J318" s="21">
        <v>88.8</v>
      </c>
      <c r="M318" s="22">
        <f>ROUND(ROUND(J318, 2)*I318, 2)</f>
        <v>156.29</v>
      </c>
      <c r="P318" s="21">
        <v>88.8</v>
      </c>
      <c r="S318" s="22">
        <f>ROUND(ROUND(P318, 2)*I318, 2)</f>
        <v>156.29</v>
      </c>
      <c r="V318" s="9">
        <f>ROUND(ROUND(P318, 2)/1.2, 2)</f>
        <v>74</v>
      </c>
      <c r="Y318" s="9">
        <f t="shared" si="21"/>
        <v>130.24</v>
      </c>
      <c r="AD318" s="4" t="s">
        <v>1320</v>
      </c>
      <c r="AE318" s="4" t="s">
        <v>1321</v>
      </c>
      <c r="AF318" s="4" t="s">
        <v>436</v>
      </c>
    </row>
    <row r="319" spans="1:35" ht="36" x14ac:dyDescent="0.3">
      <c r="A319" s="10" t="s">
        <v>1322</v>
      </c>
      <c r="B319" s="10" t="s">
        <v>1170</v>
      </c>
      <c r="C319" s="11" t="s">
        <v>1171</v>
      </c>
      <c r="D319" s="12"/>
      <c r="E319" s="12" t="s">
        <v>1323</v>
      </c>
      <c r="F319" s="12" t="s">
        <v>64</v>
      </c>
      <c r="G319" s="13">
        <v>1</v>
      </c>
      <c r="H319" s="13"/>
      <c r="I319" s="13">
        <v>18.63</v>
      </c>
      <c r="J319" s="14">
        <f>IFERROR(ROUND(SUM(M320,M321)/I319, 2),0)</f>
        <v>13.32</v>
      </c>
      <c r="K319" s="15">
        <v>428</v>
      </c>
      <c r="L319" s="14">
        <f>J319+ROUND(K319, 2)</f>
        <v>441.32</v>
      </c>
      <c r="M319" s="14">
        <f>ROUND(J319*I319, 2)</f>
        <v>248.15</v>
      </c>
      <c r="N319" s="14">
        <f>ROUND(I319*ROUND(K319, 2), 2)</f>
        <v>7973.64</v>
      </c>
      <c r="O319" s="14">
        <f>M319+N319</f>
        <v>8221.7900000000009</v>
      </c>
      <c r="P319" s="14">
        <f>IFERROR(ROUND(SUM(S320,S321)/I319, 2),0)</f>
        <v>75.27</v>
      </c>
      <c r="Q319" s="15">
        <v>428</v>
      </c>
      <c r="R319" s="14">
        <f>P319+ROUND(Q319, 2)</f>
        <v>503.27</v>
      </c>
      <c r="S319" s="14">
        <f>ROUND(P319*I319, 2)</f>
        <v>1402.28</v>
      </c>
      <c r="T319" s="14">
        <f>ROUND(I319*ROUND(Q319, 2), 2)</f>
        <v>7973.64</v>
      </c>
      <c r="U319" s="14">
        <f>S319+T319</f>
        <v>9375.92</v>
      </c>
      <c r="V319" s="9">
        <f>ROUND(P319 / 1.2, 2)</f>
        <v>62.73</v>
      </c>
      <c r="W319" s="9">
        <f>ROUND(Q319 / 1.2, 2)</f>
        <v>356.67</v>
      </c>
      <c r="X319" s="9">
        <f>ROUND(R319 / 1.2, 2)</f>
        <v>419.39</v>
      </c>
      <c r="Y319" s="9">
        <f t="shared" si="21"/>
        <v>1168.57</v>
      </c>
      <c r="Z319" s="9">
        <f>ROUND(T319 / 1.2, 2)</f>
        <v>6644.7</v>
      </c>
      <c r="AA319" s="9">
        <f>Y319+Z319</f>
        <v>7813.2699999999995</v>
      </c>
      <c r="AD319" s="4">
        <v>298925416</v>
      </c>
      <c r="AE319" s="4">
        <v>19992004</v>
      </c>
      <c r="AG319" s="4" t="s">
        <v>1173</v>
      </c>
      <c r="AH319" s="4" t="s">
        <v>1174</v>
      </c>
      <c r="AI319" s="4" t="s">
        <v>67</v>
      </c>
    </row>
    <row r="320" spans="1:35" ht="36" x14ac:dyDescent="0.3">
      <c r="A320" s="10" t="s">
        <v>1324</v>
      </c>
      <c r="B320" s="10"/>
      <c r="C320" s="24" t="s">
        <v>433</v>
      </c>
      <c r="D320" s="12"/>
      <c r="E320" s="12"/>
      <c r="F320" s="18" t="s">
        <v>70</v>
      </c>
      <c r="G320" s="19">
        <v>0.15</v>
      </c>
      <c r="H320" s="19"/>
      <c r="I320" s="19">
        <v>2.7949999999999999</v>
      </c>
      <c r="J320" s="21">
        <v>88.8</v>
      </c>
      <c r="M320" s="22">
        <f>ROUND(ROUND(J320, 2)*I320, 2)</f>
        <v>248.2</v>
      </c>
      <c r="P320" s="21">
        <v>88.8</v>
      </c>
      <c r="S320" s="22">
        <f>ROUND(ROUND(P320, 2)*I320, 2)</f>
        <v>248.2</v>
      </c>
      <c r="V320" s="9">
        <f>ROUND(ROUND(P320, 2)/1.2, 2)</f>
        <v>74</v>
      </c>
      <c r="Y320" s="9">
        <f t="shared" si="21"/>
        <v>206.83</v>
      </c>
      <c r="AD320" s="4" t="s">
        <v>1325</v>
      </c>
      <c r="AE320" s="4" t="s">
        <v>1326</v>
      </c>
      <c r="AF320" s="4" t="s">
        <v>436</v>
      </c>
    </row>
    <row r="321" spans="1:35" ht="108" x14ac:dyDescent="0.3">
      <c r="A321" s="10" t="s">
        <v>1327</v>
      </c>
      <c r="B321" s="10"/>
      <c r="C321" s="24" t="s">
        <v>1091</v>
      </c>
      <c r="D321" s="12"/>
      <c r="E321" s="12" t="s">
        <v>1268</v>
      </c>
      <c r="F321" s="18" t="s">
        <v>70</v>
      </c>
      <c r="G321" s="19">
        <v>0.3</v>
      </c>
      <c r="H321" s="19"/>
      <c r="I321" s="19">
        <v>5.5890000000000004</v>
      </c>
      <c r="J321" s="21">
        <v>0</v>
      </c>
      <c r="M321" s="22">
        <f>ROUND(ROUND(J321, 2)*I321, 2)</f>
        <v>0</v>
      </c>
      <c r="P321" s="21">
        <v>206.5</v>
      </c>
      <c r="S321" s="22">
        <f>ROUND(ROUND(P321, 2)*I321, 2)</f>
        <v>1154.1300000000001</v>
      </c>
      <c r="V321" s="9">
        <f>ROUND(ROUND(P321, 2)/1.2, 2)</f>
        <v>172.08</v>
      </c>
      <c r="Y321" s="9">
        <f t="shared" si="21"/>
        <v>961.78</v>
      </c>
      <c r="AD321" s="4" t="s">
        <v>1328</v>
      </c>
      <c r="AE321" s="4" t="s">
        <v>1329</v>
      </c>
      <c r="AF321" s="4" t="s">
        <v>1095</v>
      </c>
    </row>
    <row r="322" spans="1:35" ht="36" x14ac:dyDescent="0.3">
      <c r="A322" s="10" t="s">
        <v>1330</v>
      </c>
      <c r="B322" s="10" t="s">
        <v>1170</v>
      </c>
      <c r="C322" s="11" t="s">
        <v>1171</v>
      </c>
      <c r="D322" s="12"/>
      <c r="E322" s="12" t="s">
        <v>1331</v>
      </c>
      <c r="F322" s="12" t="s">
        <v>64</v>
      </c>
      <c r="G322" s="13">
        <v>1</v>
      </c>
      <c r="H322" s="13"/>
      <c r="I322" s="13">
        <v>390.43</v>
      </c>
      <c r="J322" s="14">
        <f>IFERROR(ROUND(SUM(M323,M324)/I322, 2),0)</f>
        <v>13.32</v>
      </c>
      <c r="K322" s="15">
        <v>428</v>
      </c>
      <c r="L322" s="14">
        <f>J322+ROUND(K322, 2)</f>
        <v>441.32</v>
      </c>
      <c r="M322" s="14">
        <f>ROUND(J322*I322, 2)</f>
        <v>5200.53</v>
      </c>
      <c r="N322" s="14">
        <f>ROUND(I322*ROUND(K322, 2), 2)</f>
        <v>167104.04</v>
      </c>
      <c r="O322" s="14">
        <f>M322+N322</f>
        <v>172304.57</v>
      </c>
      <c r="P322" s="14">
        <f>IFERROR(ROUND(SUM(S323,S324)/I322, 2),0)</f>
        <v>75.27</v>
      </c>
      <c r="Q322" s="15">
        <v>428</v>
      </c>
      <c r="R322" s="14">
        <f>P322+ROUND(Q322, 2)</f>
        <v>503.27</v>
      </c>
      <c r="S322" s="14">
        <f>ROUND(P322*I322, 2)</f>
        <v>29387.67</v>
      </c>
      <c r="T322" s="14">
        <f>ROUND(I322*ROUND(Q322, 2), 2)</f>
        <v>167104.04</v>
      </c>
      <c r="U322" s="14">
        <f>S322+T322</f>
        <v>196491.71000000002</v>
      </c>
      <c r="V322" s="9">
        <f>ROUND(P322 / 1.2, 2)</f>
        <v>62.73</v>
      </c>
      <c r="W322" s="9">
        <f>ROUND(Q322 / 1.2, 2)</f>
        <v>356.67</v>
      </c>
      <c r="X322" s="9">
        <f>ROUND(R322 / 1.2, 2)</f>
        <v>419.39</v>
      </c>
      <c r="Y322" s="9">
        <f t="shared" si="21"/>
        <v>24489.73</v>
      </c>
      <c r="Z322" s="9">
        <f>ROUND(T322 / 1.2, 2)</f>
        <v>139253.37</v>
      </c>
      <c r="AA322" s="9">
        <f>Y322+Z322</f>
        <v>163743.1</v>
      </c>
      <c r="AD322" s="4">
        <v>298925417</v>
      </c>
      <c r="AE322" s="4">
        <v>19992001</v>
      </c>
      <c r="AG322" s="4" t="s">
        <v>1173</v>
      </c>
      <c r="AH322" s="4" t="s">
        <v>1174</v>
      </c>
      <c r="AI322" s="4" t="s">
        <v>67</v>
      </c>
    </row>
    <row r="323" spans="1:35" ht="108" x14ac:dyDescent="0.3">
      <c r="A323" s="10" t="s">
        <v>1332</v>
      </c>
      <c r="B323" s="10"/>
      <c r="C323" s="24" t="s">
        <v>1091</v>
      </c>
      <c r="D323" s="12"/>
      <c r="E323" s="12" t="s">
        <v>1244</v>
      </c>
      <c r="F323" s="18" t="s">
        <v>70</v>
      </c>
      <c r="G323" s="19">
        <v>0.3</v>
      </c>
      <c r="H323" s="19"/>
      <c r="I323" s="19">
        <v>117.129</v>
      </c>
      <c r="J323" s="21">
        <v>0</v>
      </c>
      <c r="M323" s="22">
        <f>ROUND(ROUND(J323, 2)*I323, 2)</f>
        <v>0</v>
      </c>
      <c r="P323" s="21">
        <v>206.5</v>
      </c>
      <c r="S323" s="22">
        <f>ROUND(ROUND(P323, 2)*I323, 2)</f>
        <v>24187.14</v>
      </c>
      <c r="V323" s="9">
        <f>ROUND(ROUND(P323, 2)/1.2, 2)</f>
        <v>172.08</v>
      </c>
      <c r="Y323" s="9">
        <f t="shared" si="21"/>
        <v>20155.95</v>
      </c>
      <c r="AD323" s="4" t="s">
        <v>1333</v>
      </c>
      <c r="AE323" s="4" t="s">
        <v>1334</v>
      </c>
      <c r="AF323" s="4" t="s">
        <v>1095</v>
      </c>
    </row>
    <row r="324" spans="1:35" ht="36" x14ac:dyDescent="0.3">
      <c r="A324" s="10" t="s">
        <v>1335</v>
      </c>
      <c r="B324" s="10"/>
      <c r="C324" s="24" t="s">
        <v>433</v>
      </c>
      <c r="D324" s="12"/>
      <c r="E324" s="12"/>
      <c r="F324" s="18" t="s">
        <v>70</v>
      </c>
      <c r="G324" s="19">
        <v>0.15</v>
      </c>
      <c r="H324" s="19"/>
      <c r="I324" s="19">
        <v>58.564999999999998</v>
      </c>
      <c r="J324" s="21">
        <v>88.8</v>
      </c>
      <c r="M324" s="22">
        <f>ROUND(ROUND(J324, 2)*I324, 2)</f>
        <v>5200.57</v>
      </c>
      <c r="P324" s="21">
        <v>88.8</v>
      </c>
      <c r="S324" s="22">
        <f>ROUND(ROUND(P324, 2)*I324, 2)</f>
        <v>5200.57</v>
      </c>
      <c r="V324" s="9">
        <f>ROUND(ROUND(P324, 2)/1.2, 2)</f>
        <v>74</v>
      </c>
      <c r="Y324" s="9">
        <f t="shared" si="21"/>
        <v>4333.8100000000004</v>
      </c>
      <c r="AD324" s="4" t="s">
        <v>1336</v>
      </c>
      <c r="AE324" s="4" t="s">
        <v>1337</v>
      </c>
      <c r="AF324" s="4" t="s">
        <v>436</v>
      </c>
    </row>
    <row r="325" spans="1:35" ht="36" x14ac:dyDescent="0.3">
      <c r="A325" s="10" t="s">
        <v>1338</v>
      </c>
      <c r="B325" s="10" t="s">
        <v>1170</v>
      </c>
      <c r="C325" s="11" t="s">
        <v>1171</v>
      </c>
      <c r="D325" s="12"/>
      <c r="E325" s="12" t="s">
        <v>1339</v>
      </c>
      <c r="F325" s="12" t="s">
        <v>64</v>
      </c>
      <c r="G325" s="13">
        <v>1</v>
      </c>
      <c r="H325" s="13"/>
      <c r="I325" s="13">
        <v>2002.74</v>
      </c>
      <c r="J325" s="14">
        <f>IFERROR(ROUND(SUM(M326,M327)/I325, 2),0)</f>
        <v>13.32</v>
      </c>
      <c r="K325" s="15">
        <v>428</v>
      </c>
      <c r="L325" s="14">
        <f>J325+ROUND(K325, 2)</f>
        <v>441.32</v>
      </c>
      <c r="M325" s="14">
        <f>ROUND(J325*I325, 2)</f>
        <v>26676.5</v>
      </c>
      <c r="N325" s="14">
        <f>ROUND(I325*ROUND(K325, 2), 2)</f>
        <v>857172.72</v>
      </c>
      <c r="O325" s="14">
        <f>M325+N325</f>
        <v>883849.22</v>
      </c>
      <c r="P325" s="14">
        <f>IFERROR(ROUND(SUM(S326,S327)/I325, 2),0)</f>
        <v>68.28</v>
      </c>
      <c r="Q325" s="15">
        <v>428</v>
      </c>
      <c r="R325" s="14">
        <f>P325+ROUND(Q325, 2)</f>
        <v>496.28</v>
      </c>
      <c r="S325" s="14">
        <f>ROUND(P325*I325, 2)</f>
        <v>136747.09</v>
      </c>
      <c r="T325" s="14">
        <f>ROUND(I325*ROUND(Q325, 2), 2)</f>
        <v>857172.72</v>
      </c>
      <c r="U325" s="14">
        <f>S325+T325</f>
        <v>993919.80999999994</v>
      </c>
      <c r="V325" s="9">
        <f>ROUND(P325 / 1.2, 2)</f>
        <v>56.9</v>
      </c>
      <c r="W325" s="9">
        <f>ROUND(Q325 / 1.2, 2)</f>
        <v>356.67</v>
      </c>
      <c r="X325" s="9">
        <f>ROUND(R325 / 1.2, 2)</f>
        <v>413.57</v>
      </c>
      <c r="Y325" s="9">
        <f t="shared" si="21"/>
        <v>113955.91</v>
      </c>
      <c r="Z325" s="9">
        <f>ROUND(T325 / 1.2, 2)</f>
        <v>714310.6</v>
      </c>
      <c r="AA325" s="9">
        <f>Y325+Z325</f>
        <v>828266.51</v>
      </c>
      <c r="AD325" s="4">
        <v>298925418</v>
      </c>
      <c r="AE325" s="4">
        <v>19992005</v>
      </c>
      <c r="AG325" s="4" t="s">
        <v>1173</v>
      </c>
      <c r="AH325" s="4" t="s">
        <v>1174</v>
      </c>
      <c r="AI325" s="4" t="s">
        <v>67</v>
      </c>
    </row>
    <row r="326" spans="1:35" ht="36" x14ac:dyDescent="0.3">
      <c r="A326" s="10" t="s">
        <v>1340</v>
      </c>
      <c r="B326" s="10"/>
      <c r="C326" s="24" t="s">
        <v>433</v>
      </c>
      <c r="D326" s="12"/>
      <c r="E326" s="12"/>
      <c r="F326" s="18" t="s">
        <v>70</v>
      </c>
      <c r="G326" s="19">
        <v>0.15</v>
      </c>
      <c r="H326" s="19"/>
      <c r="I326" s="19">
        <v>300.411</v>
      </c>
      <c r="J326" s="21">
        <v>88.8</v>
      </c>
      <c r="M326" s="22">
        <f>ROUND(ROUND(J326, 2)*I326, 2)</f>
        <v>26676.5</v>
      </c>
      <c r="P326" s="21">
        <v>88.8</v>
      </c>
      <c r="S326" s="22">
        <f>ROUND(ROUND(P326, 2)*I326, 2)</f>
        <v>26676.5</v>
      </c>
      <c r="V326" s="9">
        <f>ROUND(ROUND(P326, 2)/1.2, 2)</f>
        <v>74</v>
      </c>
      <c r="Y326" s="9">
        <f t="shared" si="21"/>
        <v>22230.42</v>
      </c>
      <c r="AD326" s="4" t="s">
        <v>1341</v>
      </c>
      <c r="AE326" s="4" t="s">
        <v>1342</v>
      </c>
      <c r="AF326" s="4" t="s">
        <v>436</v>
      </c>
    </row>
    <row r="327" spans="1:35" ht="126" x14ac:dyDescent="0.3">
      <c r="A327" s="10" t="s">
        <v>1343</v>
      </c>
      <c r="B327" s="10"/>
      <c r="C327" s="24" t="s">
        <v>1111</v>
      </c>
      <c r="D327" s="12"/>
      <c r="E327" s="12" t="s">
        <v>1250</v>
      </c>
      <c r="F327" s="18" t="s">
        <v>70</v>
      </c>
      <c r="G327" s="19">
        <v>0.3</v>
      </c>
      <c r="H327" s="19"/>
      <c r="I327" s="19">
        <v>600.822</v>
      </c>
      <c r="J327" s="21">
        <v>0</v>
      </c>
      <c r="M327" s="22">
        <f>ROUND(ROUND(J327, 2)*I327, 2)</f>
        <v>0</v>
      </c>
      <c r="P327" s="21">
        <v>183.2</v>
      </c>
      <c r="S327" s="22">
        <f>ROUND(ROUND(P327, 2)*I327, 2)</f>
        <v>110070.59</v>
      </c>
      <c r="V327" s="9">
        <f>ROUND(ROUND(P327, 2)/1.2, 2)</f>
        <v>152.66999999999999</v>
      </c>
      <c r="Y327" s="9">
        <f t="shared" si="21"/>
        <v>91725.49</v>
      </c>
      <c r="AD327" s="4" t="s">
        <v>1344</v>
      </c>
      <c r="AE327" s="4" t="s">
        <v>1345</v>
      </c>
      <c r="AF327" s="4" t="s">
        <v>1115</v>
      </c>
    </row>
    <row r="328" spans="1:35" ht="36" x14ac:dyDescent="0.3">
      <c r="A328" s="10" t="s">
        <v>1346</v>
      </c>
      <c r="B328" s="10" t="s">
        <v>1170</v>
      </c>
      <c r="C328" s="11" t="s">
        <v>1171</v>
      </c>
      <c r="D328" s="12"/>
      <c r="E328" s="12" t="s">
        <v>1347</v>
      </c>
      <c r="F328" s="12" t="s">
        <v>64</v>
      </c>
      <c r="G328" s="13">
        <v>1</v>
      </c>
      <c r="H328" s="13"/>
      <c r="I328" s="13">
        <v>23.23</v>
      </c>
      <c r="J328" s="14">
        <f>IFERROR(ROUND(SUM(M329,M330)/I328, 2),0)</f>
        <v>13.32</v>
      </c>
      <c r="K328" s="15">
        <v>428</v>
      </c>
      <c r="L328" s="14">
        <f>J328+ROUND(K328, 2)</f>
        <v>441.32</v>
      </c>
      <c r="M328" s="14">
        <f>ROUND(J328*I328, 2)</f>
        <v>309.42</v>
      </c>
      <c r="N328" s="14">
        <f>ROUND(I328*ROUND(K328, 2), 2)</f>
        <v>9942.44</v>
      </c>
      <c r="O328" s="14">
        <f>M328+N328</f>
        <v>10251.86</v>
      </c>
      <c r="P328" s="14">
        <f>IFERROR(ROUND(SUM(S329,S330)/I328, 2),0)</f>
        <v>75.27</v>
      </c>
      <c r="Q328" s="15">
        <v>428</v>
      </c>
      <c r="R328" s="14">
        <f>P328+ROUND(Q328, 2)</f>
        <v>503.27</v>
      </c>
      <c r="S328" s="14">
        <f>ROUND(P328*I328, 2)</f>
        <v>1748.52</v>
      </c>
      <c r="T328" s="14">
        <f>ROUND(I328*ROUND(Q328, 2), 2)</f>
        <v>9942.44</v>
      </c>
      <c r="U328" s="14">
        <f>S328+T328</f>
        <v>11690.960000000001</v>
      </c>
      <c r="V328" s="9">
        <f>ROUND(P328 / 1.2, 2)</f>
        <v>62.73</v>
      </c>
      <c r="W328" s="9">
        <f>ROUND(Q328 / 1.2, 2)</f>
        <v>356.67</v>
      </c>
      <c r="X328" s="9">
        <f>ROUND(R328 / 1.2, 2)</f>
        <v>419.39</v>
      </c>
      <c r="Y328" s="9">
        <f t="shared" si="21"/>
        <v>1457.1</v>
      </c>
      <c r="Z328" s="9">
        <f>ROUND(T328 / 1.2, 2)</f>
        <v>8285.3700000000008</v>
      </c>
      <c r="AA328" s="9">
        <f>Y328+Z328</f>
        <v>9742.4700000000012</v>
      </c>
      <c r="AD328" s="4">
        <v>298925419</v>
      </c>
      <c r="AE328" s="4">
        <v>19992006</v>
      </c>
      <c r="AG328" s="4" t="s">
        <v>1173</v>
      </c>
      <c r="AH328" s="4" t="s">
        <v>1174</v>
      </c>
      <c r="AI328" s="4" t="s">
        <v>67</v>
      </c>
    </row>
    <row r="329" spans="1:35" ht="54" x14ac:dyDescent="0.3">
      <c r="A329" s="10" t="s">
        <v>1348</v>
      </c>
      <c r="B329" s="10"/>
      <c r="C329" s="24" t="s">
        <v>1349</v>
      </c>
      <c r="D329" s="12"/>
      <c r="E329" s="12" t="s">
        <v>1350</v>
      </c>
      <c r="F329" s="18" t="s">
        <v>70</v>
      </c>
      <c r="G329" s="19">
        <v>0.3</v>
      </c>
      <c r="H329" s="19"/>
      <c r="I329" s="19">
        <v>6.9690000000000003</v>
      </c>
      <c r="J329" s="21">
        <v>0</v>
      </c>
      <c r="M329" s="22">
        <f>ROUND(ROUND(J329, 2)*I329, 2)</f>
        <v>0</v>
      </c>
      <c r="P329" s="21">
        <v>206.5</v>
      </c>
      <c r="S329" s="22">
        <f>ROUND(ROUND(P329, 2)*I329, 2)</f>
        <v>1439.1</v>
      </c>
      <c r="V329" s="9">
        <f>ROUND(ROUND(P329, 2)/1.2, 2)</f>
        <v>172.08</v>
      </c>
      <c r="Y329" s="9">
        <f t="shared" si="21"/>
        <v>1199.25</v>
      </c>
      <c r="AD329" s="4" t="s">
        <v>1351</v>
      </c>
      <c r="AE329" s="4" t="s">
        <v>1352</v>
      </c>
      <c r="AF329" s="4" t="s">
        <v>1353</v>
      </c>
    </row>
    <row r="330" spans="1:35" ht="36" x14ac:dyDescent="0.3">
      <c r="A330" s="10" t="s">
        <v>1354</v>
      </c>
      <c r="B330" s="10"/>
      <c r="C330" s="24" t="s">
        <v>433</v>
      </c>
      <c r="D330" s="12"/>
      <c r="E330" s="12"/>
      <c r="F330" s="18" t="s">
        <v>70</v>
      </c>
      <c r="G330" s="19">
        <v>0.15</v>
      </c>
      <c r="H330" s="19"/>
      <c r="I330" s="19">
        <v>3.4849999999999999</v>
      </c>
      <c r="J330" s="21">
        <v>88.8</v>
      </c>
      <c r="M330" s="22">
        <f>ROUND(ROUND(J330, 2)*I330, 2)</f>
        <v>309.47000000000003</v>
      </c>
      <c r="P330" s="21">
        <v>88.8</v>
      </c>
      <c r="S330" s="22">
        <f>ROUND(ROUND(P330, 2)*I330, 2)</f>
        <v>309.47000000000003</v>
      </c>
      <c r="V330" s="9">
        <f>ROUND(ROUND(P330, 2)/1.2, 2)</f>
        <v>74</v>
      </c>
      <c r="Y330" s="9">
        <f t="shared" si="21"/>
        <v>257.89</v>
      </c>
      <c r="AD330" s="4" t="s">
        <v>1355</v>
      </c>
      <c r="AE330" s="4" t="s">
        <v>1356</v>
      </c>
      <c r="AF330" s="4" t="s">
        <v>436</v>
      </c>
    </row>
    <row r="331" spans="1:35" ht="36" x14ac:dyDescent="0.3">
      <c r="A331" s="10" t="s">
        <v>1357</v>
      </c>
      <c r="B331" s="10" t="s">
        <v>1170</v>
      </c>
      <c r="C331" s="11" t="s">
        <v>1171</v>
      </c>
      <c r="D331" s="12"/>
      <c r="E331" s="12" t="s">
        <v>1358</v>
      </c>
      <c r="F331" s="12" t="s">
        <v>64</v>
      </c>
      <c r="G331" s="13">
        <v>1</v>
      </c>
      <c r="H331" s="13"/>
      <c r="I331" s="13">
        <v>107.1</v>
      </c>
      <c r="J331" s="14">
        <f>IFERROR(ROUND(SUM(M332,M333)/I331, 2),0)</f>
        <v>13.32</v>
      </c>
      <c r="K331" s="15">
        <v>428</v>
      </c>
      <c r="L331" s="14">
        <f>J331+ROUND(K331, 2)</f>
        <v>441.32</v>
      </c>
      <c r="M331" s="14">
        <f>ROUND(J331*I331, 2)</f>
        <v>1426.57</v>
      </c>
      <c r="N331" s="14">
        <f>ROUND(I331*ROUND(K331, 2), 2)</f>
        <v>45838.8</v>
      </c>
      <c r="O331" s="14">
        <f>M331+N331</f>
        <v>47265.37</v>
      </c>
      <c r="P331" s="14">
        <f>IFERROR(ROUND(SUM(S332,S333)/I331, 2),0)</f>
        <v>75.27</v>
      </c>
      <c r="Q331" s="15">
        <v>428</v>
      </c>
      <c r="R331" s="14">
        <f>P331+ROUND(Q331, 2)</f>
        <v>503.27</v>
      </c>
      <c r="S331" s="14">
        <f>ROUND(P331*I331, 2)</f>
        <v>8061.42</v>
      </c>
      <c r="T331" s="14">
        <f>ROUND(I331*ROUND(Q331, 2), 2)</f>
        <v>45838.8</v>
      </c>
      <c r="U331" s="14">
        <f>S331+T331</f>
        <v>53900.22</v>
      </c>
      <c r="V331" s="9">
        <f>ROUND(P331 / 1.2, 2)</f>
        <v>62.73</v>
      </c>
      <c r="W331" s="9">
        <f>ROUND(Q331 / 1.2, 2)</f>
        <v>356.67</v>
      </c>
      <c r="X331" s="9">
        <f>ROUND(R331 / 1.2, 2)</f>
        <v>419.39</v>
      </c>
      <c r="Y331" s="9">
        <f t="shared" si="21"/>
        <v>6717.85</v>
      </c>
      <c r="Z331" s="9">
        <f>ROUND(T331 / 1.2, 2)</f>
        <v>38199</v>
      </c>
      <c r="AA331" s="9">
        <f>Y331+Z331</f>
        <v>44916.85</v>
      </c>
      <c r="AD331" s="4">
        <v>298925420</v>
      </c>
      <c r="AE331" s="4">
        <v>19992007</v>
      </c>
      <c r="AG331" s="4" t="s">
        <v>1173</v>
      </c>
      <c r="AH331" s="4" t="s">
        <v>1174</v>
      </c>
      <c r="AI331" s="4" t="s">
        <v>67</v>
      </c>
    </row>
    <row r="332" spans="1:35" ht="36" x14ac:dyDescent="0.3">
      <c r="A332" s="10" t="s">
        <v>1359</v>
      </c>
      <c r="B332" s="10"/>
      <c r="C332" s="24" t="s">
        <v>433</v>
      </c>
      <c r="D332" s="12"/>
      <c r="E332" s="12"/>
      <c r="F332" s="18" t="s">
        <v>70</v>
      </c>
      <c r="G332" s="19">
        <v>0.15</v>
      </c>
      <c r="H332" s="19"/>
      <c r="I332" s="19">
        <v>16.065000000000001</v>
      </c>
      <c r="J332" s="21">
        <v>88.8</v>
      </c>
      <c r="M332" s="22">
        <f>ROUND(ROUND(J332, 2)*I332, 2)</f>
        <v>1426.57</v>
      </c>
      <c r="P332" s="21">
        <v>88.8</v>
      </c>
      <c r="S332" s="22">
        <f>ROUND(ROUND(P332, 2)*I332, 2)</f>
        <v>1426.57</v>
      </c>
      <c r="V332" s="9">
        <f>ROUND(ROUND(P332, 2)/1.2, 2)</f>
        <v>74</v>
      </c>
      <c r="Y332" s="9">
        <f t="shared" ref="Y332:Y363" si="22">ROUND(S332 / 1.2, 2)</f>
        <v>1188.81</v>
      </c>
      <c r="AD332" s="4" t="s">
        <v>1360</v>
      </c>
      <c r="AE332" s="4" t="s">
        <v>1361</v>
      </c>
      <c r="AF332" s="4" t="s">
        <v>436</v>
      </c>
    </row>
    <row r="333" spans="1:35" ht="90" x14ac:dyDescent="0.3">
      <c r="A333" s="10" t="s">
        <v>1362</v>
      </c>
      <c r="B333" s="10"/>
      <c r="C333" s="24" t="s">
        <v>1091</v>
      </c>
      <c r="D333" s="12"/>
      <c r="E333" s="12" t="s">
        <v>1363</v>
      </c>
      <c r="F333" s="18" t="s">
        <v>70</v>
      </c>
      <c r="G333" s="19">
        <v>0.3</v>
      </c>
      <c r="H333" s="19"/>
      <c r="I333" s="19">
        <v>32.130000000000003</v>
      </c>
      <c r="J333" s="21">
        <v>0</v>
      </c>
      <c r="M333" s="22">
        <f>ROUND(ROUND(J333, 2)*I333, 2)</f>
        <v>0</v>
      </c>
      <c r="P333" s="21">
        <v>206.5</v>
      </c>
      <c r="S333" s="22">
        <f>ROUND(ROUND(P333, 2)*I333, 2)</f>
        <v>6634.85</v>
      </c>
      <c r="V333" s="9">
        <f>ROUND(ROUND(P333, 2)/1.2, 2)</f>
        <v>172.08</v>
      </c>
      <c r="Y333" s="9">
        <f t="shared" si="22"/>
        <v>5529.04</v>
      </c>
      <c r="AD333" s="4" t="s">
        <v>1364</v>
      </c>
      <c r="AE333" s="4" t="s">
        <v>1365</v>
      </c>
      <c r="AF333" s="4" t="s">
        <v>1095</v>
      </c>
    </row>
    <row r="334" spans="1:35" ht="54" x14ac:dyDescent="0.3">
      <c r="A334" s="10" t="s">
        <v>1366</v>
      </c>
      <c r="B334" s="10" t="s">
        <v>1367</v>
      </c>
      <c r="C334" s="11" t="s">
        <v>1368</v>
      </c>
      <c r="D334" s="12"/>
      <c r="E334" s="12" t="s">
        <v>1369</v>
      </c>
      <c r="F334" s="12" t="s">
        <v>64</v>
      </c>
      <c r="G334" s="13">
        <v>1</v>
      </c>
      <c r="H334" s="13"/>
      <c r="I334" s="13">
        <v>205.88</v>
      </c>
      <c r="J334" s="14">
        <f>IFERROR(ROUND(SUM(M335,M336,M337,M338)/I334, 2),0)</f>
        <v>1070.1400000000001</v>
      </c>
      <c r="K334" s="15">
        <v>2364</v>
      </c>
      <c r="L334" s="14">
        <f>J334+ROUND(K334, 2)</f>
        <v>3434.1400000000003</v>
      </c>
      <c r="M334" s="14">
        <f>ROUND(J334*I334, 2)</f>
        <v>220320.42</v>
      </c>
      <c r="N334" s="14">
        <f>ROUND(I334*ROUND(K334, 2), 2)</f>
        <v>486700.32</v>
      </c>
      <c r="O334" s="14">
        <f>M334+N334</f>
        <v>707020.74</v>
      </c>
      <c r="P334" s="14">
        <f>IFERROR(ROUND(SUM(S335,S336,S337,S338)/I334, 2),0)</f>
        <v>749.14</v>
      </c>
      <c r="Q334" s="15">
        <v>2364</v>
      </c>
      <c r="R334" s="14">
        <f>P334+ROUND(Q334, 2)</f>
        <v>3113.14</v>
      </c>
      <c r="S334" s="14">
        <f>ROUND(P334*I334, 2)</f>
        <v>154232.94</v>
      </c>
      <c r="T334" s="14">
        <f>ROUND(I334*ROUND(Q334, 2), 2)</f>
        <v>486700.32</v>
      </c>
      <c r="U334" s="14">
        <f>S334+T334</f>
        <v>640933.26</v>
      </c>
      <c r="V334" s="9">
        <f>ROUND(P334 / 1.2, 2)</f>
        <v>624.28</v>
      </c>
      <c r="W334" s="9">
        <f>ROUND(Q334 / 1.2, 2)</f>
        <v>1970</v>
      </c>
      <c r="X334" s="9">
        <f>ROUND(R334 / 1.2, 2)</f>
        <v>2594.2800000000002</v>
      </c>
      <c r="Y334" s="9">
        <f t="shared" si="22"/>
        <v>128527.45</v>
      </c>
      <c r="Z334" s="9">
        <f>ROUND(T334 / 1.2, 2)</f>
        <v>405583.6</v>
      </c>
      <c r="AA334" s="9">
        <f>Y334+Z334</f>
        <v>534111.04999999993</v>
      </c>
      <c r="AD334" s="4">
        <v>298925320</v>
      </c>
      <c r="AE334" s="4">
        <v>19977048</v>
      </c>
      <c r="AG334" s="4" t="s">
        <v>1370</v>
      </c>
      <c r="AH334" s="4" t="s">
        <v>1371</v>
      </c>
      <c r="AI334" s="4" t="s">
        <v>67</v>
      </c>
    </row>
    <row r="335" spans="1:35" ht="36" x14ac:dyDescent="0.3">
      <c r="A335" s="10" t="s">
        <v>1372</v>
      </c>
      <c r="B335" s="10"/>
      <c r="C335" s="24" t="s">
        <v>426</v>
      </c>
      <c r="D335" s="12"/>
      <c r="E335" s="12"/>
      <c r="F335" s="18" t="s">
        <v>70</v>
      </c>
      <c r="G335" s="19">
        <v>0.25</v>
      </c>
      <c r="H335" s="20"/>
      <c r="I335" s="20">
        <v>51.47</v>
      </c>
      <c r="J335" s="21">
        <v>40.270000000000003</v>
      </c>
      <c r="M335" s="22">
        <f>ROUND(ROUND(J335, 2)*I335, 2)</f>
        <v>2072.6999999999998</v>
      </c>
      <c r="P335" s="21">
        <v>40.270000000000003</v>
      </c>
      <c r="S335" s="22">
        <f>ROUND(ROUND(P335, 2)*I335, 2)</f>
        <v>2072.6999999999998</v>
      </c>
      <c r="V335" s="9">
        <f>ROUND(ROUND(P335, 2)/1.2, 2)</f>
        <v>33.56</v>
      </c>
      <c r="Y335" s="9">
        <f t="shared" si="22"/>
        <v>1727.25</v>
      </c>
      <c r="AD335" s="4" t="s">
        <v>1373</v>
      </c>
      <c r="AE335" s="4" t="s">
        <v>1374</v>
      </c>
      <c r="AF335" s="4" t="s">
        <v>429</v>
      </c>
    </row>
    <row r="336" spans="1:35" ht="36" x14ac:dyDescent="0.3">
      <c r="A336" s="10" t="s">
        <v>1375</v>
      </c>
      <c r="B336" s="10"/>
      <c r="C336" s="24" t="s">
        <v>452</v>
      </c>
      <c r="D336" s="12"/>
      <c r="E336" s="12"/>
      <c r="F336" s="18" t="s">
        <v>70</v>
      </c>
      <c r="G336" s="19">
        <v>0.15</v>
      </c>
      <c r="H336" s="19"/>
      <c r="I336" s="19">
        <v>30.882000000000001</v>
      </c>
      <c r="J336" s="21">
        <v>68.400000000000006</v>
      </c>
      <c r="M336" s="22">
        <f>ROUND(ROUND(J336, 2)*I336, 2)</f>
        <v>2112.33</v>
      </c>
      <c r="P336" s="21">
        <v>68.400000000000006</v>
      </c>
      <c r="S336" s="22">
        <f>ROUND(ROUND(P336, 2)*I336, 2)</f>
        <v>2112.33</v>
      </c>
      <c r="V336" s="9">
        <f>ROUND(ROUND(P336, 2)/1.2, 2)</f>
        <v>57</v>
      </c>
      <c r="Y336" s="9">
        <f t="shared" si="22"/>
        <v>1760.28</v>
      </c>
      <c r="AD336" s="4" t="s">
        <v>1376</v>
      </c>
      <c r="AE336" s="4" t="s">
        <v>1377</v>
      </c>
      <c r="AF336" s="4" t="s">
        <v>456</v>
      </c>
    </row>
    <row r="337" spans="1:35" ht="54" x14ac:dyDescent="0.3">
      <c r="A337" s="10" t="s">
        <v>1378</v>
      </c>
      <c r="B337" s="10"/>
      <c r="C337" s="17" t="s">
        <v>693</v>
      </c>
      <c r="D337" s="12"/>
      <c r="E337" s="12" t="s">
        <v>402</v>
      </c>
      <c r="F337" s="18" t="s">
        <v>70</v>
      </c>
      <c r="G337" s="19">
        <v>1.2</v>
      </c>
      <c r="H337" s="20"/>
      <c r="I337" s="20">
        <v>494.11200000000002</v>
      </c>
      <c r="J337" s="21">
        <v>16.11</v>
      </c>
      <c r="M337" s="22">
        <f>ROUND(ROUND(J337, 2)*I337, 2)</f>
        <v>7960.14</v>
      </c>
      <c r="P337" s="21">
        <v>16.11</v>
      </c>
      <c r="S337" s="22">
        <f>ROUND(ROUND(P337, 2)*I337, 2)</f>
        <v>7960.14</v>
      </c>
      <c r="V337" s="9">
        <f>ROUND(ROUND(P337, 2)/1.2, 2)</f>
        <v>13.43</v>
      </c>
      <c r="Y337" s="9">
        <f t="shared" si="22"/>
        <v>6633.45</v>
      </c>
      <c r="AD337" s="4" t="s">
        <v>1379</v>
      </c>
      <c r="AE337" s="4" t="s">
        <v>1380</v>
      </c>
      <c r="AF337" s="4" t="s">
        <v>696</v>
      </c>
    </row>
    <row r="338" spans="1:35" ht="36" x14ac:dyDescent="0.3">
      <c r="A338" s="10" t="s">
        <v>1381</v>
      </c>
      <c r="B338" s="10"/>
      <c r="C338" s="17" t="s">
        <v>1382</v>
      </c>
      <c r="D338" s="12"/>
      <c r="E338" s="12" t="s">
        <v>1383</v>
      </c>
      <c r="F338" s="18" t="s">
        <v>64</v>
      </c>
      <c r="G338" s="19">
        <v>1.07</v>
      </c>
      <c r="H338" s="20"/>
      <c r="I338" s="20">
        <v>220.292</v>
      </c>
      <c r="J338" s="21">
        <v>945</v>
      </c>
      <c r="M338" s="22">
        <f>ROUND(ROUND(J338, 2)*I338, 2)</f>
        <v>208175.94</v>
      </c>
      <c r="P338" s="21">
        <v>645</v>
      </c>
      <c r="S338" s="22">
        <f>ROUND(ROUND(P338, 2)*I338, 2)</f>
        <v>142088.34</v>
      </c>
      <c r="V338" s="9">
        <f>ROUND(ROUND(P338, 2)/1.2, 2)</f>
        <v>537.5</v>
      </c>
      <c r="Y338" s="9">
        <f t="shared" si="22"/>
        <v>118406.95</v>
      </c>
      <c r="AD338" s="4" t="s">
        <v>1384</v>
      </c>
      <c r="AE338" s="4" t="s">
        <v>1385</v>
      </c>
      <c r="AF338" s="4" t="s">
        <v>1386</v>
      </c>
    </row>
    <row r="339" spans="1:35" ht="54" x14ac:dyDescent="0.3">
      <c r="A339" s="10" t="s">
        <v>1387</v>
      </c>
      <c r="B339" s="10" t="s">
        <v>1367</v>
      </c>
      <c r="C339" s="11" t="s">
        <v>1368</v>
      </c>
      <c r="D339" s="12"/>
      <c r="E339" s="12" t="s">
        <v>1388</v>
      </c>
      <c r="F339" s="12" t="s">
        <v>64</v>
      </c>
      <c r="G339" s="13">
        <v>1</v>
      </c>
      <c r="H339" s="13"/>
      <c r="I339" s="13">
        <v>33.03</v>
      </c>
      <c r="J339" s="14">
        <f>IFERROR(ROUND(SUM(M340,M341,M342,M343)/I339, 2),0)</f>
        <v>1540.89</v>
      </c>
      <c r="K339" s="15">
        <v>2364</v>
      </c>
      <c r="L339" s="14">
        <f>J339+ROUND(K339, 2)</f>
        <v>3904.8900000000003</v>
      </c>
      <c r="M339" s="14">
        <f>ROUND(J339*I339, 2)</f>
        <v>50895.6</v>
      </c>
      <c r="N339" s="14">
        <f>ROUND(I339*ROUND(K339, 2), 2)</f>
        <v>78082.92</v>
      </c>
      <c r="O339" s="14">
        <f>M339+N339</f>
        <v>128978.51999999999</v>
      </c>
      <c r="P339" s="14">
        <f>IFERROR(ROUND(SUM(S340,S341,S342,S343)/I339, 2),0)</f>
        <v>848.01</v>
      </c>
      <c r="Q339" s="15">
        <v>2364</v>
      </c>
      <c r="R339" s="14">
        <f>P339+ROUND(Q339, 2)</f>
        <v>3212.01</v>
      </c>
      <c r="S339" s="14">
        <f>ROUND(P339*I339, 2)</f>
        <v>28009.77</v>
      </c>
      <c r="T339" s="14">
        <f>ROUND(I339*ROUND(Q339, 2), 2)</f>
        <v>78082.92</v>
      </c>
      <c r="U339" s="14">
        <f>S339+T339</f>
        <v>106092.69</v>
      </c>
      <c r="V339" s="9">
        <f>ROUND(P339 / 1.2, 2)</f>
        <v>706.68</v>
      </c>
      <c r="W339" s="9">
        <f>ROUND(Q339 / 1.2, 2)</f>
        <v>1970</v>
      </c>
      <c r="X339" s="9">
        <f>ROUND(R339 / 1.2, 2)</f>
        <v>2676.68</v>
      </c>
      <c r="Y339" s="9">
        <f t="shared" si="22"/>
        <v>23341.48</v>
      </c>
      <c r="Z339" s="9">
        <f>ROUND(T339 / 1.2, 2)</f>
        <v>65069.1</v>
      </c>
      <c r="AA339" s="9">
        <f>Y339+Z339</f>
        <v>88410.58</v>
      </c>
      <c r="AD339" s="4">
        <v>298925421</v>
      </c>
      <c r="AE339" s="4">
        <v>19977049</v>
      </c>
      <c r="AG339" s="4" t="s">
        <v>1370</v>
      </c>
      <c r="AH339" s="4" t="s">
        <v>1371</v>
      </c>
      <c r="AI339" s="4" t="s">
        <v>67</v>
      </c>
    </row>
    <row r="340" spans="1:35" ht="54" x14ac:dyDescent="0.3">
      <c r="A340" s="10" t="s">
        <v>1389</v>
      </c>
      <c r="B340" s="10"/>
      <c r="C340" s="17" t="s">
        <v>1390</v>
      </c>
      <c r="D340" s="12"/>
      <c r="E340" s="12" t="s">
        <v>1391</v>
      </c>
      <c r="F340" s="18" t="s">
        <v>64</v>
      </c>
      <c r="G340" s="19">
        <v>1.07</v>
      </c>
      <c r="H340" s="20"/>
      <c r="I340" s="20">
        <v>35.341999999999999</v>
      </c>
      <c r="J340" s="21">
        <v>1384.95</v>
      </c>
      <c r="M340" s="22">
        <f>ROUND(ROUND(J340, 2)*I340, 2)</f>
        <v>48946.9</v>
      </c>
      <c r="P340" s="21">
        <v>737.4</v>
      </c>
      <c r="S340" s="22">
        <f>ROUND(ROUND(P340, 2)*I340, 2)</f>
        <v>26061.19</v>
      </c>
      <c r="V340" s="9">
        <f>ROUND(ROUND(P340, 2)/1.2, 2)</f>
        <v>614.5</v>
      </c>
      <c r="Y340" s="9">
        <f t="shared" si="22"/>
        <v>21717.66</v>
      </c>
      <c r="AD340" s="4" t="s">
        <v>1392</v>
      </c>
      <c r="AE340" s="4" t="s">
        <v>1393</v>
      </c>
      <c r="AF340" s="4" t="s">
        <v>1394</v>
      </c>
    </row>
    <row r="341" spans="1:35" ht="54" x14ac:dyDescent="0.3">
      <c r="A341" s="10" t="s">
        <v>1395</v>
      </c>
      <c r="B341" s="10"/>
      <c r="C341" s="17" t="s">
        <v>693</v>
      </c>
      <c r="D341" s="12"/>
      <c r="E341" s="12" t="s">
        <v>402</v>
      </c>
      <c r="F341" s="18" t="s">
        <v>70</v>
      </c>
      <c r="G341" s="19">
        <v>1.2</v>
      </c>
      <c r="H341" s="20"/>
      <c r="I341" s="20">
        <v>79.272000000000006</v>
      </c>
      <c r="J341" s="21">
        <v>16.11</v>
      </c>
      <c r="M341" s="22">
        <f>ROUND(ROUND(J341, 2)*I341, 2)</f>
        <v>1277.07</v>
      </c>
      <c r="P341" s="21">
        <v>16.11</v>
      </c>
      <c r="S341" s="22">
        <f>ROUND(ROUND(P341, 2)*I341, 2)</f>
        <v>1277.07</v>
      </c>
      <c r="V341" s="9">
        <f>ROUND(ROUND(P341, 2)/1.2, 2)</f>
        <v>13.43</v>
      </c>
      <c r="Y341" s="9">
        <f t="shared" si="22"/>
        <v>1064.23</v>
      </c>
      <c r="AD341" s="4" t="s">
        <v>1396</v>
      </c>
      <c r="AE341" s="4" t="s">
        <v>1397</v>
      </c>
      <c r="AF341" s="4" t="s">
        <v>696</v>
      </c>
    </row>
    <row r="342" spans="1:35" ht="36" x14ac:dyDescent="0.3">
      <c r="A342" s="10" t="s">
        <v>1398</v>
      </c>
      <c r="B342" s="10"/>
      <c r="C342" s="24" t="s">
        <v>452</v>
      </c>
      <c r="D342" s="12"/>
      <c r="E342" s="12"/>
      <c r="F342" s="18" t="s">
        <v>70</v>
      </c>
      <c r="G342" s="19">
        <v>0.15</v>
      </c>
      <c r="H342" s="19"/>
      <c r="I342" s="19">
        <v>4.9550000000000001</v>
      </c>
      <c r="J342" s="21">
        <v>68.400000000000006</v>
      </c>
      <c r="M342" s="22">
        <f>ROUND(ROUND(J342, 2)*I342, 2)</f>
        <v>338.92</v>
      </c>
      <c r="P342" s="21">
        <v>68.400000000000006</v>
      </c>
      <c r="S342" s="22">
        <f>ROUND(ROUND(P342, 2)*I342, 2)</f>
        <v>338.92</v>
      </c>
      <c r="V342" s="9">
        <f>ROUND(ROUND(P342, 2)/1.2, 2)</f>
        <v>57</v>
      </c>
      <c r="Y342" s="9">
        <f t="shared" si="22"/>
        <v>282.43</v>
      </c>
      <c r="AD342" s="4" t="s">
        <v>1399</v>
      </c>
      <c r="AE342" s="4" t="s">
        <v>1400</v>
      </c>
      <c r="AF342" s="4" t="s">
        <v>456</v>
      </c>
    </row>
    <row r="343" spans="1:35" ht="36" x14ac:dyDescent="0.3">
      <c r="A343" s="10" t="s">
        <v>1401</v>
      </c>
      <c r="B343" s="10"/>
      <c r="C343" s="24" t="s">
        <v>426</v>
      </c>
      <c r="D343" s="12"/>
      <c r="E343" s="12"/>
      <c r="F343" s="18" t="s">
        <v>70</v>
      </c>
      <c r="G343" s="19">
        <v>0.25</v>
      </c>
      <c r="H343" s="20"/>
      <c r="I343" s="20">
        <v>8.2579999999999991</v>
      </c>
      <c r="J343" s="21">
        <v>40.270000000000003</v>
      </c>
      <c r="M343" s="22">
        <f>ROUND(ROUND(J343, 2)*I343, 2)</f>
        <v>332.55</v>
      </c>
      <c r="P343" s="21">
        <v>40.270000000000003</v>
      </c>
      <c r="S343" s="22">
        <f>ROUND(ROUND(P343, 2)*I343, 2)</f>
        <v>332.55</v>
      </c>
      <c r="V343" s="9">
        <f>ROUND(ROUND(P343, 2)/1.2, 2)</f>
        <v>33.56</v>
      </c>
      <c r="Y343" s="9">
        <f t="shared" si="22"/>
        <v>277.13</v>
      </c>
      <c r="AD343" s="4" t="s">
        <v>1402</v>
      </c>
      <c r="AE343" s="4" t="s">
        <v>1403</v>
      </c>
      <c r="AF343" s="4" t="s">
        <v>429</v>
      </c>
    </row>
    <row r="344" spans="1:35" ht="54" x14ac:dyDescent="0.3">
      <c r="A344" s="10" t="s">
        <v>1404</v>
      </c>
      <c r="B344" s="10" t="s">
        <v>1367</v>
      </c>
      <c r="C344" s="11" t="s">
        <v>1368</v>
      </c>
      <c r="D344" s="12"/>
      <c r="E344" s="12" t="s">
        <v>1405</v>
      </c>
      <c r="F344" s="12" t="s">
        <v>64</v>
      </c>
      <c r="G344" s="13">
        <v>1</v>
      </c>
      <c r="H344" s="13"/>
      <c r="I344" s="13">
        <v>55.79</v>
      </c>
      <c r="J344" s="14">
        <f>IFERROR(ROUND(SUM(M345,M346,M347,M348)/I344, 2),0)</f>
        <v>1276.8599999999999</v>
      </c>
      <c r="K344" s="15">
        <v>2364</v>
      </c>
      <c r="L344" s="14">
        <f>J344+ROUND(K344, 2)</f>
        <v>3640.8599999999997</v>
      </c>
      <c r="M344" s="14">
        <f>ROUND(J344*I344, 2)</f>
        <v>71236.02</v>
      </c>
      <c r="N344" s="14">
        <f>ROUND(I344*ROUND(K344, 2), 2)</f>
        <v>131887.56</v>
      </c>
      <c r="O344" s="14">
        <f>M344+N344</f>
        <v>203123.58000000002</v>
      </c>
      <c r="P344" s="14">
        <f>IFERROR(ROUND(SUM(S345,S346,S347,S348)/I344, 2),0)</f>
        <v>870.05</v>
      </c>
      <c r="Q344" s="15">
        <v>2364</v>
      </c>
      <c r="R344" s="14">
        <f>P344+ROUND(Q344, 2)</f>
        <v>3234.05</v>
      </c>
      <c r="S344" s="14">
        <f>ROUND(P344*I344, 2)</f>
        <v>48540.09</v>
      </c>
      <c r="T344" s="14">
        <f>ROUND(I344*ROUND(Q344, 2), 2)</f>
        <v>131887.56</v>
      </c>
      <c r="U344" s="14">
        <f>S344+T344</f>
        <v>180427.65</v>
      </c>
      <c r="V344" s="9">
        <f>ROUND(P344 / 1.2, 2)</f>
        <v>725.04</v>
      </c>
      <c r="W344" s="9">
        <f>ROUND(Q344 / 1.2, 2)</f>
        <v>1970</v>
      </c>
      <c r="X344" s="9">
        <f>ROUND(R344 / 1.2, 2)</f>
        <v>2695.04</v>
      </c>
      <c r="Y344" s="9">
        <f t="shared" si="22"/>
        <v>40450.080000000002</v>
      </c>
      <c r="Z344" s="9">
        <f>ROUND(T344 / 1.2, 2)</f>
        <v>109906.3</v>
      </c>
      <c r="AA344" s="9">
        <f>Y344+Z344</f>
        <v>150356.38</v>
      </c>
      <c r="AD344" s="4">
        <v>298925422</v>
      </c>
      <c r="AE344" s="4">
        <v>19977050</v>
      </c>
      <c r="AG344" s="4" t="s">
        <v>1370</v>
      </c>
      <c r="AH344" s="4" t="s">
        <v>1371</v>
      </c>
      <c r="AI344" s="4" t="s">
        <v>67</v>
      </c>
    </row>
    <row r="345" spans="1:35" ht="36" x14ac:dyDescent="0.3">
      <c r="A345" s="10" t="s">
        <v>1406</v>
      </c>
      <c r="B345" s="10"/>
      <c r="C345" s="24" t="s">
        <v>426</v>
      </c>
      <c r="D345" s="12"/>
      <c r="E345" s="12"/>
      <c r="F345" s="18" t="s">
        <v>70</v>
      </c>
      <c r="G345" s="19">
        <v>0.25</v>
      </c>
      <c r="H345" s="20"/>
      <c r="I345" s="20">
        <v>13.948</v>
      </c>
      <c r="J345" s="21">
        <v>40.270000000000003</v>
      </c>
      <c r="M345" s="22">
        <f>ROUND(ROUND(J345, 2)*I345, 2)</f>
        <v>561.69000000000005</v>
      </c>
      <c r="P345" s="21">
        <v>40.270000000000003</v>
      </c>
      <c r="S345" s="22">
        <f>ROUND(ROUND(P345, 2)*I345, 2)</f>
        <v>561.69000000000005</v>
      </c>
      <c r="V345" s="9">
        <f>ROUND(ROUND(P345, 2)/1.2, 2)</f>
        <v>33.56</v>
      </c>
      <c r="Y345" s="9">
        <f t="shared" si="22"/>
        <v>468.08</v>
      </c>
      <c r="AD345" s="4" t="s">
        <v>1407</v>
      </c>
      <c r="AE345" s="4" t="s">
        <v>1408</v>
      </c>
      <c r="AF345" s="4" t="s">
        <v>429</v>
      </c>
    </row>
    <row r="346" spans="1:35" ht="36" x14ac:dyDescent="0.3">
      <c r="A346" s="10" t="s">
        <v>1409</v>
      </c>
      <c r="B346" s="10"/>
      <c r="C346" s="24" t="s">
        <v>452</v>
      </c>
      <c r="D346" s="12"/>
      <c r="E346" s="12"/>
      <c r="F346" s="18" t="s">
        <v>70</v>
      </c>
      <c r="G346" s="19">
        <v>0.15</v>
      </c>
      <c r="H346" s="19"/>
      <c r="I346" s="19">
        <v>8.3689999999999998</v>
      </c>
      <c r="J346" s="21">
        <v>68.400000000000006</v>
      </c>
      <c r="M346" s="22">
        <f>ROUND(ROUND(J346, 2)*I346, 2)</f>
        <v>572.44000000000005</v>
      </c>
      <c r="P346" s="21">
        <v>68.400000000000006</v>
      </c>
      <c r="S346" s="22">
        <f>ROUND(ROUND(P346, 2)*I346, 2)</f>
        <v>572.44000000000005</v>
      </c>
      <c r="V346" s="9">
        <f>ROUND(ROUND(P346, 2)/1.2, 2)</f>
        <v>57</v>
      </c>
      <c r="Y346" s="9">
        <f t="shared" si="22"/>
        <v>477.03</v>
      </c>
      <c r="AD346" s="4" t="s">
        <v>1410</v>
      </c>
      <c r="AE346" s="4" t="s">
        <v>1411</v>
      </c>
      <c r="AF346" s="4" t="s">
        <v>456</v>
      </c>
    </row>
    <row r="347" spans="1:35" ht="54" x14ac:dyDescent="0.3">
      <c r="A347" s="10" t="s">
        <v>1412</v>
      </c>
      <c r="B347" s="10"/>
      <c r="C347" s="17" t="s">
        <v>693</v>
      </c>
      <c r="D347" s="12"/>
      <c r="E347" s="12" t="s">
        <v>402</v>
      </c>
      <c r="F347" s="18" t="s">
        <v>70</v>
      </c>
      <c r="G347" s="19">
        <v>1.2</v>
      </c>
      <c r="H347" s="20"/>
      <c r="I347" s="20">
        <v>133.89599999999999</v>
      </c>
      <c r="J347" s="21">
        <v>16.11</v>
      </c>
      <c r="M347" s="22">
        <f>ROUND(ROUND(J347, 2)*I347, 2)</f>
        <v>2157.06</v>
      </c>
      <c r="P347" s="21">
        <v>16.11</v>
      </c>
      <c r="S347" s="22">
        <f>ROUND(ROUND(P347, 2)*I347, 2)</f>
        <v>2157.06</v>
      </c>
      <c r="V347" s="9">
        <f>ROUND(ROUND(P347, 2)/1.2, 2)</f>
        <v>13.43</v>
      </c>
      <c r="Y347" s="9">
        <f t="shared" si="22"/>
        <v>1797.55</v>
      </c>
      <c r="AD347" s="4" t="s">
        <v>1413</v>
      </c>
      <c r="AE347" s="4" t="s">
        <v>1414</v>
      </c>
      <c r="AF347" s="4" t="s">
        <v>696</v>
      </c>
    </row>
    <row r="348" spans="1:35" ht="36" x14ac:dyDescent="0.3">
      <c r="A348" s="10" t="s">
        <v>1415</v>
      </c>
      <c r="B348" s="10"/>
      <c r="C348" s="17" t="s">
        <v>1416</v>
      </c>
      <c r="D348" s="12"/>
      <c r="E348" s="12" t="s">
        <v>1417</v>
      </c>
      <c r="F348" s="18" t="s">
        <v>64</v>
      </c>
      <c r="G348" s="19">
        <v>1.07</v>
      </c>
      <c r="H348" s="20"/>
      <c r="I348" s="20">
        <v>59.695</v>
      </c>
      <c r="J348" s="21">
        <v>1138.2</v>
      </c>
      <c r="M348" s="22">
        <f>ROUND(ROUND(J348, 2)*I348, 2)</f>
        <v>67944.850000000006</v>
      </c>
      <c r="P348" s="21">
        <v>758</v>
      </c>
      <c r="S348" s="22">
        <f>ROUND(ROUND(P348, 2)*I348, 2)</f>
        <v>45248.81</v>
      </c>
      <c r="V348" s="9">
        <f>ROUND(ROUND(P348, 2)/1.2, 2)</f>
        <v>631.66999999999996</v>
      </c>
      <c r="Y348" s="9">
        <f t="shared" si="22"/>
        <v>37707.339999999997</v>
      </c>
      <c r="AD348" s="4" t="s">
        <v>1418</v>
      </c>
      <c r="AE348" s="4" t="s">
        <v>1419</v>
      </c>
      <c r="AF348" s="4" t="s">
        <v>1420</v>
      </c>
    </row>
    <row r="349" spans="1:35" ht="54" x14ac:dyDescent="0.3">
      <c r="A349" s="10" t="s">
        <v>1421</v>
      </c>
      <c r="B349" s="10" t="s">
        <v>1367</v>
      </c>
      <c r="C349" s="11" t="s">
        <v>1368</v>
      </c>
      <c r="D349" s="12"/>
      <c r="E349" s="12" t="s">
        <v>1422</v>
      </c>
      <c r="F349" s="12" t="s">
        <v>64</v>
      </c>
      <c r="G349" s="13">
        <v>1</v>
      </c>
      <c r="H349" s="13"/>
      <c r="I349" s="13">
        <v>5.65</v>
      </c>
      <c r="J349" s="14">
        <f>IFERROR(ROUND(SUM(M350,M351,M352)/I349, 2),0)</f>
        <v>1139.74</v>
      </c>
      <c r="K349" s="15">
        <v>2364</v>
      </c>
      <c r="L349" s="14">
        <f>J349+ROUND(K349, 2)</f>
        <v>3503.74</v>
      </c>
      <c r="M349" s="14">
        <f>ROUND(J349*I349, 2)</f>
        <v>6439.53</v>
      </c>
      <c r="N349" s="14">
        <f>ROUND(I349*ROUND(K349, 2), 2)</f>
        <v>13356.6</v>
      </c>
      <c r="O349" s="14">
        <f>M349+N349</f>
        <v>19796.13</v>
      </c>
      <c r="P349" s="14">
        <f>IFERROR(ROUND(SUM(S350,S351,S352)/I349, 2),0)</f>
        <v>810.64</v>
      </c>
      <c r="Q349" s="15">
        <v>2364</v>
      </c>
      <c r="R349" s="14">
        <f>P349+ROUND(Q349, 2)</f>
        <v>3174.64</v>
      </c>
      <c r="S349" s="14">
        <f>ROUND(P349*I349, 2)</f>
        <v>4580.12</v>
      </c>
      <c r="T349" s="14">
        <f>ROUND(I349*ROUND(Q349, 2), 2)</f>
        <v>13356.6</v>
      </c>
      <c r="U349" s="14">
        <f>S349+T349</f>
        <v>17936.72</v>
      </c>
      <c r="V349" s="9">
        <f>ROUND(P349 / 1.2, 2)</f>
        <v>675.53</v>
      </c>
      <c r="W349" s="9">
        <f>ROUND(Q349 / 1.2, 2)</f>
        <v>1970</v>
      </c>
      <c r="X349" s="9">
        <f>ROUND(R349 / 1.2, 2)</f>
        <v>2645.53</v>
      </c>
      <c r="Y349" s="9">
        <f t="shared" si="22"/>
        <v>3816.77</v>
      </c>
      <c r="Z349" s="9">
        <f>ROUND(T349 / 1.2, 2)</f>
        <v>11130.5</v>
      </c>
      <c r="AA349" s="9">
        <f>Y349+Z349</f>
        <v>14947.27</v>
      </c>
      <c r="AD349" s="4">
        <v>298925423</v>
      </c>
      <c r="AE349" s="4">
        <v>19977051</v>
      </c>
      <c r="AG349" s="4" t="s">
        <v>1370</v>
      </c>
      <c r="AH349" s="4" t="s">
        <v>1371</v>
      </c>
      <c r="AI349" s="4" t="s">
        <v>67</v>
      </c>
    </row>
    <row r="350" spans="1:35" ht="36" x14ac:dyDescent="0.3">
      <c r="A350" s="10" t="s">
        <v>1423</v>
      </c>
      <c r="B350" s="10"/>
      <c r="C350" s="17" t="s">
        <v>1424</v>
      </c>
      <c r="D350" s="12"/>
      <c r="E350" s="12" t="s">
        <v>1425</v>
      </c>
      <c r="F350" s="18" t="s">
        <v>64</v>
      </c>
      <c r="G350" s="19">
        <v>1.07</v>
      </c>
      <c r="H350" s="20"/>
      <c r="I350" s="20">
        <v>6.0460000000000003</v>
      </c>
      <c r="J350" s="21">
        <v>1019.55</v>
      </c>
      <c r="M350" s="22">
        <f>ROUND(ROUND(J350, 2)*I350, 2)</f>
        <v>6164.2</v>
      </c>
      <c r="P350" s="21">
        <v>712</v>
      </c>
      <c r="S350" s="22">
        <f>ROUND(ROUND(P350, 2)*I350, 2)</f>
        <v>4304.75</v>
      </c>
      <c r="V350" s="9">
        <f>ROUND(ROUND(P350, 2)/1.2, 2)</f>
        <v>593.33000000000004</v>
      </c>
      <c r="Y350" s="9">
        <f t="shared" si="22"/>
        <v>3587.29</v>
      </c>
      <c r="AD350" s="4" t="s">
        <v>1426</v>
      </c>
      <c r="AE350" s="4" t="s">
        <v>1427</v>
      </c>
      <c r="AF350" s="4" t="s">
        <v>1428</v>
      </c>
    </row>
    <row r="351" spans="1:35" ht="54" x14ac:dyDescent="0.3">
      <c r="A351" s="10" t="s">
        <v>1429</v>
      </c>
      <c r="B351" s="10"/>
      <c r="C351" s="17" t="s">
        <v>693</v>
      </c>
      <c r="D351" s="12"/>
      <c r="E351" s="12" t="s">
        <v>402</v>
      </c>
      <c r="F351" s="18" t="s">
        <v>70</v>
      </c>
      <c r="G351" s="19">
        <v>1.2</v>
      </c>
      <c r="H351" s="20"/>
      <c r="I351" s="20">
        <v>13.56</v>
      </c>
      <c r="J351" s="21">
        <v>16.11</v>
      </c>
      <c r="M351" s="22">
        <f>ROUND(ROUND(J351, 2)*I351, 2)</f>
        <v>218.45</v>
      </c>
      <c r="P351" s="21">
        <v>16.11</v>
      </c>
      <c r="S351" s="22">
        <f>ROUND(ROUND(P351, 2)*I351, 2)</f>
        <v>218.45</v>
      </c>
      <c r="V351" s="9">
        <f>ROUND(ROUND(P351, 2)/1.2, 2)</f>
        <v>13.43</v>
      </c>
      <c r="Y351" s="9">
        <f t="shared" si="22"/>
        <v>182.04</v>
      </c>
      <c r="AD351" s="4" t="s">
        <v>1430</v>
      </c>
      <c r="AE351" s="4" t="s">
        <v>1431</v>
      </c>
      <c r="AF351" s="4" t="s">
        <v>696</v>
      </c>
    </row>
    <row r="352" spans="1:35" ht="36" x14ac:dyDescent="0.3">
      <c r="A352" s="10" t="s">
        <v>1432</v>
      </c>
      <c r="B352" s="10"/>
      <c r="C352" s="24" t="s">
        <v>426</v>
      </c>
      <c r="D352" s="12"/>
      <c r="E352" s="12"/>
      <c r="F352" s="18" t="s">
        <v>70</v>
      </c>
      <c r="G352" s="19">
        <v>0.25</v>
      </c>
      <c r="H352" s="20"/>
      <c r="I352" s="20">
        <v>1.413</v>
      </c>
      <c r="J352" s="21">
        <v>40.270000000000003</v>
      </c>
      <c r="M352" s="22">
        <f>ROUND(ROUND(J352, 2)*I352, 2)</f>
        <v>56.9</v>
      </c>
      <c r="P352" s="21">
        <v>40.270000000000003</v>
      </c>
      <c r="S352" s="22">
        <f>ROUND(ROUND(P352, 2)*I352, 2)</f>
        <v>56.9</v>
      </c>
      <c r="V352" s="9">
        <f>ROUND(ROUND(P352, 2)/1.2, 2)</f>
        <v>33.56</v>
      </c>
      <c r="Y352" s="9">
        <f t="shared" si="22"/>
        <v>47.42</v>
      </c>
      <c r="AD352" s="4" t="s">
        <v>1433</v>
      </c>
      <c r="AE352" s="4" t="s">
        <v>1434</v>
      </c>
      <c r="AF352" s="4" t="s">
        <v>429</v>
      </c>
    </row>
    <row r="353" spans="1:35" ht="54" x14ac:dyDescent="0.3">
      <c r="A353" s="10" t="s">
        <v>1435</v>
      </c>
      <c r="B353" s="10" t="s">
        <v>1367</v>
      </c>
      <c r="C353" s="11" t="s">
        <v>1368</v>
      </c>
      <c r="D353" s="12"/>
      <c r="E353" s="12" t="s">
        <v>1436</v>
      </c>
      <c r="F353" s="12" t="s">
        <v>64</v>
      </c>
      <c r="G353" s="13">
        <v>1</v>
      </c>
      <c r="H353" s="13"/>
      <c r="I353" s="13">
        <v>8.18</v>
      </c>
      <c r="J353" s="14">
        <f>IFERROR(ROUND(SUM(M354,M355,M356,M357)/I353, 2),0)</f>
        <v>1276.92</v>
      </c>
      <c r="K353" s="15">
        <v>2364</v>
      </c>
      <c r="L353" s="14">
        <f>J353+ROUND(K353, 2)</f>
        <v>3640.92</v>
      </c>
      <c r="M353" s="14">
        <f>ROUND(J353*I353, 2)</f>
        <v>10445.209999999999</v>
      </c>
      <c r="N353" s="14">
        <f>ROUND(I353*ROUND(K353, 2), 2)</f>
        <v>19337.52</v>
      </c>
      <c r="O353" s="14">
        <f>M353+N353</f>
        <v>29782.73</v>
      </c>
      <c r="P353" s="14">
        <f>IFERROR(ROUND(SUM(S354,S355,S356,S357)/I353, 2),0)</f>
        <v>790.9</v>
      </c>
      <c r="Q353" s="15">
        <v>2364</v>
      </c>
      <c r="R353" s="14">
        <f>P353+ROUND(Q353, 2)</f>
        <v>3154.9</v>
      </c>
      <c r="S353" s="14">
        <f>ROUND(P353*I353, 2)</f>
        <v>6469.56</v>
      </c>
      <c r="T353" s="14">
        <f>ROUND(I353*ROUND(Q353, 2), 2)</f>
        <v>19337.52</v>
      </c>
      <c r="U353" s="14">
        <f>S353+T353</f>
        <v>25807.08</v>
      </c>
      <c r="V353" s="9">
        <f>ROUND(P353 / 1.2, 2)</f>
        <v>659.08</v>
      </c>
      <c r="W353" s="9">
        <f>ROUND(Q353 / 1.2, 2)</f>
        <v>1970</v>
      </c>
      <c r="X353" s="9">
        <f>ROUND(R353 / 1.2, 2)</f>
        <v>2629.08</v>
      </c>
      <c r="Y353" s="9">
        <f t="shared" si="22"/>
        <v>5391.3</v>
      </c>
      <c r="Z353" s="9">
        <f>ROUND(T353 / 1.2, 2)</f>
        <v>16114.6</v>
      </c>
      <c r="AA353" s="9">
        <f>Y353+Z353</f>
        <v>21505.9</v>
      </c>
      <c r="AD353" s="4">
        <v>298925424</v>
      </c>
      <c r="AE353" s="4">
        <v>19977052</v>
      </c>
      <c r="AG353" s="4" t="s">
        <v>1370</v>
      </c>
      <c r="AH353" s="4" t="s">
        <v>1371</v>
      </c>
      <c r="AI353" s="4" t="s">
        <v>67</v>
      </c>
    </row>
    <row r="354" spans="1:35" ht="36" x14ac:dyDescent="0.3">
      <c r="A354" s="10" t="s">
        <v>1437</v>
      </c>
      <c r="B354" s="10"/>
      <c r="C354" s="24" t="s">
        <v>426</v>
      </c>
      <c r="D354" s="12"/>
      <c r="E354" s="12"/>
      <c r="F354" s="18" t="s">
        <v>70</v>
      </c>
      <c r="G354" s="19">
        <v>0.25</v>
      </c>
      <c r="H354" s="20"/>
      <c r="I354" s="20">
        <v>2.0449999999999999</v>
      </c>
      <c r="J354" s="21">
        <v>40.270000000000003</v>
      </c>
      <c r="M354" s="22">
        <f>ROUND(ROUND(J354, 2)*I354, 2)</f>
        <v>82.35</v>
      </c>
      <c r="P354" s="21">
        <v>40.270000000000003</v>
      </c>
      <c r="S354" s="22">
        <f>ROUND(ROUND(P354, 2)*I354, 2)</f>
        <v>82.35</v>
      </c>
      <c r="V354" s="9">
        <f>ROUND(ROUND(P354, 2)/1.2, 2)</f>
        <v>33.56</v>
      </c>
      <c r="Y354" s="9">
        <f t="shared" si="22"/>
        <v>68.63</v>
      </c>
      <c r="AD354" s="4" t="s">
        <v>1438</v>
      </c>
      <c r="AE354" s="4" t="s">
        <v>1439</v>
      </c>
      <c r="AF354" s="4" t="s">
        <v>429</v>
      </c>
    </row>
    <row r="355" spans="1:35" ht="36" x14ac:dyDescent="0.3">
      <c r="A355" s="10" t="s">
        <v>1440</v>
      </c>
      <c r="B355" s="10"/>
      <c r="C355" s="24" t="s">
        <v>452</v>
      </c>
      <c r="D355" s="12"/>
      <c r="E355" s="12"/>
      <c r="F355" s="18" t="s">
        <v>70</v>
      </c>
      <c r="G355" s="19">
        <v>0.15</v>
      </c>
      <c r="H355" s="19"/>
      <c r="I355" s="19">
        <v>1.2270000000000001</v>
      </c>
      <c r="J355" s="21">
        <v>68.400000000000006</v>
      </c>
      <c r="M355" s="22">
        <f>ROUND(ROUND(J355, 2)*I355, 2)</f>
        <v>83.93</v>
      </c>
      <c r="P355" s="21">
        <v>68.400000000000006</v>
      </c>
      <c r="S355" s="22">
        <f>ROUND(ROUND(P355, 2)*I355, 2)</f>
        <v>83.93</v>
      </c>
      <c r="V355" s="9">
        <f>ROUND(ROUND(P355, 2)/1.2, 2)</f>
        <v>57</v>
      </c>
      <c r="Y355" s="9">
        <f t="shared" si="22"/>
        <v>69.94</v>
      </c>
      <c r="AD355" s="4" t="s">
        <v>1441</v>
      </c>
      <c r="AE355" s="4" t="s">
        <v>1442</v>
      </c>
      <c r="AF355" s="4" t="s">
        <v>456</v>
      </c>
    </row>
    <row r="356" spans="1:35" ht="54" x14ac:dyDescent="0.3">
      <c r="A356" s="10" t="s">
        <v>1443</v>
      </c>
      <c r="B356" s="10"/>
      <c r="C356" s="17" t="s">
        <v>693</v>
      </c>
      <c r="D356" s="12"/>
      <c r="E356" s="12" t="s">
        <v>402</v>
      </c>
      <c r="F356" s="18" t="s">
        <v>70</v>
      </c>
      <c r="G356" s="19">
        <v>1.2</v>
      </c>
      <c r="H356" s="20"/>
      <c r="I356" s="20">
        <v>19.632000000000001</v>
      </c>
      <c r="J356" s="21">
        <v>16.11</v>
      </c>
      <c r="M356" s="22">
        <f>ROUND(ROUND(J356, 2)*I356, 2)</f>
        <v>316.27</v>
      </c>
      <c r="P356" s="21">
        <v>16.11</v>
      </c>
      <c r="S356" s="22">
        <f>ROUND(ROUND(P356, 2)*I356, 2)</f>
        <v>316.27</v>
      </c>
      <c r="V356" s="9">
        <f>ROUND(ROUND(P356, 2)/1.2, 2)</f>
        <v>13.43</v>
      </c>
      <c r="Y356" s="9">
        <f t="shared" si="22"/>
        <v>263.56</v>
      </c>
      <c r="AD356" s="4" t="s">
        <v>1444</v>
      </c>
      <c r="AE356" s="4" t="s">
        <v>1445</v>
      </c>
      <c r="AF356" s="4" t="s">
        <v>696</v>
      </c>
    </row>
    <row r="357" spans="1:35" ht="54" x14ac:dyDescent="0.3">
      <c r="A357" s="10" t="s">
        <v>1446</v>
      </c>
      <c r="B357" s="10"/>
      <c r="C357" s="17" t="s">
        <v>1416</v>
      </c>
      <c r="D357" s="12"/>
      <c r="E357" s="12" t="s">
        <v>1447</v>
      </c>
      <c r="F357" s="18" t="s">
        <v>64</v>
      </c>
      <c r="G357" s="19">
        <v>1.07</v>
      </c>
      <c r="H357" s="20"/>
      <c r="I357" s="20">
        <v>8.7530000000000001</v>
      </c>
      <c r="J357" s="21">
        <v>1138.2</v>
      </c>
      <c r="M357" s="22">
        <f>ROUND(ROUND(J357, 2)*I357, 2)</f>
        <v>9962.66</v>
      </c>
      <c r="P357" s="21">
        <v>684</v>
      </c>
      <c r="S357" s="22">
        <f>ROUND(ROUND(P357, 2)*I357, 2)</f>
        <v>5987.05</v>
      </c>
      <c r="V357" s="9">
        <f>ROUND(ROUND(P357, 2)/1.2, 2)</f>
        <v>570</v>
      </c>
      <c r="Y357" s="9">
        <f t="shared" si="22"/>
        <v>4989.21</v>
      </c>
      <c r="AD357" s="4" t="s">
        <v>1448</v>
      </c>
      <c r="AE357" s="4" t="s">
        <v>1449</v>
      </c>
      <c r="AF357" s="4" t="s">
        <v>1420</v>
      </c>
    </row>
    <row r="358" spans="1:35" ht="54" x14ac:dyDescent="0.3">
      <c r="A358" s="10" t="s">
        <v>1450</v>
      </c>
      <c r="B358" s="10" t="s">
        <v>1367</v>
      </c>
      <c r="C358" s="11" t="s">
        <v>1368</v>
      </c>
      <c r="D358" s="12"/>
      <c r="E358" s="12" t="s">
        <v>1451</v>
      </c>
      <c r="F358" s="12" t="s">
        <v>64</v>
      </c>
      <c r="G358" s="13">
        <v>1</v>
      </c>
      <c r="H358" s="13"/>
      <c r="I358" s="13">
        <v>175.58</v>
      </c>
      <c r="J358" s="14">
        <f>IFERROR(ROUND(SUM(M359,M360,M361)/I358, 2),0)</f>
        <v>1530.63</v>
      </c>
      <c r="K358" s="15">
        <v>2364</v>
      </c>
      <c r="L358" s="14">
        <f>J358+ROUND(K358, 2)</f>
        <v>3894.63</v>
      </c>
      <c r="M358" s="14">
        <f>ROUND(J358*I358, 2)</f>
        <v>268748.02</v>
      </c>
      <c r="N358" s="14">
        <f>ROUND(I358*ROUND(K358, 2), 2)</f>
        <v>415071.12</v>
      </c>
      <c r="O358" s="14">
        <f>M358+N358</f>
        <v>683819.14</v>
      </c>
      <c r="P358" s="14">
        <f>IFERROR(ROUND(SUM(S359,S360,S361)/I358, 2),0)</f>
        <v>412.53</v>
      </c>
      <c r="Q358" s="15">
        <v>2364</v>
      </c>
      <c r="R358" s="14">
        <f>P358+ROUND(Q358, 2)</f>
        <v>2776.5299999999997</v>
      </c>
      <c r="S358" s="14">
        <f>ROUND(P358*I358, 2)</f>
        <v>72432.02</v>
      </c>
      <c r="T358" s="14">
        <f>ROUND(I358*ROUND(Q358, 2), 2)</f>
        <v>415071.12</v>
      </c>
      <c r="U358" s="14">
        <f>S358+T358</f>
        <v>487503.14</v>
      </c>
      <c r="V358" s="9">
        <f>ROUND(P358 / 1.2, 2)</f>
        <v>343.78</v>
      </c>
      <c r="W358" s="9">
        <f>ROUND(Q358 / 1.2, 2)</f>
        <v>1970</v>
      </c>
      <c r="X358" s="9">
        <f>ROUND(R358 / 1.2, 2)</f>
        <v>2313.7800000000002</v>
      </c>
      <c r="Y358" s="9">
        <f t="shared" si="22"/>
        <v>60360.02</v>
      </c>
      <c r="Z358" s="9">
        <f>ROUND(T358 / 1.2, 2)</f>
        <v>345892.6</v>
      </c>
      <c r="AA358" s="9">
        <f>Y358+Z358</f>
        <v>406252.62</v>
      </c>
      <c r="AD358" s="4">
        <v>298925425</v>
      </c>
      <c r="AE358" s="4">
        <v>19977069</v>
      </c>
      <c r="AG358" s="4" t="s">
        <v>1370</v>
      </c>
      <c r="AH358" s="4" t="s">
        <v>1371</v>
      </c>
      <c r="AI358" s="4" t="s">
        <v>67</v>
      </c>
    </row>
    <row r="359" spans="1:35" ht="36" x14ac:dyDescent="0.3">
      <c r="A359" s="10" t="s">
        <v>1452</v>
      </c>
      <c r="B359" s="10"/>
      <c r="C359" s="17" t="s">
        <v>1390</v>
      </c>
      <c r="D359" s="12"/>
      <c r="E359" s="12" t="s">
        <v>1453</v>
      </c>
      <c r="F359" s="18" t="s">
        <v>64</v>
      </c>
      <c r="G359" s="19">
        <v>1.07</v>
      </c>
      <c r="H359" s="20"/>
      <c r="I359" s="20">
        <v>187.87100000000001</v>
      </c>
      <c r="J359" s="21">
        <v>1384.95</v>
      </c>
      <c r="M359" s="22">
        <f>ROUND(ROUND(J359, 2)*I359, 2)</f>
        <v>260191.94</v>
      </c>
      <c r="P359" s="21">
        <v>340</v>
      </c>
      <c r="S359" s="22">
        <f>ROUND(ROUND(P359, 2)*I359, 2)</f>
        <v>63876.14</v>
      </c>
      <c r="V359" s="9">
        <f>ROUND(ROUND(P359, 2)/1.2, 2)</f>
        <v>283.33</v>
      </c>
      <c r="Y359" s="9">
        <f t="shared" si="22"/>
        <v>53230.12</v>
      </c>
      <c r="AD359" s="4" t="s">
        <v>1454</v>
      </c>
      <c r="AE359" s="4" t="s">
        <v>1455</v>
      </c>
      <c r="AF359" s="4" t="s">
        <v>1394</v>
      </c>
    </row>
    <row r="360" spans="1:35" ht="54" x14ac:dyDescent="0.3">
      <c r="A360" s="10" t="s">
        <v>1456</v>
      </c>
      <c r="B360" s="10"/>
      <c r="C360" s="17" t="s">
        <v>693</v>
      </c>
      <c r="D360" s="12"/>
      <c r="E360" s="12" t="s">
        <v>402</v>
      </c>
      <c r="F360" s="18" t="s">
        <v>70</v>
      </c>
      <c r="G360" s="19">
        <v>1.2</v>
      </c>
      <c r="H360" s="20"/>
      <c r="I360" s="20">
        <v>421.392</v>
      </c>
      <c r="J360" s="21">
        <v>16.11</v>
      </c>
      <c r="M360" s="22">
        <f>ROUND(ROUND(J360, 2)*I360, 2)</f>
        <v>6788.63</v>
      </c>
      <c r="P360" s="21">
        <v>16.11</v>
      </c>
      <c r="S360" s="22">
        <f>ROUND(ROUND(P360, 2)*I360, 2)</f>
        <v>6788.63</v>
      </c>
      <c r="V360" s="9">
        <f>ROUND(ROUND(P360, 2)/1.2, 2)</f>
        <v>13.43</v>
      </c>
      <c r="Y360" s="9">
        <f t="shared" si="22"/>
        <v>5657.19</v>
      </c>
      <c r="AD360" s="4" t="s">
        <v>1457</v>
      </c>
      <c r="AE360" s="4" t="s">
        <v>1458</v>
      </c>
      <c r="AF360" s="4" t="s">
        <v>696</v>
      </c>
    </row>
    <row r="361" spans="1:35" ht="36" x14ac:dyDescent="0.3">
      <c r="A361" s="10" t="s">
        <v>1459</v>
      </c>
      <c r="B361" s="10"/>
      <c r="C361" s="24" t="s">
        <v>426</v>
      </c>
      <c r="D361" s="12"/>
      <c r="E361" s="12"/>
      <c r="F361" s="18" t="s">
        <v>70</v>
      </c>
      <c r="G361" s="19">
        <v>0.25</v>
      </c>
      <c r="H361" s="20"/>
      <c r="I361" s="20">
        <v>43.895000000000003</v>
      </c>
      <c r="J361" s="21">
        <v>40.270000000000003</v>
      </c>
      <c r="M361" s="22">
        <f>ROUND(ROUND(J361, 2)*I361, 2)</f>
        <v>1767.65</v>
      </c>
      <c r="P361" s="21">
        <v>40.270000000000003</v>
      </c>
      <c r="S361" s="22">
        <f>ROUND(ROUND(P361, 2)*I361, 2)</f>
        <v>1767.65</v>
      </c>
      <c r="V361" s="9">
        <f>ROUND(ROUND(P361, 2)/1.2, 2)</f>
        <v>33.56</v>
      </c>
      <c r="Y361" s="9">
        <f t="shared" si="22"/>
        <v>1473.04</v>
      </c>
      <c r="AD361" s="4" t="s">
        <v>1460</v>
      </c>
      <c r="AE361" s="4" t="s">
        <v>1461</v>
      </c>
      <c r="AF361" s="4" t="s">
        <v>429</v>
      </c>
    </row>
    <row r="362" spans="1:35" ht="54" x14ac:dyDescent="0.3">
      <c r="A362" s="10" t="s">
        <v>1462</v>
      </c>
      <c r="B362" s="10" t="s">
        <v>1367</v>
      </c>
      <c r="C362" s="11" t="s">
        <v>1368</v>
      </c>
      <c r="D362" s="12"/>
      <c r="E362" s="12" t="s">
        <v>1463</v>
      </c>
      <c r="F362" s="12" t="s">
        <v>64</v>
      </c>
      <c r="G362" s="13">
        <v>1</v>
      </c>
      <c r="H362" s="13"/>
      <c r="I362" s="13">
        <v>400.4</v>
      </c>
      <c r="J362" s="14">
        <f>IFERROR(ROUND(SUM(M363,M364,M365,M366,M367)/I362, 2),0)</f>
        <v>1536.92</v>
      </c>
      <c r="K362" s="15">
        <v>2364</v>
      </c>
      <c r="L362" s="14">
        <f>J362+ROUND(K362, 2)</f>
        <v>3900.92</v>
      </c>
      <c r="M362" s="14">
        <f>ROUND(J362*I362, 2)</f>
        <v>615382.77</v>
      </c>
      <c r="N362" s="14">
        <f>ROUND(I362*ROUND(K362, 2), 2)</f>
        <v>946545.6</v>
      </c>
      <c r="O362" s="14">
        <f>M362+N362</f>
        <v>1561928.37</v>
      </c>
      <c r="P362" s="14">
        <f>IFERROR(ROUND(SUM(S363,S364,S365,S366,S367)/I362, 2),0)</f>
        <v>953.83</v>
      </c>
      <c r="Q362" s="15">
        <v>2364</v>
      </c>
      <c r="R362" s="14">
        <f>P362+ROUND(Q362, 2)</f>
        <v>3317.83</v>
      </c>
      <c r="S362" s="14">
        <f>ROUND(P362*I362, 2)</f>
        <v>381913.53</v>
      </c>
      <c r="T362" s="14">
        <f>ROUND(I362*ROUND(Q362, 2), 2)</f>
        <v>946545.6</v>
      </c>
      <c r="U362" s="14">
        <f>S362+T362</f>
        <v>1328459.1299999999</v>
      </c>
      <c r="V362" s="9">
        <f>ROUND(P362 / 1.2, 2)</f>
        <v>794.86</v>
      </c>
      <c r="W362" s="9">
        <f>ROUND(Q362 / 1.2, 2)</f>
        <v>1970</v>
      </c>
      <c r="X362" s="9">
        <f>ROUND(R362 / 1.2, 2)</f>
        <v>2764.86</v>
      </c>
      <c r="Y362" s="9">
        <f t="shared" si="22"/>
        <v>318261.28000000003</v>
      </c>
      <c r="Z362" s="9">
        <f>ROUND(T362 / 1.2, 2)</f>
        <v>788788</v>
      </c>
      <c r="AA362" s="9">
        <f>Y362+Z362</f>
        <v>1107049.28</v>
      </c>
      <c r="AD362" s="4">
        <v>298925426</v>
      </c>
      <c r="AE362" s="4">
        <v>19977067</v>
      </c>
      <c r="AG362" s="4" t="s">
        <v>1370</v>
      </c>
      <c r="AH362" s="4" t="s">
        <v>1371</v>
      </c>
      <c r="AI362" s="4" t="s">
        <v>67</v>
      </c>
    </row>
    <row r="363" spans="1:35" ht="18" x14ac:dyDescent="0.3">
      <c r="A363" s="10" t="s">
        <v>1464</v>
      </c>
      <c r="B363" s="10"/>
      <c r="C363" s="24" t="s">
        <v>1044</v>
      </c>
      <c r="D363" s="12"/>
      <c r="E363" s="12" t="s">
        <v>1465</v>
      </c>
      <c r="F363" s="18" t="s">
        <v>70</v>
      </c>
      <c r="G363" s="19">
        <v>0.25</v>
      </c>
      <c r="H363" s="20"/>
      <c r="I363" s="20">
        <v>100.1</v>
      </c>
      <c r="J363" s="21">
        <v>40.270000000000003</v>
      </c>
      <c r="M363" s="22">
        <f>ROUND(ROUND(J363, 2)*I363, 2)</f>
        <v>4031.03</v>
      </c>
      <c r="P363" s="21">
        <v>40.270000000000003</v>
      </c>
      <c r="S363" s="22">
        <f>ROUND(ROUND(P363, 2)*I363, 2)</f>
        <v>4031.03</v>
      </c>
      <c r="V363" s="9">
        <f>ROUND(ROUND(P363, 2)/1.2, 2)</f>
        <v>33.56</v>
      </c>
      <c r="Y363" s="9">
        <f t="shared" si="22"/>
        <v>3359.19</v>
      </c>
      <c r="AD363" s="4" t="s">
        <v>1466</v>
      </c>
      <c r="AE363" s="4" t="s">
        <v>1467</v>
      </c>
      <c r="AF363" s="4" t="s">
        <v>1048</v>
      </c>
    </row>
    <row r="364" spans="1:35" ht="54" x14ac:dyDescent="0.3">
      <c r="A364" s="10" t="s">
        <v>1468</v>
      </c>
      <c r="B364" s="10"/>
      <c r="C364" s="17" t="s">
        <v>693</v>
      </c>
      <c r="D364" s="12"/>
      <c r="E364" s="12" t="s">
        <v>402</v>
      </c>
      <c r="F364" s="18" t="s">
        <v>70</v>
      </c>
      <c r="G364" s="19">
        <v>1.2</v>
      </c>
      <c r="H364" s="20"/>
      <c r="I364" s="20">
        <v>960.96</v>
      </c>
      <c r="J364" s="21">
        <v>16.11</v>
      </c>
      <c r="M364" s="22">
        <f>ROUND(ROUND(J364, 2)*I364, 2)</f>
        <v>15481.07</v>
      </c>
      <c r="P364" s="21">
        <v>16.11</v>
      </c>
      <c r="S364" s="22">
        <f>ROUND(ROUND(P364, 2)*I364, 2)</f>
        <v>15481.07</v>
      </c>
      <c r="V364" s="9">
        <f>ROUND(ROUND(P364, 2)/1.2, 2)</f>
        <v>13.43</v>
      </c>
      <c r="Y364" s="9">
        <f t="shared" ref="Y364:Y395" si="23">ROUND(S364 / 1.2, 2)</f>
        <v>12900.89</v>
      </c>
      <c r="AD364" s="4" t="s">
        <v>1469</v>
      </c>
      <c r="AE364" s="4" t="s">
        <v>1470</v>
      </c>
      <c r="AF364" s="4" t="s">
        <v>696</v>
      </c>
    </row>
    <row r="365" spans="1:35" ht="54" x14ac:dyDescent="0.3">
      <c r="A365" s="10" t="s">
        <v>1471</v>
      </c>
      <c r="B365" s="10"/>
      <c r="C365" s="24" t="s">
        <v>1007</v>
      </c>
      <c r="D365" s="12"/>
      <c r="E365" s="12" t="s">
        <v>1472</v>
      </c>
      <c r="F365" s="18" t="s">
        <v>87</v>
      </c>
      <c r="G365" s="19">
        <v>0.23</v>
      </c>
      <c r="H365" s="20"/>
      <c r="I365" s="20">
        <v>13.444000000000001</v>
      </c>
      <c r="J365" s="21">
        <v>97.71</v>
      </c>
      <c r="M365" s="22">
        <f>ROUND(ROUND(J365, 2)*I365, 2)</f>
        <v>1313.61</v>
      </c>
      <c r="P365" s="21">
        <v>97.71</v>
      </c>
      <c r="S365" s="22">
        <f>ROUND(ROUND(P365, 2)*I365, 2)</f>
        <v>1313.61</v>
      </c>
      <c r="V365" s="9">
        <f>ROUND(ROUND(P365, 2)/1.2, 2)</f>
        <v>81.430000000000007</v>
      </c>
      <c r="Y365" s="9">
        <f t="shared" si="23"/>
        <v>1094.68</v>
      </c>
      <c r="AD365" s="4" t="s">
        <v>1473</v>
      </c>
      <c r="AE365" s="4" t="s">
        <v>1474</v>
      </c>
      <c r="AF365" s="4" t="s">
        <v>1010</v>
      </c>
    </row>
    <row r="366" spans="1:35" ht="54" x14ac:dyDescent="0.3">
      <c r="A366" s="10" t="s">
        <v>1475</v>
      </c>
      <c r="B366" s="10"/>
      <c r="C366" s="17" t="s">
        <v>1476</v>
      </c>
      <c r="D366" s="12"/>
      <c r="E366" s="12" t="s">
        <v>1477</v>
      </c>
      <c r="F366" s="18" t="s">
        <v>87</v>
      </c>
      <c r="G366" s="19">
        <v>0.23</v>
      </c>
      <c r="H366" s="20"/>
      <c r="I366" s="20">
        <v>12.537000000000001</v>
      </c>
      <c r="J366" s="21">
        <v>96.24</v>
      </c>
      <c r="M366" s="22">
        <f>ROUND(ROUND(J366, 2)*I366, 2)</f>
        <v>1206.56</v>
      </c>
      <c r="P366" s="21">
        <v>96.24</v>
      </c>
      <c r="S366" s="22">
        <f>ROUND(ROUND(P366, 2)*I366, 2)</f>
        <v>1206.56</v>
      </c>
      <c r="V366" s="9">
        <f>ROUND(ROUND(P366, 2)/1.2, 2)</f>
        <v>80.2</v>
      </c>
      <c r="Y366" s="9">
        <f t="shared" si="23"/>
        <v>1005.47</v>
      </c>
      <c r="AD366" s="4" t="s">
        <v>1478</v>
      </c>
      <c r="AE366" s="4" t="s">
        <v>1479</v>
      </c>
      <c r="AF366" s="4" t="s">
        <v>1480</v>
      </c>
    </row>
    <row r="367" spans="1:35" ht="54" x14ac:dyDescent="0.3">
      <c r="A367" s="10" t="s">
        <v>1481</v>
      </c>
      <c r="B367" s="10"/>
      <c r="C367" s="17" t="s">
        <v>1390</v>
      </c>
      <c r="D367" s="12"/>
      <c r="E367" s="12" t="s">
        <v>1482</v>
      </c>
      <c r="F367" s="18" t="s">
        <v>64</v>
      </c>
      <c r="G367" s="19">
        <v>1.07</v>
      </c>
      <c r="H367" s="20"/>
      <c r="I367" s="20">
        <v>428.428</v>
      </c>
      <c r="J367" s="21">
        <v>1384.95</v>
      </c>
      <c r="M367" s="22">
        <f>ROUND(ROUND(J367, 2)*I367, 2)</f>
        <v>593351.36</v>
      </c>
      <c r="P367" s="21">
        <v>840</v>
      </c>
      <c r="S367" s="22">
        <f>ROUND(ROUND(P367, 2)*I367, 2)</f>
        <v>359879.52</v>
      </c>
      <c r="V367" s="9">
        <f>ROUND(ROUND(P367, 2)/1.2, 2)</f>
        <v>700</v>
      </c>
      <c r="Y367" s="9">
        <f t="shared" si="23"/>
        <v>299899.59999999998</v>
      </c>
      <c r="AD367" s="4" t="s">
        <v>1483</v>
      </c>
      <c r="AE367" s="4" t="s">
        <v>1484</v>
      </c>
      <c r="AF367" s="4" t="s">
        <v>1394</v>
      </c>
    </row>
    <row r="368" spans="1:35" ht="54" x14ac:dyDescent="0.3">
      <c r="A368" s="10" t="s">
        <v>1485</v>
      </c>
      <c r="B368" s="10" t="s">
        <v>1367</v>
      </c>
      <c r="C368" s="11" t="s">
        <v>1368</v>
      </c>
      <c r="D368" s="12"/>
      <c r="E368" s="12" t="s">
        <v>1486</v>
      </c>
      <c r="F368" s="12" t="s">
        <v>64</v>
      </c>
      <c r="G368" s="13">
        <v>1</v>
      </c>
      <c r="H368" s="13"/>
      <c r="I368" s="13">
        <v>158.19</v>
      </c>
      <c r="J368" s="14">
        <f>IFERROR(ROUND(SUM(M369,M370,M371,M372,M373)/I368, 2),0)</f>
        <v>1074.98</v>
      </c>
      <c r="K368" s="15">
        <v>2364</v>
      </c>
      <c r="L368" s="14">
        <f>J368+ROUND(K368, 2)</f>
        <v>3438.98</v>
      </c>
      <c r="M368" s="14">
        <f>ROUND(J368*I368, 2)</f>
        <v>170051.09</v>
      </c>
      <c r="N368" s="14">
        <f>ROUND(I368*ROUND(K368, 2), 2)</f>
        <v>373961.16</v>
      </c>
      <c r="O368" s="14">
        <f>M368+N368</f>
        <v>544012.25</v>
      </c>
      <c r="P368" s="14">
        <f>IFERROR(ROUND(SUM(S369,S370,S371,S372,S373)/I368, 2),0)</f>
        <v>753.98</v>
      </c>
      <c r="Q368" s="15">
        <v>2364</v>
      </c>
      <c r="R368" s="14">
        <f>P368+ROUND(Q368, 2)</f>
        <v>3117.98</v>
      </c>
      <c r="S368" s="14">
        <f>ROUND(P368*I368, 2)</f>
        <v>119272.1</v>
      </c>
      <c r="T368" s="14">
        <f>ROUND(I368*ROUND(Q368, 2), 2)</f>
        <v>373961.16</v>
      </c>
      <c r="U368" s="14">
        <f>S368+T368</f>
        <v>493233.26</v>
      </c>
      <c r="V368" s="9">
        <f>ROUND(P368 / 1.2, 2)</f>
        <v>628.32000000000005</v>
      </c>
      <c r="W368" s="9">
        <f>ROUND(Q368 / 1.2, 2)</f>
        <v>1970</v>
      </c>
      <c r="X368" s="9">
        <f>ROUND(R368 / 1.2, 2)</f>
        <v>2598.3200000000002</v>
      </c>
      <c r="Y368" s="9">
        <f t="shared" si="23"/>
        <v>99393.42</v>
      </c>
      <c r="Z368" s="9">
        <f>ROUND(T368 / 1.2, 2)</f>
        <v>311634.3</v>
      </c>
      <c r="AA368" s="9">
        <f>Y368+Z368</f>
        <v>411027.72</v>
      </c>
      <c r="AD368" s="4">
        <v>298925427</v>
      </c>
      <c r="AE368" s="4">
        <v>19988233</v>
      </c>
      <c r="AG368" s="4" t="s">
        <v>1370</v>
      </c>
      <c r="AH368" s="4" t="s">
        <v>1371</v>
      </c>
      <c r="AI368" s="4" t="s">
        <v>67</v>
      </c>
    </row>
    <row r="369" spans="1:35" ht="54" x14ac:dyDescent="0.3">
      <c r="A369" s="10" t="s">
        <v>1487</v>
      </c>
      <c r="B369" s="10"/>
      <c r="C369" s="17" t="s">
        <v>1382</v>
      </c>
      <c r="D369" s="12"/>
      <c r="E369" s="12" t="s">
        <v>1488</v>
      </c>
      <c r="F369" s="18" t="s">
        <v>64</v>
      </c>
      <c r="G369" s="19">
        <v>1.07</v>
      </c>
      <c r="H369" s="20"/>
      <c r="I369" s="20">
        <v>169.26300000000001</v>
      </c>
      <c r="J369" s="21">
        <v>945</v>
      </c>
      <c r="M369" s="22">
        <f>ROUND(ROUND(J369, 2)*I369, 2)</f>
        <v>159953.54</v>
      </c>
      <c r="P369" s="21">
        <v>645</v>
      </c>
      <c r="S369" s="22">
        <f>ROUND(ROUND(P369, 2)*I369, 2)</f>
        <v>109174.64</v>
      </c>
      <c r="V369" s="9">
        <f>ROUND(ROUND(P369, 2)/1.2, 2)</f>
        <v>537.5</v>
      </c>
      <c r="Y369" s="9">
        <f t="shared" si="23"/>
        <v>90978.87</v>
      </c>
      <c r="AD369" s="4" t="s">
        <v>1489</v>
      </c>
      <c r="AE369" s="4" t="s">
        <v>1490</v>
      </c>
      <c r="AF369" s="4" t="s">
        <v>1386</v>
      </c>
    </row>
    <row r="370" spans="1:35" ht="72" x14ac:dyDescent="0.3">
      <c r="A370" s="10" t="s">
        <v>1491</v>
      </c>
      <c r="B370" s="10"/>
      <c r="C370" s="17" t="s">
        <v>1476</v>
      </c>
      <c r="D370" s="12"/>
      <c r="E370" s="12" t="s">
        <v>1492</v>
      </c>
      <c r="F370" s="18" t="s">
        <v>87</v>
      </c>
      <c r="G370" s="19">
        <v>0.23</v>
      </c>
      <c r="H370" s="20"/>
      <c r="I370" s="20">
        <v>7.9489999999999998</v>
      </c>
      <c r="J370" s="21">
        <v>96.24</v>
      </c>
      <c r="M370" s="22">
        <f>ROUND(ROUND(J370, 2)*I370, 2)</f>
        <v>765.01</v>
      </c>
      <c r="P370" s="21">
        <v>96.24</v>
      </c>
      <c r="S370" s="22">
        <f>ROUND(ROUND(P370, 2)*I370, 2)</f>
        <v>765.01</v>
      </c>
      <c r="V370" s="9">
        <f>ROUND(ROUND(P370, 2)/1.2, 2)</f>
        <v>80.2</v>
      </c>
      <c r="Y370" s="9">
        <f t="shared" si="23"/>
        <v>637.51</v>
      </c>
      <c r="AD370" s="4" t="s">
        <v>1493</v>
      </c>
      <c r="AE370" s="4" t="s">
        <v>1494</v>
      </c>
      <c r="AF370" s="4" t="s">
        <v>1480</v>
      </c>
    </row>
    <row r="371" spans="1:35" ht="54" x14ac:dyDescent="0.3">
      <c r="A371" s="10" t="s">
        <v>1495</v>
      </c>
      <c r="B371" s="10"/>
      <c r="C371" s="17" t="s">
        <v>693</v>
      </c>
      <c r="D371" s="12"/>
      <c r="E371" s="12" t="s">
        <v>402</v>
      </c>
      <c r="F371" s="18" t="s">
        <v>70</v>
      </c>
      <c r="G371" s="19">
        <v>1.2</v>
      </c>
      <c r="H371" s="20"/>
      <c r="I371" s="20">
        <v>379.65600000000001</v>
      </c>
      <c r="J371" s="21">
        <v>16.11</v>
      </c>
      <c r="M371" s="22">
        <f>ROUND(ROUND(J371, 2)*I371, 2)</f>
        <v>6116.26</v>
      </c>
      <c r="P371" s="21">
        <v>16.11</v>
      </c>
      <c r="S371" s="22">
        <f>ROUND(ROUND(P371, 2)*I371, 2)</f>
        <v>6116.26</v>
      </c>
      <c r="V371" s="9">
        <f>ROUND(ROUND(P371, 2)/1.2, 2)</f>
        <v>13.43</v>
      </c>
      <c r="Y371" s="9">
        <f t="shared" si="23"/>
        <v>5096.88</v>
      </c>
      <c r="AD371" s="4" t="s">
        <v>1496</v>
      </c>
      <c r="AE371" s="4" t="s">
        <v>1497</v>
      </c>
      <c r="AF371" s="4" t="s">
        <v>696</v>
      </c>
    </row>
    <row r="372" spans="1:35" ht="36" x14ac:dyDescent="0.3">
      <c r="A372" s="10" t="s">
        <v>1498</v>
      </c>
      <c r="B372" s="10"/>
      <c r="C372" s="24" t="s">
        <v>452</v>
      </c>
      <c r="D372" s="12"/>
      <c r="E372" s="12"/>
      <c r="F372" s="18" t="s">
        <v>70</v>
      </c>
      <c r="G372" s="19">
        <v>0.15</v>
      </c>
      <c r="H372" s="19"/>
      <c r="I372" s="19">
        <v>23.728999999999999</v>
      </c>
      <c r="J372" s="21">
        <v>68.400000000000006</v>
      </c>
      <c r="M372" s="22">
        <f>ROUND(ROUND(J372, 2)*I372, 2)</f>
        <v>1623.06</v>
      </c>
      <c r="P372" s="21">
        <v>68.400000000000006</v>
      </c>
      <c r="S372" s="22">
        <f>ROUND(ROUND(P372, 2)*I372, 2)</f>
        <v>1623.06</v>
      </c>
      <c r="V372" s="9">
        <f>ROUND(ROUND(P372, 2)/1.2, 2)</f>
        <v>57</v>
      </c>
      <c r="Y372" s="9">
        <f t="shared" si="23"/>
        <v>1352.55</v>
      </c>
      <c r="AD372" s="4" t="s">
        <v>1499</v>
      </c>
      <c r="AE372" s="4" t="s">
        <v>1500</v>
      </c>
      <c r="AF372" s="4" t="s">
        <v>456</v>
      </c>
    </row>
    <row r="373" spans="1:35" ht="36" x14ac:dyDescent="0.3">
      <c r="A373" s="10" t="s">
        <v>1501</v>
      </c>
      <c r="B373" s="10"/>
      <c r="C373" s="24" t="s">
        <v>426</v>
      </c>
      <c r="D373" s="12"/>
      <c r="E373" s="12"/>
      <c r="F373" s="18" t="s">
        <v>70</v>
      </c>
      <c r="G373" s="19">
        <v>0.25</v>
      </c>
      <c r="H373" s="20"/>
      <c r="I373" s="20">
        <v>39.548000000000002</v>
      </c>
      <c r="J373" s="21">
        <v>40.270000000000003</v>
      </c>
      <c r="M373" s="22">
        <f>ROUND(ROUND(J373, 2)*I373, 2)</f>
        <v>1592.6</v>
      </c>
      <c r="P373" s="21">
        <v>40.270000000000003</v>
      </c>
      <c r="S373" s="22">
        <f>ROUND(ROUND(P373, 2)*I373, 2)</f>
        <v>1592.6</v>
      </c>
      <c r="V373" s="9">
        <f>ROUND(ROUND(P373, 2)/1.2, 2)</f>
        <v>33.56</v>
      </c>
      <c r="Y373" s="9">
        <f t="shared" si="23"/>
        <v>1327.17</v>
      </c>
      <c r="AD373" s="4" t="s">
        <v>1502</v>
      </c>
      <c r="AE373" s="4" t="s">
        <v>1503</v>
      </c>
      <c r="AF373" s="4" t="s">
        <v>429</v>
      </c>
    </row>
    <row r="374" spans="1:35" ht="54" x14ac:dyDescent="0.3">
      <c r="A374" s="10" t="s">
        <v>1504</v>
      </c>
      <c r="B374" s="10" t="s">
        <v>1367</v>
      </c>
      <c r="C374" s="11" t="s">
        <v>1368</v>
      </c>
      <c r="D374" s="12"/>
      <c r="E374" s="12" t="s">
        <v>1505</v>
      </c>
      <c r="F374" s="12" t="s">
        <v>64</v>
      </c>
      <c r="G374" s="13">
        <v>1</v>
      </c>
      <c r="H374" s="13"/>
      <c r="I374" s="13">
        <v>15.27</v>
      </c>
      <c r="J374" s="14">
        <f>IFERROR(ROUND(SUM(M375,M376,M377,M378)/I374, 2),0)</f>
        <v>1540.9</v>
      </c>
      <c r="K374" s="15">
        <v>2364</v>
      </c>
      <c r="L374" s="14">
        <f>J374+ROUND(K374, 2)</f>
        <v>3904.9</v>
      </c>
      <c r="M374" s="14">
        <f>ROUND(J374*I374, 2)</f>
        <v>23529.54</v>
      </c>
      <c r="N374" s="14">
        <f>ROUND(I374*ROUND(K374, 2), 2)</f>
        <v>36098.28</v>
      </c>
      <c r="O374" s="14">
        <f>M374+N374</f>
        <v>59627.82</v>
      </c>
      <c r="P374" s="14">
        <f>IFERROR(ROUND(SUM(S375,S376,S377,S378)/I374, 2),0)</f>
        <v>847.59</v>
      </c>
      <c r="Q374" s="15">
        <v>2364</v>
      </c>
      <c r="R374" s="14">
        <f>P374+ROUND(Q374, 2)</f>
        <v>3211.59</v>
      </c>
      <c r="S374" s="14">
        <f>ROUND(P374*I374, 2)</f>
        <v>12942.7</v>
      </c>
      <c r="T374" s="14">
        <f>ROUND(I374*ROUND(Q374, 2), 2)</f>
        <v>36098.28</v>
      </c>
      <c r="U374" s="14">
        <f>S374+T374</f>
        <v>49040.979999999996</v>
      </c>
      <c r="V374" s="9">
        <f>ROUND(P374 / 1.2, 2)</f>
        <v>706.33</v>
      </c>
      <c r="W374" s="9">
        <f>ROUND(Q374 / 1.2, 2)</f>
        <v>1970</v>
      </c>
      <c r="X374" s="9">
        <f>ROUND(R374 / 1.2, 2)</f>
        <v>2676.33</v>
      </c>
      <c r="Y374" s="9">
        <f t="shared" si="23"/>
        <v>10785.58</v>
      </c>
      <c r="Z374" s="9">
        <f>ROUND(T374 / 1.2, 2)</f>
        <v>30081.9</v>
      </c>
      <c r="AA374" s="9">
        <f>Y374+Z374</f>
        <v>40867.480000000003</v>
      </c>
      <c r="AD374" s="4">
        <v>298925428</v>
      </c>
      <c r="AE374" s="4">
        <v>19988234</v>
      </c>
      <c r="AG374" s="4" t="s">
        <v>1370</v>
      </c>
      <c r="AH374" s="4" t="s">
        <v>1371</v>
      </c>
      <c r="AI374" s="4" t="s">
        <v>67</v>
      </c>
    </row>
    <row r="375" spans="1:35" ht="36" x14ac:dyDescent="0.3">
      <c r="A375" s="10" t="s">
        <v>1506</v>
      </c>
      <c r="B375" s="10"/>
      <c r="C375" s="24" t="s">
        <v>426</v>
      </c>
      <c r="D375" s="12"/>
      <c r="E375" s="12"/>
      <c r="F375" s="18" t="s">
        <v>70</v>
      </c>
      <c r="G375" s="19">
        <v>0.25</v>
      </c>
      <c r="H375" s="20"/>
      <c r="I375" s="20">
        <v>3.8180000000000001</v>
      </c>
      <c r="J375" s="21">
        <v>40.270000000000003</v>
      </c>
      <c r="M375" s="22">
        <f>ROUND(ROUND(J375, 2)*I375, 2)</f>
        <v>153.75</v>
      </c>
      <c r="P375" s="21">
        <v>40.270000000000003</v>
      </c>
      <c r="S375" s="22">
        <f>ROUND(ROUND(P375, 2)*I375, 2)</f>
        <v>153.75</v>
      </c>
      <c r="V375" s="9">
        <f>ROUND(ROUND(P375, 2)/1.2, 2)</f>
        <v>33.56</v>
      </c>
      <c r="Y375" s="9">
        <f t="shared" si="23"/>
        <v>128.13</v>
      </c>
      <c r="AD375" s="4" t="s">
        <v>1507</v>
      </c>
      <c r="AE375" s="4" t="s">
        <v>1508</v>
      </c>
      <c r="AF375" s="4" t="s">
        <v>429</v>
      </c>
    </row>
    <row r="376" spans="1:35" ht="36" x14ac:dyDescent="0.3">
      <c r="A376" s="10" t="s">
        <v>1509</v>
      </c>
      <c r="B376" s="10"/>
      <c r="C376" s="24" t="s">
        <v>452</v>
      </c>
      <c r="D376" s="12"/>
      <c r="E376" s="12"/>
      <c r="F376" s="18" t="s">
        <v>70</v>
      </c>
      <c r="G376" s="19">
        <v>0.15</v>
      </c>
      <c r="H376" s="19"/>
      <c r="I376" s="19">
        <v>2.2909999999999999</v>
      </c>
      <c r="J376" s="21">
        <v>68.400000000000006</v>
      </c>
      <c r="M376" s="22">
        <f>ROUND(ROUND(J376, 2)*I376, 2)</f>
        <v>156.69999999999999</v>
      </c>
      <c r="P376" s="21">
        <v>68.400000000000006</v>
      </c>
      <c r="S376" s="22">
        <f>ROUND(ROUND(P376, 2)*I376, 2)</f>
        <v>156.69999999999999</v>
      </c>
      <c r="V376" s="9">
        <f>ROUND(ROUND(P376, 2)/1.2, 2)</f>
        <v>57</v>
      </c>
      <c r="Y376" s="9">
        <f t="shared" si="23"/>
        <v>130.58000000000001</v>
      </c>
      <c r="AD376" s="4" t="s">
        <v>1510</v>
      </c>
      <c r="AE376" s="4" t="s">
        <v>1511</v>
      </c>
      <c r="AF376" s="4" t="s">
        <v>456</v>
      </c>
    </row>
    <row r="377" spans="1:35" ht="54" x14ac:dyDescent="0.3">
      <c r="A377" s="10" t="s">
        <v>1512</v>
      </c>
      <c r="B377" s="10"/>
      <c r="C377" s="17" t="s">
        <v>693</v>
      </c>
      <c r="D377" s="12"/>
      <c r="E377" s="12" t="s">
        <v>402</v>
      </c>
      <c r="F377" s="18" t="s">
        <v>70</v>
      </c>
      <c r="G377" s="19">
        <v>1.2</v>
      </c>
      <c r="H377" s="20"/>
      <c r="I377" s="20">
        <v>36.648000000000003</v>
      </c>
      <c r="J377" s="21">
        <v>16.11</v>
      </c>
      <c r="M377" s="22">
        <f>ROUND(ROUND(J377, 2)*I377, 2)</f>
        <v>590.4</v>
      </c>
      <c r="P377" s="21">
        <v>16.11</v>
      </c>
      <c r="S377" s="22">
        <f>ROUND(ROUND(P377, 2)*I377, 2)</f>
        <v>590.4</v>
      </c>
      <c r="V377" s="9">
        <f>ROUND(ROUND(P377, 2)/1.2, 2)</f>
        <v>13.43</v>
      </c>
      <c r="Y377" s="9">
        <f t="shared" si="23"/>
        <v>492</v>
      </c>
      <c r="AD377" s="4" t="s">
        <v>1513</v>
      </c>
      <c r="AE377" s="4" t="s">
        <v>1514</v>
      </c>
      <c r="AF377" s="4" t="s">
        <v>696</v>
      </c>
    </row>
    <row r="378" spans="1:35" ht="54" x14ac:dyDescent="0.3">
      <c r="A378" s="10" t="s">
        <v>1515</v>
      </c>
      <c r="B378" s="10"/>
      <c r="C378" s="17" t="s">
        <v>1390</v>
      </c>
      <c r="D378" s="12"/>
      <c r="E378" s="12" t="s">
        <v>1391</v>
      </c>
      <c r="F378" s="18" t="s">
        <v>64</v>
      </c>
      <c r="G378" s="19">
        <v>1.07</v>
      </c>
      <c r="H378" s="20"/>
      <c r="I378" s="20">
        <v>16.338999999999999</v>
      </c>
      <c r="J378" s="21">
        <v>1384.95</v>
      </c>
      <c r="M378" s="22">
        <f>ROUND(ROUND(J378, 2)*I378, 2)</f>
        <v>22628.7</v>
      </c>
      <c r="P378" s="21">
        <v>737</v>
      </c>
      <c r="S378" s="22">
        <f>ROUND(ROUND(P378, 2)*I378, 2)</f>
        <v>12041.84</v>
      </c>
      <c r="V378" s="9">
        <f>ROUND(ROUND(P378, 2)/1.2, 2)</f>
        <v>614.16999999999996</v>
      </c>
      <c r="Y378" s="9">
        <f t="shared" si="23"/>
        <v>10034.870000000001</v>
      </c>
      <c r="AD378" s="4" t="s">
        <v>1516</v>
      </c>
      <c r="AE378" s="4" t="s">
        <v>1517</v>
      </c>
      <c r="AF378" s="4" t="s">
        <v>1394</v>
      </c>
    </row>
    <row r="379" spans="1:35" ht="54" x14ac:dyDescent="0.3">
      <c r="A379" s="10" t="s">
        <v>1518</v>
      </c>
      <c r="B379" s="10" t="s">
        <v>1367</v>
      </c>
      <c r="C379" s="11" t="s">
        <v>1368</v>
      </c>
      <c r="D379" s="12"/>
      <c r="E379" s="12" t="s">
        <v>1519</v>
      </c>
      <c r="F379" s="12" t="s">
        <v>64</v>
      </c>
      <c r="G379" s="13">
        <v>1</v>
      </c>
      <c r="H379" s="13"/>
      <c r="I379" s="13">
        <v>35.9</v>
      </c>
      <c r="J379" s="14">
        <f>IFERROR(ROUND(SUM(M380,M381,M382,M383)/I379, 2),0)</f>
        <v>1276.8699999999999</v>
      </c>
      <c r="K379" s="15">
        <v>2364</v>
      </c>
      <c r="L379" s="14">
        <f>J379+ROUND(K379, 2)</f>
        <v>3640.87</v>
      </c>
      <c r="M379" s="14">
        <f>ROUND(J379*I379, 2)</f>
        <v>45839.63</v>
      </c>
      <c r="N379" s="14">
        <f>ROUND(I379*ROUND(K379, 2), 2)</f>
        <v>84867.6</v>
      </c>
      <c r="O379" s="14">
        <f>M379+N379</f>
        <v>130707.23000000001</v>
      </c>
      <c r="P379" s="14">
        <f>IFERROR(ROUND(SUM(S380,S381,S382,S383)/I379, 2),0)</f>
        <v>870.05</v>
      </c>
      <c r="Q379" s="15">
        <v>2364</v>
      </c>
      <c r="R379" s="14">
        <f>P379+ROUND(Q379, 2)</f>
        <v>3234.05</v>
      </c>
      <c r="S379" s="14">
        <f>ROUND(P379*I379, 2)</f>
        <v>31234.799999999999</v>
      </c>
      <c r="T379" s="14">
        <f>ROUND(I379*ROUND(Q379, 2), 2)</f>
        <v>84867.6</v>
      </c>
      <c r="U379" s="14">
        <f>S379+T379</f>
        <v>116102.40000000001</v>
      </c>
      <c r="V379" s="9">
        <f>ROUND(P379 / 1.2, 2)</f>
        <v>725.04</v>
      </c>
      <c r="W379" s="9">
        <f>ROUND(Q379 / 1.2, 2)</f>
        <v>1970</v>
      </c>
      <c r="X379" s="9">
        <f>ROUND(R379 / 1.2, 2)</f>
        <v>2695.04</v>
      </c>
      <c r="Y379" s="9">
        <f t="shared" si="23"/>
        <v>26029</v>
      </c>
      <c r="Z379" s="9">
        <f>ROUND(T379 / 1.2, 2)</f>
        <v>70723</v>
      </c>
      <c r="AA379" s="9">
        <f>Y379+Z379</f>
        <v>96752</v>
      </c>
      <c r="AD379" s="4">
        <v>298925429</v>
      </c>
      <c r="AE379" s="4">
        <v>19989017</v>
      </c>
      <c r="AG379" s="4" t="s">
        <v>1370</v>
      </c>
      <c r="AH379" s="4" t="s">
        <v>1371</v>
      </c>
      <c r="AI379" s="4" t="s">
        <v>67</v>
      </c>
    </row>
    <row r="380" spans="1:35" ht="36" x14ac:dyDescent="0.3">
      <c r="A380" s="10" t="s">
        <v>1520</v>
      </c>
      <c r="B380" s="10"/>
      <c r="C380" s="17" t="s">
        <v>1416</v>
      </c>
      <c r="D380" s="12"/>
      <c r="E380" s="12" t="s">
        <v>1417</v>
      </c>
      <c r="F380" s="18" t="s">
        <v>64</v>
      </c>
      <c r="G380" s="19">
        <v>1.07</v>
      </c>
      <c r="H380" s="20"/>
      <c r="I380" s="20">
        <v>38.412999999999997</v>
      </c>
      <c r="J380" s="21">
        <v>1138.2</v>
      </c>
      <c r="M380" s="22">
        <f>ROUND(ROUND(J380, 2)*I380, 2)</f>
        <v>43721.68</v>
      </c>
      <c r="P380" s="21">
        <v>758</v>
      </c>
      <c r="S380" s="22">
        <f>ROUND(ROUND(P380, 2)*I380, 2)</f>
        <v>29117.05</v>
      </c>
      <c r="V380" s="9">
        <f>ROUND(ROUND(P380, 2)/1.2, 2)</f>
        <v>631.66999999999996</v>
      </c>
      <c r="Y380" s="9">
        <f t="shared" si="23"/>
        <v>24264.21</v>
      </c>
      <c r="AD380" s="4" t="s">
        <v>1521</v>
      </c>
      <c r="AE380" s="4" t="s">
        <v>1522</v>
      </c>
      <c r="AF380" s="4" t="s">
        <v>1420</v>
      </c>
    </row>
    <row r="381" spans="1:35" ht="54" x14ac:dyDescent="0.3">
      <c r="A381" s="10" t="s">
        <v>1523</v>
      </c>
      <c r="B381" s="10"/>
      <c r="C381" s="17" t="s">
        <v>693</v>
      </c>
      <c r="D381" s="12"/>
      <c r="E381" s="12" t="s">
        <v>402</v>
      </c>
      <c r="F381" s="18" t="s">
        <v>70</v>
      </c>
      <c r="G381" s="19">
        <v>1.2</v>
      </c>
      <c r="H381" s="20"/>
      <c r="I381" s="20">
        <v>86.16</v>
      </c>
      <c r="J381" s="21">
        <v>16.11</v>
      </c>
      <c r="M381" s="22">
        <f>ROUND(ROUND(J381, 2)*I381, 2)</f>
        <v>1388.04</v>
      </c>
      <c r="P381" s="21">
        <v>16.11</v>
      </c>
      <c r="S381" s="22">
        <f>ROUND(ROUND(P381, 2)*I381, 2)</f>
        <v>1388.04</v>
      </c>
      <c r="V381" s="9">
        <f>ROUND(ROUND(P381, 2)/1.2, 2)</f>
        <v>13.43</v>
      </c>
      <c r="Y381" s="9">
        <f t="shared" si="23"/>
        <v>1156.7</v>
      </c>
      <c r="AD381" s="4" t="s">
        <v>1524</v>
      </c>
      <c r="AE381" s="4" t="s">
        <v>1525</v>
      </c>
      <c r="AF381" s="4" t="s">
        <v>696</v>
      </c>
    </row>
    <row r="382" spans="1:35" ht="36" x14ac:dyDescent="0.3">
      <c r="A382" s="10" t="s">
        <v>1526</v>
      </c>
      <c r="B382" s="10"/>
      <c r="C382" s="24" t="s">
        <v>452</v>
      </c>
      <c r="D382" s="12"/>
      <c r="E382" s="12"/>
      <c r="F382" s="18" t="s">
        <v>70</v>
      </c>
      <c r="G382" s="19">
        <v>0.15</v>
      </c>
      <c r="H382" s="19"/>
      <c r="I382" s="19">
        <v>5.3849999999999998</v>
      </c>
      <c r="J382" s="21">
        <v>68.400000000000006</v>
      </c>
      <c r="M382" s="22">
        <f>ROUND(ROUND(J382, 2)*I382, 2)</f>
        <v>368.33</v>
      </c>
      <c r="P382" s="21">
        <v>68.400000000000006</v>
      </c>
      <c r="S382" s="22">
        <f>ROUND(ROUND(P382, 2)*I382, 2)</f>
        <v>368.33</v>
      </c>
      <c r="V382" s="9">
        <f>ROUND(ROUND(P382, 2)/1.2, 2)</f>
        <v>57</v>
      </c>
      <c r="Y382" s="9">
        <f t="shared" si="23"/>
        <v>306.94</v>
      </c>
      <c r="AD382" s="4" t="s">
        <v>1527</v>
      </c>
      <c r="AE382" s="4" t="s">
        <v>1528</v>
      </c>
      <c r="AF382" s="4" t="s">
        <v>456</v>
      </c>
    </row>
    <row r="383" spans="1:35" ht="36" x14ac:dyDescent="0.3">
      <c r="A383" s="10" t="s">
        <v>1529</v>
      </c>
      <c r="B383" s="10"/>
      <c r="C383" s="24" t="s">
        <v>426</v>
      </c>
      <c r="D383" s="12"/>
      <c r="E383" s="12"/>
      <c r="F383" s="18" t="s">
        <v>70</v>
      </c>
      <c r="G383" s="19">
        <v>0.25</v>
      </c>
      <c r="H383" s="20"/>
      <c r="I383" s="20">
        <v>8.9749999999999996</v>
      </c>
      <c r="J383" s="21">
        <v>40.270000000000003</v>
      </c>
      <c r="M383" s="22">
        <f>ROUND(ROUND(J383, 2)*I383, 2)</f>
        <v>361.42</v>
      </c>
      <c r="P383" s="21">
        <v>40.270000000000003</v>
      </c>
      <c r="S383" s="22">
        <f>ROUND(ROUND(P383, 2)*I383, 2)</f>
        <v>361.42</v>
      </c>
      <c r="V383" s="9">
        <f>ROUND(ROUND(P383, 2)/1.2, 2)</f>
        <v>33.56</v>
      </c>
      <c r="Y383" s="9">
        <f t="shared" si="23"/>
        <v>301.18</v>
      </c>
      <c r="AD383" s="4" t="s">
        <v>1530</v>
      </c>
      <c r="AE383" s="4" t="s">
        <v>1531</v>
      </c>
      <c r="AF383" s="4" t="s">
        <v>429</v>
      </c>
    </row>
    <row r="384" spans="1:35" ht="54" x14ac:dyDescent="0.3">
      <c r="A384" s="10" t="s">
        <v>1532</v>
      </c>
      <c r="B384" s="10" t="s">
        <v>1367</v>
      </c>
      <c r="C384" s="11" t="s">
        <v>1368</v>
      </c>
      <c r="D384" s="12"/>
      <c r="E384" s="12" t="s">
        <v>1533</v>
      </c>
      <c r="F384" s="12" t="s">
        <v>64</v>
      </c>
      <c r="G384" s="13">
        <v>1</v>
      </c>
      <c r="H384" s="13"/>
      <c r="I384" s="13">
        <v>5.75</v>
      </c>
      <c r="J384" s="14">
        <f>IFERROR(ROUND(SUM(M385,M386,M387,M388)/I384, 2),0)</f>
        <v>1150.01</v>
      </c>
      <c r="K384" s="15">
        <v>2364</v>
      </c>
      <c r="L384" s="14">
        <f>J384+ROUND(K384, 2)</f>
        <v>3514.01</v>
      </c>
      <c r="M384" s="14">
        <f>ROUND(J384*I384, 2)</f>
        <v>6612.56</v>
      </c>
      <c r="N384" s="14">
        <f>ROUND(I384*ROUND(K384, 2), 2)</f>
        <v>13593</v>
      </c>
      <c r="O384" s="14">
        <f>M384+N384</f>
        <v>20205.560000000001</v>
      </c>
      <c r="P384" s="14">
        <f>IFERROR(ROUND(SUM(S385,S386,S387,S388)/I384, 2),0)</f>
        <v>820.9</v>
      </c>
      <c r="Q384" s="15">
        <v>2364</v>
      </c>
      <c r="R384" s="14">
        <f>P384+ROUND(Q384, 2)</f>
        <v>3184.9</v>
      </c>
      <c r="S384" s="14">
        <f>ROUND(P384*I384, 2)</f>
        <v>4720.18</v>
      </c>
      <c r="T384" s="14">
        <f>ROUND(I384*ROUND(Q384, 2), 2)</f>
        <v>13593</v>
      </c>
      <c r="U384" s="14">
        <f>S384+T384</f>
        <v>18313.18</v>
      </c>
      <c r="V384" s="9">
        <f>ROUND(P384 / 1.2, 2)</f>
        <v>684.08</v>
      </c>
      <c r="W384" s="9">
        <f>ROUND(Q384 / 1.2, 2)</f>
        <v>1970</v>
      </c>
      <c r="X384" s="9">
        <f>ROUND(R384 / 1.2, 2)</f>
        <v>2654.08</v>
      </c>
      <c r="Y384" s="9">
        <f t="shared" si="23"/>
        <v>3933.48</v>
      </c>
      <c r="Z384" s="9">
        <f>ROUND(T384 / 1.2, 2)</f>
        <v>11327.5</v>
      </c>
      <c r="AA384" s="9">
        <f>Y384+Z384</f>
        <v>15260.98</v>
      </c>
      <c r="AD384" s="4">
        <v>298925430</v>
      </c>
      <c r="AE384" s="4">
        <v>19989018</v>
      </c>
      <c r="AG384" s="4" t="s">
        <v>1370</v>
      </c>
      <c r="AH384" s="4" t="s">
        <v>1371</v>
      </c>
      <c r="AI384" s="4" t="s">
        <v>67</v>
      </c>
    </row>
    <row r="385" spans="1:35" ht="36" x14ac:dyDescent="0.3">
      <c r="A385" s="10" t="s">
        <v>1534</v>
      </c>
      <c r="B385" s="10"/>
      <c r="C385" s="24" t="s">
        <v>426</v>
      </c>
      <c r="D385" s="12"/>
      <c r="E385" s="12"/>
      <c r="F385" s="18" t="s">
        <v>70</v>
      </c>
      <c r="G385" s="19">
        <v>0.25</v>
      </c>
      <c r="H385" s="20"/>
      <c r="I385" s="20">
        <v>1.4379999999999999</v>
      </c>
      <c r="J385" s="21">
        <v>40.270000000000003</v>
      </c>
      <c r="M385" s="22">
        <f>ROUND(ROUND(J385, 2)*I385, 2)</f>
        <v>57.91</v>
      </c>
      <c r="P385" s="21">
        <v>40.270000000000003</v>
      </c>
      <c r="S385" s="22">
        <f>ROUND(ROUND(P385, 2)*I385, 2)</f>
        <v>57.91</v>
      </c>
      <c r="V385" s="9">
        <f>ROUND(ROUND(P385, 2)/1.2, 2)</f>
        <v>33.56</v>
      </c>
      <c r="Y385" s="9">
        <f t="shared" si="23"/>
        <v>48.26</v>
      </c>
      <c r="AD385" s="4" t="s">
        <v>1535</v>
      </c>
      <c r="AE385" s="4" t="s">
        <v>1536</v>
      </c>
      <c r="AF385" s="4" t="s">
        <v>429</v>
      </c>
    </row>
    <row r="386" spans="1:35" ht="36" x14ac:dyDescent="0.3">
      <c r="A386" s="10" t="s">
        <v>1537</v>
      </c>
      <c r="B386" s="10"/>
      <c r="C386" s="24" t="s">
        <v>452</v>
      </c>
      <c r="D386" s="12"/>
      <c r="E386" s="12"/>
      <c r="F386" s="18" t="s">
        <v>70</v>
      </c>
      <c r="G386" s="19">
        <v>0.15</v>
      </c>
      <c r="H386" s="19"/>
      <c r="I386" s="19">
        <v>0.86299999999999999</v>
      </c>
      <c r="J386" s="21">
        <v>68.400000000000006</v>
      </c>
      <c r="M386" s="22">
        <f>ROUND(ROUND(J386, 2)*I386, 2)</f>
        <v>59.03</v>
      </c>
      <c r="P386" s="21">
        <v>68.400000000000006</v>
      </c>
      <c r="S386" s="22">
        <f>ROUND(ROUND(P386, 2)*I386, 2)</f>
        <v>59.03</v>
      </c>
      <c r="V386" s="9">
        <f>ROUND(ROUND(P386, 2)/1.2, 2)</f>
        <v>57</v>
      </c>
      <c r="Y386" s="9">
        <f t="shared" si="23"/>
        <v>49.19</v>
      </c>
      <c r="AD386" s="4" t="s">
        <v>1538</v>
      </c>
      <c r="AE386" s="4" t="s">
        <v>1539</v>
      </c>
      <c r="AF386" s="4" t="s">
        <v>456</v>
      </c>
    </row>
    <row r="387" spans="1:35" ht="54" x14ac:dyDescent="0.3">
      <c r="A387" s="10" t="s">
        <v>1540</v>
      </c>
      <c r="B387" s="10"/>
      <c r="C387" s="17" t="s">
        <v>693</v>
      </c>
      <c r="D387" s="12"/>
      <c r="E387" s="12" t="s">
        <v>402</v>
      </c>
      <c r="F387" s="18" t="s">
        <v>70</v>
      </c>
      <c r="G387" s="19">
        <v>1.2</v>
      </c>
      <c r="H387" s="20"/>
      <c r="I387" s="20">
        <v>13.8</v>
      </c>
      <c r="J387" s="21">
        <v>16.11</v>
      </c>
      <c r="M387" s="22">
        <f>ROUND(ROUND(J387, 2)*I387, 2)</f>
        <v>222.32</v>
      </c>
      <c r="P387" s="21">
        <v>16.11</v>
      </c>
      <c r="S387" s="22">
        <f>ROUND(ROUND(P387, 2)*I387, 2)</f>
        <v>222.32</v>
      </c>
      <c r="V387" s="9">
        <f>ROUND(ROUND(P387, 2)/1.2, 2)</f>
        <v>13.43</v>
      </c>
      <c r="Y387" s="9">
        <f t="shared" si="23"/>
        <v>185.27</v>
      </c>
      <c r="AD387" s="4" t="s">
        <v>1541</v>
      </c>
      <c r="AE387" s="4" t="s">
        <v>1542</v>
      </c>
      <c r="AF387" s="4" t="s">
        <v>696</v>
      </c>
    </row>
    <row r="388" spans="1:35" ht="36" x14ac:dyDescent="0.3">
      <c r="A388" s="10" t="s">
        <v>1543</v>
      </c>
      <c r="B388" s="10"/>
      <c r="C388" s="17" t="s">
        <v>1424</v>
      </c>
      <c r="D388" s="12"/>
      <c r="E388" s="12" t="s">
        <v>1544</v>
      </c>
      <c r="F388" s="18" t="s">
        <v>64</v>
      </c>
      <c r="G388" s="19">
        <v>1.07</v>
      </c>
      <c r="H388" s="20"/>
      <c r="I388" s="20">
        <v>6.1529999999999996</v>
      </c>
      <c r="J388" s="21">
        <v>1019.55</v>
      </c>
      <c r="M388" s="22">
        <f>ROUND(ROUND(J388, 2)*I388, 2)</f>
        <v>6273.29</v>
      </c>
      <c r="P388" s="21">
        <v>712</v>
      </c>
      <c r="S388" s="22">
        <f>ROUND(ROUND(P388, 2)*I388, 2)</f>
        <v>4380.9399999999996</v>
      </c>
      <c r="V388" s="9">
        <f>ROUND(ROUND(P388, 2)/1.2, 2)</f>
        <v>593.33000000000004</v>
      </c>
      <c r="Y388" s="9">
        <f t="shared" si="23"/>
        <v>3650.78</v>
      </c>
      <c r="AD388" s="4" t="s">
        <v>1545</v>
      </c>
      <c r="AE388" s="4" t="s">
        <v>1546</v>
      </c>
      <c r="AF388" s="4" t="s">
        <v>1428</v>
      </c>
    </row>
    <row r="389" spans="1:35" ht="54" x14ac:dyDescent="0.3">
      <c r="A389" s="10" t="s">
        <v>1547</v>
      </c>
      <c r="B389" s="10" t="s">
        <v>1367</v>
      </c>
      <c r="C389" s="11" t="s">
        <v>1368</v>
      </c>
      <c r="D389" s="12"/>
      <c r="E389" s="12" t="s">
        <v>1548</v>
      </c>
      <c r="F389" s="12" t="s">
        <v>64</v>
      </c>
      <c r="G389" s="13">
        <v>1</v>
      </c>
      <c r="H389" s="13"/>
      <c r="I389" s="13">
        <v>8.15</v>
      </c>
      <c r="J389" s="14">
        <f>IFERROR(ROUND(SUM(M390,M391,M392,M393)/I389, 2),0)</f>
        <v>1276.94</v>
      </c>
      <c r="K389" s="15">
        <v>2364</v>
      </c>
      <c r="L389" s="14">
        <f>J389+ROUND(K389, 2)</f>
        <v>3640.94</v>
      </c>
      <c r="M389" s="14">
        <f>ROUND(J389*I389, 2)</f>
        <v>10407.06</v>
      </c>
      <c r="N389" s="14">
        <f>ROUND(I389*ROUND(K389, 2), 2)</f>
        <v>19266.599999999999</v>
      </c>
      <c r="O389" s="14">
        <f>M389+N389</f>
        <v>29673.659999999996</v>
      </c>
      <c r="P389" s="14">
        <f>IFERROR(ROUND(SUM(S390,S391,S392,S393)/I389, 2),0)</f>
        <v>790.92</v>
      </c>
      <c r="Q389" s="15">
        <v>2364</v>
      </c>
      <c r="R389" s="14">
        <f>P389+ROUND(Q389, 2)</f>
        <v>3154.92</v>
      </c>
      <c r="S389" s="14">
        <f>ROUND(P389*I389, 2)</f>
        <v>6446</v>
      </c>
      <c r="T389" s="14">
        <f>ROUND(I389*ROUND(Q389, 2), 2)</f>
        <v>19266.599999999999</v>
      </c>
      <c r="U389" s="14">
        <f>S389+T389</f>
        <v>25712.6</v>
      </c>
      <c r="V389" s="9">
        <f>ROUND(P389 / 1.2, 2)</f>
        <v>659.1</v>
      </c>
      <c r="W389" s="9">
        <f>ROUND(Q389 / 1.2, 2)</f>
        <v>1970</v>
      </c>
      <c r="X389" s="9">
        <f>ROUND(R389 / 1.2, 2)</f>
        <v>2629.1</v>
      </c>
      <c r="Y389" s="9">
        <f t="shared" si="23"/>
        <v>5371.67</v>
      </c>
      <c r="Z389" s="9">
        <f>ROUND(T389 / 1.2, 2)</f>
        <v>16055.5</v>
      </c>
      <c r="AA389" s="9">
        <f>Y389+Z389</f>
        <v>21427.17</v>
      </c>
      <c r="AD389" s="4">
        <v>298925431</v>
      </c>
      <c r="AE389" s="4">
        <v>19989019</v>
      </c>
      <c r="AG389" s="4" t="s">
        <v>1370</v>
      </c>
      <c r="AH389" s="4" t="s">
        <v>1371</v>
      </c>
      <c r="AI389" s="4" t="s">
        <v>67</v>
      </c>
    </row>
    <row r="390" spans="1:35" ht="54" x14ac:dyDescent="0.3">
      <c r="A390" s="10" t="s">
        <v>1549</v>
      </c>
      <c r="B390" s="10"/>
      <c r="C390" s="17" t="s">
        <v>1416</v>
      </c>
      <c r="D390" s="12"/>
      <c r="E390" s="12" t="s">
        <v>1447</v>
      </c>
      <c r="F390" s="18" t="s">
        <v>64</v>
      </c>
      <c r="G390" s="19">
        <v>1.07</v>
      </c>
      <c r="H390" s="20"/>
      <c r="I390" s="20">
        <v>8.7210000000000001</v>
      </c>
      <c r="J390" s="21">
        <v>1138.2</v>
      </c>
      <c r="M390" s="22">
        <f>ROUND(ROUND(J390, 2)*I390, 2)</f>
        <v>9926.24</v>
      </c>
      <c r="P390" s="21">
        <v>684</v>
      </c>
      <c r="S390" s="22">
        <f>ROUND(ROUND(P390, 2)*I390, 2)</f>
        <v>5965.16</v>
      </c>
      <c r="V390" s="9">
        <f>ROUND(ROUND(P390, 2)/1.2, 2)</f>
        <v>570</v>
      </c>
      <c r="Y390" s="9">
        <f t="shared" si="23"/>
        <v>4970.97</v>
      </c>
      <c r="AD390" s="4" t="s">
        <v>1550</v>
      </c>
      <c r="AE390" s="4" t="s">
        <v>1551</v>
      </c>
      <c r="AF390" s="4" t="s">
        <v>1420</v>
      </c>
    </row>
    <row r="391" spans="1:35" ht="54" x14ac:dyDescent="0.3">
      <c r="A391" s="10" t="s">
        <v>1552</v>
      </c>
      <c r="B391" s="10"/>
      <c r="C391" s="17" t="s">
        <v>693</v>
      </c>
      <c r="D391" s="12"/>
      <c r="E391" s="12" t="s">
        <v>402</v>
      </c>
      <c r="F391" s="18" t="s">
        <v>70</v>
      </c>
      <c r="G391" s="19">
        <v>1.2</v>
      </c>
      <c r="H391" s="20"/>
      <c r="I391" s="20">
        <v>19.559999999999999</v>
      </c>
      <c r="J391" s="21">
        <v>16.11</v>
      </c>
      <c r="M391" s="22">
        <f>ROUND(ROUND(J391, 2)*I391, 2)</f>
        <v>315.11</v>
      </c>
      <c r="P391" s="21">
        <v>16.11</v>
      </c>
      <c r="S391" s="22">
        <f>ROUND(ROUND(P391, 2)*I391, 2)</f>
        <v>315.11</v>
      </c>
      <c r="V391" s="9">
        <f>ROUND(ROUND(P391, 2)/1.2, 2)</f>
        <v>13.43</v>
      </c>
      <c r="Y391" s="9">
        <f t="shared" si="23"/>
        <v>262.58999999999997</v>
      </c>
      <c r="AD391" s="4" t="s">
        <v>1553</v>
      </c>
      <c r="AE391" s="4" t="s">
        <v>1554</v>
      </c>
      <c r="AF391" s="4" t="s">
        <v>696</v>
      </c>
    </row>
    <row r="392" spans="1:35" ht="36" x14ac:dyDescent="0.3">
      <c r="A392" s="10" t="s">
        <v>1555</v>
      </c>
      <c r="B392" s="10"/>
      <c r="C392" s="24" t="s">
        <v>452</v>
      </c>
      <c r="D392" s="12"/>
      <c r="E392" s="12"/>
      <c r="F392" s="18" t="s">
        <v>70</v>
      </c>
      <c r="G392" s="19">
        <v>0.15</v>
      </c>
      <c r="H392" s="19"/>
      <c r="I392" s="19">
        <v>1.2230000000000001</v>
      </c>
      <c r="J392" s="21">
        <v>68.400000000000006</v>
      </c>
      <c r="M392" s="22">
        <f>ROUND(ROUND(J392, 2)*I392, 2)</f>
        <v>83.65</v>
      </c>
      <c r="P392" s="21">
        <v>68.400000000000006</v>
      </c>
      <c r="S392" s="22">
        <f>ROUND(ROUND(P392, 2)*I392, 2)</f>
        <v>83.65</v>
      </c>
      <c r="V392" s="9">
        <f>ROUND(ROUND(P392, 2)/1.2, 2)</f>
        <v>57</v>
      </c>
      <c r="Y392" s="9">
        <f t="shared" si="23"/>
        <v>69.709999999999994</v>
      </c>
      <c r="AD392" s="4" t="s">
        <v>1556</v>
      </c>
      <c r="AE392" s="4" t="s">
        <v>1557</v>
      </c>
      <c r="AF392" s="4" t="s">
        <v>456</v>
      </c>
    </row>
    <row r="393" spans="1:35" ht="36" x14ac:dyDescent="0.3">
      <c r="A393" s="10" t="s">
        <v>1558</v>
      </c>
      <c r="B393" s="10"/>
      <c r="C393" s="24" t="s">
        <v>426</v>
      </c>
      <c r="D393" s="12"/>
      <c r="E393" s="12"/>
      <c r="F393" s="18" t="s">
        <v>70</v>
      </c>
      <c r="G393" s="19">
        <v>0.25</v>
      </c>
      <c r="H393" s="20"/>
      <c r="I393" s="20">
        <v>2.0379999999999998</v>
      </c>
      <c r="J393" s="21">
        <v>40.270000000000003</v>
      </c>
      <c r="M393" s="22">
        <f>ROUND(ROUND(J393, 2)*I393, 2)</f>
        <v>82.07</v>
      </c>
      <c r="P393" s="21">
        <v>40.270000000000003</v>
      </c>
      <c r="S393" s="22">
        <f>ROUND(ROUND(P393, 2)*I393, 2)</f>
        <v>82.07</v>
      </c>
      <c r="V393" s="9">
        <f>ROUND(ROUND(P393, 2)/1.2, 2)</f>
        <v>33.56</v>
      </c>
      <c r="Y393" s="9">
        <f t="shared" si="23"/>
        <v>68.39</v>
      </c>
      <c r="AD393" s="4" t="s">
        <v>1559</v>
      </c>
      <c r="AE393" s="4" t="s">
        <v>1560</v>
      </c>
      <c r="AF393" s="4" t="s">
        <v>429</v>
      </c>
    </row>
    <row r="394" spans="1:35" ht="54" x14ac:dyDescent="0.3">
      <c r="A394" s="10" t="s">
        <v>1561</v>
      </c>
      <c r="B394" s="10" t="s">
        <v>1367</v>
      </c>
      <c r="C394" s="11" t="s">
        <v>1368</v>
      </c>
      <c r="D394" s="12"/>
      <c r="E394" s="12" t="s">
        <v>1562</v>
      </c>
      <c r="F394" s="12" t="s">
        <v>64</v>
      </c>
      <c r="G394" s="13">
        <v>1</v>
      </c>
      <c r="H394" s="13"/>
      <c r="I394" s="13">
        <v>127.34</v>
      </c>
      <c r="J394" s="14">
        <f>IFERROR(ROUND(SUM(M395,M396,M397,M398)/I394, 2),0)</f>
        <v>1540.89</v>
      </c>
      <c r="K394" s="15">
        <v>2364</v>
      </c>
      <c r="L394" s="14">
        <f>J394+ROUND(K394, 2)</f>
        <v>3904.8900000000003</v>
      </c>
      <c r="M394" s="14">
        <f>ROUND(J394*I394, 2)</f>
        <v>196216.93</v>
      </c>
      <c r="N394" s="14">
        <f>ROUND(I394*ROUND(K394, 2), 2)</f>
        <v>301031.76</v>
      </c>
      <c r="O394" s="14">
        <f>M394+N394</f>
        <v>497248.69</v>
      </c>
      <c r="P394" s="14">
        <f>IFERROR(ROUND(SUM(S395,S396,S397,S398)/I394, 2),0)</f>
        <v>422.79</v>
      </c>
      <c r="Q394" s="15">
        <v>2364</v>
      </c>
      <c r="R394" s="14">
        <f>P394+ROUND(Q394, 2)</f>
        <v>2786.79</v>
      </c>
      <c r="S394" s="14">
        <f>ROUND(P394*I394, 2)</f>
        <v>53838.080000000002</v>
      </c>
      <c r="T394" s="14">
        <f>ROUND(I394*ROUND(Q394, 2), 2)</f>
        <v>301031.76</v>
      </c>
      <c r="U394" s="14">
        <f>S394+T394</f>
        <v>354869.84</v>
      </c>
      <c r="V394" s="9">
        <f>ROUND(P394 / 1.2, 2)</f>
        <v>352.33</v>
      </c>
      <c r="W394" s="9">
        <f>ROUND(Q394 / 1.2, 2)</f>
        <v>1970</v>
      </c>
      <c r="X394" s="9">
        <f>ROUND(R394 / 1.2, 2)</f>
        <v>2322.33</v>
      </c>
      <c r="Y394" s="9">
        <f t="shared" si="23"/>
        <v>44865.07</v>
      </c>
      <c r="Z394" s="9">
        <f>ROUND(T394 / 1.2, 2)</f>
        <v>250859.8</v>
      </c>
      <c r="AA394" s="9">
        <f>Y394+Z394</f>
        <v>295724.87</v>
      </c>
      <c r="AD394" s="4">
        <v>298925432</v>
      </c>
      <c r="AE394" s="4">
        <v>19989020</v>
      </c>
      <c r="AG394" s="4" t="s">
        <v>1370</v>
      </c>
      <c r="AH394" s="4" t="s">
        <v>1371</v>
      </c>
      <c r="AI394" s="4" t="s">
        <v>67</v>
      </c>
    </row>
    <row r="395" spans="1:35" ht="36" x14ac:dyDescent="0.3">
      <c r="A395" s="10" t="s">
        <v>1563</v>
      </c>
      <c r="B395" s="10"/>
      <c r="C395" s="24" t="s">
        <v>426</v>
      </c>
      <c r="D395" s="12"/>
      <c r="E395" s="12"/>
      <c r="F395" s="18" t="s">
        <v>70</v>
      </c>
      <c r="G395" s="19">
        <v>0.25</v>
      </c>
      <c r="H395" s="20"/>
      <c r="I395" s="20">
        <v>31.835000000000001</v>
      </c>
      <c r="J395" s="21">
        <v>40.270000000000003</v>
      </c>
      <c r="M395" s="22">
        <f>ROUND(ROUND(J395, 2)*I395, 2)</f>
        <v>1282</v>
      </c>
      <c r="P395" s="21">
        <v>40.270000000000003</v>
      </c>
      <c r="S395" s="22">
        <f>ROUND(ROUND(P395, 2)*I395, 2)</f>
        <v>1282</v>
      </c>
      <c r="V395" s="9">
        <f>ROUND(ROUND(P395, 2)/1.2, 2)</f>
        <v>33.56</v>
      </c>
      <c r="Y395" s="9">
        <f t="shared" si="23"/>
        <v>1068.33</v>
      </c>
      <c r="AD395" s="4" t="s">
        <v>1564</v>
      </c>
      <c r="AE395" s="4" t="s">
        <v>1565</v>
      </c>
      <c r="AF395" s="4" t="s">
        <v>429</v>
      </c>
    </row>
    <row r="396" spans="1:35" ht="36" x14ac:dyDescent="0.3">
      <c r="A396" s="10" t="s">
        <v>1566</v>
      </c>
      <c r="B396" s="10"/>
      <c r="C396" s="24" t="s">
        <v>452</v>
      </c>
      <c r="D396" s="12"/>
      <c r="E396" s="12"/>
      <c r="F396" s="18" t="s">
        <v>70</v>
      </c>
      <c r="G396" s="19">
        <v>0.15</v>
      </c>
      <c r="H396" s="19"/>
      <c r="I396" s="19">
        <v>19.100999999999999</v>
      </c>
      <c r="J396" s="21">
        <v>68.400000000000006</v>
      </c>
      <c r="M396" s="22">
        <f>ROUND(ROUND(J396, 2)*I396, 2)</f>
        <v>1306.51</v>
      </c>
      <c r="P396" s="21">
        <v>68.400000000000006</v>
      </c>
      <c r="S396" s="22">
        <f>ROUND(ROUND(P396, 2)*I396, 2)</f>
        <v>1306.51</v>
      </c>
      <c r="V396" s="9">
        <f>ROUND(ROUND(P396, 2)/1.2, 2)</f>
        <v>57</v>
      </c>
      <c r="Y396" s="9">
        <f t="shared" ref="Y396:Y414" si="24">ROUND(S396 / 1.2, 2)</f>
        <v>1088.76</v>
      </c>
      <c r="AD396" s="4" t="s">
        <v>1567</v>
      </c>
      <c r="AE396" s="4" t="s">
        <v>1568</v>
      </c>
      <c r="AF396" s="4" t="s">
        <v>456</v>
      </c>
    </row>
    <row r="397" spans="1:35" ht="54" x14ac:dyDescent="0.3">
      <c r="A397" s="10" t="s">
        <v>1569</v>
      </c>
      <c r="B397" s="10"/>
      <c r="C397" s="17" t="s">
        <v>693</v>
      </c>
      <c r="D397" s="12"/>
      <c r="E397" s="12" t="s">
        <v>402</v>
      </c>
      <c r="F397" s="18" t="s">
        <v>70</v>
      </c>
      <c r="G397" s="19">
        <v>1.2</v>
      </c>
      <c r="H397" s="20"/>
      <c r="I397" s="20">
        <v>305.61599999999999</v>
      </c>
      <c r="J397" s="21">
        <v>16.11</v>
      </c>
      <c r="M397" s="22">
        <f>ROUND(ROUND(J397, 2)*I397, 2)</f>
        <v>4923.47</v>
      </c>
      <c r="P397" s="21">
        <v>16.11</v>
      </c>
      <c r="S397" s="22">
        <f>ROUND(ROUND(P397, 2)*I397, 2)</f>
        <v>4923.47</v>
      </c>
      <c r="V397" s="9">
        <f>ROUND(ROUND(P397, 2)/1.2, 2)</f>
        <v>13.43</v>
      </c>
      <c r="Y397" s="9">
        <f t="shared" si="24"/>
        <v>4102.8900000000003</v>
      </c>
      <c r="AD397" s="4" t="s">
        <v>1570</v>
      </c>
      <c r="AE397" s="4" t="s">
        <v>1571</v>
      </c>
      <c r="AF397" s="4" t="s">
        <v>696</v>
      </c>
    </row>
    <row r="398" spans="1:35" ht="36" x14ac:dyDescent="0.3">
      <c r="A398" s="10" t="s">
        <v>1572</v>
      </c>
      <c r="B398" s="10"/>
      <c r="C398" s="17" t="s">
        <v>1390</v>
      </c>
      <c r="D398" s="12"/>
      <c r="E398" s="12" t="s">
        <v>1573</v>
      </c>
      <c r="F398" s="18" t="s">
        <v>64</v>
      </c>
      <c r="G398" s="19">
        <v>1.07</v>
      </c>
      <c r="H398" s="20"/>
      <c r="I398" s="20">
        <v>136.25399999999999</v>
      </c>
      <c r="J398" s="21">
        <v>1384.95</v>
      </c>
      <c r="M398" s="22">
        <f>ROUND(ROUND(J398, 2)*I398, 2)</f>
        <v>188704.98</v>
      </c>
      <c r="P398" s="21">
        <v>340</v>
      </c>
      <c r="S398" s="22">
        <f>ROUND(ROUND(P398, 2)*I398, 2)</f>
        <v>46326.36</v>
      </c>
      <c r="V398" s="9">
        <f>ROUND(ROUND(P398, 2)/1.2, 2)</f>
        <v>283.33</v>
      </c>
      <c r="Y398" s="9">
        <f t="shared" si="24"/>
        <v>38605.300000000003</v>
      </c>
      <c r="AD398" s="4" t="s">
        <v>1574</v>
      </c>
      <c r="AE398" s="4" t="s">
        <v>1575</v>
      </c>
      <c r="AF398" s="4" t="s">
        <v>1394</v>
      </c>
    </row>
    <row r="399" spans="1:35" ht="54" x14ac:dyDescent="0.3">
      <c r="A399" s="10" t="s">
        <v>1576</v>
      </c>
      <c r="B399" s="10" t="s">
        <v>1367</v>
      </c>
      <c r="C399" s="11" t="s">
        <v>1368</v>
      </c>
      <c r="D399" s="12"/>
      <c r="E399" s="12" t="s">
        <v>1577</v>
      </c>
      <c r="F399" s="12" t="s">
        <v>64</v>
      </c>
      <c r="G399" s="13">
        <v>1</v>
      </c>
      <c r="H399" s="13"/>
      <c r="I399" s="13">
        <v>351.08</v>
      </c>
      <c r="J399" s="14">
        <f>IFERROR(ROUND(SUM(M400,M401,M402,M403,M404)/I399, 2),0)</f>
        <v>1552.24</v>
      </c>
      <c r="K399" s="15">
        <v>2364</v>
      </c>
      <c r="L399" s="14">
        <f>J399+ROUND(K399, 2)</f>
        <v>3916.24</v>
      </c>
      <c r="M399" s="14">
        <f>ROUND(J399*I399, 2)</f>
        <v>544960.42000000004</v>
      </c>
      <c r="N399" s="14">
        <f>ROUND(I399*ROUND(K399, 2), 2)</f>
        <v>829953.12</v>
      </c>
      <c r="O399" s="14">
        <f>M399+N399</f>
        <v>1374913.54</v>
      </c>
      <c r="P399" s="14">
        <f>IFERROR(ROUND(SUM(S400,S401,S402,S403,S404)/I399, 2),0)</f>
        <v>965.93</v>
      </c>
      <c r="Q399" s="15">
        <v>2364</v>
      </c>
      <c r="R399" s="14">
        <f>P399+ROUND(Q399, 2)</f>
        <v>3329.93</v>
      </c>
      <c r="S399" s="14">
        <f>ROUND(P399*I399, 2)</f>
        <v>339118.7</v>
      </c>
      <c r="T399" s="14">
        <f>ROUND(I399*ROUND(Q399, 2), 2)</f>
        <v>829953.12</v>
      </c>
      <c r="U399" s="14">
        <f>S399+T399</f>
        <v>1169071.82</v>
      </c>
      <c r="V399" s="9">
        <f>ROUND(P399 / 1.2, 2)</f>
        <v>804.94</v>
      </c>
      <c r="W399" s="9">
        <f>ROUND(Q399 / 1.2, 2)</f>
        <v>1970</v>
      </c>
      <c r="X399" s="9">
        <f>ROUND(R399 / 1.2, 2)</f>
        <v>2774.94</v>
      </c>
      <c r="Y399" s="9">
        <f t="shared" si="24"/>
        <v>282598.92</v>
      </c>
      <c r="Z399" s="9">
        <f>ROUND(T399 / 1.2, 2)</f>
        <v>691627.6</v>
      </c>
      <c r="AA399" s="9">
        <f>Y399+Z399</f>
        <v>974226.52</v>
      </c>
      <c r="AD399" s="4">
        <v>298925433</v>
      </c>
      <c r="AE399" s="4">
        <v>19989016</v>
      </c>
      <c r="AG399" s="4" t="s">
        <v>1370</v>
      </c>
      <c r="AH399" s="4" t="s">
        <v>1371</v>
      </c>
      <c r="AI399" s="4" t="s">
        <v>67</v>
      </c>
    </row>
    <row r="400" spans="1:35" ht="54" x14ac:dyDescent="0.3">
      <c r="A400" s="10" t="s">
        <v>1578</v>
      </c>
      <c r="B400" s="10"/>
      <c r="C400" s="17" t="s">
        <v>1390</v>
      </c>
      <c r="D400" s="12"/>
      <c r="E400" s="12" t="s">
        <v>1482</v>
      </c>
      <c r="F400" s="18" t="s">
        <v>64</v>
      </c>
      <c r="G400" s="19">
        <v>1.07</v>
      </c>
      <c r="H400" s="20"/>
      <c r="I400" s="20">
        <v>375.65600000000001</v>
      </c>
      <c r="J400" s="21">
        <v>1384.95</v>
      </c>
      <c r="M400" s="22">
        <f>ROUND(ROUND(J400, 2)*I400, 2)</f>
        <v>520264.78</v>
      </c>
      <c r="P400" s="21">
        <v>837</v>
      </c>
      <c r="S400" s="22">
        <f>ROUND(ROUND(P400, 2)*I400, 2)</f>
        <v>314424.07</v>
      </c>
      <c r="V400" s="9">
        <f>ROUND(ROUND(P400, 2)/1.2, 2)</f>
        <v>697.5</v>
      </c>
      <c r="Y400" s="9">
        <f t="shared" si="24"/>
        <v>262020.06</v>
      </c>
      <c r="AD400" s="4" t="s">
        <v>1579</v>
      </c>
      <c r="AE400" s="4" t="s">
        <v>1580</v>
      </c>
      <c r="AF400" s="4" t="s">
        <v>1394</v>
      </c>
    </row>
    <row r="401" spans="1:35" ht="54" x14ac:dyDescent="0.3">
      <c r="A401" s="10" t="s">
        <v>1581</v>
      </c>
      <c r="B401" s="10"/>
      <c r="C401" s="17" t="s">
        <v>1476</v>
      </c>
      <c r="D401" s="12"/>
      <c r="E401" s="12" t="s">
        <v>1472</v>
      </c>
      <c r="F401" s="18" t="s">
        <v>87</v>
      </c>
      <c r="G401" s="19">
        <v>0.23</v>
      </c>
      <c r="H401" s="20"/>
      <c r="I401" s="20">
        <v>17.728000000000002</v>
      </c>
      <c r="J401" s="21">
        <v>96.24</v>
      </c>
      <c r="M401" s="22">
        <f>ROUND(ROUND(J401, 2)*I401, 2)</f>
        <v>1706.14</v>
      </c>
      <c r="P401" s="21">
        <v>96.24</v>
      </c>
      <c r="S401" s="22">
        <f>ROUND(ROUND(P401, 2)*I401, 2)</f>
        <v>1706.14</v>
      </c>
      <c r="V401" s="9">
        <f>ROUND(ROUND(P401, 2)/1.2, 2)</f>
        <v>80.2</v>
      </c>
      <c r="Y401" s="9">
        <f t="shared" si="24"/>
        <v>1421.78</v>
      </c>
      <c r="AD401" s="4" t="s">
        <v>1582</v>
      </c>
      <c r="AE401" s="4" t="s">
        <v>1583</v>
      </c>
      <c r="AF401" s="4" t="s">
        <v>1480</v>
      </c>
    </row>
    <row r="402" spans="1:35" ht="54" x14ac:dyDescent="0.3">
      <c r="A402" s="10" t="s">
        <v>1584</v>
      </c>
      <c r="B402" s="10"/>
      <c r="C402" s="17" t="s">
        <v>693</v>
      </c>
      <c r="D402" s="12"/>
      <c r="E402" s="12" t="s">
        <v>402</v>
      </c>
      <c r="F402" s="18" t="s">
        <v>70</v>
      </c>
      <c r="G402" s="19">
        <v>1.2</v>
      </c>
      <c r="H402" s="20"/>
      <c r="I402" s="20">
        <v>842.59199999999998</v>
      </c>
      <c r="J402" s="21">
        <v>16.11</v>
      </c>
      <c r="M402" s="22">
        <f>ROUND(ROUND(J402, 2)*I402, 2)</f>
        <v>13574.16</v>
      </c>
      <c r="P402" s="21">
        <v>16.11</v>
      </c>
      <c r="S402" s="22">
        <f>ROUND(ROUND(P402, 2)*I402, 2)</f>
        <v>13574.16</v>
      </c>
      <c r="V402" s="9">
        <f>ROUND(ROUND(P402, 2)/1.2, 2)</f>
        <v>13.43</v>
      </c>
      <c r="Y402" s="9">
        <f t="shared" si="24"/>
        <v>11311.8</v>
      </c>
      <c r="AD402" s="4" t="s">
        <v>1585</v>
      </c>
      <c r="AE402" s="4" t="s">
        <v>1586</v>
      </c>
      <c r="AF402" s="4" t="s">
        <v>696</v>
      </c>
    </row>
    <row r="403" spans="1:35" ht="36" x14ac:dyDescent="0.3">
      <c r="A403" s="10" t="s">
        <v>1587</v>
      </c>
      <c r="B403" s="10"/>
      <c r="C403" s="24" t="s">
        <v>452</v>
      </c>
      <c r="D403" s="12"/>
      <c r="E403" s="12"/>
      <c r="F403" s="18" t="s">
        <v>70</v>
      </c>
      <c r="G403" s="19">
        <v>0.15</v>
      </c>
      <c r="H403" s="19"/>
      <c r="I403" s="19">
        <v>52.661999999999999</v>
      </c>
      <c r="J403" s="21">
        <v>68.400000000000006</v>
      </c>
      <c r="M403" s="22">
        <f>ROUND(ROUND(J403, 2)*I403, 2)</f>
        <v>3602.08</v>
      </c>
      <c r="P403" s="21">
        <v>68.400000000000006</v>
      </c>
      <c r="S403" s="22">
        <f>ROUND(ROUND(P403, 2)*I403, 2)</f>
        <v>3602.08</v>
      </c>
      <c r="V403" s="9">
        <f>ROUND(ROUND(P403, 2)/1.2, 2)</f>
        <v>57</v>
      </c>
      <c r="Y403" s="9">
        <f t="shared" si="24"/>
        <v>3001.73</v>
      </c>
      <c r="AD403" s="4" t="s">
        <v>1588</v>
      </c>
      <c r="AE403" s="4" t="s">
        <v>1589</v>
      </c>
      <c r="AF403" s="4" t="s">
        <v>456</v>
      </c>
    </row>
    <row r="404" spans="1:35" ht="18" x14ac:dyDescent="0.3">
      <c r="A404" s="10" t="s">
        <v>1590</v>
      </c>
      <c r="B404" s="10"/>
      <c r="C404" s="24" t="s">
        <v>1591</v>
      </c>
      <c r="D404" s="12"/>
      <c r="E404" s="12" t="s">
        <v>1592</v>
      </c>
      <c r="F404" s="18" t="s">
        <v>70</v>
      </c>
      <c r="G404" s="19">
        <v>0.25</v>
      </c>
      <c r="H404" s="20"/>
      <c r="I404" s="20">
        <v>87.77</v>
      </c>
      <c r="J404" s="21">
        <v>66.23</v>
      </c>
      <c r="M404" s="22">
        <f>ROUND(ROUND(J404, 2)*I404, 2)</f>
        <v>5813.01</v>
      </c>
      <c r="P404" s="21">
        <v>66.23</v>
      </c>
      <c r="S404" s="22">
        <f>ROUND(ROUND(P404, 2)*I404, 2)</f>
        <v>5813.01</v>
      </c>
      <c r="V404" s="9">
        <f>ROUND(ROUND(P404, 2)/1.2, 2)</f>
        <v>55.19</v>
      </c>
      <c r="Y404" s="9">
        <f t="shared" si="24"/>
        <v>4844.18</v>
      </c>
      <c r="AD404" s="4" t="s">
        <v>1593</v>
      </c>
      <c r="AE404" s="4" t="s">
        <v>1594</v>
      </c>
      <c r="AF404" s="4" t="s">
        <v>1595</v>
      </c>
    </row>
    <row r="405" spans="1:35" ht="54" x14ac:dyDescent="0.3">
      <c r="A405" s="10" t="s">
        <v>1596</v>
      </c>
      <c r="B405" s="10" t="s">
        <v>1597</v>
      </c>
      <c r="C405" s="11" t="s">
        <v>1598</v>
      </c>
      <c r="D405" s="12"/>
      <c r="E405" s="12" t="s">
        <v>1599</v>
      </c>
      <c r="F405" s="12" t="s">
        <v>64</v>
      </c>
      <c r="G405" s="13">
        <v>1</v>
      </c>
      <c r="H405" s="13"/>
      <c r="I405" s="13">
        <v>3.87</v>
      </c>
      <c r="J405" s="14">
        <f>IFERROR(ROUND(SUM(M406,M407,M408,M409)/I405, 2),0)</f>
        <v>2285.84</v>
      </c>
      <c r="K405" s="15">
        <v>2983</v>
      </c>
      <c r="L405" s="14">
        <f>J405+ROUND(K405, 2)</f>
        <v>5268.84</v>
      </c>
      <c r="M405" s="14">
        <f>ROUND(J405*I405, 2)</f>
        <v>8846.2000000000007</v>
      </c>
      <c r="N405" s="14">
        <f>ROUND(I405*ROUND(K405, 2), 2)</f>
        <v>11544.21</v>
      </c>
      <c r="O405" s="14">
        <f>M405+N405</f>
        <v>20390.41</v>
      </c>
      <c r="P405" s="14">
        <f>IFERROR(ROUND(SUM(S406,S407,S408,S409)/I405, 2),0)</f>
        <v>1404.3</v>
      </c>
      <c r="Q405" s="15">
        <v>2983</v>
      </c>
      <c r="R405" s="14">
        <f>P405+ROUND(Q405, 2)</f>
        <v>4387.3</v>
      </c>
      <c r="S405" s="14">
        <f>ROUND(P405*I405, 2)</f>
        <v>5434.64</v>
      </c>
      <c r="T405" s="14">
        <f>ROUND(I405*ROUND(Q405, 2), 2)</f>
        <v>11544.21</v>
      </c>
      <c r="U405" s="14">
        <f>S405+T405</f>
        <v>16978.849999999999</v>
      </c>
      <c r="V405" s="9">
        <f>ROUND(P405 / 1.2, 2)</f>
        <v>1170.25</v>
      </c>
      <c r="W405" s="9">
        <f>ROUND(Q405 / 1.2, 2)</f>
        <v>2485.83</v>
      </c>
      <c r="X405" s="9">
        <f>ROUND(R405 / 1.2, 2)</f>
        <v>3656.08</v>
      </c>
      <c r="Y405" s="9">
        <f t="shared" si="24"/>
        <v>4528.87</v>
      </c>
      <c r="Z405" s="9">
        <f>ROUND(T405 / 1.2, 2)</f>
        <v>9620.18</v>
      </c>
      <c r="AA405" s="9">
        <f>Y405+Z405</f>
        <v>14149.05</v>
      </c>
      <c r="AD405" s="4">
        <v>298925321</v>
      </c>
      <c r="AE405" s="4">
        <v>19977068</v>
      </c>
      <c r="AG405" s="4" t="s">
        <v>1600</v>
      </c>
      <c r="AH405" s="4" t="s">
        <v>1601</v>
      </c>
      <c r="AI405" s="4" t="s">
        <v>67</v>
      </c>
    </row>
    <row r="406" spans="1:35" ht="54" x14ac:dyDescent="0.3">
      <c r="A406" s="10" t="s">
        <v>1602</v>
      </c>
      <c r="B406" s="10"/>
      <c r="C406" s="24" t="s">
        <v>1603</v>
      </c>
      <c r="D406" s="12"/>
      <c r="E406" s="12" t="s">
        <v>1604</v>
      </c>
      <c r="F406" s="18" t="s">
        <v>64</v>
      </c>
      <c r="G406" s="19">
        <v>1.1000000000000001</v>
      </c>
      <c r="H406" s="20"/>
      <c r="I406" s="20">
        <v>4.2569999999999997</v>
      </c>
      <c r="J406" s="21">
        <v>2024.4</v>
      </c>
      <c r="M406" s="22">
        <f>ROUND(ROUND(J406, 2)*I406, 2)</f>
        <v>8617.8700000000008</v>
      </c>
      <c r="P406" s="21">
        <v>1223</v>
      </c>
      <c r="S406" s="22">
        <f>ROUND(ROUND(P406, 2)*I406, 2)</f>
        <v>5206.3100000000004</v>
      </c>
      <c r="V406" s="9">
        <f>ROUND(ROUND(P406, 2)/1.2, 2)</f>
        <v>1019.17</v>
      </c>
      <c r="Y406" s="9">
        <f t="shared" si="24"/>
        <v>4338.59</v>
      </c>
      <c r="AD406" s="4" t="s">
        <v>1605</v>
      </c>
      <c r="AE406" s="4" t="s">
        <v>1606</v>
      </c>
      <c r="AF406" s="4" t="s">
        <v>1607</v>
      </c>
    </row>
    <row r="407" spans="1:35" ht="54" x14ac:dyDescent="0.3">
      <c r="A407" s="10" t="s">
        <v>1608</v>
      </c>
      <c r="B407" s="10"/>
      <c r="C407" s="17" t="s">
        <v>693</v>
      </c>
      <c r="D407" s="12"/>
      <c r="E407" s="12" t="s">
        <v>402</v>
      </c>
      <c r="F407" s="18" t="s">
        <v>70</v>
      </c>
      <c r="G407" s="19">
        <v>1.2</v>
      </c>
      <c r="H407" s="20"/>
      <c r="I407" s="20">
        <v>9.2880000000000003</v>
      </c>
      <c r="J407" s="21">
        <v>16.11</v>
      </c>
      <c r="M407" s="22">
        <f>ROUND(ROUND(J407, 2)*I407, 2)</f>
        <v>149.63</v>
      </c>
      <c r="P407" s="21">
        <v>16.11</v>
      </c>
      <c r="S407" s="22">
        <f>ROUND(ROUND(P407, 2)*I407, 2)</f>
        <v>149.63</v>
      </c>
      <c r="V407" s="9">
        <f>ROUND(ROUND(P407, 2)/1.2, 2)</f>
        <v>13.43</v>
      </c>
      <c r="Y407" s="9">
        <f t="shared" si="24"/>
        <v>124.69</v>
      </c>
      <c r="AD407" s="4" t="s">
        <v>1609</v>
      </c>
      <c r="AE407" s="4" t="s">
        <v>1610</v>
      </c>
      <c r="AF407" s="4" t="s">
        <v>696</v>
      </c>
    </row>
    <row r="408" spans="1:35" ht="36" x14ac:dyDescent="0.3">
      <c r="A408" s="10" t="s">
        <v>1611</v>
      </c>
      <c r="B408" s="10"/>
      <c r="C408" s="24" t="s">
        <v>426</v>
      </c>
      <c r="D408" s="12"/>
      <c r="E408" s="12"/>
      <c r="F408" s="18" t="s">
        <v>70</v>
      </c>
      <c r="G408" s="19">
        <v>0.25</v>
      </c>
      <c r="H408" s="20"/>
      <c r="I408" s="20">
        <v>0.96799999999999997</v>
      </c>
      <c r="J408" s="21">
        <v>40.270000000000003</v>
      </c>
      <c r="M408" s="22">
        <f>ROUND(ROUND(J408, 2)*I408, 2)</f>
        <v>38.979999999999997</v>
      </c>
      <c r="P408" s="21">
        <v>40.270000000000003</v>
      </c>
      <c r="S408" s="22">
        <f>ROUND(ROUND(P408, 2)*I408, 2)</f>
        <v>38.979999999999997</v>
      </c>
      <c r="V408" s="9">
        <f>ROUND(ROUND(P408, 2)/1.2, 2)</f>
        <v>33.56</v>
      </c>
      <c r="Y408" s="9">
        <f t="shared" si="24"/>
        <v>32.479999999999997</v>
      </c>
      <c r="AD408" s="4" t="s">
        <v>1612</v>
      </c>
      <c r="AE408" s="4" t="s">
        <v>1613</v>
      </c>
      <c r="AF408" s="4" t="s">
        <v>429</v>
      </c>
    </row>
    <row r="409" spans="1:35" ht="36" x14ac:dyDescent="0.3">
      <c r="A409" s="10" t="s">
        <v>1614</v>
      </c>
      <c r="B409" s="10"/>
      <c r="C409" s="24" t="s">
        <v>452</v>
      </c>
      <c r="D409" s="12"/>
      <c r="E409" s="12"/>
      <c r="F409" s="18" t="s">
        <v>70</v>
      </c>
      <c r="G409" s="19">
        <v>0.15</v>
      </c>
      <c r="H409" s="19"/>
      <c r="I409" s="19">
        <v>0.58099999999999996</v>
      </c>
      <c r="J409" s="21">
        <v>68.400000000000006</v>
      </c>
      <c r="M409" s="22">
        <f>ROUND(ROUND(J409, 2)*I409, 2)</f>
        <v>39.74</v>
      </c>
      <c r="P409" s="21">
        <v>68.400000000000006</v>
      </c>
      <c r="S409" s="22">
        <f>ROUND(ROUND(P409, 2)*I409, 2)</f>
        <v>39.74</v>
      </c>
      <c r="V409" s="9">
        <f>ROUND(ROUND(P409, 2)/1.2, 2)</f>
        <v>57</v>
      </c>
      <c r="Y409" s="9">
        <f t="shared" si="24"/>
        <v>33.119999999999997</v>
      </c>
      <c r="AD409" s="4" t="s">
        <v>1615</v>
      </c>
      <c r="AE409" s="4" t="s">
        <v>1616</v>
      </c>
      <c r="AF409" s="4" t="s">
        <v>456</v>
      </c>
    </row>
    <row r="410" spans="1:35" ht="54" x14ac:dyDescent="0.3">
      <c r="A410" s="10" t="s">
        <v>1617</v>
      </c>
      <c r="B410" s="10" t="s">
        <v>1597</v>
      </c>
      <c r="C410" s="11" t="s">
        <v>1598</v>
      </c>
      <c r="D410" s="12"/>
      <c r="E410" s="12" t="s">
        <v>1618</v>
      </c>
      <c r="F410" s="12" t="s">
        <v>64</v>
      </c>
      <c r="G410" s="13">
        <v>1</v>
      </c>
      <c r="H410" s="13"/>
      <c r="I410" s="13">
        <v>4.41</v>
      </c>
      <c r="J410" s="14">
        <f>IFERROR(ROUND(SUM(M411,M412,M413,M414)/I410, 2),0)</f>
        <v>1000.5</v>
      </c>
      <c r="K410" s="15">
        <v>2983</v>
      </c>
      <c r="L410" s="14">
        <f>J410+ROUND(K410, 2)</f>
        <v>3983.5</v>
      </c>
      <c r="M410" s="14">
        <f>ROUND(J410*I410, 2)</f>
        <v>4412.21</v>
      </c>
      <c r="N410" s="14">
        <f>ROUND(I410*ROUND(K410, 2), 2)</f>
        <v>13155.03</v>
      </c>
      <c r="O410" s="14">
        <f>M410+N410</f>
        <v>17567.240000000002</v>
      </c>
      <c r="P410" s="14">
        <f>IFERROR(ROUND(SUM(S411,S412,S413,S414)/I410, 2),0)</f>
        <v>1000.5</v>
      </c>
      <c r="Q410" s="15">
        <v>2983</v>
      </c>
      <c r="R410" s="14">
        <f>P410+ROUND(Q410, 2)</f>
        <v>3983.5</v>
      </c>
      <c r="S410" s="14">
        <f>ROUND(P410*I410, 2)</f>
        <v>4412.21</v>
      </c>
      <c r="T410" s="14">
        <f>ROUND(I410*ROUND(Q410, 2), 2)</f>
        <v>13155.03</v>
      </c>
      <c r="U410" s="14">
        <f>S410+T410</f>
        <v>17567.240000000002</v>
      </c>
      <c r="V410" s="9">
        <f>ROUND(P410 / 1.2, 2)</f>
        <v>833.75</v>
      </c>
      <c r="W410" s="9">
        <f>ROUND(Q410 / 1.2, 2)</f>
        <v>2485.83</v>
      </c>
      <c r="X410" s="9">
        <f>ROUND(R410 / 1.2, 2)</f>
        <v>3319.58</v>
      </c>
      <c r="Y410" s="9">
        <f t="shared" si="24"/>
        <v>3676.84</v>
      </c>
      <c r="Z410" s="9">
        <f>ROUND(T410 / 1.2, 2)</f>
        <v>10962.53</v>
      </c>
      <c r="AA410" s="9">
        <f>Y410+Z410</f>
        <v>14639.37</v>
      </c>
      <c r="AD410" s="4">
        <v>298925434</v>
      </c>
      <c r="AE410" s="4">
        <v>19989082</v>
      </c>
      <c r="AG410" s="4" t="s">
        <v>1600</v>
      </c>
      <c r="AH410" s="4" t="s">
        <v>1601</v>
      </c>
      <c r="AI410" s="4" t="s">
        <v>67</v>
      </c>
    </row>
    <row r="411" spans="1:35" ht="36" x14ac:dyDescent="0.3">
      <c r="A411" s="10" t="s">
        <v>1619</v>
      </c>
      <c r="B411" s="10"/>
      <c r="C411" s="24" t="s">
        <v>452</v>
      </c>
      <c r="D411" s="12"/>
      <c r="E411" s="12"/>
      <c r="F411" s="18" t="s">
        <v>70</v>
      </c>
      <c r="G411" s="19">
        <v>0.15</v>
      </c>
      <c r="H411" s="19"/>
      <c r="I411" s="19">
        <v>0.66200000000000003</v>
      </c>
      <c r="J411" s="21">
        <v>68.400000000000006</v>
      </c>
      <c r="M411" s="22">
        <f>ROUND(ROUND(J411, 2)*I411, 2)</f>
        <v>45.28</v>
      </c>
      <c r="P411" s="21">
        <v>68.400000000000006</v>
      </c>
      <c r="S411" s="22">
        <f>ROUND(ROUND(P411, 2)*I411, 2)</f>
        <v>45.28</v>
      </c>
      <c r="V411" s="9">
        <f>ROUND(ROUND(P411, 2)/1.2, 2)</f>
        <v>57</v>
      </c>
      <c r="Y411" s="9">
        <f t="shared" si="24"/>
        <v>37.729999999999997</v>
      </c>
      <c r="AD411" s="4" t="s">
        <v>1620</v>
      </c>
      <c r="AE411" s="4" t="s">
        <v>1621</v>
      </c>
      <c r="AF411" s="4" t="s">
        <v>456</v>
      </c>
    </row>
    <row r="412" spans="1:35" ht="18" x14ac:dyDescent="0.3">
      <c r="A412" s="10" t="s">
        <v>1622</v>
      </c>
      <c r="B412" s="10"/>
      <c r="C412" s="24" t="s">
        <v>1591</v>
      </c>
      <c r="D412" s="12"/>
      <c r="E412" s="12"/>
      <c r="F412" s="18" t="s">
        <v>70</v>
      </c>
      <c r="G412" s="19">
        <v>0.25</v>
      </c>
      <c r="H412" s="20"/>
      <c r="I412" s="20">
        <v>1.103</v>
      </c>
      <c r="J412" s="21">
        <v>66.23</v>
      </c>
      <c r="M412" s="22">
        <f>ROUND(ROUND(J412, 2)*I412, 2)</f>
        <v>73.05</v>
      </c>
      <c r="P412" s="21">
        <v>66.23</v>
      </c>
      <c r="S412" s="22">
        <f>ROUND(ROUND(P412, 2)*I412, 2)</f>
        <v>73.05</v>
      </c>
      <c r="V412" s="9">
        <f>ROUND(ROUND(P412, 2)/1.2, 2)</f>
        <v>55.19</v>
      </c>
      <c r="Y412" s="9">
        <f t="shared" si="24"/>
        <v>60.88</v>
      </c>
      <c r="AD412" s="4" t="s">
        <v>1623</v>
      </c>
      <c r="AE412" s="4" t="s">
        <v>1624</v>
      </c>
      <c r="AF412" s="4" t="s">
        <v>1595</v>
      </c>
    </row>
    <row r="413" spans="1:35" ht="54" x14ac:dyDescent="0.3">
      <c r="A413" s="10" t="s">
        <v>1625</v>
      </c>
      <c r="B413" s="10"/>
      <c r="C413" s="17" t="s">
        <v>693</v>
      </c>
      <c r="D413" s="12"/>
      <c r="E413" s="12" t="s">
        <v>402</v>
      </c>
      <c r="F413" s="18" t="s">
        <v>70</v>
      </c>
      <c r="G413" s="19">
        <v>1.2</v>
      </c>
      <c r="H413" s="20"/>
      <c r="I413" s="20">
        <v>10.584</v>
      </c>
      <c r="J413" s="21">
        <v>16.11</v>
      </c>
      <c r="M413" s="22">
        <f>ROUND(ROUND(J413, 2)*I413, 2)</f>
        <v>170.51</v>
      </c>
      <c r="P413" s="21">
        <v>16.11</v>
      </c>
      <c r="S413" s="22">
        <f>ROUND(ROUND(P413, 2)*I413, 2)</f>
        <v>170.51</v>
      </c>
      <c r="V413" s="9">
        <f>ROUND(ROUND(P413, 2)/1.2, 2)</f>
        <v>13.43</v>
      </c>
      <c r="Y413" s="9">
        <f t="shared" si="24"/>
        <v>142.09</v>
      </c>
      <c r="AD413" s="4" t="s">
        <v>1626</v>
      </c>
      <c r="AE413" s="4" t="s">
        <v>1627</v>
      </c>
      <c r="AF413" s="4" t="s">
        <v>696</v>
      </c>
    </row>
    <row r="414" spans="1:35" ht="54" x14ac:dyDescent="0.3">
      <c r="A414" s="10" t="s">
        <v>1628</v>
      </c>
      <c r="B414" s="10"/>
      <c r="C414" s="17" t="s">
        <v>512</v>
      </c>
      <c r="D414" s="12"/>
      <c r="E414" s="12" t="s">
        <v>1629</v>
      </c>
      <c r="F414" s="18" t="s">
        <v>64</v>
      </c>
      <c r="G414" s="19">
        <v>1.1000000000000001</v>
      </c>
      <c r="H414" s="20"/>
      <c r="I414" s="20">
        <v>4.851</v>
      </c>
      <c r="J414" s="21">
        <v>850</v>
      </c>
      <c r="M414" s="22">
        <f>ROUND(ROUND(J414, 2)*I414, 2)</f>
        <v>4123.3500000000004</v>
      </c>
      <c r="P414" s="21">
        <v>850</v>
      </c>
      <c r="S414" s="22">
        <f>ROUND(ROUND(P414, 2)*I414, 2)</f>
        <v>4123.3500000000004</v>
      </c>
      <c r="V414" s="9">
        <f>ROUND(ROUND(P414, 2)/1.2, 2)</f>
        <v>708.33</v>
      </c>
      <c r="Y414" s="9">
        <f t="shared" si="24"/>
        <v>3436.13</v>
      </c>
      <c r="AD414" s="4" t="s">
        <v>1630</v>
      </c>
      <c r="AE414" s="4" t="s">
        <v>1631</v>
      </c>
      <c r="AF414" s="4" t="s">
        <v>516</v>
      </c>
    </row>
    <row r="415" spans="1:35" ht="16.95" customHeight="1" x14ac:dyDescent="0.3">
      <c r="A415" s="10" t="s">
        <v>1632</v>
      </c>
      <c r="B415" s="10" t="s">
        <v>1633</v>
      </c>
      <c r="C415" s="352" t="s">
        <v>1634</v>
      </c>
      <c r="D415" s="353"/>
      <c r="E415" s="353"/>
      <c r="F415" s="353"/>
      <c r="G415" s="353"/>
      <c r="H415" s="353"/>
      <c r="I415" s="354"/>
      <c r="M415" s="6">
        <f>SUM(M416,M420,M424,M428,M432,M435,M438,M441,M446,M450,M454,M458,M463,M468,M473,M477,M482)</f>
        <v>1200076.26</v>
      </c>
      <c r="N415" s="6">
        <f>SUM(N416,N420,N424,N428,N432,N435,N438,N441,N446,N450,N454,N458,N463,N468,N473,N477,N482)</f>
        <v>3206950.7800000003</v>
      </c>
      <c r="O415" s="6">
        <f>SUM(O416,O420,O424,O428,O432,O435,O438,O441,O446,O450,O454,O458,O463,O468,O473,O477,O482)</f>
        <v>4407027.0399999991</v>
      </c>
      <c r="S415" s="6">
        <f>SUM(S416,S420,S424,S428,S432,S435,S438,S441,S446,S450,S454,S458,S463,S468,S473,S477,S482)</f>
        <v>1571187.82</v>
      </c>
      <c r="T415" s="6">
        <f>SUM(T416,T420,T424,T428,T432,T435,T438,T441,T446,T450,T454,T458,T463,T468,T473,T477,T482)</f>
        <v>3206950.7800000003</v>
      </c>
      <c r="U415" s="6">
        <f>SUM(U416,U420,U424,U428,U432,U435,U438,U441,U446,U450,U454,U458,U463,U468,U473,U477,U482)</f>
        <v>4778138.5999999996</v>
      </c>
      <c r="Y415" s="9">
        <f>SUM(Y416,Y420,Y424,Y428,Y432,Y435,Y438,Y441,Y446,Y450,Y454,Y458,Y463,Y468,Y473,Y477,Y482)</f>
        <v>1309323.1799999997</v>
      </c>
      <c r="Z415" s="9">
        <f>SUM(Z416,Z420,Z424,Z428,Z432,Z435,Z438,Z441,Z446,Z450,Z454,Z458,Z463,Z468,Z473,Z477,Z482)</f>
        <v>2672458.9899999998</v>
      </c>
      <c r="AA415" s="9">
        <f>SUM(AA416,AA420,AA424,AA428,AA432,AA435,AA438,AA441,AA446,AA450,AA454,AA458,AA463,AA468,AA473,AA477,AA482)</f>
        <v>3981782.1700000004</v>
      </c>
      <c r="AD415" s="4">
        <v>298925322</v>
      </c>
      <c r="AE415" s="4">
        <v>16225741</v>
      </c>
    </row>
    <row r="416" spans="1:35" ht="54" x14ac:dyDescent="0.3">
      <c r="A416" s="10" t="s">
        <v>1635</v>
      </c>
      <c r="B416" s="10" t="s">
        <v>1636</v>
      </c>
      <c r="C416" s="11" t="s">
        <v>1637</v>
      </c>
      <c r="D416" s="12"/>
      <c r="E416" s="12"/>
      <c r="F416" s="12" t="s">
        <v>64</v>
      </c>
      <c r="G416" s="13">
        <v>1</v>
      </c>
      <c r="H416" s="13"/>
      <c r="I416" s="13">
        <v>0</v>
      </c>
      <c r="J416" s="14">
        <f>IFERROR(ROUND(SUM(M417,M418,M419)/I416, 2),0)</f>
        <v>0</v>
      </c>
      <c r="K416" s="15">
        <v>2956</v>
      </c>
      <c r="L416" s="14">
        <f>J416+ROUND(K416, 2)</f>
        <v>2956</v>
      </c>
      <c r="M416" s="14">
        <f>ROUND(J416*I416, 2)</f>
        <v>0</v>
      </c>
      <c r="N416" s="14">
        <f>ROUND(I416*ROUND(K416, 2), 2)</f>
        <v>0</v>
      </c>
      <c r="O416" s="14">
        <f>M416+N416</f>
        <v>0</v>
      </c>
      <c r="P416" s="14">
        <f>IFERROR(ROUND(SUM(S417,S418,S419)/I416, 2),0)</f>
        <v>0</v>
      </c>
      <c r="Q416" s="15">
        <v>2956</v>
      </c>
      <c r="R416" s="14">
        <f>P416+ROUND(Q416, 2)</f>
        <v>2956</v>
      </c>
      <c r="S416" s="14">
        <f>ROUND(P416*I416, 2)</f>
        <v>0</v>
      </c>
      <c r="T416" s="14">
        <f>ROUND(I416*ROUND(Q416, 2), 2)</f>
        <v>0</v>
      </c>
      <c r="U416" s="14">
        <f>S416+T416</f>
        <v>0</v>
      </c>
      <c r="V416" s="9">
        <f>ROUND(P416 / 1.2, 2)</f>
        <v>0</v>
      </c>
      <c r="W416" s="9">
        <f>ROUND(Q416 / 1.2, 2)</f>
        <v>2463.33</v>
      </c>
      <c r="X416" s="9">
        <f>ROUND(R416 / 1.2, 2)</f>
        <v>2463.33</v>
      </c>
      <c r="Y416" s="9">
        <f>ROUND(S416 / 1.2, 2)</f>
        <v>0</v>
      </c>
      <c r="Z416" s="9">
        <f>ROUND(T416 / 1.2, 2)</f>
        <v>0</v>
      </c>
      <c r="AA416" s="9">
        <f>Y416+Z416</f>
        <v>0</v>
      </c>
      <c r="AD416" s="4">
        <v>298925324</v>
      </c>
      <c r="AE416" s="4">
        <v>16225738</v>
      </c>
      <c r="AG416" s="4" t="s">
        <v>1638</v>
      </c>
      <c r="AH416" s="4" t="s">
        <v>1639</v>
      </c>
      <c r="AI416" s="4" t="s">
        <v>67</v>
      </c>
    </row>
    <row r="417" spans="1:35" ht="36" x14ac:dyDescent="0.3">
      <c r="A417" s="10" t="s">
        <v>1641</v>
      </c>
      <c r="B417" s="10"/>
      <c r="C417" s="24" t="s">
        <v>1642</v>
      </c>
      <c r="D417" s="12"/>
      <c r="E417" s="12" t="s">
        <v>868</v>
      </c>
      <c r="F417" s="18" t="s">
        <v>70</v>
      </c>
      <c r="G417" s="19">
        <v>1.8</v>
      </c>
      <c r="H417" s="20"/>
      <c r="I417" s="20">
        <v>0</v>
      </c>
      <c r="J417" s="21">
        <v>6.8</v>
      </c>
      <c r="M417" s="22">
        <f>ROUND(ROUND(J417, 2)*I417, 2)</f>
        <v>0</v>
      </c>
      <c r="P417" s="21">
        <v>6.8</v>
      </c>
      <c r="S417" s="22">
        <f>ROUND(ROUND(P417, 2)*I417, 2)</f>
        <v>0</v>
      </c>
      <c r="V417" s="9">
        <f>ROUND(ROUND(P417, 2)/1.2, 2)</f>
        <v>5.67</v>
      </c>
      <c r="Y417" s="9">
        <f t="shared" ref="Y417:Y448" si="25">ROUND(S417 / 1.2, 2)</f>
        <v>0</v>
      </c>
      <c r="AD417" s="4" t="s">
        <v>1643</v>
      </c>
      <c r="AE417" s="4" t="s">
        <v>1644</v>
      </c>
      <c r="AF417" s="4" t="s">
        <v>1645</v>
      </c>
    </row>
    <row r="418" spans="1:35" ht="18" x14ac:dyDescent="0.3">
      <c r="A418" s="10" t="s">
        <v>1648</v>
      </c>
      <c r="B418" s="10"/>
      <c r="C418" s="24" t="s">
        <v>1649</v>
      </c>
      <c r="D418" s="12"/>
      <c r="E418" s="12"/>
      <c r="F418" s="18" t="s">
        <v>87</v>
      </c>
      <c r="G418" s="19">
        <v>1</v>
      </c>
      <c r="H418" s="19"/>
      <c r="I418" s="19">
        <v>0</v>
      </c>
      <c r="J418" s="21">
        <v>18.34</v>
      </c>
      <c r="M418" s="22">
        <f>ROUND(ROUND(J418, 2)*I418, 2)</f>
        <v>0</v>
      </c>
      <c r="P418" s="21">
        <v>18.34</v>
      </c>
      <c r="S418" s="22">
        <f>ROUND(ROUND(P418, 2)*I418, 2)</f>
        <v>0</v>
      </c>
      <c r="V418" s="9">
        <f>ROUND(ROUND(P418, 2)/1.2, 2)</f>
        <v>15.28</v>
      </c>
      <c r="Y418" s="9">
        <f t="shared" si="25"/>
        <v>0</v>
      </c>
      <c r="AD418" s="4" t="s">
        <v>1650</v>
      </c>
      <c r="AE418" s="4" t="s">
        <v>1651</v>
      </c>
      <c r="AF418" s="4" t="s">
        <v>1652</v>
      </c>
    </row>
    <row r="419" spans="1:35" ht="18" x14ac:dyDescent="0.3">
      <c r="A419" s="10" t="s">
        <v>1655</v>
      </c>
      <c r="B419" s="10"/>
      <c r="C419" s="24" t="s">
        <v>760</v>
      </c>
      <c r="D419" s="12"/>
      <c r="E419" s="12"/>
      <c r="F419" s="18" t="s">
        <v>70</v>
      </c>
      <c r="G419" s="19">
        <v>0.25</v>
      </c>
      <c r="H419" s="19"/>
      <c r="I419" s="19">
        <v>0</v>
      </c>
      <c r="J419" s="21">
        <v>100</v>
      </c>
      <c r="M419" s="22">
        <f>ROUND(ROUND(J419, 2)*I419, 2)</f>
        <v>0</v>
      </c>
      <c r="P419" s="21">
        <v>100</v>
      </c>
      <c r="S419" s="22">
        <f>ROUND(ROUND(P419, 2)*I419, 2)</f>
        <v>0</v>
      </c>
      <c r="V419" s="9">
        <f>ROUND(ROUND(P419, 2)/1.2, 2)</f>
        <v>83.33</v>
      </c>
      <c r="Y419" s="9">
        <f t="shared" si="25"/>
        <v>0</v>
      </c>
      <c r="AD419" s="4" t="s">
        <v>1656</v>
      </c>
      <c r="AE419" s="4" t="s">
        <v>1657</v>
      </c>
      <c r="AF419" s="4" t="s">
        <v>763</v>
      </c>
    </row>
    <row r="420" spans="1:35" ht="54" x14ac:dyDescent="0.3">
      <c r="A420" s="10" t="s">
        <v>1660</v>
      </c>
      <c r="B420" s="10" t="s">
        <v>1661</v>
      </c>
      <c r="C420" s="11" t="s">
        <v>1662</v>
      </c>
      <c r="D420" s="12"/>
      <c r="E420" s="12" t="s">
        <v>1663</v>
      </c>
      <c r="F420" s="12" t="s">
        <v>64</v>
      </c>
      <c r="G420" s="13">
        <v>1</v>
      </c>
      <c r="H420" s="13"/>
      <c r="I420" s="13">
        <v>0</v>
      </c>
      <c r="J420" s="14">
        <f>IFERROR(ROUND(SUM(M421,M422,M423)/I420, 2),0)</f>
        <v>0</v>
      </c>
      <c r="K420" s="15">
        <v>1001</v>
      </c>
      <c r="L420" s="14">
        <f>J420+ROUND(K420, 2)</f>
        <v>1001</v>
      </c>
      <c r="M420" s="14">
        <f>ROUND(J420*I420, 2)</f>
        <v>0</v>
      </c>
      <c r="N420" s="14">
        <f>ROUND(I420*ROUND(K420, 2), 2)</f>
        <v>0</v>
      </c>
      <c r="O420" s="14">
        <f>M420+N420</f>
        <v>0</v>
      </c>
      <c r="P420" s="14">
        <f>IFERROR(ROUND(SUM(S421,S422,S423)/I420, 2),0)</f>
        <v>0</v>
      </c>
      <c r="Q420" s="15">
        <v>1001</v>
      </c>
      <c r="R420" s="14">
        <f>P420+ROUND(Q420, 2)</f>
        <v>1001</v>
      </c>
      <c r="S420" s="14">
        <f>ROUND(P420*I420, 2)</f>
        <v>0</v>
      </c>
      <c r="T420" s="14">
        <f>ROUND(I420*ROUND(Q420, 2), 2)</f>
        <v>0</v>
      </c>
      <c r="U420" s="14">
        <f>S420+T420</f>
        <v>0</v>
      </c>
      <c r="V420" s="9">
        <f>ROUND(P420 / 1.2, 2)</f>
        <v>0</v>
      </c>
      <c r="W420" s="9">
        <f>ROUND(Q420 / 1.2, 2)</f>
        <v>834.17</v>
      </c>
      <c r="X420" s="9">
        <f>ROUND(R420 / 1.2, 2)</f>
        <v>834.17</v>
      </c>
      <c r="Y420" s="9">
        <f t="shared" si="25"/>
        <v>0</v>
      </c>
      <c r="Z420" s="9">
        <f>ROUND(T420 / 1.2, 2)</f>
        <v>0</v>
      </c>
      <c r="AA420" s="9">
        <f>Y420+Z420</f>
        <v>0</v>
      </c>
      <c r="AD420" s="4">
        <v>298925326</v>
      </c>
      <c r="AE420" s="4">
        <v>16225746</v>
      </c>
      <c r="AG420" s="4" t="s">
        <v>1664</v>
      </c>
      <c r="AH420" s="4" t="s">
        <v>1665</v>
      </c>
      <c r="AI420" s="4" t="s">
        <v>67</v>
      </c>
    </row>
    <row r="421" spans="1:35" ht="36" x14ac:dyDescent="0.3">
      <c r="A421" s="10" t="s">
        <v>1667</v>
      </c>
      <c r="B421" s="10"/>
      <c r="C421" s="17" t="s">
        <v>736</v>
      </c>
      <c r="D421" s="12"/>
      <c r="E421" s="12" t="s">
        <v>782</v>
      </c>
      <c r="F421" s="18" t="s">
        <v>70</v>
      </c>
      <c r="G421" s="19">
        <v>4.5</v>
      </c>
      <c r="H421" s="19"/>
      <c r="I421" s="19">
        <v>0</v>
      </c>
      <c r="J421" s="21">
        <v>12.58</v>
      </c>
      <c r="M421" s="22">
        <f>ROUND(ROUND(J421, 2)*I421, 2)</f>
        <v>0</v>
      </c>
      <c r="P421" s="21">
        <v>12.58</v>
      </c>
      <c r="S421" s="22">
        <f>ROUND(ROUND(P421, 2)*I421, 2)</f>
        <v>0</v>
      </c>
      <c r="V421" s="9">
        <f>ROUND(ROUND(P421, 2)/1.2, 2)</f>
        <v>10.48</v>
      </c>
      <c r="Y421" s="9">
        <f t="shared" si="25"/>
        <v>0</v>
      </c>
      <c r="AD421" s="4" t="s">
        <v>1668</v>
      </c>
      <c r="AE421" s="4" t="s">
        <v>1669</v>
      </c>
      <c r="AF421" s="4" t="s">
        <v>739</v>
      </c>
    </row>
    <row r="422" spans="1:35" ht="36" x14ac:dyDescent="0.3">
      <c r="A422" s="10" t="s">
        <v>1672</v>
      </c>
      <c r="B422" s="10"/>
      <c r="C422" s="24" t="s">
        <v>1673</v>
      </c>
      <c r="D422" s="12"/>
      <c r="E422" s="12"/>
      <c r="F422" s="18" t="s">
        <v>116</v>
      </c>
      <c r="G422" s="19">
        <v>0.3</v>
      </c>
      <c r="H422" s="20"/>
      <c r="I422" s="20">
        <v>0</v>
      </c>
      <c r="J422" s="21">
        <v>73.099999999999994</v>
      </c>
      <c r="M422" s="22">
        <f>ROUND(ROUND(J422, 2)*I422, 2)</f>
        <v>0</v>
      </c>
      <c r="P422" s="21">
        <v>73.099999999999994</v>
      </c>
      <c r="S422" s="22">
        <f>ROUND(ROUND(P422, 2)*I422, 2)</f>
        <v>0</v>
      </c>
      <c r="V422" s="9">
        <f>ROUND(ROUND(P422, 2)/1.2, 2)</f>
        <v>60.92</v>
      </c>
      <c r="Y422" s="9">
        <f t="shared" si="25"/>
        <v>0</v>
      </c>
      <c r="AD422" s="4" t="s">
        <v>1674</v>
      </c>
      <c r="AE422" s="4" t="s">
        <v>1675</v>
      </c>
      <c r="AF422" s="4" t="s">
        <v>1676</v>
      </c>
    </row>
    <row r="423" spans="1:35" ht="36" x14ac:dyDescent="0.3">
      <c r="A423" s="10" t="s">
        <v>1679</v>
      </c>
      <c r="B423" s="10"/>
      <c r="C423" s="24" t="s">
        <v>433</v>
      </c>
      <c r="D423" s="12"/>
      <c r="E423" s="12"/>
      <c r="F423" s="18" t="s">
        <v>70</v>
      </c>
      <c r="G423" s="19">
        <v>0.15</v>
      </c>
      <c r="H423" s="19"/>
      <c r="I423" s="19">
        <v>0</v>
      </c>
      <c r="J423" s="21">
        <v>88.8</v>
      </c>
      <c r="M423" s="22">
        <f>ROUND(ROUND(J423, 2)*I423, 2)</f>
        <v>0</v>
      </c>
      <c r="P423" s="21">
        <v>88.8</v>
      </c>
      <c r="S423" s="22">
        <f>ROUND(ROUND(P423, 2)*I423, 2)</f>
        <v>0</v>
      </c>
      <c r="V423" s="9">
        <f>ROUND(ROUND(P423, 2)/1.2, 2)</f>
        <v>74</v>
      </c>
      <c r="Y423" s="9">
        <f t="shared" si="25"/>
        <v>0</v>
      </c>
      <c r="AD423" s="4" t="s">
        <v>1680</v>
      </c>
      <c r="AE423" s="4" t="s">
        <v>1681</v>
      </c>
      <c r="AF423" s="4" t="s">
        <v>436</v>
      </c>
    </row>
    <row r="424" spans="1:35" ht="54" x14ac:dyDescent="0.3">
      <c r="A424" s="10" t="s">
        <v>1684</v>
      </c>
      <c r="B424" s="10" t="s">
        <v>1661</v>
      </c>
      <c r="C424" s="11" t="s">
        <v>1662</v>
      </c>
      <c r="D424" s="12"/>
      <c r="E424" s="12" t="s">
        <v>1685</v>
      </c>
      <c r="F424" s="12" t="s">
        <v>64</v>
      </c>
      <c r="G424" s="13">
        <v>1</v>
      </c>
      <c r="H424" s="13"/>
      <c r="I424" s="13">
        <v>0</v>
      </c>
      <c r="J424" s="14">
        <f>IFERROR(ROUND(SUM(M425,M426,M427)/I424, 2),0)</f>
        <v>0</v>
      </c>
      <c r="K424" s="15">
        <v>1001</v>
      </c>
      <c r="L424" s="14">
        <f>J424+ROUND(K424, 2)</f>
        <v>1001</v>
      </c>
      <c r="M424" s="14">
        <f>ROUND(J424*I424, 2)</f>
        <v>0</v>
      </c>
      <c r="N424" s="14">
        <f>ROUND(I424*ROUND(K424, 2), 2)</f>
        <v>0</v>
      </c>
      <c r="O424" s="14">
        <f>M424+N424</f>
        <v>0</v>
      </c>
      <c r="P424" s="14">
        <f>IFERROR(ROUND(SUM(S425,S426,S427)/I424, 2),0)</f>
        <v>0</v>
      </c>
      <c r="Q424" s="15">
        <v>1001</v>
      </c>
      <c r="R424" s="14">
        <f>P424+ROUND(Q424, 2)</f>
        <v>1001</v>
      </c>
      <c r="S424" s="14">
        <f>ROUND(P424*I424, 2)</f>
        <v>0</v>
      </c>
      <c r="T424" s="14">
        <f>ROUND(I424*ROUND(Q424, 2), 2)</f>
        <v>0</v>
      </c>
      <c r="U424" s="14">
        <f>S424+T424</f>
        <v>0</v>
      </c>
      <c r="V424" s="9">
        <f>ROUND(P424 / 1.2, 2)</f>
        <v>0</v>
      </c>
      <c r="W424" s="9">
        <f>ROUND(Q424 / 1.2, 2)</f>
        <v>834.17</v>
      </c>
      <c r="X424" s="9">
        <f>ROUND(R424 / 1.2, 2)</f>
        <v>834.17</v>
      </c>
      <c r="Y424" s="9">
        <f t="shared" si="25"/>
        <v>0</v>
      </c>
      <c r="Z424" s="9">
        <f>ROUND(T424 / 1.2, 2)</f>
        <v>0</v>
      </c>
      <c r="AA424" s="9">
        <f>Y424+Z424</f>
        <v>0</v>
      </c>
      <c r="AD424" s="4">
        <v>298925435</v>
      </c>
      <c r="AE424" s="4">
        <v>16225747</v>
      </c>
      <c r="AG424" s="4" t="s">
        <v>1664</v>
      </c>
      <c r="AH424" s="4" t="s">
        <v>1665</v>
      </c>
      <c r="AI424" s="4" t="s">
        <v>67</v>
      </c>
    </row>
    <row r="425" spans="1:35" ht="36" x14ac:dyDescent="0.3">
      <c r="A425" s="10" t="s">
        <v>1687</v>
      </c>
      <c r="B425" s="10"/>
      <c r="C425" s="24" t="s">
        <v>433</v>
      </c>
      <c r="D425" s="12"/>
      <c r="E425" s="12"/>
      <c r="F425" s="18" t="s">
        <v>70</v>
      </c>
      <c r="G425" s="19">
        <v>0.15</v>
      </c>
      <c r="H425" s="19"/>
      <c r="I425" s="19">
        <v>0</v>
      </c>
      <c r="J425" s="21">
        <v>88.8</v>
      </c>
      <c r="M425" s="22">
        <f>ROUND(ROUND(J425, 2)*I425, 2)</f>
        <v>0</v>
      </c>
      <c r="P425" s="21">
        <v>88.8</v>
      </c>
      <c r="S425" s="22">
        <f>ROUND(ROUND(P425, 2)*I425, 2)</f>
        <v>0</v>
      </c>
      <c r="V425" s="9">
        <f>ROUND(ROUND(P425, 2)/1.2, 2)</f>
        <v>74</v>
      </c>
      <c r="Y425" s="9">
        <f t="shared" si="25"/>
        <v>0</v>
      </c>
      <c r="AD425" s="4" t="s">
        <v>1688</v>
      </c>
      <c r="AE425" s="4" t="s">
        <v>1689</v>
      </c>
      <c r="AF425" s="4" t="s">
        <v>436</v>
      </c>
    </row>
    <row r="426" spans="1:35" ht="36" x14ac:dyDescent="0.3">
      <c r="A426" s="10" t="s">
        <v>1692</v>
      </c>
      <c r="B426" s="10"/>
      <c r="C426" s="24" t="s">
        <v>1673</v>
      </c>
      <c r="D426" s="12"/>
      <c r="E426" s="12"/>
      <c r="F426" s="18" t="s">
        <v>116</v>
      </c>
      <c r="G426" s="19">
        <v>0.3</v>
      </c>
      <c r="H426" s="20"/>
      <c r="I426" s="20">
        <v>0</v>
      </c>
      <c r="J426" s="21">
        <v>73.099999999999994</v>
      </c>
      <c r="M426" s="22">
        <f>ROUND(ROUND(J426, 2)*I426, 2)</f>
        <v>0</v>
      </c>
      <c r="P426" s="21">
        <v>73.099999999999994</v>
      </c>
      <c r="S426" s="22">
        <f>ROUND(ROUND(P426, 2)*I426, 2)</f>
        <v>0</v>
      </c>
      <c r="V426" s="9">
        <f>ROUND(ROUND(P426, 2)/1.2, 2)</f>
        <v>60.92</v>
      </c>
      <c r="Y426" s="9">
        <f t="shared" si="25"/>
        <v>0</v>
      </c>
      <c r="AD426" s="4" t="s">
        <v>1693</v>
      </c>
      <c r="AE426" s="4" t="s">
        <v>1694</v>
      </c>
      <c r="AF426" s="4" t="s">
        <v>1676</v>
      </c>
    </row>
    <row r="427" spans="1:35" ht="36" x14ac:dyDescent="0.3">
      <c r="A427" s="10" t="s">
        <v>1697</v>
      </c>
      <c r="B427" s="10"/>
      <c r="C427" s="17" t="s">
        <v>736</v>
      </c>
      <c r="D427" s="12"/>
      <c r="E427" s="12" t="s">
        <v>817</v>
      </c>
      <c r="F427" s="18" t="s">
        <v>70</v>
      </c>
      <c r="G427" s="19">
        <v>4.5</v>
      </c>
      <c r="H427" s="19"/>
      <c r="I427" s="19">
        <v>0</v>
      </c>
      <c r="J427" s="21">
        <v>12.58</v>
      </c>
      <c r="M427" s="22">
        <f>ROUND(ROUND(J427, 2)*I427, 2)</f>
        <v>0</v>
      </c>
      <c r="P427" s="21">
        <v>12.58</v>
      </c>
      <c r="S427" s="22">
        <f>ROUND(ROUND(P427, 2)*I427, 2)</f>
        <v>0</v>
      </c>
      <c r="V427" s="9">
        <f>ROUND(ROUND(P427, 2)/1.2, 2)</f>
        <v>10.48</v>
      </c>
      <c r="Y427" s="9">
        <f t="shared" si="25"/>
        <v>0</v>
      </c>
      <c r="AD427" s="4" t="s">
        <v>1698</v>
      </c>
      <c r="AE427" s="4" t="s">
        <v>1699</v>
      </c>
      <c r="AF427" s="4" t="s">
        <v>739</v>
      </c>
    </row>
    <row r="428" spans="1:35" ht="54" x14ac:dyDescent="0.3">
      <c r="A428" s="10" t="s">
        <v>1702</v>
      </c>
      <c r="B428" s="10" t="s">
        <v>1661</v>
      </c>
      <c r="C428" s="11" t="s">
        <v>1662</v>
      </c>
      <c r="D428" s="12"/>
      <c r="E428" s="12" t="s">
        <v>1663</v>
      </c>
      <c r="F428" s="12" t="s">
        <v>64</v>
      </c>
      <c r="G428" s="13">
        <v>1</v>
      </c>
      <c r="H428" s="13"/>
      <c r="I428" s="13">
        <v>662.77499999999998</v>
      </c>
      <c r="J428" s="14">
        <f>IFERROR(ROUND(SUM(M429,M430,M431)/I428, 2),0)</f>
        <v>89.57</v>
      </c>
      <c r="K428" s="15">
        <v>1001</v>
      </c>
      <c r="L428" s="14">
        <f>J428+ROUND(K428, 2)</f>
        <v>1090.57</v>
      </c>
      <c r="M428" s="14">
        <f>ROUND(J428*I428, 2)</f>
        <v>59364.76</v>
      </c>
      <c r="N428" s="14">
        <f>ROUND(I428*ROUND(K428, 2), 2)</f>
        <v>663437.78</v>
      </c>
      <c r="O428" s="14">
        <f>M428+N428</f>
        <v>722802.54</v>
      </c>
      <c r="P428" s="14">
        <f>IFERROR(ROUND(SUM(S429,S430,S431)/I428, 2),0)</f>
        <v>89.57</v>
      </c>
      <c r="Q428" s="15">
        <v>1001</v>
      </c>
      <c r="R428" s="14">
        <f>P428+ROUND(Q428, 2)</f>
        <v>1090.57</v>
      </c>
      <c r="S428" s="14">
        <f>ROUND(P428*I428, 2)</f>
        <v>59364.76</v>
      </c>
      <c r="T428" s="14">
        <f>ROUND(I428*ROUND(Q428, 2), 2)</f>
        <v>663437.78</v>
      </c>
      <c r="U428" s="14">
        <f>S428+T428</f>
        <v>722802.54</v>
      </c>
      <c r="V428" s="9">
        <f>ROUND(P428 / 1.2, 2)</f>
        <v>74.64</v>
      </c>
      <c r="W428" s="9">
        <f>ROUND(Q428 / 1.2, 2)</f>
        <v>834.17</v>
      </c>
      <c r="X428" s="9">
        <f>ROUND(R428 / 1.2, 2)</f>
        <v>908.81</v>
      </c>
      <c r="Y428" s="9">
        <f t="shared" si="25"/>
        <v>49470.63</v>
      </c>
      <c r="Z428" s="9">
        <f>ROUND(T428 / 1.2, 2)</f>
        <v>552864.81999999995</v>
      </c>
      <c r="AA428" s="9">
        <f>Y428+Z428</f>
        <v>602335.44999999995</v>
      </c>
      <c r="AD428" s="4">
        <v>298925436</v>
      </c>
      <c r="AE428" s="4">
        <v>19821008</v>
      </c>
      <c r="AG428" s="4" t="s">
        <v>1664</v>
      </c>
      <c r="AH428" s="4" t="s">
        <v>1665</v>
      </c>
      <c r="AI428" s="4" t="s">
        <v>67</v>
      </c>
    </row>
    <row r="429" spans="1:35" ht="36" x14ac:dyDescent="0.3">
      <c r="A429" s="10" t="s">
        <v>1703</v>
      </c>
      <c r="B429" s="10"/>
      <c r="C429" s="17" t="s">
        <v>736</v>
      </c>
      <c r="D429" s="12"/>
      <c r="E429" s="12"/>
      <c r="F429" s="18" t="s">
        <v>70</v>
      </c>
      <c r="G429" s="19">
        <v>4.5</v>
      </c>
      <c r="H429" s="19"/>
      <c r="I429" s="19">
        <v>2982.4879999999998</v>
      </c>
      <c r="J429" s="21">
        <v>12.07</v>
      </c>
      <c r="M429" s="22">
        <f>ROUND(ROUND(J429, 2)*I429, 2)</f>
        <v>35998.629999999997</v>
      </c>
      <c r="P429" s="21">
        <v>12.07</v>
      </c>
      <c r="S429" s="22">
        <f>ROUND(ROUND(P429, 2)*I429, 2)</f>
        <v>35998.629999999997</v>
      </c>
      <c r="V429" s="9">
        <f>ROUND(ROUND(P429, 2)/1.2, 2)</f>
        <v>10.06</v>
      </c>
      <c r="Y429" s="9">
        <f t="shared" si="25"/>
        <v>29998.86</v>
      </c>
      <c r="AD429" s="4" t="s">
        <v>1704</v>
      </c>
      <c r="AE429" s="4" t="s">
        <v>1705</v>
      </c>
      <c r="AF429" s="4" t="s">
        <v>739</v>
      </c>
    </row>
    <row r="430" spans="1:35" ht="18" x14ac:dyDescent="0.3">
      <c r="A430" s="10" t="s">
        <v>1706</v>
      </c>
      <c r="B430" s="10"/>
      <c r="C430" s="24" t="s">
        <v>789</v>
      </c>
      <c r="D430" s="12"/>
      <c r="E430" s="12"/>
      <c r="F430" s="18" t="s">
        <v>116</v>
      </c>
      <c r="G430" s="19">
        <v>0.3</v>
      </c>
      <c r="H430" s="19"/>
      <c r="I430" s="19">
        <v>198.833</v>
      </c>
      <c r="J430" s="21">
        <v>73.099999999999994</v>
      </c>
      <c r="M430" s="22">
        <f>ROUND(ROUND(J430, 2)*I430, 2)</f>
        <v>14534.69</v>
      </c>
      <c r="P430" s="21">
        <v>73.099999999999994</v>
      </c>
      <c r="S430" s="22">
        <f>ROUND(ROUND(P430, 2)*I430, 2)</f>
        <v>14534.69</v>
      </c>
      <c r="V430" s="9">
        <f>ROUND(ROUND(P430, 2)/1.2, 2)</f>
        <v>60.92</v>
      </c>
      <c r="Y430" s="9">
        <f t="shared" si="25"/>
        <v>12112.24</v>
      </c>
      <c r="AD430" s="4" t="s">
        <v>1707</v>
      </c>
      <c r="AE430" s="4" t="s">
        <v>1708</v>
      </c>
      <c r="AF430" s="4" t="s">
        <v>792</v>
      </c>
    </row>
    <row r="431" spans="1:35" ht="36" x14ac:dyDescent="0.3">
      <c r="A431" s="10" t="s">
        <v>1709</v>
      </c>
      <c r="B431" s="10"/>
      <c r="C431" s="24" t="s">
        <v>433</v>
      </c>
      <c r="D431" s="12"/>
      <c r="E431" s="12"/>
      <c r="F431" s="18" t="s">
        <v>70</v>
      </c>
      <c r="G431" s="19">
        <v>0.15</v>
      </c>
      <c r="H431" s="19"/>
      <c r="I431" s="19">
        <v>99.415999999999997</v>
      </c>
      <c r="J431" s="21">
        <v>88.8</v>
      </c>
      <c r="M431" s="22">
        <f>ROUND(ROUND(J431, 2)*I431, 2)</f>
        <v>8828.14</v>
      </c>
      <c r="P431" s="21">
        <v>88.8</v>
      </c>
      <c r="S431" s="22">
        <f>ROUND(ROUND(P431, 2)*I431, 2)</f>
        <v>8828.14</v>
      </c>
      <c r="V431" s="9">
        <f>ROUND(ROUND(P431, 2)/1.2, 2)</f>
        <v>74</v>
      </c>
      <c r="Y431" s="9">
        <f t="shared" si="25"/>
        <v>7356.78</v>
      </c>
      <c r="AD431" s="4" t="s">
        <v>1710</v>
      </c>
      <c r="AE431" s="4" t="s">
        <v>1711</v>
      </c>
      <c r="AF431" s="4" t="s">
        <v>436</v>
      </c>
    </row>
    <row r="432" spans="1:35" ht="54" x14ac:dyDescent="0.3">
      <c r="A432" s="10" t="s">
        <v>1712</v>
      </c>
      <c r="B432" s="10" t="s">
        <v>1661</v>
      </c>
      <c r="C432" s="11" t="s">
        <v>1662</v>
      </c>
      <c r="D432" s="12"/>
      <c r="E432" s="12" t="s">
        <v>1685</v>
      </c>
      <c r="F432" s="12" t="s">
        <v>64</v>
      </c>
      <c r="G432" s="13">
        <v>1</v>
      </c>
      <c r="H432" s="13"/>
      <c r="I432" s="13">
        <v>662.77499999999998</v>
      </c>
      <c r="J432" s="14">
        <f>IFERROR(ROUND(SUM(M433,M434)/I432, 2),0)</f>
        <v>67.63</v>
      </c>
      <c r="K432" s="15">
        <v>1001</v>
      </c>
      <c r="L432" s="14">
        <f>J432+ROUND(K432, 2)</f>
        <v>1068.6300000000001</v>
      </c>
      <c r="M432" s="14">
        <f>ROUND(J432*I432, 2)</f>
        <v>44823.47</v>
      </c>
      <c r="N432" s="14">
        <f>ROUND(I432*ROUND(K432, 2), 2)</f>
        <v>663437.78</v>
      </c>
      <c r="O432" s="14">
        <f>M432+N432</f>
        <v>708261.25</v>
      </c>
      <c r="P432" s="14">
        <f>IFERROR(ROUND(SUM(S433,S434)/I432, 2),0)</f>
        <v>67.63</v>
      </c>
      <c r="Q432" s="15">
        <v>1001</v>
      </c>
      <c r="R432" s="14">
        <f>P432+ROUND(Q432, 2)</f>
        <v>1068.6300000000001</v>
      </c>
      <c r="S432" s="14">
        <f>ROUND(P432*I432, 2)</f>
        <v>44823.47</v>
      </c>
      <c r="T432" s="14">
        <f>ROUND(I432*ROUND(Q432, 2), 2)</f>
        <v>663437.78</v>
      </c>
      <c r="U432" s="14">
        <f>S432+T432</f>
        <v>708261.25</v>
      </c>
      <c r="V432" s="9">
        <f>ROUND(P432 / 1.2, 2)</f>
        <v>56.36</v>
      </c>
      <c r="W432" s="9">
        <f>ROUND(Q432 / 1.2, 2)</f>
        <v>834.17</v>
      </c>
      <c r="X432" s="9">
        <f>ROUND(R432 / 1.2, 2)</f>
        <v>890.53</v>
      </c>
      <c r="Y432" s="9">
        <f t="shared" si="25"/>
        <v>37352.89</v>
      </c>
      <c r="Z432" s="9">
        <f>ROUND(T432 / 1.2, 2)</f>
        <v>552864.81999999995</v>
      </c>
      <c r="AA432" s="9">
        <f>Y432+Z432</f>
        <v>590217.71</v>
      </c>
      <c r="AD432" s="4">
        <v>298925437</v>
      </c>
      <c r="AE432" s="4">
        <v>19821009</v>
      </c>
      <c r="AG432" s="4" t="s">
        <v>1664</v>
      </c>
      <c r="AH432" s="4" t="s">
        <v>1665</v>
      </c>
      <c r="AI432" s="4" t="s">
        <v>67</v>
      </c>
    </row>
    <row r="433" spans="1:35" ht="36" x14ac:dyDescent="0.3">
      <c r="A433" s="10" t="s">
        <v>1713</v>
      </c>
      <c r="B433" s="10"/>
      <c r="C433" s="24" t="s">
        <v>433</v>
      </c>
      <c r="D433" s="12"/>
      <c r="E433" s="12"/>
      <c r="F433" s="18" t="s">
        <v>70</v>
      </c>
      <c r="G433" s="19">
        <v>0.15</v>
      </c>
      <c r="H433" s="19"/>
      <c r="I433" s="19">
        <v>99.415999999999997</v>
      </c>
      <c r="J433" s="21">
        <v>88.8</v>
      </c>
      <c r="M433" s="22">
        <f>ROUND(ROUND(J433, 2)*I433, 2)</f>
        <v>8828.14</v>
      </c>
      <c r="P433" s="21">
        <v>88.8</v>
      </c>
      <c r="S433" s="22">
        <f>ROUND(ROUND(P433, 2)*I433, 2)</f>
        <v>8828.14</v>
      </c>
      <c r="V433" s="9">
        <f>ROUND(ROUND(P433, 2)/1.2, 2)</f>
        <v>74</v>
      </c>
      <c r="Y433" s="9">
        <f t="shared" si="25"/>
        <v>7356.78</v>
      </c>
      <c r="AD433" s="4" t="s">
        <v>1714</v>
      </c>
      <c r="AE433" s="4" t="s">
        <v>1715</v>
      </c>
      <c r="AF433" s="4" t="s">
        <v>436</v>
      </c>
    </row>
    <row r="434" spans="1:35" ht="36" x14ac:dyDescent="0.3">
      <c r="A434" s="10" t="s">
        <v>1716</v>
      </c>
      <c r="B434" s="10"/>
      <c r="C434" s="17" t="s">
        <v>736</v>
      </c>
      <c r="D434" s="12"/>
      <c r="E434" s="12"/>
      <c r="F434" s="18" t="s">
        <v>70</v>
      </c>
      <c r="G434" s="19">
        <v>4.5</v>
      </c>
      <c r="H434" s="19"/>
      <c r="I434" s="19">
        <v>2982.4879999999998</v>
      </c>
      <c r="J434" s="21">
        <v>12.07</v>
      </c>
      <c r="M434" s="22">
        <f>ROUND(ROUND(J434, 2)*I434, 2)</f>
        <v>35998.629999999997</v>
      </c>
      <c r="P434" s="21">
        <v>12.07</v>
      </c>
      <c r="S434" s="22">
        <f>ROUND(ROUND(P434, 2)*I434, 2)</f>
        <v>35998.629999999997</v>
      </c>
      <c r="V434" s="9">
        <f>ROUND(ROUND(P434, 2)/1.2, 2)</f>
        <v>10.06</v>
      </c>
      <c r="Y434" s="9">
        <f t="shared" si="25"/>
        <v>29998.86</v>
      </c>
      <c r="AD434" s="4" t="s">
        <v>1717</v>
      </c>
      <c r="AE434" s="4" t="s">
        <v>1718</v>
      </c>
      <c r="AF434" s="4" t="s">
        <v>739</v>
      </c>
    </row>
    <row r="435" spans="1:35" ht="54" x14ac:dyDescent="0.3">
      <c r="A435" s="10" t="s">
        <v>1719</v>
      </c>
      <c r="B435" s="10" t="s">
        <v>1720</v>
      </c>
      <c r="C435" s="11" t="s">
        <v>1721</v>
      </c>
      <c r="D435" s="12"/>
      <c r="E435" s="12" t="s">
        <v>63</v>
      </c>
      <c r="F435" s="12" t="s">
        <v>64</v>
      </c>
      <c r="G435" s="13">
        <v>1</v>
      </c>
      <c r="H435" s="13"/>
      <c r="I435" s="13">
        <v>389.59500000000003</v>
      </c>
      <c r="J435" s="14">
        <f>IFERROR(ROUND(SUM(M436,M437)/I435, 2),0)</f>
        <v>290.52</v>
      </c>
      <c r="K435" s="15">
        <v>275</v>
      </c>
      <c r="L435" s="14">
        <f>J435+ROUND(K435, 2)</f>
        <v>565.52</v>
      </c>
      <c r="M435" s="14">
        <f>ROUND(J435*I435, 2)</f>
        <v>113185.14</v>
      </c>
      <c r="N435" s="14">
        <f>ROUND(I435*ROUND(K435, 2), 2)</f>
        <v>107138.63</v>
      </c>
      <c r="O435" s="14">
        <f>M435+N435</f>
        <v>220323.77000000002</v>
      </c>
      <c r="P435" s="14">
        <f>IFERROR(ROUND(SUM(S436,S437)/I435, 2),0)</f>
        <v>143.88</v>
      </c>
      <c r="Q435" s="15">
        <v>275</v>
      </c>
      <c r="R435" s="14">
        <f>P435+ROUND(Q435, 2)</f>
        <v>418.88</v>
      </c>
      <c r="S435" s="14">
        <f>ROUND(P435*I435, 2)</f>
        <v>56054.93</v>
      </c>
      <c r="T435" s="14">
        <f>ROUND(I435*ROUND(Q435, 2), 2)</f>
        <v>107138.63</v>
      </c>
      <c r="U435" s="14">
        <f>S435+T435</f>
        <v>163193.56</v>
      </c>
      <c r="V435" s="9">
        <f>ROUND(P435 / 1.2, 2)</f>
        <v>119.9</v>
      </c>
      <c r="W435" s="9">
        <f>ROUND(Q435 / 1.2, 2)</f>
        <v>229.17</v>
      </c>
      <c r="X435" s="9">
        <f>ROUND(R435 / 1.2, 2)</f>
        <v>349.07</v>
      </c>
      <c r="Y435" s="9">
        <f t="shared" si="25"/>
        <v>46712.44</v>
      </c>
      <c r="Z435" s="9">
        <f>ROUND(T435 / 1.2, 2)</f>
        <v>89282.19</v>
      </c>
      <c r="AA435" s="9">
        <f>Y435+Z435</f>
        <v>135994.63</v>
      </c>
      <c r="AD435" s="4">
        <v>298925328</v>
      </c>
      <c r="AE435" s="4">
        <v>16226151</v>
      </c>
      <c r="AG435" s="4" t="s">
        <v>1722</v>
      </c>
      <c r="AH435" s="4" t="s">
        <v>1723</v>
      </c>
      <c r="AI435" s="4" t="s">
        <v>67</v>
      </c>
    </row>
    <row r="436" spans="1:35" ht="18" x14ac:dyDescent="0.3">
      <c r="A436" s="10" t="s">
        <v>1725</v>
      </c>
      <c r="B436" s="10"/>
      <c r="C436" s="24" t="s">
        <v>1726</v>
      </c>
      <c r="D436" s="12"/>
      <c r="E436" s="12"/>
      <c r="F436" s="18" t="s">
        <v>70</v>
      </c>
      <c r="G436" s="19">
        <v>0.3</v>
      </c>
      <c r="H436" s="19"/>
      <c r="I436" s="19">
        <v>116.879</v>
      </c>
      <c r="J436" s="21">
        <v>938.78</v>
      </c>
      <c r="M436" s="22">
        <f>ROUND(ROUND(J436, 2)*I436, 2)</f>
        <v>109723.67</v>
      </c>
      <c r="P436" s="21">
        <v>450</v>
      </c>
      <c r="S436" s="22">
        <f>ROUND(ROUND(P436, 2)*I436, 2)</f>
        <v>52595.55</v>
      </c>
      <c r="V436" s="9">
        <f>ROUND(ROUND(P436, 2)/1.2, 2)</f>
        <v>375</v>
      </c>
      <c r="Y436" s="9">
        <f t="shared" si="25"/>
        <v>43829.63</v>
      </c>
      <c r="AD436" s="4" t="s">
        <v>1727</v>
      </c>
      <c r="AE436" s="4" t="s">
        <v>1728</v>
      </c>
      <c r="AF436" s="4" t="s">
        <v>1729</v>
      </c>
    </row>
    <row r="437" spans="1:35" ht="36" x14ac:dyDescent="0.3">
      <c r="A437" s="10" t="s">
        <v>1732</v>
      </c>
      <c r="B437" s="10"/>
      <c r="C437" s="24" t="s">
        <v>433</v>
      </c>
      <c r="D437" s="12"/>
      <c r="E437" s="12"/>
      <c r="F437" s="18" t="s">
        <v>70</v>
      </c>
      <c r="G437" s="19">
        <v>0.1</v>
      </c>
      <c r="H437" s="19"/>
      <c r="I437" s="19">
        <v>38.96</v>
      </c>
      <c r="J437" s="21">
        <v>88.8</v>
      </c>
      <c r="M437" s="22">
        <f>ROUND(ROUND(J437, 2)*I437, 2)</f>
        <v>3459.65</v>
      </c>
      <c r="P437" s="21">
        <v>88.8</v>
      </c>
      <c r="S437" s="22">
        <f>ROUND(ROUND(P437, 2)*I437, 2)</f>
        <v>3459.65</v>
      </c>
      <c r="V437" s="9">
        <f>ROUND(ROUND(P437, 2)/1.2, 2)</f>
        <v>74</v>
      </c>
      <c r="Y437" s="9">
        <f t="shared" si="25"/>
        <v>2883.04</v>
      </c>
      <c r="AD437" s="4" t="s">
        <v>1733</v>
      </c>
      <c r="AE437" s="4" t="s">
        <v>1734</v>
      </c>
      <c r="AF437" s="4" t="s">
        <v>436</v>
      </c>
    </row>
    <row r="438" spans="1:35" ht="54" x14ac:dyDescent="0.3">
      <c r="A438" s="10" t="s">
        <v>1737</v>
      </c>
      <c r="B438" s="10" t="s">
        <v>1720</v>
      </c>
      <c r="C438" s="11" t="s">
        <v>1721</v>
      </c>
      <c r="D438" s="12"/>
      <c r="E438" s="12" t="s">
        <v>81</v>
      </c>
      <c r="F438" s="12" t="s">
        <v>64</v>
      </c>
      <c r="G438" s="13">
        <v>1</v>
      </c>
      <c r="H438" s="13"/>
      <c r="I438" s="13">
        <v>273.18</v>
      </c>
      <c r="J438" s="14">
        <f>IFERROR(ROUND(SUM(M439,M440)/I438, 2),0)</f>
        <v>30.41</v>
      </c>
      <c r="K438" s="15">
        <v>303</v>
      </c>
      <c r="L438" s="14">
        <f>J438+ROUND(K438, 2)</f>
        <v>333.41</v>
      </c>
      <c r="M438" s="14">
        <f>ROUND(J438*I438, 2)</f>
        <v>8307.4</v>
      </c>
      <c r="N438" s="14">
        <f>ROUND(I438*ROUND(K438, 2), 2)</f>
        <v>82773.539999999994</v>
      </c>
      <c r="O438" s="14">
        <f>M438+N438</f>
        <v>91080.939999999988</v>
      </c>
      <c r="P438" s="14">
        <f>IFERROR(ROUND(SUM(S439,S440)/I438, 2),0)</f>
        <v>30.41</v>
      </c>
      <c r="Q438" s="15">
        <v>303</v>
      </c>
      <c r="R438" s="14">
        <f>P438+ROUND(Q438, 2)</f>
        <v>333.41</v>
      </c>
      <c r="S438" s="14">
        <f>ROUND(P438*I438, 2)</f>
        <v>8307.4</v>
      </c>
      <c r="T438" s="14">
        <f>ROUND(I438*ROUND(Q438, 2), 2)</f>
        <v>82773.539999999994</v>
      </c>
      <c r="U438" s="14">
        <f>S438+T438</f>
        <v>91080.939999999988</v>
      </c>
      <c r="V438" s="9">
        <f>ROUND(P438 / 1.2, 2)</f>
        <v>25.34</v>
      </c>
      <c r="W438" s="9">
        <f>ROUND(Q438 / 1.2, 2)</f>
        <v>252.5</v>
      </c>
      <c r="X438" s="9">
        <f>ROUND(R438 / 1.2, 2)</f>
        <v>277.83999999999997</v>
      </c>
      <c r="Y438" s="9">
        <f t="shared" si="25"/>
        <v>6922.83</v>
      </c>
      <c r="Z438" s="9">
        <f>ROUND(T438 / 1.2, 2)</f>
        <v>68977.95</v>
      </c>
      <c r="AA438" s="9">
        <f>Y438+Z438</f>
        <v>75900.78</v>
      </c>
      <c r="AD438" s="4">
        <v>298925438</v>
      </c>
      <c r="AE438" s="4">
        <v>19821007</v>
      </c>
      <c r="AG438" s="4" t="s">
        <v>1722</v>
      </c>
      <c r="AH438" s="4" t="s">
        <v>1723</v>
      </c>
      <c r="AI438" s="4" t="s">
        <v>67</v>
      </c>
    </row>
    <row r="439" spans="1:35" ht="36" x14ac:dyDescent="0.3">
      <c r="A439" s="10" t="s">
        <v>1738</v>
      </c>
      <c r="B439" s="10"/>
      <c r="C439" s="24" t="s">
        <v>433</v>
      </c>
      <c r="D439" s="12"/>
      <c r="E439" s="12"/>
      <c r="F439" s="18" t="s">
        <v>70</v>
      </c>
      <c r="G439" s="19">
        <v>0.1</v>
      </c>
      <c r="H439" s="19"/>
      <c r="I439" s="19">
        <v>27.318000000000001</v>
      </c>
      <c r="J439" s="21">
        <v>88.8</v>
      </c>
      <c r="M439" s="22">
        <f>ROUND(ROUND(J439, 2)*I439, 2)</f>
        <v>2425.84</v>
      </c>
      <c r="P439" s="21">
        <v>88.8</v>
      </c>
      <c r="S439" s="22">
        <f>ROUND(ROUND(P439, 2)*I439, 2)</f>
        <v>2425.84</v>
      </c>
      <c r="V439" s="9">
        <f>ROUND(ROUND(P439, 2)/1.2, 2)</f>
        <v>74</v>
      </c>
      <c r="Y439" s="9">
        <f t="shared" si="25"/>
        <v>2021.53</v>
      </c>
      <c r="AD439" s="4" t="s">
        <v>1739</v>
      </c>
      <c r="AE439" s="4" t="s">
        <v>1740</v>
      </c>
      <c r="AF439" s="4" t="s">
        <v>436</v>
      </c>
    </row>
    <row r="440" spans="1:35" ht="36" x14ac:dyDescent="0.3">
      <c r="A440" s="10" t="s">
        <v>1741</v>
      </c>
      <c r="B440" s="10"/>
      <c r="C440" s="24" t="s">
        <v>1742</v>
      </c>
      <c r="D440" s="12"/>
      <c r="E440" s="12"/>
      <c r="F440" s="18" t="s">
        <v>70</v>
      </c>
      <c r="G440" s="19">
        <v>0.3</v>
      </c>
      <c r="H440" s="19"/>
      <c r="I440" s="19">
        <v>81.953999999999994</v>
      </c>
      <c r="J440" s="21">
        <v>71.75</v>
      </c>
      <c r="M440" s="22">
        <f>ROUND(ROUND(J440, 2)*I440, 2)</f>
        <v>5880.2</v>
      </c>
      <c r="P440" s="21">
        <v>71.75</v>
      </c>
      <c r="S440" s="22">
        <f>ROUND(ROUND(P440, 2)*I440, 2)</f>
        <v>5880.2</v>
      </c>
      <c r="V440" s="9">
        <f>ROUND(ROUND(P440, 2)/1.2, 2)</f>
        <v>59.79</v>
      </c>
      <c r="Y440" s="9">
        <f t="shared" si="25"/>
        <v>4900.17</v>
      </c>
      <c r="AD440" s="4" t="s">
        <v>1743</v>
      </c>
      <c r="AE440" s="4" t="s">
        <v>1744</v>
      </c>
      <c r="AF440" s="4" t="s">
        <v>1745</v>
      </c>
    </row>
    <row r="441" spans="1:35" ht="36" x14ac:dyDescent="0.3">
      <c r="A441" s="10" t="s">
        <v>1746</v>
      </c>
      <c r="B441" s="10" t="s">
        <v>1747</v>
      </c>
      <c r="C441" s="11" t="s">
        <v>1748</v>
      </c>
      <c r="D441" s="12"/>
      <c r="E441" s="12" t="s">
        <v>63</v>
      </c>
      <c r="F441" s="12" t="s">
        <v>64</v>
      </c>
      <c r="G441" s="13">
        <v>1</v>
      </c>
      <c r="H441" s="13"/>
      <c r="I441" s="13">
        <v>0</v>
      </c>
      <c r="J441" s="14">
        <f>IFERROR(ROUND(SUM(M442,M443,M444,M445)/I441, 2),0)</f>
        <v>0</v>
      </c>
      <c r="K441" s="15">
        <v>2541</v>
      </c>
      <c r="L441" s="14">
        <f>J441+ROUND(K441, 2)</f>
        <v>2541</v>
      </c>
      <c r="M441" s="14">
        <f>ROUND(J441*I441, 2)</f>
        <v>0</v>
      </c>
      <c r="N441" s="14">
        <f>ROUND(I441*ROUND(K441, 2), 2)</f>
        <v>0</v>
      </c>
      <c r="O441" s="14">
        <f>M441+N441</f>
        <v>0</v>
      </c>
      <c r="P441" s="14">
        <f>IFERROR(ROUND(SUM(S442,S443,S444,S445)/I441, 2),0)</f>
        <v>0</v>
      </c>
      <c r="Q441" s="15">
        <v>2541</v>
      </c>
      <c r="R441" s="14">
        <f>P441+ROUND(Q441, 2)</f>
        <v>2541</v>
      </c>
      <c r="S441" s="14">
        <f>ROUND(P441*I441, 2)</f>
        <v>0</v>
      </c>
      <c r="T441" s="14">
        <f>ROUND(I441*ROUND(Q441, 2), 2)</f>
        <v>0</v>
      </c>
      <c r="U441" s="14">
        <f>S441+T441</f>
        <v>0</v>
      </c>
      <c r="V441" s="9">
        <f>ROUND(P441 / 1.2, 2)</f>
        <v>0</v>
      </c>
      <c r="W441" s="9">
        <f>ROUND(Q441 / 1.2, 2)</f>
        <v>2117.5</v>
      </c>
      <c r="X441" s="9">
        <f>ROUND(R441 / 1.2, 2)</f>
        <v>2117.5</v>
      </c>
      <c r="Y441" s="9">
        <f t="shared" si="25"/>
        <v>0</v>
      </c>
      <c r="Z441" s="9">
        <f>ROUND(T441 / 1.2, 2)</f>
        <v>0</v>
      </c>
      <c r="AA441" s="9">
        <f>Y441+Z441</f>
        <v>0</v>
      </c>
      <c r="AD441" s="4">
        <v>298925330</v>
      </c>
      <c r="AE441" s="4">
        <v>16226149</v>
      </c>
      <c r="AG441" s="4" t="s">
        <v>1749</v>
      </c>
      <c r="AH441" s="4" t="s">
        <v>1750</v>
      </c>
      <c r="AI441" s="4" t="s">
        <v>67</v>
      </c>
    </row>
    <row r="442" spans="1:35" ht="18" x14ac:dyDescent="0.3">
      <c r="A442" s="10" t="s">
        <v>1752</v>
      </c>
      <c r="B442" s="10"/>
      <c r="C442" s="24" t="s">
        <v>1753</v>
      </c>
      <c r="D442" s="12"/>
      <c r="E442" s="12"/>
      <c r="F442" s="18" t="s">
        <v>70</v>
      </c>
      <c r="G442" s="19">
        <v>0.35</v>
      </c>
      <c r="H442" s="19"/>
      <c r="I442" s="19">
        <v>0</v>
      </c>
      <c r="J442" s="21">
        <v>55</v>
      </c>
      <c r="M442" s="22">
        <f>ROUND(ROUND(J442, 2)*I442, 2)</f>
        <v>0</v>
      </c>
      <c r="P442" s="21">
        <v>55</v>
      </c>
      <c r="S442" s="22">
        <f>ROUND(ROUND(P442, 2)*I442, 2)</f>
        <v>0</v>
      </c>
      <c r="V442" s="9">
        <f>ROUND(ROUND(P442, 2)/1.2, 2)</f>
        <v>45.83</v>
      </c>
      <c r="Y442" s="9">
        <f t="shared" si="25"/>
        <v>0</v>
      </c>
      <c r="AD442" s="4" t="s">
        <v>1754</v>
      </c>
      <c r="AE442" s="4" t="s">
        <v>1755</v>
      </c>
      <c r="AF442" s="4" t="s">
        <v>1756</v>
      </c>
    </row>
    <row r="443" spans="1:35" ht="18" x14ac:dyDescent="0.3">
      <c r="A443" s="10" t="s">
        <v>1759</v>
      </c>
      <c r="B443" s="10"/>
      <c r="C443" s="24" t="s">
        <v>1760</v>
      </c>
      <c r="D443" s="12"/>
      <c r="E443" s="12"/>
      <c r="F443" s="18" t="s">
        <v>116</v>
      </c>
      <c r="G443" s="19">
        <v>20</v>
      </c>
      <c r="H443" s="19"/>
      <c r="I443" s="19">
        <v>0</v>
      </c>
      <c r="J443" s="21">
        <v>1.5</v>
      </c>
      <c r="M443" s="22">
        <f>ROUND(ROUND(J443, 2)*I443, 2)</f>
        <v>0</v>
      </c>
      <c r="P443" s="21">
        <v>1.5</v>
      </c>
      <c r="S443" s="22">
        <f>ROUND(ROUND(P443, 2)*I443, 2)</f>
        <v>0</v>
      </c>
      <c r="V443" s="9">
        <f>ROUND(ROUND(P443, 2)/1.2, 2)</f>
        <v>1.25</v>
      </c>
      <c r="Y443" s="9">
        <f t="shared" si="25"/>
        <v>0</v>
      </c>
      <c r="AD443" s="4" t="s">
        <v>1761</v>
      </c>
      <c r="AE443" s="4" t="s">
        <v>1762</v>
      </c>
      <c r="AF443" s="4" t="s">
        <v>1763</v>
      </c>
    </row>
    <row r="444" spans="1:35" ht="36" x14ac:dyDescent="0.3">
      <c r="A444" s="10" t="s">
        <v>1766</v>
      </c>
      <c r="B444" s="10"/>
      <c r="C444" s="24" t="s">
        <v>1767</v>
      </c>
      <c r="D444" s="12"/>
      <c r="E444" s="12"/>
      <c r="F444" s="18" t="s">
        <v>64</v>
      </c>
      <c r="G444" s="19">
        <v>1.05</v>
      </c>
      <c r="H444" s="19"/>
      <c r="I444" s="19">
        <v>0</v>
      </c>
      <c r="J444" s="21">
        <v>135.53</v>
      </c>
      <c r="M444" s="22">
        <f>ROUND(ROUND(J444, 2)*I444, 2)</f>
        <v>0</v>
      </c>
      <c r="P444" s="21">
        <v>135.53</v>
      </c>
      <c r="S444" s="22">
        <f>ROUND(ROUND(P444, 2)*I444, 2)</f>
        <v>0</v>
      </c>
      <c r="V444" s="9">
        <f>ROUND(ROUND(P444, 2)/1.2, 2)</f>
        <v>112.94</v>
      </c>
      <c r="Y444" s="9">
        <f t="shared" si="25"/>
        <v>0</v>
      </c>
      <c r="AD444" s="4" t="s">
        <v>1768</v>
      </c>
      <c r="AE444" s="4" t="s">
        <v>1769</v>
      </c>
      <c r="AF444" s="4" t="s">
        <v>1770</v>
      </c>
    </row>
    <row r="445" spans="1:35" ht="18" x14ac:dyDescent="0.3">
      <c r="A445" s="10" t="s">
        <v>1773</v>
      </c>
      <c r="B445" s="10"/>
      <c r="C445" s="24" t="s">
        <v>1774</v>
      </c>
      <c r="D445" s="12"/>
      <c r="E445" s="12"/>
      <c r="F445" s="18" t="s">
        <v>116</v>
      </c>
      <c r="G445" s="19">
        <v>0.6</v>
      </c>
      <c r="H445" s="19"/>
      <c r="I445" s="19">
        <v>0</v>
      </c>
      <c r="J445" s="21">
        <v>119.25</v>
      </c>
      <c r="M445" s="22">
        <f>ROUND(ROUND(J445, 2)*I445, 2)</f>
        <v>0</v>
      </c>
      <c r="P445" s="21">
        <v>119.25</v>
      </c>
      <c r="S445" s="22">
        <f>ROUND(ROUND(P445, 2)*I445, 2)</f>
        <v>0</v>
      </c>
      <c r="V445" s="9">
        <f>ROUND(ROUND(P445, 2)/1.2, 2)</f>
        <v>99.38</v>
      </c>
      <c r="Y445" s="9">
        <f t="shared" si="25"/>
        <v>0</v>
      </c>
      <c r="AD445" s="4" t="s">
        <v>1775</v>
      </c>
      <c r="AE445" s="4" t="s">
        <v>1776</v>
      </c>
      <c r="AF445" s="4" t="s">
        <v>1777</v>
      </c>
    </row>
    <row r="446" spans="1:35" ht="36" x14ac:dyDescent="0.3">
      <c r="A446" s="10" t="s">
        <v>1780</v>
      </c>
      <c r="B446" s="10" t="s">
        <v>1781</v>
      </c>
      <c r="C446" s="11" t="s">
        <v>1782</v>
      </c>
      <c r="D446" s="12"/>
      <c r="E446" s="12" t="s">
        <v>1783</v>
      </c>
      <c r="F446" s="12" t="s">
        <v>64</v>
      </c>
      <c r="G446" s="13">
        <v>1</v>
      </c>
      <c r="H446" s="13"/>
      <c r="I446" s="13">
        <v>71.94</v>
      </c>
      <c r="J446" s="14">
        <f>IFERROR(ROUND(SUM(M447,M448,M449)/I446, 2),0)</f>
        <v>369.74</v>
      </c>
      <c r="K446" s="15">
        <v>1291</v>
      </c>
      <c r="L446" s="14">
        <f>J446+ROUND(K446, 2)</f>
        <v>1660.74</v>
      </c>
      <c r="M446" s="14">
        <f>ROUND(J446*I446, 2)</f>
        <v>26599.1</v>
      </c>
      <c r="N446" s="14">
        <f>ROUND(I446*ROUND(K446, 2), 2)</f>
        <v>92874.54</v>
      </c>
      <c r="O446" s="14">
        <f>M446+N446</f>
        <v>119473.63999999998</v>
      </c>
      <c r="P446" s="14">
        <f>IFERROR(ROUND(SUM(S447,S448,S449)/I446, 2),0)</f>
        <v>2042.1</v>
      </c>
      <c r="Q446" s="15">
        <v>1291</v>
      </c>
      <c r="R446" s="14">
        <f>P446+ROUND(Q446, 2)</f>
        <v>3333.1</v>
      </c>
      <c r="S446" s="14">
        <f>ROUND(P446*I446, 2)</f>
        <v>146908.67000000001</v>
      </c>
      <c r="T446" s="14">
        <f>ROUND(I446*ROUND(Q446, 2), 2)</f>
        <v>92874.54</v>
      </c>
      <c r="U446" s="14">
        <f>S446+T446</f>
        <v>239783.21000000002</v>
      </c>
      <c r="V446" s="9">
        <f>ROUND(P446 / 1.2, 2)</f>
        <v>1701.75</v>
      </c>
      <c r="W446" s="9">
        <f>ROUND(Q446 / 1.2, 2)</f>
        <v>1075.83</v>
      </c>
      <c r="X446" s="9">
        <f>ROUND(R446 / 1.2, 2)</f>
        <v>2777.58</v>
      </c>
      <c r="Y446" s="9">
        <f t="shared" si="25"/>
        <v>122423.89</v>
      </c>
      <c r="Z446" s="9">
        <f>ROUND(T446 / 1.2, 2)</f>
        <v>77395.45</v>
      </c>
      <c r="AA446" s="9">
        <f>Y446+Z446</f>
        <v>199819.34</v>
      </c>
      <c r="AD446" s="4">
        <v>298925332</v>
      </c>
      <c r="AE446" s="4">
        <v>20181624</v>
      </c>
      <c r="AG446" s="4" t="s">
        <v>1784</v>
      </c>
      <c r="AH446" s="4" t="s">
        <v>1785</v>
      </c>
      <c r="AI446" s="4" t="s">
        <v>67</v>
      </c>
    </row>
    <row r="447" spans="1:35" ht="18" x14ac:dyDescent="0.3">
      <c r="A447" s="10" t="s">
        <v>1786</v>
      </c>
      <c r="B447" s="10"/>
      <c r="C447" s="24" t="s">
        <v>1787</v>
      </c>
      <c r="D447" s="12"/>
      <c r="E447" s="12"/>
      <c r="F447" s="18" t="s">
        <v>87</v>
      </c>
      <c r="G447" s="19">
        <v>1</v>
      </c>
      <c r="H447" s="20"/>
      <c r="I447" s="20">
        <v>516.29999999999995</v>
      </c>
      <c r="J447" s="21">
        <v>44.71</v>
      </c>
      <c r="M447" s="22">
        <f>ROUND(ROUND(J447, 2)*I447, 2)</f>
        <v>23083.77</v>
      </c>
      <c r="P447" s="21">
        <v>44.71</v>
      </c>
      <c r="S447" s="22">
        <f>ROUND(ROUND(P447, 2)*I447, 2)</f>
        <v>23083.77</v>
      </c>
      <c r="V447" s="9">
        <f>ROUND(ROUND(P447, 2)/1.2, 2)</f>
        <v>37.26</v>
      </c>
      <c r="Y447" s="9">
        <f t="shared" si="25"/>
        <v>19236.48</v>
      </c>
      <c r="AD447" s="4" t="s">
        <v>1788</v>
      </c>
      <c r="AE447" s="4" t="s">
        <v>1789</v>
      </c>
      <c r="AF447" s="4" t="s">
        <v>1790</v>
      </c>
    </row>
    <row r="448" spans="1:35" ht="18" x14ac:dyDescent="0.3">
      <c r="A448" s="10" t="s">
        <v>1791</v>
      </c>
      <c r="B448" s="10"/>
      <c r="C448" s="24" t="s">
        <v>1792</v>
      </c>
      <c r="D448" s="12"/>
      <c r="E448" s="12"/>
      <c r="F448" s="18" t="s">
        <v>87</v>
      </c>
      <c r="G448" s="19">
        <v>1</v>
      </c>
      <c r="H448" s="20"/>
      <c r="I448" s="20">
        <v>98.3</v>
      </c>
      <c r="J448" s="21">
        <v>35.76</v>
      </c>
      <c r="M448" s="22">
        <f>ROUND(ROUND(J448, 2)*I448, 2)</f>
        <v>3515.21</v>
      </c>
      <c r="P448" s="21">
        <v>35.76</v>
      </c>
      <c r="S448" s="22">
        <f>ROUND(ROUND(P448, 2)*I448, 2)</f>
        <v>3515.21</v>
      </c>
      <c r="V448" s="9">
        <f>ROUND(ROUND(P448, 2)/1.2, 2)</f>
        <v>29.8</v>
      </c>
      <c r="Y448" s="9">
        <f t="shared" si="25"/>
        <v>2929.34</v>
      </c>
      <c r="AD448" s="4" t="s">
        <v>1793</v>
      </c>
      <c r="AE448" s="4" t="s">
        <v>1794</v>
      </c>
      <c r="AF448" s="4" t="s">
        <v>1795</v>
      </c>
    </row>
    <row r="449" spans="1:35" ht="18" x14ac:dyDescent="0.3">
      <c r="A449" s="10" t="s">
        <v>1796</v>
      </c>
      <c r="B449" s="10"/>
      <c r="C449" s="24" t="s">
        <v>1797</v>
      </c>
      <c r="D449" s="12"/>
      <c r="E449" s="12"/>
      <c r="F449" s="18" t="s">
        <v>64</v>
      </c>
      <c r="G449" s="19">
        <v>1.1000000000000001</v>
      </c>
      <c r="H449" s="19"/>
      <c r="I449" s="19">
        <v>79.134</v>
      </c>
      <c r="J449" s="21">
        <v>0</v>
      </c>
      <c r="M449" s="22">
        <f>ROUND(ROUND(J449, 2)*I449, 2)</f>
        <v>0</v>
      </c>
      <c r="P449" s="21">
        <v>1520.33</v>
      </c>
      <c r="S449" s="22">
        <f>ROUND(ROUND(P449, 2)*I449, 2)</f>
        <v>120309.79</v>
      </c>
      <c r="V449" s="9">
        <f>ROUND(ROUND(P449, 2)/1.2, 2)</f>
        <v>1266.94</v>
      </c>
      <c r="Y449" s="9">
        <f t="shared" ref="Y449:Y480" si="26">ROUND(S449 / 1.2, 2)</f>
        <v>100258.16</v>
      </c>
      <c r="AD449" s="4" t="s">
        <v>1798</v>
      </c>
      <c r="AE449" s="4" t="s">
        <v>1799</v>
      </c>
      <c r="AF449" s="4" t="s">
        <v>1800</v>
      </c>
    </row>
    <row r="450" spans="1:35" ht="36" x14ac:dyDescent="0.3">
      <c r="A450" s="10" t="s">
        <v>1801</v>
      </c>
      <c r="B450" s="10" t="s">
        <v>1781</v>
      </c>
      <c r="C450" s="11" t="s">
        <v>1782</v>
      </c>
      <c r="D450" s="12"/>
      <c r="E450" s="12" t="s">
        <v>1802</v>
      </c>
      <c r="F450" s="12" t="s">
        <v>64</v>
      </c>
      <c r="G450" s="13">
        <v>1</v>
      </c>
      <c r="H450" s="13"/>
      <c r="I450" s="13">
        <v>73.87</v>
      </c>
      <c r="J450" s="14">
        <f>IFERROR(ROUND(SUM(M451,M452,M453)/I450, 2),0)</f>
        <v>223.45</v>
      </c>
      <c r="K450" s="15">
        <v>1291</v>
      </c>
      <c r="L450" s="14">
        <f>J450+ROUND(K450, 2)</f>
        <v>1514.45</v>
      </c>
      <c r="M450" s="14">
        <f>ROUND(J450*I450, 2)</f>
        <v>16506.25</v>
      </c>
      <c r="N450" s="14">
        <f>ROUND(I450*ROUND(K450, 2), 2)</f>
        <v>95366.17</v>
      </c>
      <c r="O450" s="14">
        <f>M450+N450</f>
        <v>111872.42</v>
      </c>
      <c r="P450" s="14">
        <f>IFERROR(ROUND(SUM(S451,S452,S453)/I450, 2),0)</f>
        <v>1895.81</v>
      </c>
      <c r="Q450" s="15">
        <v>1291</v>
      </c>
      <c r="R450" s="14">
        <f>P450+ROUND(Q450, 2)</f>
        <v>3186.81</v>
      </c>
      <c r="S450" s="14">
        <f>ROUND(P450*I450, 2)</f>
        <v>140043.48000000001</v>
      </c>
      <c r="T450" s="14">
        <f>ROUND(I450*ROUND(Q450, 2), 2)</f>
        <v>95366.17</v>
      </c>
      <c r="U450" s="14">
        <f>S450+T450</f>
        <v>235409.65000000002</v>
      </c>
      <c r="V450" s="9">
        <f>ROUND(P450 / 1.2, 2)</f>
        <v>1579.84</v>
      </c>
      <c r="W450" s="9">
        <f>ROUND(Q450 / 1.2, 2)</f>
        <v>1075.83</v>
      </c>
      <c r="X450" s="9">
        <f>ROUND(R450 / 1.2, 2)</f>
        <v>2655.68</v>
      </c>
      <c r="Y450" s="9">
        <f t="shared" si="26"/>
        <v>116702.9</v>
      </c>
      <c r="Z450" s="9">
        <f>ROUND(T450 / 1.2, 2)</f>
        <v>79471.81</v>
      </c>
      <c r="AA450" s="9">
        <f>Y450+Z450</f>
        <v>196174.71</v>
      </c>
      <c r="AD450" s="4">
        <v>298925439</v>
      </c>
      <c r="AE450" s="4">
        <v>20181618</v>
      </c>
      <c r="AG450" s="4" t="s">
        <v>1784</v>
      </c>
      <c r="AH450" s="4" t="s">
        <v>1785</v>
      </c>
      <c r="AI450" s="4" t="s">
        <v>67</v>
      </c>
    </row>
    <row r="451" spans="1:35" ht="18" x14ac:dyDescent="0.3">
      <c r="A451" s="10" t="s">
        <v>1803</v>
      </c>
      <c r="B451" s="10"/>
      <c r="C451" s="24" t="s">
        <v>1797</v>
      </c>
      <c r="D451" s="12"/>
      <c r="E451" s="12"/>
      <c r="F451" s="18" t="s">
        <v>64</v>
      </c>
      <c r="G451" s="19">
        <v>1.1000000000000001</v>
      </c>
      <c r="H451" s="19"/>
      <c r="I451" s="19">
        <v>81.257000000000005</v>
      </c>
      <c r="J451" s="21">
        <v>0</v>
      </c>
      <c r="M451" s="22">
        <f>ROUND(ROUND(J451, 2)*I451, 2)</f>
        <v>0</v>
      </c>
      <c r="P451" s="21">
        <v>1520.33</v>
      </c>
      <c r="S451" s="22">
        <f>ROUND(ROUND(P451, 2)*I451, 2)</f>
        <v>123537.45</v>
      </c>
      <c r="V451" s="9">
        <f>ROUND(ROUND(P451, 2)/1.2, 2)</f>
        <v>1266.94</v>
      </c>
      <c r="Y451" s="9">
        <f t="shared" si="26"/>
        <v>102947.88</v>
      </c>
      <c r="AD451" s="4" t="s">
        <v>1804</v>
      </c>
      <c r="AE451" s="4" t="s">
        <v>1805</v>
      </c>
      <c r="AF451" s="4" t="s">
        <v>1800</v>
      </c>
    </row>
    <row r="452" spans="1:35" ht="18" x14ac:dyDescent="0.3">
      <c r="A452" s="10" t="s">
        <v>1806</v>
      </c>
      <c r="B452" s="10"/>
      <c r="C452" s="24" t="s">
        <v>1787</v>
      </c>
      <c r="D452" s="12"/>
      <c r="E452" s="12"/>
      <c r="F452" s="18" t="s">
        <v>87</v>
      </c>
      <c r="G452" s="19">
        <v>1</v>
      </c>
      <c r="H452" s="20"/>
      <c r="I452" s="20">
        <v>264.8</v>
      </c>
      <c r="J452" s="21">
        <v>44.71</v>
      </c>
      <c r="M452" s="22">
        <f>ROUND(ROUND(J452, 2)*I452, 2)</f>
        <v>11839.21</v>
      </c>
      <c r="P452" s="21">
        <v>44.71</v>
      </c>
      <c r="S452" s="22">
        <f>ROUND(ROUND(P452, 2)*I452, 2)</f>
        <v>11839.21</v>
      </c>
      <c r="V452" s="9">
        <f>ROUND(ROUND(P452, 2)/1.2, 2)</f>
        <v>37.26</v>
      </c>
      <c r="Y452" s="9">
        <f t="shared" si="26"/>
        <v>9866.01</v>
      </c>
      <c r="AD452" s="4" t="s">
        <v>1807</v>
      </c>
      <c r="AE452" s="4" t="s">
        <v>1808</v>
      </c>
      <c r="AF452" s="4" t="s">
        <v>1790</v>
      </c>
    </row>
    <row r="453" spans="1:35" ht="18" x14ac:dyDescent="0.3">
      <c r="A453" s="10" t="s">
        <v>1809</v>
      </c>
      <c r="B453" s="10"/>
      <c r="C453" s="24" t="s">
        <v>1792</v>
      </c>
      <c r="D453" s="12"/>
      <c r="E453" s="12"/>
      <c r="F453" s="18" t="s">
        <v>87</v>
      </c>
      <c r="G453" s="19">
        <v>1</v>
      </c>
      <c r="H453" s="20"/>
      <c r="I453" s="20">
        <v>130.5</v>
      </c>
      <c r="J453" s="21">
        <v>35.76</v>
      </c>
      <c r="M453" s="22">
        <f>ROUND(ROUND(J453, 2)*I453, 2)</f>
        <v>4666.68</v>
      </c>
      <c r="P453" s="21">
        <v>35.76</v>
      </c>
      <c r="S453" s="22">
        <f>ROUND(ROUND(P453, 2)*I453, 2)</f>
        <v>4666.68</v>
      </c>
      <c r="V453" s="9">
        <f>ROUND(ROUND(P453, 2)/1.2, 2)</f>
        <v>29.8</v>
      </c>
      <c r="Y453" s="9">
        <f t="shared" si="26"/>
        <v>3888.9</v>
      </c>
      <c r="AD453" s="4" t="s">
        <v>1810</v>
      </c>
      <c r="AE453" s="4" t="s">
        <v>1811</v>
      </c>
      <c r="AF453" s="4" t="s">
        <v>1795</v>
      </c>
    </row>
    <row r="454" spans="1:35" ht="36" x14ac:dyDescent="0.3">
      <c r="A454" s="10" t="s">
        <v>1812</v>
      </c>
      <c r="B454" s="10" t="s">
        <v>1813</v>
      </c>
      <c r="C454" s="11" t="s">
        <v>1814</v>
      </c>
      <c r="D454" s="12"/>
      <c r="E454" s="12" t="s">
        <v>63</v>
      </c>
      <c r="F454" s="12" t="s">
        <v>64</v>
      </c>
      <c r="G454" s="13">
        <v>1</v>
      </c>
      <c r="H454" s="13"/>
      <c r="I454" s="13">
        <v>0</v>
      </c>
      <c r="J454" s="14">
        <f>IFERROR(ROUND(SUM(M455,M456,M457)/I454, 2),0)</f>
        <v>0</v>
      </c>
      <c r="K454" s="15">
        <v>1477</v>
      </c>
      <c r="L454" s="14">
        <f>J454+ROUND(K454, 2)</f>
        <v>1477</v>
      </c>
      <c r="M454" s="14">
        <f>ROUND(J454*I454, 2)</f>
        <v>0</v>
      </c>
      <c r="N454" s="14">
        <f>ROUND(I454*ROUND(K454, 2), 2)</f>
        <v>0</v>
      </c>
      <c r="O454" s="14">
        <f>M454+N454</f>
        <v>0</v>
      </c>
      <c r="P454" s="14">
        <f>IFERROR(ROUND(SUM(S455,S456,S457)/I454, 2),0)</f>
        <v>0</v>
      </c>
      <c r="Q454" s="15">
        <v>1477</v>
      </c>
      <c r="R454" s="14">
        <f>P454+ROUND(Q454, 2)</f>
        <v>1477</v>
      </c>
      <c r="S454" s="14">
        <f>ROUND(P454*I454, 2)</f>
        <v>0</v>
      </c>
      <c r="T454" s="14">
        <f>ROUND(I454*ROUND(Q454, 2), 2)</f>
        <v>0</v>
      </c>
      <c r="U454" s="14">
        <f>S454+T454</f>
        <v>0</v>
      </c>
      <c r="V454" s="9">
        <f>ROUND(P454 / 1.2, 2)</f>
        <v>0</v>
      </c>
      <c r="W454" s="9">
        <f>ROUND(Q454 / 1.2, 2)</f>
        <v>1230.83</v>
      </c>
      <c r="X454" s="9">
        <f>ROUND(R454 / 1.2, 2)</f>
        <v>1230.83</v>
      </c>
      <c r="Y454" s="9">
        <f t="shared" si="26"/>
        <v>0</v>
      </c>
      <c r="Z454" s="9">
        <f>ROUND(T454 / 1.2, 2)</f>
        <v>0</v>
      </c>
      <c r="AA454" s="9">
        <f>Y454+Z454</f>
        <v>0</v>
      </c>
      <c r="AD454" s="4">
        <v>298925333</v>
      </c>
      <c r="AE454" s="4">
        <v>16230161</v>
      </c>
      <c r="AG454" s="4" t="s">
        <v>1815</v>
      </c>
      <c r="AH454" s="4" t="s">
        <v>1816</v>
      </c>
      <c r="AI454" s="4" t="s">
        <v>67</v>
      </c>
    </row>
    <row r="455" spans="1:35" ht="18" x14ac:dyDescent="0.3">
      <c r="A455" s="10" t="s">
        <v>1818</v>
      </c>
      <c r="B455" s="10"/>
      <c r="C455" s="24" t="s">
        <v>1787</v>
      </c>
      <c r="D455" s="12"/>
      <c r="E455" s="12"/>
      <c r="F455" s="18" t="s">
        <v>87</v>
      </c>
      <c r="G455" s="19">
        <v>1</v>
      </c>
      <c r="H455" s="20"/>
      <c r="I455" s="20">
        <v>0</v>
      </c>
      <c r="J455" s="21">
        <v>54.18</v>
      </c>
      <c r="M455" s="22">
        <f>ROUND(ROUND(J455, 2)*I455, 2)</f>
        <v>0</v>
      </c>
      <c r="P455" s="21">
        <v>54.18</v>
      </c>
      <c r="S455" s="22">
        <f>ROUND(ROUND(P455, 2)*I455, 2)</f>
        <v>0</v>
      </c>
      <c r="V455" s="9">
        <f>ROUND(ROUND(P455, 2)/1.2, 2)</f>
        <v>45.15</v>
      </c>
      <c r="Y455" s="9">
        <f t="shared" si="26"/>
        <v>0</v>
      </c>
      <c r="AD455" s="4" t="s">
        <v>1819</v>
      </c>
      <c r="AE455" s="4" t="s">
        <v>1820</v>
      </c>
      <c r="AF455" s="4" t="s">
        <v>1790</v>
      </c>
    </row>
    <row r="456" spans="1:35" ht="18" x14ac:dyDescent="0.3">
      <c r="A456" s="10" t="s">
        <v>1823</v>
      </c>
      <c r="B456" s="10"/>
      <c r="C456" s="24" t="s">
        <v>1792</v>
      </c>
      <c r="D456" s="12"/>
      <c r="E456" s="12"/>
      <c r="F456" s="18" t="s">
        <v>87</v>
      </c>
      <c r="G456" s="19">
        <v>1</v>
      </c>
      <c r="H456" s="20"/>
      <c r="I456" s="20">
        <v>0</v>
      </c>
      <c r="J456" s="21">
        <v>43.33</v>
      </c>
      <c r="M456" s="22">
        <f>ROUND(ROUND(J456, 2)*I456, 2)</f>
        <v>0</v>
      </c>
      <c r="P456" s="21">
        <v>43.33</v>
      </c>
      <c r="S456" s="22">
        <f>ROUND(ROUND(P456, 2)*I456, 2)</f>
        <v>0</v>
      </c>
      <c r="V456" s="9">
        <f>ROUND(ROUND(P456, 2)/1.2, 2)</f>
        <v>36.11</v>
      </c>
      <c r="Y456" s="9">
        <f t="shared" si="26"/>
        <v>0</v>
      </c>
      <c r="AD456" s="4" t="s">
        <v>1824</v>
      </c>
      <c r="AE456" s="4" t="s">
        <v>1825</v>
      </c>
      <c r="AF456" s="4" t="s">
        <v>1795</v>
      </c>
    </row>
    <row r="457" spans="1:35" ht="18" x14ac:dyDescent="0.3">
      <c r="A457" s="10" t="s">
        <v>1828</v>
      </c>
      <c r="B457" s="10"/>
      <c r="C457" s="17" t="s">
        <v>1829</v>
      </c>
      <c r="D457" s="12"/>
      <c r="E457" s="12"/>
      <c r="F457" s="18" t="s">
        <v>64</v>
      </c>
      <c r="G457" s="19">
        <v>1.1000000000000001</v>
      </c>
      <c r="H457" s="20"/>
      <c r="I457" s="20">
        <v>0</v>
      </c>
      <c r="J457" s="21">
        <v>312.73</v>
      </c>
      <c r="M457" s="22">
        <f>ROUND(ROUND(J457, 2)*I457, 2)</f>
        <v>0</v>
      </c>
      <c r="P457" s="21">
        <v>312.73</v>
      </c>
      <c r="S457" s="22">
        <f>ROUND(ROUND(P457, 2)*I457, 2)</f>
        <v>0</v>
      </c>
      <c r="V457" s="9">
        <f>ROUND(ROUND(P457, 2)/1.2, 2)</f>
        <v>260.61</v>
      </c>
      <c r="Y457" s="9">
        <f t="shared" si="26"/>
        <v>0</v>
      </c>
      <c r="AD457" s="4" t="s">
        <v>1830</v>
      </c>
      <c r="AE457" s="4" t="s">
        <v>1831</v>
      </c>
      <c r="AF457" s="4" t="s">
        <v>1832</v>
      </c>
    </row>
    <row r="458" spans="1:35" ht="36" x14ac:dyDescent="0.3">
      <c r="A458" s="10" t="s">
        <v>1835</v>
      </c>
      <c r="B458" s="10" t="s">
        <v>1813</v>
      </c>
      <c r="C458" s="11" t="s">
        <v>1814</v>
      </c>
      <c r="D458" s="12"/>
      <c r="E458" s="12" t="s">
        <v>1836</v>
      </c>
      <c r="F458" s="12" t="s">
        <v>64</v>
      </c>
      <c r="G458" s="13">
        <v>1</v>
      </c>
      <c r="H458" s="13"/>
      <c r="I458" s="13">
        <v>8.0399999999999991</v>
      </c>
      <c r="J458" s="14">
        <f>IFERROR(ROUND(SUM(M459,M460,M461,M462)/I458, 2),0)</f>
        <v>845.65</v>
      </c>
      <c r="K458" s="15">
        <v>1477</v>
      </c>
      <c r="L458" s="14">
        <f>J458+ROUND(K458, 2)</f>
        <v>2322.65</v>
      </c>
      <c r="M458" s="14">
        <f>ROUND(J458*I458, 2)</f>
        <v>6799.03</v>
      </c>
      <c r="N458" s="14">
        <f>ROUND(I458*ROUND(K458, 2), 2)</f>
        <v>11875.08</v>
      </c>
      <c r="O458" s="14">
        <f>M458+N458</f>
        <v>18674.11</v>
      </c>
      <c r="P458" s="14">
        <f>IFERROR(ROUND(SUM(S459,S460,S461,S462)/I458, 2),0)</f>
        <v>845.65</v>
      </c>
      <c r="Q458" s="15">
        <v>1477</v>
      </c>
      <c r="R458" s="14">
        <f>P458+ROUND(Q458, 2)</f>
        <v>2322.65</v>
      </c>
      <c r="S458" s="14">
        <f>ROUND(P458*I458, 2)</f>
        <v>6799.03</v>
      </c>
      <c r="T458" s="14">
        <f>ROUND(I458*ROUND(Q458, 2), 2)</f>
        <v>11875.08</v>
      </c>
      <c r="U458" s="14">
        <f>S458+T458</f>
        <v>18674.11</v>
      </c>
      <c r="V458" s="9">
        <f>ROUND(P458 / 1.2, 2)</f>
        <v>704.71</v>
      </c>
      <c r="W458" s="9">
        <f>ROUND(Q458 / 1.2, 2)</f>
        <v>1230.83</v>
      </c>
      <c r="X458" s="9">
        <f>ROUND(R458 / 1.2, 2)</f>
        <v>1935.54</v>
      </c>
      <c r="Y458" s="9">
        <f t="shared" si="26"/>
        <v>5665.86</v>
      </c>
      <c r="Z458" s="9">
        <f>ROUND(T458 / 1.2, 2)</f>
        <v>9895.9</v>
      </c>
      <c r="AA458" s="9">
        <f>Y458+Z458</f>
        <v>15561.759999999998</v>
      </c>
      <c r="AD458" s="4">
        <v>298925440</v>
      </c>
      <c r="AE458" s="4">
        <v>19822309</v>
      </c>
      <c r="AG458" s="4" t="s">
        <v>1815</v>
      </c>
      <c r="AH458" s="4" t="s">
        <v>1816</v>
      </c>
      <c r="AI458" s="4" t="s">
        <v>67</v>
      </c>
    </row>
    <row r="459" spans="1:35" ht="18" x14ac:dyDescent="0.3">
      <c r="A459" s="10" t="s">
        <v>1837</v>
      </c>
      <c r="B459" s="10"/>
      <c r="C459" s="17" t="s">
        <v>1838</v>
      </c>
      <c r="D459" s="12"/>
      <c r="E459" s="12"/>
      <c r="F459" s="18" t="s">
        <v>64</v>
      </c>
      <c r="G459" s="19">
        <v>1.1000000000000001</v>
      </c>
      <c r="H459" s="20"/>
      <c r="I459" s="20">
        <v>17.687999999999999</v>
      </c>
      <c r="J459" s="21">
        <v>276.08999999999997</v>
      </c>
      <c r="M459" s="22">
        <f>ROUND(ROUND(J459, 2)*I459, 2)</f>
        <v>4883.4799999999996</v>
      </c>
      <c r="P459" s="21">
        <v>276.08999999999997</v>
      </c>
      <c r="S459" s="22">
        <f>ROUND(ROUND(P459, 2)*I459, 2)</f>
        <v>4883.4799999999996</v>
      </c>
      <c r="V459" s="9">
        <f>ROUND(ROUND(P459, 2)/1.2, 2)</f>
        <v>230.08</v>
      </c>
      <c r="Y459" s="9">
        <f t="shared" si="26"/>
        <v>4069.57</v>
      </c>
      <c r="AD459" s="4" t="s">
        <v>1839</v>
      </c>
      <c r="AE459" s="4" t="s">
        <v>1840</v>
      </c>
      <c r="AF459" s="4" t="s">
        <v>1841</v>
      </c>
    </row>
    <row r="460" spans="1:35" ht="18" x14ac:dyDescent="0.3">
      <c r="A460" s="10" t="s">
        <v>1842</v>
      </c>
      <c r="B460" s="10"/>
      <c r="C460" s="24" t="s">
        <v>1787</v>
      </c>
      <c r="D460" s="12"/>
      <c r="E460" s="12"/>
      <c r="F460" s="18" t="s">
        <v>87</v>
      </c>
      <c r="G460" s="19">
        <v>1</v>
      </c>
      <c r="H460" s="20"/>
      <c r="I460" s="20">
        <v>32</v>
      </c>
      <c r="J460" s="21">
        <v>44.71</v>
      </c>
      <c r="M460" s="22">
        <f>ROUND(ROUND(J460, 2)*I460, 2)</f>
        <v>1430.72</v>
      </c>
      <c r="P460" s="21">
        <v>44.71</v>
      </c>
      <c r="S460" s="22">
        <f>ROUND(ROUND(P460, 2)*I460, 2)</f>
        <v>1430.72</v>
      </c>
      <c r="V460" s="9">
        <f>ROUND(ROUND(P460, 2)/1.2, 2)</f>
        <v>37.26</v>
      </c>
      <c r="Y460" s="9">
        <f t="shared" si="26"/>
        <v>1192.27</v>
      </c>
      <c r="AD460" s="4" t="s">
        <v>1843</v>
      </c>
      <c r="AE460" s="4" t="s">
        <v>1844</v>
      </c>
      <c r="AF460" s="4" t="s">
        <v>1790</v>
      </c>
    </row>
    <row r="461" spans="1:35" ht="18" x14ac:dyDescent="0.3">
      <c r="A461" s="10" t="s">
        <v>1845</v>
      </c>
      <c r="B461" s="10"/>
      <c r="C461" s="24" t="s">
        <v>1792</v>
      </c>
      <c r="D461" s="12"/>
      <c r="E461" s="12"/>
      <c r="F461" s="18" t="s">
        <v>87</v>
      </c>
      <c r="G461" s="19">
        <v>1</v>
      </c>
      <c r="H461" s="20"/>
      <c r="I461" s="20">
        <v>6.4</v>
      </c>
      <c r="J461" s="21">
        <v>35.76</v>
      </c>
      <c r="M461" s="22">
        <f>ROUND(ROUND(J461, 2)*I461, 2)</f>
        <v>228.86</v>
      </c>
      <c r="P461" s="21">
        <v>35.76</v>
      </c>
      <c r="S461" s="22">
        <f>ROUND(ROUND(P461, 2)*I461, 2)</f>
        <v>228.86</v>
      </c>
      <c r="V461" s="9">
        <f>ROUND(ROUND(P461, 2)/1.2, 2)</f>
        <v>29.8</v>
      </c>
      <c r="Y461" s="9">
        <f t="shared" si="26"/>
        <v>190.72</v>
      </c>
      <c r="AD461" s="4" t="s">
        <v>1846</v>
      </c>
      <c r="AE461" s="4" t="s">
        <v>1847</v>
      </c>
      <c r="AF461" s="4" t="s">
        <v>1795</v>
      </c>
    </row>
    <row r="462" spans="1:35" ht="18" x14ac:dyDescent="0.3">
      <c r="A462" s="10" t="s">
        <v>1848</v>
      </c>
      <c r="B462" s="10"/>
      <c r="C462" s="24" t="s">
        <v>1849</v>
      </c>
      <c r="D462" s="12"/>
      <c r="E462" s="12"/>
      <c r="F462" s="18" t="s">
        <v>116</v>
      </c>
      <c r="G462" s="19">
        <v>1</v>
      </c>
      <c r="H462" s="20"/>
      <c r="I462" s="20">
        <v>3.2</v>
      </c>
      <c r="J462" s="21">
        <v>80</v>
      </c>
      <c r="M462" s="22">
        <f>ROUND(ROUND(J462, 2)*I462, 2)</f>
        <v>256</v>
      </c>
      <c r="P462" s="21">
        <v>80</v>
      </c>
      <c r="S462" s="22">
        <f>ROUND(ROUND(P462, 2)*I462, 2)</f>
        <v>256</v>
      </c>
      <c r="V462" s="9">
        <f>ROUND(ROUND(P462, 2)/1.2, 2)</f>
        <v>66.67</v>
      </c>
      <c r="Y462" s="9">
        <f t="shared" si="26"/>
        <v>213.33</v>
      </c>
      <c r="AD462" s="4" t="s">
        <v>1850</v>
      </c>
      <c r="AE462" s="4" t="s">
        <v>1851</v>
      </c>
      <c r="AF462" s="4" t="s">
        <v>1852</v>
      </c>
    </row>
    <row r="463" spans="1:35" ht="36" x14ac:dyDescent="0.3">
      <c r="A463" s="10" t="s">
        <v>1853</v>
      </c>
      <c r="B463" s="10" t="s">
        <v>1813</v>
      </c>
      <c r="C463" s="11" t="s">
        <v>1814</v>
      </c>
      <c r="D463" s="12"/>
      <c r="E463" s="12" t="s">
        <v>1854</v>
      </c>
      <c r="F463" s="12" t="s">
        <v>64</v>
      </c>
      <c r="G463" s="13">
        <v>1</v>
      </c>
      <c r="H463" s="13"/>
      <c r="I463" s="13">
        <v>204.12</v>
      </c>
      <c r="J463" s="14">
        <f>IFERROR(ROUND(SUM(M464,M465,M466,M467)/I463, 2),0)</f>
        <v>902.26</v>
      </c>
      <c r="K463" s="15">
        <v>1477</v>
      </c>
      <c r="L463" s="14">
        <f>J463+ROUND(K463, 2)</f>
        <v>2379.2600000000002</v>
      </c>
      <c r="M463" s="14">
        <f>ROUND(J463*I463, 2)</f>
        <v>184169.31</v>
      </c>
      <c r="N463" s="14">
        <f>ROUND(I463*ROUND(K463, 2), 2)</f>
        <v>301485.24</v>
      </c>
      <c r="O463" s="14">
        <f>M463+N463</f>
        <v>485654.55</v>
      </c>
      <c r="P463" s="14">
        <f>IFERROR(ROUND(SUM(S464,S465,S466,S467)/I463, 2),0)</f>
        <v>902.26</v>
      </c>
      <c r="Q463" s="15">
        <v>1477</v>
      </c>
      <c r="R463" s="14">
        <f>P463+ROUND(Q463, 2)</f>
        <v>2379.2600000000002</v>
      </c>
      <c r="S463" s="14">
        <f>ROUND(P463*I463, 2)</f>
        <v>184169.31</v>
      </c>
      <c r="T463" s="14">
        <f>ROUND(I463*ROUND(Q463, 2), 2)</f>
        <v>301485.24</v>
      </c>
      <c r="U463" s="14">
        <f>S463+T463</f>
        <v>485654.55</v>
      </c>
      <c r="V463" s="9">
        <f>ROUND(P463 / 1.2, 2)</f>
        <v>751.88</v>
      </c>
      <c r="W463" s="9">
        <f>ROUND(Q463 / 1.2, 2)</f>
        <v>1230.83</v>
      </c>
      <c r="X463" s="9">
        <f>ROUND(R463 / 1.2, 2)</f>
        <v>1982.72</v>
      </c>
      <c r="Y463" s="9">
        <f t="shared" si="26"/>
        <v>153474.43</v>
      </c>
      <c r="Z463" s="9">
        <f>ROUND(T463 / 1.2, 2)</f>
        <v>251237.7</v>
      </c>
      <c r="AA463" s="9">
        <f>Y463+Z463</f>
        <v>404712.13</v>
      </c>
      <c r="AD463" s="4">
        <v>298925441</v>
      </c>
      <c r="AE463" s="4">
        <v>19822308</v>
      </c>
      <c r="AG463" s="4" t="s">
        <v>1815</v>
      </c>
      <c r="AH463" s="4" t="s">
        <v>1816</v>
      </c>
      <c r="AI463" s="4" t="s">
        <v>67</v>
      </c>
    </row>
    <row r="464" spans="1:35" ht="18" x14ac:dyDescent="0.3">
      <c r="A464" s="10" t="s">
        <v>1855</v>
      </c>
      <c r="B464" s="10"/>
      <c r="C464" s="24" t="s">
        <v>1849</v>
      </c>
      <c r="D464" s="12"/>
      <c r="E464" s="12"/>
      <c r="F464" s="18" t="s">
        <v>116</v>
      </c>
      <c r="G464" s="19">
        <v>1</v>
      </c>
      <c r="H464" s="20"/>
      <c r="I464" s="20">
        <v>88.5</v>
      </c>
      <c r="J464" s="21">
        <v>80</v>
      </c>
      <c r="M464" s="22">
        <f>ROUND(ROUND(J464, 2)*I464, 2)</f>
        <v>7080</v>
      </c>
      <c r="P464" s="21">
        <v>80</v>
      </c>
      <c r="S464" s="22">
        <f>ROUND(ROUND(P464, 2)*I464, 2)</f>
        <v>7080</v>
      </c>
      <c r="V464" s="9">
        <f>ROUND(ROUND(P464, 2)/1.2, 2)</f>
        <v>66.67</v>
      </c>
      <c r="Y464" s="9">
        <f t="shared" si="26"/>
        <v>5900</v>
      </c>
      <c r="AD464" s="4" t="s">
        <v>1856</v>
      </c>
      <c r="AE464" s="4" t="s">
        <v>1857</v>
      </c>
      <c r="AF464" s="4" t="s">
        <v>1852</v>
      </c>
    </row>
    <row r="465" spans="1:35" ht="18" x14ac:dyDescent="0.3">
      <c r="A465" s="10" t="s">
        <v>1858</v>
      </c>
      <c r="B465" s="10"/>
      <c r="C465" s="24" t="s">
        <v>1787</v>
      </c>
      <c r="D465" s="12"/>
      <c r="E465" s="12"/>
      <c r="F465" s="18" t="s">
        <v>87</v>
      </c>
      <c r="G465" s="19">
        <v>1</v>
      </c>
      <c r="H465" s="20"/>
      <c r="I465" s="20">
        <v>1024</v>
      </c>
      <c r="J465" s="21">
        <v>44.71</v>
      </c>
      <c r="M465" s="22">
        <f>ROUND(ROUND(J465, 2)*I465, 2)</f>
        <v>45783.040000000001</v>
      </c>
      <c r="P465" s="21">
        <v>44.71</v>
      </c>
      <c r="S465" s="22">
        <f>ROUND(ROUND(P465, 2)*I465, 2)</f>
        <v>45783.040000000001</v>
      </c>
      <c r="V465" s="9">
        <f>ROUND(ROUND(P465, 2)/1.2, 2)</f>
        <v>37.26</v>
      </c>
      <c r="Y465" s="9">
        <f t="shared" si="26"/>
        <v>38152.53</v>
      </c>
      <c r="AD465" s="4" t="s">
        <v>1859</v>
      </c>
      <c r="AE465" s="4" t="s">
        <v>1860</v>
      </c>
      <c r="AF465" s="4" t="s">
        <v>1790</v>
      </c>
    </row>
    <row r="466" spans="1:35" ht="18" x14ac:dyDescent="0.3">
      <c r="A466" s="10" t="s">
        <v>1861</v>
      </c>
      <c r="B466" s="10"/>
      <c r="C466" s="24" t="s">
        <v>1792</v>
      </c>
      <c r="D466" s="12"/>
      <c r="E466" s="12"/>
      <c r="F466" s="18" t="s">
        <v>87</v>
      </c>
      <c r="G466" s="19">
        <v>1</v>
      </c>
      <c r="H466" s="20"/>
      <c r="I466" s="20">
        <v>204.8</v>
      </c>
      <c r="J466" s="21">
        <v>35.76</v>
      </c>
      <c r="M466" s="22">
        <f>ROUND(ROUND(J466, 2)*I466, 2)</f>
        <v>7323.65</v>
      </c>
      <c r="P466" s="21">
        <v>35.76</v>
      </c>
      <c r="S466" s="22">
        <f>ROUND(ROUND(P466, 2)*I466, 2)</f>
        <v>7323.65</v>
      </c>
      <c r="V466" s="9">
        <f>ROUND(ROUND(P466, 2)/1.2, 2)</f>
        <v>29.8</v>
      </c>
      <c r="Y466" s="9">
        <f t="shared" si="26"/>
        <v>6103.04</v>
      </c>
      <c r="AD466" s="4" t="s">
        <v>1862</v>
      </c>
      <c r="AE466" s="4" t="s">
        <v>1863</v>
      </c>
      <c r="AF466" s="4" t="s">
        <v>1795</v>
      </c>
    </row>
    <row r="467" spans="1:35" ht="18" x14ac:dyDescent="0.3">
      <c r="A467" s="10" t="s">
        <v>1864</v>
      </c>
      <c r="B467" s="10"/>
      <c r="C467" s="17" t="s">
        <v>1838</v>
      </c>
      <c r="D467" s="12"/>
      <c r="E467" s="12"/>
      <c r="F467" s="18" t="s">
        <v>64</v>
      </c>
      <c r="G467" s="19">
        <v>1.1000000000000001</v>
      </c>
      <c r="H467" s="20"/>
      <c r="I467" s="20">
        <v>449.06400000000002</v>
      </c>
      <c r="J467" s="21">
        <v>276.08999999999997</v>
      </c>
      <c r="M467" s="22">
        <f>ROUND(ROUND(J467, 2)*I467, 2)</f>
        <v>123982.08</v>
      </c>
      <c r="P467" s="21">
        <v>276.08999999999997</v>
      </c>
      <c r="S467" s="22">
        <f>ROUND(ROUND(P467, 2)*I467, 2)</f>
        <v>123982.08</v>
      </c>
      <c r="V467" s="9">
        <f>ROUND(ROUND(P467, 2)/1.2, 2)</f>
        <v>230.08</v>
      </c>
      <c r="Y467" s="9">
        <f t="shared" si="26"/>
        <v>103318.39999999999</v>
      </c>
      <c r="AD467" s="4" t="s">
        <v>1865</v>
      </c>
      <c r="AE467" s="4" t="s">
        <v>1866</v>
      </c>
      <c r="AF467" s="4" t="s">
        <v>1841</v>
      </c>
    </row>
    <row r="468" spans="1:35" ht="36" x14ac:dyDescent="0.3">
      <c r="A468" s="10" t="s">
        <v>1867</v>
      </c>
      <c r="B468" s="10" t="s">
        <v>1813</v>
      </c>
      <c r="C468" s="11" t="s">
        <v>1814</v>
      </c>
      <c r="D468" s="12"/>
      <c r="E468" s="12" t="s">
        <v>1868</v>
      </c>
      <c r="F468" s="12" t="s">
        <v>64</v>
      </c>
      <c r="G468" s="13">
        <v>1</v>
      </c>
      <c r="H468" s="13"/>
      <c r="I468" s="13">
        <v>55.13</v>
      </c>
      <c r="J468" s="14">
        <f>IFERROR(ROUND(SUM(M469,M470,M471,M472)/I468, 2),0)</f>
        <v>292.88</v>
      </c>
      <c r="K468" s="15">
        <v>1477</v>
      </c>
      <c r="L468" s="14">
        <f>J468+ROUND(K468, 2)</f>
        <v>1769.88</v>
      </c>
      <c r="M468" s="14">
        <f>ROUND(J468*I468, 2)</f>
        <v>16146.47</v>
      </c>
      <c r="N468" s="14">
        <f>ROUND(I468*ROUND(K468, 2), 2)</f>
        <v>81427.009999999995</v>
      </c>
      <c r="O468" s="14">
        <f>M468+N468</f>
        <v>97573.48</v>
      </c>
      <c r="P468" s="14">
        <f>IFERROR(ROUND(SUM(S469,S470,S471,S472)/I468, 2),0)</f>
        <v>3637.61</v>
      </c>
      <c r="Q468" s="15">
        <v>1477</v>
      </c>
      <c r="R468" s="14">
        <f>P468+ROUND(Q468, 2)</f>
        <v>5114.6100000000006</v>
      </c>
      <c r="S468" s="14">
        <f>ROUND(P468*I468, 2)</f>
        <v>200541.44</v>
      </c>
      <c r="T468" s="14">
        <f>ROUND(I468*ROUND(Q468, 2), 2)</f>
        <v>81427.009999999995</v>
      </c>
      <c r="U468" s="14">
        <f>S468+T468</f>
        <v>281968.45</v>
      </c>
      <c r="V468" s="9">
        <f>ROUND(P468 / 1.2, 2)</f>
        <v>3031.34</v>
      </c>
      <c r="W468" s="9">
        <f>ROUND(Q468 / 1.2, 2)</f>
        <v>1230.83</v>
      </c>
      <c r="X468" s="9">
        <f>ROUND(R468 / 1.2, 2)</f>
        <v>4262.18</v>
      </c>
      <c r="Y468" s="9">
        <f t="shared" si="26"/>
        <v>167117.87</v>
      </c>
      <c r="Z468" s="9">
        <f>ROUND(T468 / 1.2, 2)</f>
        <v>67855.839999999997</v>
      </c>
      <c r="AA468" s="9">
        <f>Y468+Z468</f>
        <v>234973.71</v>
      </c>
      <c r="AD468" s="4">
        <v>298925442</v>
      </c>
      <c r="AE468" s="4">
        <v>19993569</v>
      </c>
      <c r="AG468" s="4" t="s">
        <v>1815</v>
      </c>
      <c r="AH468" s="4" t="s">
        <v>1816</v>
      </c>
      <c r="AI468" s="4" t="s">
        <v>67</v>
      </c>
    </row>
    <row r="469" spans="1:35" ht="18" x14ac:dyDescent="0.3">
      <c r="A469" s="10" t="s">
        <v>1869</v>
      </c>
      <c r="B469" s="10"/>
      <c r="C469" s="24" t="s">
        <v>1870</v>
      </c>
      <c r="D469" s="12"/>
      <c r="E469" s="12"/>
      <c r="F469" s="18" t="s">
        <v>64</v>
      </c>
      <c r="G469" s="19">
        <v>1.1000000000000001</v>
      </c>
      <c r="H469" s="20"/>
      <c r="I469" s="20">
        <v>121.286</v>
      </c>
      <c r="J469" s="21">
        <v>0</v>
      </c>
      <c r="M469" s="22">
        <f>ROUND(ROUND(J469, 2)*I469, 2)</f>
        <v>0</v>
      </c>
      <c r="P469" s="21">
        <v>1520.33</v>
      </c>
      <c r="S469" s="22">
        <f>ROUND(ROUND(P469, 2)*I469, 2)</f>
        <v>184394.74</v>
      </c>
      <c r="V469" s="9">
        <f>ROUND(ROUND(P469, 2)/1.2, 2)</f>
        <v>1266.94</v>
      </c>
      <c r="Y469" s="9">
        <f t="shared" si="26"/>
        <v>153662.28</v>
      </c>
      <c r="AD469" s="4" t="s">
        <v>1871</v>
      </c>
      <c r="AE469" s="4" t="s">
        <v>1872</v>
      </c>
      <c r="AF469" s="4" t="s">
        <v>1873</v>
      </c>
    </row>
    <row r="470" spans="1:35" ht="18" x14ac:dyDescent="0.3">
      <c r="A470" s="10" t="s">
        <v>1874</v>
      </c>
      <c r="B470" s="10"/>
      <c r="C470" s="24" t="s">
        <v>1787</v>
      </c>
      <c r="D470" s="12"/>
      <c r="E470" s="12"/>
      <c r="F470" s="18" t="s">
        <v>87</v>
      </c>
      <c r="G470" s="19">
        <v>1</v>
      </c>
      <c r="H470" s="20"/>
      <c r="I470" s="20">
        <v>272</v>
      </c>
      <c r="J470" s="21">
        <v>44.71</v>
      </c>
      <c r="M470" s="22">
        <f>ROUND(ROUND(J470, 2)*I470, 2)</f>
        <v>12161.12</v>
      </c>
      <c r="P470" s="21">
        <v>44.71</v>
      </c>
      <c r="S470" s="22">
        <f>ROUND(ROUND(P470, 2)*I470, 2)</f>
        <v>12161.12</v>
      </c>
      <c r="V470" s="9">
        <f>ROUND(ROUND(P470, 2)/1.2, 2)</f>
        <v>37.26</v>
      </c>
      <c r="Y470" s="9">
        <f t="shared" si="26"/>
        <v>10134.27</v>
      </c>
      <c r="AD470" s="4" t="s">
        <v>1875</v>
      </c>
      <c r="AE470" s="4" t="s">
        <v>1876</v>
      </c>
      <c r="AF470" s="4" t="s">
        <v>1790</v>
      </c>
    </row>
    <row r="471" spans="1:35" ht="18" x14ac:dyDescent="0.3">
      <c r="A471" s="10" t="s">
        <v>1877</v>
      </c>
      <c r="B471" s="10"/>
      <c r="C471" s="24" t="s">
        <v>1792</v>
      </c>
      <c r="D471" s="12"/>
      <c r="E471" s="12"/>
      <c r="F471" s="18" t="s">
        <v>87</v>
      </c>
      <c r="G471" s="19">
        <v>1</v>
      </c>
      <c r="H471" s="20"/>
      <c r="I471" s="20">
        <v>54.4</v>
      </c>
      <c r="J471" s="21">
        <v>35.76</v>
      </c>
      <c r="M471" s="22">
        <f>ROUND(ROUND(J471, 2)*I471, 2)</f>
        <v>1945.34</v>
      </c>
      <c r="P471" s="21">
        <v>35.76</v>
      </c>
      <c r="S471" s="22">
        <f>ROUND(ROUND(P471, 2)*I471, 2)</f>
        <v>1945.34</v>
      </c>
      <c r="V471" s="9">
        <f>ROUND(ROUND(P471, 2)/1.2, 2)</f>
        <v>29.8</v>
      </c>
      <c r="Y471" s="9">
        <f t="shared" si="26"/>
        <v>1621.12</v>
      </c>
      <c r="AD471" s="4" t="s">
        <v>1878</v>
      </c>
      <c r="AE471" s="4" t="s">
        <v>1879</v>
      </c>
      <c r="AF471" s="4" t="s">
        <v>1795</v>
      </c>
    </row>
    <row r="472" spans="1:35" ht="18" x14ac:dyDescent="0.3">
      <c r="A472" s="10" t="s">
        <v>1880</v>
      </c>
      <c r="B472" s="10"/>
      <c r="C472" s="24" t="s">
        <v>1849</v>
      </c>
      <c r="D472" s="12"/>
      <c r="E472" s="12"/>
      <c r="F472" s="18" t="s">
        <v>116</v>
      </c>
      <c r="G472" s="19">
        <v>1</v>
      </c>
      <c r="H472" s="20"/>
      <c r="I472" s="20">
        <v>25.5</v>
      </c>
      <c r="J472" s="21">
        <v>80</v>
      </c>
      <c r="M472" s="22">
        <f>ROUND(ROUND(J472, 2)*I472, 2)</f>
        <v>2040</v>
      </c>
      <c r="P472" s="21">
        <v>80</v>
      </c>
      <c r="S472" s="22">
        <f>ROUND(ROUND(P472, 2)*I472, 2)</f>
        <v>2040</v>
      </c>
      <c r="V472" s="9">
        <f>ROUND(ROUND(P472, 2)/1.2, 2)</f>
        <v>66.67</v>
      </c>
      <c r="Y472" s="9">
        <f t="shared" si="26"/>
        <v>1700</v>
      </c>
      <c r="AD472" s="4" t="s">
        <v>1881</v>
      </c>
      <c r="AE472" s="4" t="s">
        <v>1882</v>
      </c>
      <c r="AF472" s="4" t="s">
        <v>1852</v>
      </c>
    </row>
    <row r="473" spans="1:35" ht="36" x14ac:dyDescent="0.3">
      <c r="A473" s="10" t="s">
        <v>1883</v>
      </c>
      <c r="B473" s="10" t="s">
        <v>1813</v>
      </c>
      <c r="C473" s="11" t="s">
        <v>1814</v>
      </c>
      <c r="D473" s="12"/>
      <c r="E473" s="12" t="s">
        <v>1884</v>
      </c>
      <c r="F473" s="12" t="s">
        <v>64</v>
      </c>
      <c r="G473" s="13">
        <v>1</v>
      </c>
      <c r="H473" s="13"/>
      <c r="I473" s="13">
        <v>23.49</v>
      </c>
      <c r="J473" s="14">
        <f>IFERROR(ROUND(SUM(M474,M475,M476)/I473, 2),0)</f>
        <v>904.12</v>
      </c>
      <c r="K473" s="15">
        <v>1477</v>
      </c>
      <c r="L473" s="14">
        <f>J473+ROUND(K473, 2)</f>
        <v>2381.12</v>
      </c>
      <c r="M473" s="14">
        <f>ROUND(J473*I473, 2)</f>
        <v>21237.78</v>
      </c>
      <c r="N473" s="14">
        <f>ROUND(I473*ROUND(K473, 2), 2)</f>
        <v>34694.730000000003</v>
      </c>
      <c r="O473" s="14">
        <f>M473+N473</f>
        <v>55932.51</v>
      </c>
      <c r="P473" s="14">
        <f>IFERROR(ROUND(SUM(S474,S475,S476)/I473, 2),0)</f>
        <v>904.12</v>
      </c>
      <c r="Q473" s="15">
        <v>1477</v>
      </c>
      <c r="R473" s="14">
        <f>P473+ROUND(Q473, 2)</f>
        <v>2381.12</v>
      </c>
      <c r="S473" s="14">
        <f>ROUND(P473*I473, 2)</f>
        <v>21237.78</v>
      </c>
      <c r="T473" s="14">
        <f>ROUND(I473*ROUND(Q473, 2), 2)</f>
        <v>34694.730000000003</v>
      </c>
      <c r="U473" s="14">
        <f>S473+T473</f>
        <v>55932.51</v>
      </c>
      <c r="V473" s="9">
        <f>ROUND(P473 / 1.2, 2)</f>
        <v>753.43</v>
      </c>
      <c r="W473" s="9">
        <f>ROUND(Q473 / 1.2, 2)</f>
        <v>1230.83</v>
      </c>
      <c r="X473" s="9">
        <f>ROUND(R473 / 1.2, 2)</f>
        <v>1984.27</v>
      </c>
      <c r="Y473" s="9">
        <f t="shared" si="26"/>
        <v>17698.150000000001</v>
      </c>
      <c r="Z473" s="9">
        <f>ROUND(T473 / 1.2, 2)</f>
        <v>28912.28</v>
      </c>
      <c r="AA473" s="9">
        <f>Y473+Z473</f>
        <v>46610.43</v>
      </c>
      <c r="AD473" s="4">
        <v>298925443</v>
      </c>
      <c r="AE473" s="4">
        <v>19995862</v>
      </c>
      <c r="AG473" s="4" t="s">
        <v>1815</v>
      </c>
      <c r="AH473" s="4" t="s">
        <v>1816</v>
      </c>
      <c r="AI473" s="4" t="s">
        <v>67</v>
      </c>
    </row>
    <row r="474" spans="1:35" ht="18" x14ac:dyDescent="0.3">
      <c r="A474" s="10" t="s">
        <v>1885</v>
      </c>
      <c r="B474" s="10"/>
      <c r="C474" s="24" t="s">
        <v>1787</v>
      </c>
      <c r="D474" s="12"/>
      <c r="E474" s="12"/>
      <c r="F474" s="18" t="s">
        <v>87</v>
      </c>
      <c r="G474" s="19">
        <v>1</v>
      </c>
      <c r="H474" s="20"/>
      <c r="I474" s="20">
        <v>84.2</v>
      </c>
      <c r="J474" s="21">
        <v>44.71</v>
      </c>
      <c r="M474" s="22">
        <f>ROUND(ROUND(J474, 2)*I474, 2)</f>
        <v>3764.58</v>
      </c>
      <c r="P474" s="21">
        <v>44.71</v>
      </c>
      <c r="S474" s="22">
        <f>ROUND(ROUND(P474, 2)*I474, 2)</f>
        <v>3764.58</v>
      </c>
      <c r="V474" s="9">
        <f>ROUND(ROUND(P474, 2)/1.2, 2)</f>
        <v>37.26</v>
      </c>
      <c r="Y474" s="9">
        <f t="shared" si="26"/>
        <v>3137.15</v>
      </c>
      <c r="AD474" s="4" t="s">
        <v>1886</v>
      </c>
      <c r="AE474" s="4" t="s">
        <v>1887</v>
      </c>
      <c r="AF474" s="4" t="s">
        <v>1790</v>
      </c>
    </row>
    <row r="475" spans="1:35" ht="18" x14ac:dyDescent="0.3">
      <c r="A475" s="10" t="s">
        <v>1888</v>
      </c>
      <c r="B475" s="10"/>
      <c r="C475" s="24" t="s">
        <v>1792</v>
      </c>
      <c r="D475" s="12"/>
      <c r="E475" s="12"/>
      <c r="F475" s="18" t="s">
        <v>87</v>
      </c>
      <c r="G475" s="19">
        <v>1</v>
      </c>
      <c r="H475" s="20"/>
      <c r="I475" s="20">
        <v>41.5</v>
      </c>
      <c r="J475" s="21">
        <v>35.76</v>
      </c>
      <c r="M475" s="22">
        <f>ROUND(ROUND(J475, 2)*I475, 2)</f>
        <v>1484.04</v>
      </c>
      <c r="P475" s="21">
        <v>35.76</v>
      </c>
      <c r="S475" s="22">
        <f>ROUND(ROUND(P475, 2)*I475, 2)</f>
        <v>1484.04</v>
      </c>
      <c r="V475" s="9">
        <f>ROUND(ROUND(P475, 2)/1.2, 2)</f>
        <v>29.8</v>
      </c>
      <c r="Y475" s="9">
        <f t="shared" si="26"/>
        <v>1236.7</v>
      </c>
      <c r="AD475" s="4" t="s">
        <v>1889</v>
      </c>
      <c r="AE475" s="4" t="s">
        <v>1890</v>
      </c>
      <c r="AF475" s="4" t="s">
        <v>1795</v>
      </c>
    </row>
    <row r="476" spans="1:35" ht="18" x14ac:dyDescent="0.3">
      <c r="A476" s="10" t="s">
        <v>1891</v>
      </c>
      <c r="B476" s="10"/>
      <c r="C476" s="17" t="s">
        <v>1829</v>
      </c>
      <c r="D476" s="12"/>
      <c r="E476" s="12"/>
      <c r="F476" s="18" t="s">
        <v>64</v>
      </c>
      <c r="G476" s="19">
        <v>1.1000000000000001</v>
      </c>
      <c r="H476" s="20"/>
      <c r="I476" s="20">
        <v>51.677999999999997</v>
      </c>
      <c r="J476" s="21">
        <v>309.39999999999998</v>
      </c>
      <c r="M476" s="22">
        <f>ROUND(ROUND(J476, 2)*I476, 2)</f>
        <v>15989.17</v>
      </c>
      <c r="P476" s="21">
        <v>309.39999999999998</v>
      </c>
      <c r="S476" s="22">
        <f>ROUND(ROUND(P476, 2)*I476, 2)</f>
        <v>15989.17</v>
      </c>
      <c r="V476" s="9">
        <f>ROUND(ROUND(P476, 2)/1.2, 2)</f>
        <v>257.83</v>
      </c>
      <c r="Y476" s="9">
        <f t="shared" si="26"/>
        <v>13324.31</v>
      </c>
      <c r="AD476" s="4" t="s">
        <v>1892</v>
      </c>
      <c r="AE476" s="4" t="s">
        <v>1893</v>
      </c>
      <c r="AF476" s="4" t="s">
        <v>1832</v>
      </c>
    </row>
    <row r="477" spans="1:35" ht="36" x14ac:dyDescent="0.3">
      <c r="A477" s="10" t="s">
        <v>1894</v>
      </c>
      <c r="B477" s="10" t="s">
        <v>1813</v>
      </c>
      <c r="C477" s="11" t="s">
        <v>1814</v>
      </c>
      <c r="D477" s="12"/>
      <c r="E477" s="12" t="s">
        <v>1895</v>
      </c>
      <c r="F477" s="12" t="s">
        <v>64</v>
      </c>
      <c r="G477" s="13">
        <v>1</v>
      </c>
      <c r="H477" s="13"/>
      <c r="I477" s="13">
        <v>2.74</v>
      </c>
      <c r="J477" s="14">
        <f>IFERROR(ROUND(SUM(M478,M479,M480,M481)/I477, 2),0)</f>
        <v>1025.02</v>
      </c>
      <c r="K477" s="15">
        <v>1477</v>
      </c>
      <c r="L477" s="14">
        <f>J477+ROUND(K477, 2)</f>
        <v>2502.02</v>
      </c>
      <c r="M477" s="14">
        <f>ROUND(J477*I477, 2)</f>
        <v>2808.55</v>
      </c>
      <c r="N477" s="14">
        <f>ROUND(I477*ROUND(K477, 2), 2)</f>
        <v>4046.98</v>
      </c>
      <c r="O477" s="14">
        <f>M477+N477</f>
        <v>6855.5300000000007</v>
      </c>
      <c r="P477" s="14">
        <f>IFERROR(ROUND(SUM(S478,S479,S480,S481)/I477, 2),0)</f>
        <v>1025.02</v>
      </c>
      <c r="Q477" s="15">
        <v>1477</v>
      </c>
      <c r="R477" s="14">
        <f>P477+ROUND(Q477, 2)</f>
        <v>2502.02</v>
      </c>
      <c r="S477" s="14">
        <f>ROUND(P477*I477, 2)</f>
        <v>2808.55</v>
      </c>
      <c r="T477" s="14">
        <f>ROUND(I477*ROUND(Q477, 2), 2)</f>
        <v>4046.98</v>
      </c>
      <c r="U477" s="14">
        <f>S477+T477</f>
        <v>6855.5300000000007</v>
      </c>
      <c r="V477" s="9">
        <f>ROUND(P477 / 1.2, 2)</f>
        <v>854.18</v>
      </c>
      <c r="W477" s="9">
        <f>ROUND(Q477 / 1.2, 2)</f>
        <v>1230.83</v>
      </c>
      <c r="X477" s="9">
        <f>ROUND(R477 / 1.2, 2)</f>
        <v>2085.02</v>
      </c>
      <c r="Y477" s="9">
        <f t="shared" si="26"/>
        <v>2340.46</v>
      </c>
      <c r="Z477" s="9">
        <f>ROUND(T477 / 1.2, 2)</f>
        <v>3372.48</v>
      </c>
      <c r="AA477" s="9">
        <f>Y477+Z477</f>
        <v>5712.9400000000005</v>
      </c>
      <c r="AD477" s="4">
        <v>298925444</v>
      </c>
      <c r="AE477" s="4">
        <v>19995863</v>
      </c>
      <c r="AG477" s="4" t="s">
        <v>1815</v>
      </c>
      <c r="AH477" s="4" t="s">
        <v>1816</v>
      </c>
      <c r="AI477" s="4" t="s">
        <v>67</v>
      </c>
    </row>
    <row r="478" spans="1:35" ht="18" x14ac:dyDescent="0.3">
      <c r="A478" s="10" t="s">
        <v>1896</v>
      </c>
      <c r="B478" s="10"/>
      <c r="C478" s="17" t="s">
        <v>1829</v>
      </c>
      <c r="D478" s="12"/>
      <c r="E478" s="12"/>
      <c r="F478" s="18" t="s">
        <v>64</v>
      </c>
      <c r="G478" s="19">
        <v>1.1000000000000001</v>
      </c>
      <c r="H478" s="20"/>
      <c r="I478" s="20">
        <v>6.0279999999999996</v>
      </c>
      <c r="J478" s="21">
        <v>309.39999999999998</v>
      </c>
      <c r="M478" s="22">
        <f>ROUND(ROUND(J478, 2)*I478, 2)</f>
        <v>1865.06</v>
      </c>
      <c r="P478" s="21">
        <v>309.39999999999998</v>
      </c>
      <c r="S478" s="22">
        <f>ROUND(ROUND(P478, 2)*I478, 2)</f>
        <v>1865.06</v>
      </c>
      <c r="V478" s="9">
        <f>ROUND(ROUND(P478, 2)/1.2, 2)</f>
        <v>257.83</v>
      </c>
      <c r="Y478" s="9">
        <f t="shared" si="26"/>
        <v>1554.22</v>
      </c>
      <c r="AD478" s="4" t="s">
        <v>1897</v>
      </c>
      <c r="AE478" s="4" t="s">
        <v>1898</v>
      </c>
      <c r="AF478" s="4" t="s">
        <v>1832</v>
      </c>
    </row>
    <row r="479" spans="1:35" ht="18" x14ac:dyDescent="0.3">
      <c r="A479" s="10" t="s">
        <v>1899</v>
      </c>
      <c r="B479" s="10"/>
      <c r="C479" s="24" t="s">
        <v>1787</v>
      </c>
      <c r="D479" s="12"/>
      <c r="E479" s="12"/>
      <c r="F479" s="18" t="s">
        <v>87</v>
      </c>
      <c r="G479" s="19">
        <v>1</v>
      </c>
      <c r="H479" s="20"/>
      <c r="I479" s="20">
        <v>16</v>
      </c>
      <c r="J479" s="21">
        <v>44.71</v>
      </c>
      <c r="M479" s="22">
        <f>ROUND(ROUND(J479, 2)*I479, 2)</f>
        <v>715.36</v>
      </c>
      <c r="P479" s="21">
        <v>44.71</v>
      </c>
      <c r="S479" s="22">
        <f>ROUND(ROUND(P479, 2)*I479, 2)</f>
        <v>715.36</v>
      </c>
      <c r="V479" s="9">
        <f>ROUND(ROUND(P479, 2)/1.2, 2)</f>
        <v>37.26</v>
      </c>
      <c r="Y479" s="9">
        <f t="shared" si="26"/>
        <v>596.13</v>
      </c>
      <c r="AD479" s="4" t="s">
        <v>1900</v>
      </c>
      <c r="AE479" s="4" t="s">
        <v>1901</v>
      </c>
      <c r="AF479" s="4" t="s">
        <v>1790</v>
      </c>
    </row>
    <row r="480" spans="1:35" ht="18" x14ac:dyDescent="0.3">
      <c r="A480" s="10" t="s">
        <v>1902</v>
      </c>
      <c r="B480" s="10"/>
      <c r="C480" s="24" t="s">
        <v>1792</v>
      </c>
      <c r="D480" s="12"/>
      <c r="E480" s="12"/>
      <c r="F480" s="18" t="s">
        <v>87</v>
      </c>
      <c r="G480" s="19">
        <v>1</v>
      </c>
      <c r="H480" s="20"/>
      <c r="I480" s="20">
        <v>2.8</v>
      </c>
      <c r="J480" s="21">
        <v>35.76</v>
      </c>
      <c r="M480" s="22">
        <f>ROUND(ROUND(J480, 2)*I480, 2)</f>
        <v>100.13</v>
      </c>
      <c r="P480" s="21">
        <v>35.76</v>
      </c>
      <c r="S480" s="22">
        <f>ROUND(ROUND(P480, 2)*I480, 2)</f>
        <v>100.13</v>
      </c>
      <c r="V480" s="9">
        <f>ROUND(ROUND(P480, 2)/1.2, 2)</f>
        <v>29.8</v>
      </c>
      <c r="Y480" s="9">
        <f t="shared" si="26"/>
        <v>83.44</v>
      </c>
      <c r="AD480" s="4" t="s">
        <v>1903</v>
      </c>
      <c r="AE480" s="4" t="s">
        <v>1904</v>
      </c>
      <c r="AF480" s="4" t="s">
        <v>1795</v>
      </c>
    </row>
    <row r="481" spans="1:35" ht="18" x14ac:dyDescent="0.3">
      <c r="A481" s="10" t="s">
        <v>1905</v>
      </c>
      <c r="B481" s="10"/>
      <c r="C481" s="24" t="s">
        <v>1849</v>
      </c>
      <c r="D481" s="12"/>
      <c r="E481" s="12"/>
      <c r="F481" s="18" t="s">
        <v>116</v>
      </c>
      <c r="G481" s="19">
        <v>1</v>
      </c>
      <c r="H481" s="20"/>
      <c r="I481" s="20">
        <v>1.6</v>
      </c>
      <c r="J481" s="21">
        <v>80</v>
      </c>
      <c r="M481" s="22">
        <f>ROUND(ROUND(J481, 2)*I481, 2)</f>
        <v>128</v>
      </c>
      <c r="P481" s="21">
        <v>80</v>
      </c>
      <c r="S481" s="22">
        <f>ROUND(ROUND(P481, 2)*I481, 2)</f>
        <v>128</v>
      </c>
      <c r="V481" s="9">
        <f>ROUND(ROUND(P481, 2)/1.2, 2)</f>
        <v>66.67</v>
      </c>
      <c r="Y481" s="9">
        <f t="shared" ref="Y481:Y489" si="27">ROUND(S481 / 1.2, 2)</f>
        <v>106.67</v>
      </c>
      <c r="AD481" s="4" t="s">
        <v>1906</v>
      </c>
      <c r="AE481" s="4" t="s">
        <v>1907</v>
      </c>
      <c r="AF481" s="4" t="s">
        <v>1852</v>
      </c>
    </row>
    <row r="482" spans="1:35" ht="54" x14ac:dyDescent="0.3">
      <c r="A482" s="10" t="s">
        <v>1908</v>
      </c>
      <c r="B482" s="10" t="s">
        <v>1909</v>
      </c>
      <c r="C482" s="11" t="s">
        <v>1910</v>
      </c>
      <c r="D482" s="12"/>
      <c r="E482" s="12" t="s">
        <v>1911</v>
      </c>
      <c r="F482" s="12" t="s">
        <v>64</v>
      </c>
      <c r="G482" s="13">
        <v>1</v>
      </c>
      <c r="H482" s="13"/>
      <c r="I482" s="13">
        <v>662.77499999999998</v>
      </c>
      <c r="J482" s="14">
        <f>IFERROR(ROUND(SUM(M483,M484,M485,M486,M487,M488,M489)/I482, 2),0)</f>
        <v>1056.3599999999999</v>
      </c>
      <c r="K482" s="15">
        <v>1612</v>
      </c>
      <c r="L482" s="14">
        <f>J482+ROUND(K482, 2)</f>
        <v>2668.3599999999997</v>
      </c>
      <c r="M482" s="14">
        <f>ROUND(J482*I482, 2)</f>
        <v>700129</v>
      </c>
      <c r="N482" s="14">
        <f>ROUND(I482*ROUND(K482, 2), 2)</f>
        <v>1068393.3</v>
      </c>
      <c r="O482" s="14">
        <f>M482+N482</f>
        <v>1768522.3</v>
      </c>
      <c r="P482" s="14">
        <f>IFERROR(ROUND(SUM(S483,S484,S485,S486,S487,S488,S489)/I482, 2),0)</f>
        <v>1056.3599999999999</v>
      </c>
      <c r="Q482" s="15">
        <v>1612</v>
      </c>
      <c r="R482" s="14">
        <f>P482+ROUND(Q482, 2)</f>
        <v>2668.3599999999997</v>
      </c>
      <c r="S482" s="14">
        <f>ROUND(P482*I482, 2)</f>
        <v>700129</v>
      </c>
      <c r="T482" s="14">
        <f>ROUND(I482*ROUND(Q482, 2), 2)</f>
        <v>1068393.3</v>
      </c>
      <c r="U482" s="14">
        <f>S482+T482</f>
        <v>1768522.3</v>
      </c>
      <c r="V482" s="9">
        <f>ROUND(P482 / 1.2, 2)</f>
        <v>880.3</v>
      </c>
      <c r="W482" s="9">
        <f>ROUND(Q482 / 1.2, 2)</f>
        <v>1343.33</v>
      </c>
      <c r="X482" s="9">
        <f>ROUND(R482 / 1.2, 2)</f>
        <v>2223.63</v>
      </c>
      <c r="Y482" s="9">
        <f t="shared" si="27"/>
        <v>583440.82999999996</v>
      </c>
      <c r="Z482" s="9">
        <f>ROUND(T482 / 1.2, 2)</f>
        <v>890327.75</v>
      </c>
      <c r="AA482" s="9">
        <f>Y482+Z482</f>
        <v>1473768.58</v>
      </c>
      <c r="AD482" s="4">
        <v>298925335</v>
      </c>
      <c r="AE482" s="4">
        <v>21371558</v>
      </c>
      <c r="AG482" s="4" t="s">
        <v>1912</v>
      </c>
      <c r="AH482" s="4" t="s">
        <v>1913</v>
      </c>
      <c r="AI482" s="4" t="s">
        <v>67</v>
      </c>
    </row>
    <row r="483" spans="1:35" ht="18" x14ac:dyDescent="0.3">
      <c r="A483" s="10" t="s">
        <v>1914</v>
      </c>
      <c r="B483" s="10"/>
      <c r="C483" s="24" t="s">
        <v>1915</v>
      </c>
      <c r="D483" s="12"/>
      <c r="E483" s="12"/>
      <c r="F483" s="18" t="s">
        <v>116</v>
      </c>
      <c r="G483" s="19">
        <v>44</v>
      </c>
      <c r="H483" s="19"/>
      <c r="I483" s="19">
        <v>29162.1</v>
      </c>
      <c r="J483" s="21">
        <v>0.95</v>
      </c>
      <c r="M483" s="22">
        <f t="shared" ref="M483:M489" si="28">ROUND(ROUND(J483, 2)*I483, 2)</f>
        <v>27704</v>
      </c>
      <c r="P483" s="21">
        <v>0.95</v>
      </c>
      <c r="S483" s="22">
        <f t="shared" ref="S483:S489" si="29">ROUND(ROUND(P483, 2)*I483, 2)</f>
        <v>27704</v>
      </c>
      <c r="V483" s="9">
        <f t="shared" ref="V483:V489" si="30">ROUND(ROUND(P483, 2)/1.2, 2)</f>
        <v>0.79</v>
      </c>
      <c r="Y483" s="9">
        <f t="shared" si="27"/>
        <v>23086.67</v>
      </c>
      <c r="AD483" s="4" t="s">
        <v>1916</v>
      </c>
      <c r="AE483" s="4" t="s">
        <v>1917</v>
      </c>
      <c r="AF483" s="4" t="s">
        <v>1918</v>
      </c>
    </row>
    <row r="484" spans="1:35" ht="18" x14ac:dyDescent="0.3">
      <c r="A484" s="10" t="s">
        <v>1919</v>
      </c>
      <c r="B484" s="10"/>
      <c r="C484" s="24" t="s">
        <v>1920</v>
      </c>
      <c r="D484" s="12"/>
      <c r="E484" s="12"/>
      <c r="F484" s="18" t="s">
        <v>116</v>
      </c>
      <c r="G484" s="19">
        <v>20</v>
      </c>
      <c r="H484" s="19"/>
      <c r="I484" s="19">
        <v>13255.5</v>
      </c>
      <c r="J484" s="21">
        <v>0.28000000000000003</v>
      </c>
      <c r="M484" s="22">
        <f t="shared" si="28"/>
        <v>3711.54</v>
      </c>
      <c r="P484" s="21">
        <v>0.28000000000000003</v>
      </c>
      <c r="S484" s="22">
        <f t="shared" si="29"/>
        <v>3711.54</v>
      </c>
      <c r="V484" s="9">
        <f t="shared" si="30"/>
        <v>0.23</v>
      </c>
      <c r="Y484" s="9">
        <f t="shared" si="27"/>
        <v>3092.95</v>
      </c>
      <c r="AD484" s="4" t="s">
        <v>1921</v>
      </c>
      <c r="AE484" s="4" t="s">
        <v>1922</v>
      </c>
      <c r="AF484" s="4" t="s">
        <v>1923</v>
      </c>
    </row>
    <row r="485" spans="1:35" ht="18" x14ac:dyDescent="0.3">
      <c r="A485" s="10" t="s">
        <v>1924</v>
      </c>
      <c r="B485" s="10"/>
      <c r="C485" s="24" t="s">
        <v>1849</v>
      </c>
      <c r="D485" s="12"/>
      <c r="E485" s="12"/>
      <c r="F485" s="18" t="s">
        <v>116</v>
      </c>
      <c r="G485" s="19">
        <v>2.2200000000000002</v>
      </c>
      <c r="H485" s="19"/>
      <c r="I485" s="19">
        <v>1471.3610000000001</v>
      </c>
      <c r="J485" s="21">
        <v>80</v>
      </c>
      <c r="M485" s="22">
        <f t="shared" si="28"/>
        <v>117708.88</v>
      </c>
      <c r="P485" s="21">
        <v>80</v>
      </c>
      <c r="S485" s="22">
        <f t="shared" si="29"/>
        <v>117708.88</v>
      </c>
      <c r="V485" s="9">
        <f t="shared" si="30"/>
        <v>66.67</v>
      </c>
      <c r="Y485" s="9">
        <f t="shared" si="27"/>
        <v>98090.73</v>
      </c>
      <c r="AD485" s="4" t="s">
        <v>1925</v>
      </c>
      <c r="AE485" s="4" t="s">
        <v>1926</v>
      </c>
      <c r="AF485" s="4" t="s">
        <v>1852</v>
      </c>
    </row>
    <row r="486" spans="1:35" ht="36" x14ac:dyDescent="0.3">
      <c r="A486" s="10" t="s">
        <v>1927</v>
      </c>
      <c r="B486" s="10"/>
      <c r="C486" s="17" t="s">
        <v>1928</v>
      </c>
      <c r="D486" s="12"/>
      <c r="E486" s="12"/>
      <c r="F486" s="18" t="s">
        <v>87</v>
      </c>
      <c r="G486" s="19">
        <v>13.5</v>
      </c>
      <c r="H486" s="19"/>
      <c r="I486" s="19">
        <v>8947.4629999999997</v>
      </c>
      <c r="J486" s="21">
        <v>32.950000000000003</v>
      </c>
      <c r="M486" s="22">
        <f t="shared" si="28"/>
        <v>294818.90999999997</v>
      </c>
      <c r="P486" s="21">
        <v>32.950000000000003</v>
      </c>
      <c r="S486" s="22">
        <f t="shared" si="29"/>
        <v>294818.90999999997</v>
      </c>
      <c r="V486" s="9">
        <f t="shared" si="30"/>
        <v>27.46</v>
      </c>
      <c r="Y486" s="9">
        <f t="shared" si="27"/>
        <v>245682.43</v>
      </c>
      <c r="AD486" s="4" t="s">
        <v>1929</v>
      </c>
      <c r="AE486" s="4" t="s">
        <v>1930</v>
      </c>
      <c r="AF486" s="4" t="s">
        <v>1931</v>
      </c>
    </row>
    <row r="487" spans="1:35" ht="18" x14ac:dyDescent="0.3">
      <c r="A487" s="10" t="s">
        <v>1932</v>
      </c>
      <c r="B487" s="10"/>
      <c r="C487" s="24" t="s">
        <v>1933</v>
      </c>
      <c r="D487" s="12"/>
      <c r="E487" s="12"/>
      <c r="F487" s="18" t="s">
        <v>116</v>
      </c>
      <c r="G487" s="19">
        <v>33.75</v>
      </c>
      <c r="H487" s="19"/>
      <c r="I487" s="19">
        <v>22368.655999999999</v>
      </c>
      <c r="J487" s="21">
        <v>0.9</v>
      </c>
      <c r="M487" s="22">
        <f t="shared" si="28"/>
        <v>20131.79</v>
      </c>
      <c r="P487" s="21">
        <v>0.9</v>
      </c>
      <c r="S487" s="22">
        <f t="shared" si="29"/>
        <v>20131.79</v>
      </c>
      <c r="V487" s="9">
        <f t="shared" si="30"/>
        <v>0.75</v>
      </c>
      <c r="Y487" s="9">
        <f t="shared" si="27"/>
        <v>16776.490000000002</v>
      </c>
      <c r="AD487" s="4" t="s">
        <v>1934</v>
      </c>
      <c r="AE487" s="4" t="s">
        <v>1935</v>
      </c>
      <c r="AF487" s="4" t="s">
        <v>1936</v>
      </c>
    </row>
    <row r="488" spans="1:35" ht="36" x14ac:dyDescent="0.3">
      <c r="A488" s="10" t="s">
        <v>1937</v>
      </c>
      <c r="B488" s="10"/>
      <c r="C488" s="24" t="s">
        <v>1767</v>
      </c>
      <c r="D488" s="12"/>
      <c r="E488" s="12"/>
      <c r="F488" s="18" t="s">
        <v>64</v>
      </c>
      <c r="G488" s="19">
        <v>2.1</v>
      </c>
      <c r="H488" s="19"/>
      <c r="I488" s="19">
        <v>1391.828</v>
      </c>
      <c r="J488" s="21">
        <v>135.53</v>
      </c>
      <c r="M488" s="22">
        <f t="shared" si="28"/>
        <v>188634.45</v>
      </c>
      <c r="P488" s="21">
        <v>135.53</v>
      </c>
      <c r="S488" s="22">
        <f t="shared" si="29"/>
        <v>188634.45</v>
      </c>
      <c r="V488" s="9">
        <f t="shared" si="30"/>
        <v>112.94</v>
      </c>
      <c r="Y488" s="9">
        <f t="shared" si="27"/>
        <v>157195.38</v>
      </c>
      <c r="AD488" s="4" t="s">
        <v>1938</v>
      </c>
      <c r="AE488" s="4" t="s">
        <v>1939</v>
      </c>
      <c r="AF488" s="4" t="s">
        <v>1770</v>
      </c>
    </row>
    <row r="489" spans="1:35" ht="18" x14ac:dyDescent="0.3">
      <c r="A489" s="10" t="s">
        <v>1940</v>
      </c>
      <c r="B489" s="10"/>
      <c r="C489" s="24" t="s">
        <v>1774</v>
      </c>
      <c r="D489" s="12"/>
      <c r="E489" s="12"/>
      <c r="F489" s="18" t="s">
        <v>116</v>
      </c>
      <c r="G489" s="19">
        <v>0.6</v>
      </c>
      <c r="H489" s="19"/>
      <c r="I489" s="19">
        <v>397.66500000000002</v>
      </c>
      <c r="J489" s="21">
        <v>119.25</v>
      </c>
      <c r="M489" s="22">
        <f t="shared" si="28"/>
        <v>47421.55</v>
      </c>
      <c r="P489" s="21">
        <v>119.25</v>
      </c>
      <c r="S489" s="22">
        <f t="shared" si="29"/>
        <v>47421.55</v>
      </c>
      <c r="V489" s="9">
        <f t="shared" si="30"/>
        <v>99.38</v>
      </c>
      <c r="Y489" s="9">
        <f t="shared" si="27"/>
        <v>39517.96</v>
      </c>
      <c r="AD489" s="4" t="s">
        <v>1941</v>
      </c>
      <c r="AE489" s="4" t="s">
        <v>1942</v>
      </c>
      <c r="AF489" s="4" t="s">
        <v>1777</v>
      </c>
    </row>
    <row r="490" spans="1:35" ht="16.95" customHeight="1" x14ac:dyDescent="0.3">
      <c r="A490" s="10" t="s">
        <v>1943</v>
      </c>
      <c r="B490" s="10" t="s">
        <v>1944</v>
      </c>
      <c r="C490" s="352" t="s">
        <v>1945</v>
      </c>
      <c r="D490" s="353"/>
      <c r="E490" s="353"/>
      <c r="F490" s="353"/>
      <c r="G490" s="353"/>
      <c r="H490" s="353"/>
      <c r="I490" s="354"/>
      <c r="M490" s="6">
        <f>SUM(M491,M493)</f>
        <v>1119590.1000000001</v>
      </c>
      <c r="N490" s="6">
        <f>SUM(N491,N493)</f>
        <v>142186</v>
      </c>
      <c r="O490" s="6">
        <f>SUM(O491,O493)</f>
        <v>1261776.1000000001</v>
      </c>
      <c r="S490" s="6">
        <f>SUM(S491,S493)</f>
        <v>2711160</v>
      </c>
      <c r="T490" s="6">
        <f>SUM(T491,T493)</f>
        <v>698900</v>
      </c>
      <c r="U490" s="6">
        <f>SUM(U491,U493)</f>
        <v>3410060</v>
      </c>
      <c r="Y490" s="9">
        <f>SUM(Y491,Y493)</f>
        <v>2259300</v>
      </c>
      <c r="Z490" s="9">
        <f>SUM(Z491,Z493)</f>
        <v>582416.67000000004</v>
      </c>
      <c r="AA490" s="9">
        <f>SUM(AA491,AA493)</f>
        <v>2841716.67</v>
      </c>
      <c r="AD490" s="4">
        <v>298925336</v>
      </c>
      <c r="AE490" s="4">
        <v>19996215</v>
      </c>
    </row>
    <row r="491" spans="1:35" ht="36" x14ac:dyDescent="0.3">
      <c r="A491" s="10" t="s">
        <v>1946</v>
      </c>
      <c r="B491" s="10" t="s">
        <v>1947</v>
      </c>
      <c r="C491" s="11" t="s">
        <v>1948</v>
      </c>
      <c r="D491" s="12"/>
      <c r="E491" s="12" t="s">
        <v>1949</v>
      </c>
      <c r="F491" s="12" t="s">
        <v>116</v>
      </c>
      <c r="G491" s="13">
        <v>1</v>
      </c>
      <c r="H491" s="13"/>
      <c r="I491" s="13">
        <v>7</v>
      </c>
      <c r="J491" s="14">
        <f>IFERROR(ROUND(SUM(M492)/I491, 2),0)</f>
        <v>16710.3</v>
      </c>
      <c r="K491" s="15">
        <v>2458</v>
      </c>
      <c r="L491" s="14">
        <f>J491+ROUND(K491, 2)</f>
        <v>19168.3</v>
      </c>
      <c r="M491" s="14">
        <f>ROUND(J491*I491, 2)</f>
        <v>116972.1</v>
      </c>
      <c r="N491" s="14">
        <f>ROUND(I491*ROUND(K491, 2), 2)</f>
        <v>17206</v>
      </c>
      <c r="O491" s="14">
        <f>M491+N491</f>
        <v>134178.1</v>
      </c>
      <c r="P491" s="14">
        <f>IFERROR(ROUND(SUM(S492)/I491, 2),0)</f>
        <v>151920</v>
      </c>
      <c r="Q491" s="15">
        <v>22700</v>
      </c>
      <c r="R491" s="14">
        <f>P491+ROUND(Q491, 2)</f>
        <v>174620</v>
      </c>
      <c r="S491" s="14">
        <f>ROUND(P491*I491, 2)</f>
        <v>1063440</v>
      </c>
      <c r="T491" s="14">
        <f>ROUND(I491*ROUND(Q491, 2), 2)</f>
        <v>158900</v>
      </c>
      <c r="U491" s="14">
        <f>S491+T491</f>
        <v>1222340</v>
      </c>
      <c r="V491" s="9">
        <f>ROUND(P491 / 1.2, 2)</f>
        <v>126600</v>
      </c>
      <c r="W491" s="9">
        <f>ROUND(Q491 / 1.2, 2)</f>
        <v>18916.669999999998</v>
      </c>
      <c r="X491" s="9">
        <f>ROUND(R491 / 1.2, 2)</f>
        <v>145516.67000000001</v>
      </c>
      <c r="Y491" s="9">
        <f>ROUND(S491 / 1.2, 2)</f>
        <v>886200</v>
      </c>
      <c r="Z491" s="9">
        <f>ROUND(T491 / 1.2, 2)</f>
        <v>132416.67000000001</v>
      </c>
      <c r="AA491" s="9">
        <f>Y491+Z491</f>
        <v>1018616.67</v>
      </c>
      <c r="AD491" s="4">
        <v>298925338</v>
      </c>
      <c r="AE491" s="4">
        <v>19996218</v>
      </c>
      <c r="AG491" s="4" t="s">
        <v>1950</v>
      </c>
      <c r="AH491" s="4" t="s">
        <v>1951</v>
      </c>
      <c r="AI491" s="4" t="s">
        <v>67</v>
      </c>
    </row>
    <row r="492" spans="1:35" ht="108" x14ac:dyDescent="0.3">
      <c r="A492" s="10" t="s">
        <v>1952</v>
      </c>
      <c r="B492" s="10"/>
      <c r="C492" s="24" t="s">
        <v>1953</v>
      </c>
      <c r="D492" s="12"/>
      <c r="E492" s="12" t="s">
        <v>1954</v>
      </c>
      <c r="F492" s="18" t="s">
        <v>116</v>
      </c>
      <c r="G492" s="19">
        <v>1</v>
      </c>
      <c r="H492" s="20"/>
      <c r="I492" s="20">
        <v>7</v>
      </c>
      <c r="J492" s="21">
        <v>16710.3</v>
      </c>
      <c r="M492" s="22">
        <f>ROUND(ROUND(J492, 2)*I492, 2)</f>
        <v>116972.1</v>
      </c>
      <c r="P492" s="21">
        <v>151920</v>
      </c>
      <c r="S492" s="22">
        <f>ROUND(ROUND(P492, 2)*I492, 2)</f>
        <v>1063440</v>
      </c>
      <c r="V492" s="9">
        <f>ROUND(ROUND(P492, 2)/1.2, 2)</f>
        <v>126600</v>
      </c>
      <c r="Y492" s="9">
        <f>ROUND(S492 / 1.2, 2)</f>
        <v>886200</v>
      </c>
      <c r="AD492" s="4" t="s">
        <v>1955</v>
      </c>
      <c r="AE492" s="4" t="s">
        <v>1956</v>
      </c>
      <c r="AF492" s="4" t="s">
        <v>1957</v>
      </c>
    </row>
    <row r="493" spans="1:35" ht="36" x14ac:dyDescent="0.3">
      <c r="A493" s="10" t="s">
        <v>1958</v>
      </c>
      <c r="B493" s="10" t="s">
        <v>1959</v>
      </c>
      <c r="C493" s="11" t="s">
        <v>1960</v>
      </c>
      <c r="D493" s="12"/>
      <c r="E493" s="12" t="s">
        <v>1961</v>
      </c>
      <c r="F493" s="12" t="s">
        <v>116</v>
      </c>
      <c r="G493" s="13">
        <v>1</v>
      </c>
      <c r="H493" s="13"/>
      <c r="I493" s="13">
        <v>60</v>
      </c>
      <c r="J493" s="14">
        <f>IFERROR(ROUND(SUM(M494)/I493, 2),0)</f>
        <v>16710.3</v>
      </c>
      <c r="K493" s="15">
        <v>2083</v>
      </c>
      <c r="L493" s="14">
        <f>J493+ROUND(K493, 2)</f>
        <v>18793.3</v>
      </c>
      <c r="M493" s="14">
        <f>ROUND(J493*I493, 2)</f>
        <v>1002618</v>
      </c>
      <c r="N493" s="14">
        <f>ROUND(I493*ROUND(K493, 2), 2)</f>
        <v>124980</v>
      </c>
      <c r="O493" s="14">
        <f>M493+N493</f>
        <v>1127598</v>
      </c>
      <c r="P493" s="14">
        <f>IFERROR(ROUND(SUM(S494)/I493, 2),0)</f>
        <v>27462</v>
      </c>
      <c r="Q493" s="15">
        <v>9000</v>
      </c>
      <c r="R493" s="14">
        <f>P493+ROUND(Q493, 2)</f>
        <v>36462</v>
      </c>
      <c r="S493" s="14">
        <f>ROUND(P493*I493, 2)</f>
        <v>1647720</v>
      </c>
      <c r="T493" s="14">
        <f>ROUND(I493*ROUND(Q493, 2), 2)</f>
        <v>540000</v>
      </c>
      <c r="U493" s="14">
        <f>S493+T493</f>
        <v>2187720</v>
      </c>
      <c r="V493" s="9">
        <f>ROUND(P493 / 1.2, 2)</f>
        <v>22885</v>
      </c>
      <c r="W493" s="9">
        <f>ROUND(Q493 / 1.2, 2)</f>
        <v>7500</v>
      </c>
      <c r="X493" s="9">
        <f>ROUND(R493 / 1.2, 2)</f>
        <v>30385</v>
      </c>
      <c r="Y493" s="9">
        <f>ROUND(S493 / 1.2, 2)</f>
        <v>1373100</v>
      </c>
      <c r="Z493" s="9">
        <f>ROUND(T493 / 1.2, 2)</f>
        <v>450000</v>
      </c>
      <c r="AA493" s="9">
        <f>Y493+Z493</f>
        <v>1823100</v>
      </c>
      <c r="AD493" s="4">
        <v>298925339</v>
      </c>
      <c r="AE493" s="4">
        <v>19996219</v>
      </c>
      <c r="AG493" s="4" t="s">
        <v>1962</v>
      </c>
      <c r="AH493" s="4" t="s">
        <v>1963</v>
      </c>
      <c r="AI493" s="4" t="s">
        <v>67</v>
      </c>
    </row>
    <row r="494" spans="1:35" ht="144" x14ac:dyDescent="0.3">
      <c r="A494" s="10" t="s">
        <v>1964</v>
      </c>
      <c r="B494" s="10"/>
      <c r="C494" s="24" t="s">
        <v>1965</v>
      </c>
      <c r="D494" s="12"/>
      <c r="E494" s="12" t="s">
        <v>1966</v>
      </c>
      <c r="F494" s="18" t="s">
        <v>116</v>
      </c>
      <c r="G494" s="19">
        <v>1</v>
      </c>
      <c r="H494" s="20"/>
      <c r="I494" s="20">
        <v>60</v>
      </c>
      <c r="J494" s="21">
        <v>16710.3</v>
      </c>
      <c r="M494" s="22">
        <f>ROUND(ROUND(J494, 2)*I494, 2)</f>
        <v>1002618</v>
      </c>
      <c r="P494" s="21">
        <v>27462</v>
      </c>
      <c r="S494" s="22">
        <f>ROUND(ROUND(P494, 2)*I494, 2)</f>
        <v>1647720</v>
      </c>
      <c r="V494" s="9">
        <f>ROUND(ROUND(P494, 2)/1.2, 2)</f>
        <v>22885</v>
      </c>
      <c r="Y494" s="9">
        <f>ROUND(S494 / 1.2, 2)</f>
        <v>1373100</v>
      </c>
      <c r="AD494" s="4" t="s">
        <v>1967</v>
      </c>
      <c r="AE494" s="4" t="s">
        <v>1968</v>
      </c>
      <c r="AF494" s="4" t="s">
        <v>1969</v>
      </c>
    </row>
    <row r="495" spans="1:35" ht="16.95" customHeight="1" x14ac:dyDescent="0.3">
      <c r="A495" s="10" t="s">
        <v>1970</v>
      </c>
      <c r="B495" s="10" t="s">
        <v>1971</v>
      </c>
      <c r="C495" s="352" t="s">
        <v>1972</v>
      </c>
      <c r="D495" s="353"/>
      <c r="E495" s="353"/>
      <c r="F495" s="353"/>
      <c r="G495" s="353"/>
      <c r="H495" s="353"/>
      <c r="I495" s="354"/>
      <c r="M495" s="6">
        <f>SUM(M496,M512)</f>
        <v>726549.21</v>
      </c>
      <c r="N495" s="6">
        <f>SUM(N496,N512)</f>
        <v>11035123.120000001</v>
      </c>
      <c r="O495" s="6">
        <f>SUM(O496,O512)</f>
        <v>11761672.330000002</v>
      </c>
      <c r="S495" s="6">
        <f>SUM(S496,S512)</f>
        <v>1075636.0899999999</v>
      </c>
      <c r="T495" s="6">
        <f>SUM(T496,T512)</f>
        <v>11035123.120000001</v>
      </c>
      <c r="U495" s="6">
        <f>SUM(U496,U512)</f>
        <v>12110759.210000001</v>
      </c>
      <c r="Y495" s="9">
        <f>SUM(Y496,Y512)</f>
        <v>896363.44</v>
      </c>
      <c r="Z495" s="9">
        <f>SUM(Z496,Z512)</f>
        <v>9195935.9100000001</v>
      </c>
      <c r="AA495" s="9">
        <f>SUM(AA496,AA512)</f>
        <v>10092299.350000001</v>
      </c>
      <c r="AD495" s="4">
        <v>298925340</v>
      </c>
      <c r="AE495" s="4">
        <v>16230868</v>
      </c>
    </row>
    <row r="496" spans="1:35" ht="16.95" customHeight="1" x14ac:dyDescent="0.3">
      <c r="A496" s="10" t="s">
        <v>1973</v>
      </c>
      <c r="B496" s="10" t="s">
        <v>1974</v>
      </c>
      <c r="C496" s="352" t="s">
        <v>1975</v>
      </c>
      <c r="D496" s="353"/>
      <c r="E496" s="353"/>
      <c r="F496" s="353"/>
      <c r="G496" s="353"/>
      <c r="H496" s="353"/>
      <c r="I496" s="354"/>
      <c r="M496" s="6">
        <f>SUM(M497,M500,M503,M506,M509)</f>
        <v>647882</v>
      </c>
      <c r="N496" s="6">
        <f>SUM(N497,N500,N503,N506,N509)</f>
        <v>8293286.8000000007</v>
      </c>
      <c r="O496" s="6">
        <f>SUM(O497,O500,O503,O506,O509)</f>
        <v>8941168.8000000007</v>
      </c>
      <c r="S496" s="6">
        <f>SUM(S497,S500,S503,S506,S509)</f>
        <v>647882</v>
      </c>
      <c r="T496" s="6">
        <f>SUM(T497,T500,T503,T506,T509)</f>
        <v>8293286.8000000007</v>
      </c>
      <c r="U496" s="6">
        <f>SUM(U497,U500,U503,U506,U509)</f>
        <v>8941168.8000000007</v>
      </c>
      <c r="Y496" s="9">
        <f>SUM(Y497,Y500,Y503,Y506,Y509)</f>
        <v>539901.66999999993</v>
      </c>
      <c r="Z496" s="9">
        <f>SUM(Z497,Z500,Z503,Z506,Z509)</f>
        <v>6911072.3300000001</v>
      </c>
      <c r="AA496" s="9">
        <f>SUM(AA497,AA500,AA503,AA506,AA509)</f>
        <v>7450974.0000000009</v>
      </c>
      <c r="AD496" s="4">
        <v>298925341</v>
      </c>
      <c r="AE496" s="4">
        <v>16230873</v>
      </c>
    </row>
    <row r="497" spans="1:35" ht="54" x14ac:dyDescent="0.3">
      <c r="A497" s="10" t="s">
        <v>1976</v>
      </c>
      <c r="B497" s="10" t="s">
        <v>1977</v>
      </c>
      <c r="C497" s="11" t="s">
        <v>1978</v>
      </c>
      <c r="D497" s="12"/>
      <c r="E497" s="12" t="s">
        <v>63</v>
      </c>
      <c r="F497" s="12" t="s">
        <v>64</v>
      </c>
      <c r="G497" s="13">
        <v>1</v>
      </c>
      <c r="H497" s="13"/>
      <c r="I497" s="13">
        <v>0</v>
      </c>
      <c r="J497" s="14">
        <f>IFERROR(ROUND(SUM(M498,M499)/I497, 2),0)</f>
        <v>0</v>
      </c>
      <c r="K497" s="15">
        <v>570</v>
      </c>
      <c r="L497" s="14">
        <f>J497+ROUND(K497, 2)</f>
        <v>570</v>
      </c>
      <c r="M497" s="14">
        <f>ROUND(J497*I497, 2)</f>
        <v>0</v>
      </c>
      <c r="N497" s="14">
        <f>ROUND(I497*ROUND(K497, 2), 2)</f>
        <v>0</v>
      </c>
      <c r="O497" s="14">
        <f>M497+N497</f>
        <v>0</v>
      </c>
      <c r="P497" s="14">
        <f>IFERROR(ROUND(SUM(S498,S499)/I497, 2),0)</f>
        <v>0</v>
      </c>
      <c r="Q497" s="15">
        <v>570</v>
      </c>
      <c r="R497" s="14">
        <f>P497+ROUND(Q497, 2)</f>
        <v>570</v>
      </c>
      <c r="S497" s="14">
        <f>ROUND(P497*I497, 2)</f>
        <v>0</v>
      </c>
      <c r="T497" s="14">
        <f>ROUND(I497*ROUND(Q497, 2), 2)</f>
        <v>0</v>
      </c>
      <c r="U497" s="14">
        <f>S497+T497</f>
        <v>0</v>
      </c>
      <c r="V497" s="9">
        <f>ROUND(P497 / 1.2, 2)</f>
        <v>0</v>
      </c>
      <c r="W497" s="9">
        <f>ROUND(Q497 / 1.2, 2)</f>
        <v>475</v>
      </c>
      <c r="X497" s="9">
        <f>ROUND(R497 / 1.2, 2)</f>
        <v>475</v>
      </c>
      <c r="Y497" s="9">
        <f>ROUND(S497 / 1.2, 2)</f>
        <v>0</v>
      </c>
      <c r="Z497" s="9">
        <f>ROUND(T497 / 1.2, 2)</f>
        <v>0</v>
      </c>
      <c r="AA497" s="9">
        <f>Y497+Z497</f>
        <v>0</v>
      </c>
      <c r="AD497" s="4">
        <v>298925343</v>
      </c>
      <c r="AE497" s="4">
        <v>16230872</v>
      </c>
      <c r="AG497" s="4" t="s">
        <v>1979</v>
      </c>
      <c r="AH497" s="4" t="s">
        <v>1980</v>
      </c>
      <c r="AI497" s="4" t="s">
        <v>67</v>
      </c>
    </row>
    <row r="498" spans="1:35" ht="72" x14ac:dyDescent="0.3">
      <c r="A498" s="10" t="s">
        <v>1982</v>
      </c>
      <c r="B498" s="10"/>
      <c r="C498" s="17" t="s">
        <v>1983</v>
      </c>
      <c r="D498" s="12"/>
      <c r="E498" s="12" t="s">
        <v>1984</v>
      </c>
      <c r="F498" s="18" t="s">
        <v>70</v>
      </c>
      <c r="G498" s="19">
        <v>4.5</v>
      </c>
      <c r="H498" s="19"/>
      <c r="I498" s="19">
        <v>0</v>
      </c>
      <c r="J498" s="21">
        <v>12.58</v>
      </c>
      <c r="M498" s="22">
        <f>ROUND(ROUND(J498, 2)*I498, 2)</f>
        <v>0</v>
      </c>
      <c r="P498" s="21">
        <v>12.58</v>
      </c>
      <c r="S498" s="22">
        <f>ROUND(ROUND(P498, 2)*I498, 2)</f>
        <v>0</v>
      </c>
      <c r="V498" s="9">
        <f>ROUND(ROUND(P498, 2)/1.2, 2)</f>
        <v>10.48</v>
      </c>
      <c r="Y498" s="9">
        <f t="shared" ref="Y498:Y511" si="31">ROUND(S498 / 1.2, 2)</f>
        <v>0</v>
      </c>
      <c r="AD498" s="4" t="s">
        <v>1985</v>
      </c>
      <c r="AE498" s="4" t="s">
        <v>1986</v>
      </c>
      <c r="AF498" s="4" t="s">
        <v>1987</v>
      </c>
    </row>
    <row r="499" spans="1:35" ht="18" x14ac:dyDescent="0.3">
      <c r="A499" s="10" t="s">
        <v>1990</v>
      </c>
      <c r="B499" s="10"/>
      <c r="C499" s="24" t="s">
        <v>760</v>
      </c>
      <c r="D499" s="12"/>
      <c r="E499" s="12"/>
      <c r="F499" s="18" t="s">
        <v>70</v>
      </c>
      <c r="G499" s="19">
        <v>0.15</v>
      </c>
      <c r="H499" s="19"/>
      <c r="I499" s="19">
        <v>0</v>
      </c>
      <c r="J499" s="21">
        <v>100</v>
      </c>
      <c r="M499" s="22">
        <f>ROUND(ROUND(J499, 2)*I499, 2)</f>
        <v>0</v>
      </c>
      <c r="P499" s="21">
        <v>100</v>
      </c>
      <c r="S499" s="22">
        <f>ROUND(ROUND(P499, 2)*I499, 2)</f>
        <v>0</v>
      </c>
      <c r="V499" s="9">
        <f>ROUND(ROUND(P499, 2)/1.2, 2)</f>
        <v>83.33</v>
      </c>
      <c r="Y499" s="9">
        <f t="shared" si="31"/>
        <v>0</v>
      </c>
      <c r="AD499" s="4" t="s">
        <v>1991</v>
      </c>
      <c r="AE499" s="4" t="s">
        <v>1992</v>
      </c>
      <c r="AF499" s="4" t="s">
        <v>763</v>
      </c>
    </row>
    <row r="500" spans="1:35" ht="126" x14ac:dyDescent="0.3">
      <c r="A500" s="10" t="s">
        <v>1995</v>
      </c>
      <c r="B500" s="10" t="s">
        <v>1996</v>
      </c>
      <c r="C500" s="11" t="s">
        <v>1997</v>
      </c>
      <c r="D500" s="12"/>
      <c r="E500" s="12" t="s">
        <v>1998</v>
      </c>
      <c r="F500" s="12" t="s">
        <v>64</v>
      </c>
      <c r="G500" s="13">
        <v>1</v>
      </c>
      <c r="H500" s="13"/>
      <c r="I500" s="13">
        <v>2789.37</v>
      </c>
      <c r="J500" s="14">
        <f>IFERROR(ROUND(SUM(M501,M502)/I500, 2),0)</f>
        <v>69.319999999999993</v>
      </c>
      <c r="K500" s="15">
        <v>790</v>
      </c>
      <c r="L500" s="14">
        <f>J500+ROUND(K500, 2)</f>
        <v>859.31999999999994</v>
      </c>
      <c r="M500" s="14">
        <f>ROUND(J500*I500, 2)</f>
        <v>193359.13</v>
      </c>
      <c r="N500" s="14">
        <f>ROUND(I500*ROUND(K500, 2), 2)</f>
        <v>2203602.2999999998</v>
      </c>
      <c r="O500" s="14">
        <f>M500+N500</f>
        <v>2396961.4299999997</v>
      </c>
      <c r="P500" s="14">
        <f>IFERROR(ROUND(SUM(S501,S502)/I500, 2),0)</f>
        <v>69.319999999999993</v>
      </c>
      <c r="Q500" s="15">
        <v>790</v>
      </c>
      <c r="R500" s="14">
        <f>P500+ROUND(Q500, 2)</f>
        <v>859.31999999999994</v>
      </c>
      <c r="S500" s="14">
        <f>ROUND(P500*I500, 2)</f>
        <v>193359.13</v>
      </c>
      <c r="T500" s="14">
        <f>ROUND(I500*ROUND(Q500, 2), 2)</f>
        <v>2203602.2999999998</v>
      </c>
      <c r="U500" s="14">
        <f>S500+T500</f>
        <v>2396961.4299999997</v>
      </c>
      <c r="V500" s="9">
        <f>ROUND(P500 / 1.2, 2)</f>
        <v>57.77</v>
      </c>
      <c r="W500" s="9">
        <f>ROUND(Q500 / 1.2, 2)</f>
        <v>658.33</v>
      </c>
      <c r="X500" s="9">
        <f>ROUND(R500 / 1.2, 2)</f>
        <v>716.1</v>
      </c>
      <c r="Y500" s="9">
        <f t="shared" si="31"/>
        <v>161132.60999999999</v>
      </c>
      <c r="Z500" s="9">
        <f>ROUND(T500 / 1.2, 2)</f>
        <v>1836335.25</v>
      </c>
      <c r="AA500" s="9">
        <f>Y500+Z500</f>
        <v>1997467.8599999999</v>
      </c>
      <c r="AD500" s="4">
        <v>298925345</v>
      </c>
      <c r="AE500" s="4">
        <v>16680701</v>
      </c>
      <c r="AG500" s="4" t="s">
        <v>1999</v>
      </c>
      <c r="AH500" s="4" t="s">
        <v>2000</v>
      </c>
      <c r="AI500" s="4" t="s">
        <v>67</v>
      </c>
    </row>
    <row r="501" spans="1:35" ht="36" x14ac:dyDescent="0.3">
      <c r="A501" s="10" t="s">
        <v>2001</v>
      </c>
      <c r="B501" s="10"/>
      <c r="C501" s="17" t="s">
        <v>736</v>
      </c>
      <c r="D501" s="12"/>
      <c r="E501" s="12"/>
      <c r="F501" s="18" t="s">
        <v>70</v>
      </c>
      <c r="G501" s="19">
        <v>4.5</v>
      </c>
      <c r="H501" s="19"/>
      <c r="I501" s="19">
        <v>12552.165000000001</v>
      </c>
      <c r="J501" s="21">
        <v>12.07</v>
      </c>
      <c r="M501" s="22">
        <f>ROUND(ROUND(J501, 2)*I501, 2)</f>
        <v>151504.63</v>
      </c>
      <c r="P501" s="21">
        <v>12.07</v>
      </c>
      <c r="S501" s="22">
        <f>ROUND(ROUND(P501, 2)*I501, 2)</f>
        <v>151504.63</v>
      </c>
      <c r="V501" s="9">
        <f>ROUND(ROUND(P501, 2)/1.2, 2)</f>
        <v>10.06</v>
      </c>
      <c r="Y501" s="9">
        <f t="shared" si="31"/>
        <v>126253.86</v>
      </c>
      <c r="AD501" s="4" t="s">
        <v>2002</v>
      </c>
      <c r="AE501" s="4" t="s">
        <v>2003</v>
      </c>
      <c r="AF501" s="4" t="s">
        <v>739</v>
      </c>
    </row>
    <row r="502" spans="1:35" ht="18" x14ac:dyDescent="0.3">
      <c r="A502" s="10" t="s">
        <v>2004</v>
      </c>
      <c r="B502" s="10"/>
      <c r="C502" s="24" t="s">
        <v>760</v>
      </c>
      <c r="D502" s="12"/>
      <c r="E502" s="12"/>
      <c r="F502" s="18" t="s">
        <v>70</v>
      </c>
      <c r="G502" s="19">
        <v>0.15</v>
      </c>
      <c r="H502" s="19"/>
      <c r="I502" s="19">
        <v>418.40600000000001</v>
      </c>
      <c r="J502" s="21">
        <v>100</v>
      </c>
      <c r="M502" s="22">
        <f>ROUND(ROUND(J502, 2)*I502, 2)</f>
        <v>41840.6</v>
      </c>
      <c r="P502" s="21">
        <v>100</v>
      </c>
      <c r="S502" s="22">
        <f>ROUND(ROUND(P502, 2)*I502, 2)</f>
        <v>41840.6</v>
      </c>
      <c r="V502" s="9">
        <f>ROUND(ROUND(P502, 2)/1.2, 2)</f>
        <v>83.33</v>
      </c>
      <c r="Y502" s="9">
        <f t="shared" si="31"/>
        <v>34867.17</v>
      </c>
      <c r="AD502" s="4" t="s">
        <v>2005</v>
      </c>
      <c r="AE502" s="4" t="s">
        <v>2006</v>
      </c>
      <c r="AF502" s="4" t="s">
        <v>763</v>
      </c>
    </row>
    <row r="503" spans="1:35" ht="126" x14ac:dyDescent="0.3">
      <c r="A503" s="10" t="s">
        <v>2007</v>
      </c>
      <c r="B503" s="10" t="s">
        <v>1996</v>
      </c>
      <c r="C503" s="11" t="s">
        <v>1997</v>
      </c>
      <c r="D503" s="12"/>
      <c r="E503" s="12" t="s">
        <v>2008</v>
      </c>
      <c r="F503" s="12" t="s">
        <v>64</v>
      </c>
      <c r="G503" s="13">
        <v>1</v>
      </c>
      <c r="H503" s="13"/>
      <c r="I503" s="13">
        <v>3418.18</v>
      </c>
      <c r="J503" s="14">
        <f>IFERROR(ROUND(SUM(M504,M505)/I503, 2),0)</f>
        <v>69.319999999999993</v>
      </c>
      <c r="K503" s="15">
        <v>790</v>
      </c>
      <c r="L503" s="14">
        <f>J503+ROUND(K503, 2)</f>
        <v>859.31999999999994</v>
      </c>
      <c r="M503" s="14">
        <f>ROUND(J503*I503, 2)</f>
        <v>236948.24</v>
      </c>
      <c r="N503" s="14">
        <f>ROUND(I503*ROUND(K503, 2), 2)</f>
        <v>2700362.2</v>
      </c>
      <c r="O503" s="14">
        <f>M503+N503</f>
        <v>2937310.4400000004</v>
      </c>
      <c r="P503" s="14">
        <f>IFERROR(ROUND(SUM(S504,S505)/I503, 2),0)</f>
        <v>69.319999999999993</v>
      </c>
      <c r="Q503" s="15">
        <v>790</v>
      </c>
      <c r="R503" s="14">
        <f>P503+ROUND(Q503, 2)</f>
        <v>859.31999999999994</v>
      </c>
      <c r="S503" s="14">
        <f>ROUND(P503*I503, 2)</f>
        <v>236948.24</v>
      </c>
      <c r="T503" s="14">
        <f>ROUND(I503*ROUND(Q503, 2), 2)</f>
        <v>2700362.2</v>
      </c>
      <c r="U503" s="14">
        <f>S503+T503</f>
        <v>2937310.4400000004</v>
      </c>
      <c r="V503" s="9">
        <f>ROUND(P503 / 1.2, 2)</f>
        <v>57.77</v>
      </c>
      <c r="W503" s="9">
        <f>ROUND(Q503 / 1.2, 2)</f>
        <v>658.33</v>
      </c>
      <c r="X503" s="9">
        <f>ROUND(R503 / 1.2, 2)</f>
        <v>716.1</v>
      </c>
      <c r="Y503" s="9">
        <f t="shared" si="31"/>
        <v>197456.87</v>
      </c>
      <c r="Z503" s="9">
        <f>ROUND(T503 / 1.2, 2)</f>
        <v>2250301.83</v>
      </c>
      <c r="AA503" s="9">
        <f>Y503+Z503</f>
        <v>2447758.7000000002</v>
      </c>
      <c r="AD503" s="4">
        <v>298925445</v>
      </c>
      <c r="AE503" s="4">
        <v>19997129</v>
      </c>
      <c r="AG503" s="4" t="s">
        <v>1999</v>
      </c>
      <c r="AH503" s="4" t="s">
        <v>2000</v>
      </c>
      <c r="AI503" s="4" t="s">
        <v>67</v>
      </c>
    </row>
    <row r="504" spans="1:35" ht="18" x14ac:dyDescent="0.3">
      <c r="A504" s="10" t="s">
        <v>2009</v>
      </c>
      <c r="B504" s="10"/>
      <c r="C504" s="24" t="s">
        <v>760</v>
      </c>
      <c r="D504" s="12"/>
      <c r="E504" s="12"/>
      <c r="F504" s="18" t="s">
        <v>70</v>
      </c>
      <c r="G504" s="19">
        <v>0.15</v>
      </c>
      <c r="H504" s="19"/>
      <c r="I504" s="19">
        <v>512.72699999999998</v>
      </c>
      <c r="J504" s="21">
        <v>100</v>
      </c>
      <c r="M504" s="22">
        <f>ROUND(ROUND(J504, 2)*I504, 2)</f>
        <v>51272.7</v>
      </c>
      <c r="P504" s="21">
        <v>100</v>
      </c>
      <c r="S504" s="22">
        <f>ROUND(ROUND(P504, 2)*I504, 2)</f>
        <v>51272.7</v>
      </c>
      <c r="V504" s="9">
        <f>ROUND(ROUND(P504, 2)/1.2, 2)</f>
        <v>83.33</v>
      </c>
      <c r="Y504" s="9">
        <f t="shared" si="31"/>
        <v>42727.25</v>
      </c>
      <c r="AD504" s="4" t="s">
        <v>2010</v>
      </c>
      <c r="AE504" s="4" t="s">
        <v>2011</v>
      </c>
      <c r="AF504" s="4" t="s">
        <v>763</v>
      </c>
    </row>
    <row r="505" spans="1:35" ht="36" x14ac:dyDescent="0.3">
      <c r="A505" s="10" t="s">
        <v>2012</v>
      </c>
      <c r="B505" s="10"/>
      <c r="C505" s="17" t="s">
        <v>736</v>
      </c>
      <c r="D505" s="12"/>
      <c r="E505" s="12"/>
      <c r="F505" s="18" t="s">
        <v>70</v>
      </c>
      <c r="G505" s="19">
        <v>4.5</v>
      </c>
      <c r="H505" s="19"/>
      <c r="I505" s="19">
        <v>15381.81</v>
      </c>
      <c r="J505" s="21">
        <v>12.07</v>
      </c>
      <c r="M505" s="22">
        <f>ROUND(ROUND(J505, 2)*I505, 2)</f>
        <v>185658.45</v>
      </c>
      <c r="P505" s="21">
        <v>12.07</v>
      </c>
      <c r="S505" s="22">
        <f>ROUND(ROUND(P505, 2)*I505, 2)</f>
        <v>185658.45</v>
      </c>
      <c r="V505" s="9">
        <f>ROUND(ROUND(P505, 2)/1.2, 2)</f>
        <v>10.06</v>
      </c>
      <c r="Y505" s="9">
        <f t="shared" si="31"/>
        <v>154715.38</v>
      </c>
      <c r="AD505" s="4" t="s">
        <v>2013</v>
      </c>
      <c r="AE505" s="4" t="s">
        <v>2014</v>
      </c>
      <c r="AF505" s="4" t="s">
        <v>739</v>
      </c>
    </row>
    <row r="506" spans="1:35" ht="144" x14ac:dyDescent="0.3">
      <c r="A506" s="10" t="s">
        <v>2015</v>
      </c>
      <c r="B506" s="10" t="s">
        <v>2016</v>
      </c>
      <c r="C506" s="11" t="s">
        <v>2017</v>
      </c>
      <c r="D506" s="12"/>
      <c r="E506" s="12" t="s">
        <v>2018</v>
      </c>
      <c r="F506" s="12" t="s">
        <v>64</v>
      </c>
      <c r="G506" s="13">
        <v>1</v>
      </c>
      <c r="H506" s="13"/>
      <c r="I506" s="13">
        <v>3418.18</v>
      </c>
      <c r="J506" s="14">
        <f>IFERROR(ROUND(SUM(M507,M508)/I506, 2),0)</f>
        <v>35.049999999999997</v>
      </c>
      <c r="K506" s="15">
        <v>546</v>
      </c>
      <c r="L506" s="14">
        <f>J506+ROUND(K506, 2)</f>
        <v>581.04999999999995</v>
      </c>
      <c r="M506" s="14">
        <f>ROUND(J506*I506, 2)</f>
        <v>119807.21</v>
      </c>
      <c r="N506" s="14">
        <f>ROUND(I506*ROUND(K506, 2), 2)</f>
        <v>1866326.28</v>
      </c>
      <c r="O506" s="14">
        <f>M506+N506</f>
        <v>1986133.49</v>
      </c>
      <c r="P506" s="14">
        <f>IFERROR(ROUND(SUM(S507,S508)/I506, 2),0)</f>
        <v>35.049999999999997</v>
      </c>
      <c r="Q506" s="15">
        <v>546</v>
      </c>
      <c r="R506" s="14">
        <f>P506+ROUND(Q506, 2)</f>
        <v>581.04999999999995</v>
      </c>
      <c r="S506" s="14">
        <f>ROUND(P506*I506, 2)</f>
        <v>119807.21</v>
      </c>
      <c r="T506" s="14">
        <f>ROUND(I506*ROUND(Q506, 2), 2)</f>
        <v>1866326.28</v>
      </c>
      <c r="U506" s="14">
        <f>S506+T506</f>
        <v>1986133.49</v>
      </c>
      <c r="V506" s="9">
        <f>ROUND(P506 / 1.2, 2)</f>
        <v>29.21</v>
      </c>
      <c r="W506" s="9">
        <f>ROUND(Q506 / 1.2, 2)</f>
        <v>455</v>
      </c>
      <c r="X506" s="9">
        <f>ROUND(R506 / 1.2, 2)</f>
        <v>484.21</v>
      </c>
      <c r="Y506" s="9">
        <f t="shared" si="31"/>
        <v>99839.34</v>
      </c>
      <c r="Z506" s="9">
        <f>ROUND(T506 / 1.2, 2)</f>
        <v>1555271.9</v>
      </c>
      <c r="AA506" s="9">
        <f>Y506+Z506</f>
        <v>1655111.24</v>
      </c>
      <c r="AD506" s="4">
        <v>298925346</v>
      </c>
      <c r="AE506" s="4">
        <v>19997514</v>
      </c>
      <c r="AG506" s="4" t="s">
        <v>2019</v>
      </c>
      <c r="AH506" s="4" t="s">
        <v>2020</v>
      </c>
      <c r="AI506" s="4" t="s">
        <v>67</v>
      </c>
    </row>
    <row r="507" spans="1:35" ht="54" x14ac:dyDescent="0.3">
      <c r="A507" s="10" t="s">
        <v>2021</v>
      </c>
      <c r="B507" s="10"/>
      <c r="C507" s="17" t="s">
        <v>1983</v>
      </c>
      <c r="D507" s="12"/>
      <c r="E507" s="12"/>
      <c r="F507" s="18" t="s">
        <v>70</v>
      </c>
      <c r="G507" s="19">
        <v>1.8</v>
      </c>
      <c r="H507" s="19"/>
      <c r="I507" s="19">
        <v>6152.7240000000002</v>
      </c>
      <c r="J507" s="21">
        <v>12.07</v>
      </c>
      <c r="M507" s="22">
        <f>ROUND(ROUND(J507, 2)*I507, 2)</f>
        <v>74263.38</v>
      </c>
      <c r="P507" s="21">
        <v>12.07</v>
      </c>
      <c r="S507" s="22">
        <f>ROUND(ROUND(P507, 2)*I507, 2)</f>
        <v>74263.38</v>
      </c>
      <c r="V507" s="9">
        <f>ROUND(ROUND(P507, 2)/1.2, 2)</f>
        <v>10.06</v>
      </c>
      <c r="Y507" s="9">
        <f t="shared" si="31"/>
        <v>61886.15</v>
      </c>
      <c r="AD507" s="4" t="s">
        <v>2022</v>
      </c>
      <c r="AE507" s="4" t="s">
        <v>2023</v>
      </c>
      <c r="AF507" s="4" t="s">
        <v>1987</v>
      </c>
    </row>
    <row r="508" spans="1:35" ht="36" x14ac:dyDescent="0.3">
      <c r="A508" s="10" t="s">
        <v>2024</v>
      </c>
      <c r="B508" s="10"/>
      <c r="C508" s="24" t="s">
        <v>75</v>
      </c>
      <c r="D508" s="12"/>
      <c r="E508" s="12"/>
      <c r="F508" s="18" t="s">
        <v>70</v>
      </c>
      <c r="G508" s="19">
        <v>0.15</v>
      </c>
      <c r="H508" s="19"/>
      <c r="I508" s="19">
        <v>512.72699999999998</v>
      </c>
      <c r="J508" s="21">
        <v>88.8</v>
      </c>
      <c r="M508" s="22">
        <f>ROUND(ROUND(J508, 2)*I508, 2)</f>
        <v>45530.16</v>
      </c>
      <c r="P508" s="21">
        <v>88.8</v>
      </c>
      <c r="S508" s="22">
        <f>ROUND(ROUND(P508, 2)*I508, 2)</f>
        <v>45530.16</v>
      </c>
      <c r="V508" s="9">
        <f>ROUND(ROUND(P508, 2)/1.2, 2)</f>
        <v>74</v>
      </c>
      <c r="Y508" s="9">
        <f t="shared" si="31"/>
        <v>37941.800000000003</v>
      </c>
      <c r="AD508" s="4" t="s">
        <v>2025</v>
      </c>
      <c r="AE508" s="4" t="s">
        <v>2026</v>
      </c>
      <c r="AF508" s="4" t="s">
        <v>78</v>
      </c>
    </row>
    <row r="509" spans="1:35" ht="144" x14ac:dyDescent="0.3">
      <c r="A509" s="10" t="s">
        <v>2027</v>
      </c>
      <c r="B509" s="10" t="s">
        <v>2016</v>
      </c>
      <c r="C509" s="11" t="s">
        <v>2017</v>
      </c>
      <c r="D509" s="12"/>
      <c r="E509" s="12" t="s">
        <v>2028</v>
      </c>
      <c r="F509" s="12" t="s">
        <v>64</v>
      </c>
      <c r="G509" s="13">
        <v>1</v>
      </c>
      <c r="H509" s="13"/>
      <c r="I509" s="13">
        <v>2789.37</v>
      </c>
      <c r="J509" s="14">
        <f>IFERROR(ROUND(SUM(M510,M511)/I509, 2),0)</f>
        <v>35.049999999999997</v>
      </c>
      <c r="K509" s="15">
        <v>546</v>
      </c>
      <c r="L509" s="14">
        <f>J509+ROUND(K509, 2)</f>
        <v>581.04999999999995</v>
      </c>
      <c r="M509" s="14">
        <f>ROUND(J509*I509, 2)</f>
        <v>97767.42</v>
      </c>
      <c r="N509" s="14">
        <f>ROUND(I509*ROUND(K509, 2), 2)</f>
        <v>1522996.02</v>
      </c>
      <c r="O509" s="14">
        <f>M509+N509</f>
        <v>1620763.44</v>
      </c>
      <c r="P509" s="14">
        <f>IFERROR(ROUND(SUM(S510,S511)/I509, 2),0)</f>
        <v>35.049999999999997</v>
      </c>
      <c r="Q509" s="15">
        <v>546</v>
      </c>
      <c r="R509" s="14">
        <f>P509+ROUND(Q509, 2)</f>
        <v>581.04999999999995</v>
      </c>
      <c r="S509" s="14">
        <f>ROUND(P509*I509, 2)</f>
        <v>97767.42</v>
      </c>
      <c r="T509" s="14">
        <f>ROUND(I509*ROUND(Q509, 2), 2)</f>
        <v>1522996.02</v>
      </c>
      <c r="U509" s="14">
        <f>S509+T509</f>
        <v>1620763.44</v>
      </c>
      <c r="V509" s="9">
        <f>ROUND(P509 / 1.2, 2)</f>
        <v>29.21</v>
      </c>
      <c r="W509" s="9">
        <f>ROUND(Q509 / 1.2, 2)</f>
        <v>455</v>
      </c>
      <c r="X509" s="9">
        <f>ROUND(R509 / 1.2, 2)</f>
        <v>484.21</v>
      </c>
      <c r="Y509" s="9">
        <f t="shared" si="31"/>
        <v>81472.850000000006</v>
      </c>
      <c r="Z509" s="9">
        <f>ROUND(T509 / 1.2, 2)</f>
        <v>1269163.3500000001</v>
      </c>
      <c r="AA509" s="9">
        <f>Y509+Z509</f>
        <v>1350636.2000000002</v>
      </c>
      <c r="AD509" s="4">
        <v>298925446</v>
      </c>
      <c r="AE509" s="4">
        <v>19997515</v>
      </c>
      <c r="AG509" s="4" t="s">
        <v>2019</v>
      </c>
      <c r="AH509" s="4" t="s">
        <v>2020</v>
      </c>
      <c r="AI509" s="4" t="s">
        <v>67</v>
      </c>
    </row>
    <row r="510" spans="1:35" ht="36" x14ac:dyDescent="0.3">
      <c r="A510" s="10" t="s">
        <v>2029</v>
      </c>
      <c r="B510" s="10"/>
      <c r="C510" s="24" t="s">
        <v>75</v>
      </c>
      <c r="D510" s="12"/>
      <c r="E510" s="12"/>
      <c r="F510" s="18" t="s">
        <v>70</v>
      </c>
      <c r="G510" s="19">
        <v>0.15</v>
      </c>
      <c r="H510" s="19"/>
      <c r="I510" s="19">
        <v>418.40600000000001</v>
      </c>
      <c r="J510" s="21">
        <v>88.8</v>
      </c>
      <c r="M510" s="22">
        <f>ROUND(ROUND(J510, 2)*I510, 2)</f>
        <v>37154.449999999997</v>
      </c>
      <c r="P510" s="21">
        <v>88.8</v>
      </c>
      <c r="S510" s="22">
        <f>ROUND(ROUND(P510, 2)*I510, 2)</f>
        <v>37154.449999999997</v>
      </c>
      <c r="V510" s="9">
        <f>ROUND(ROUND(P510, 2)/1.2, 2)</f>
        <v>74</v>
      </c>
      <c r="Y510" s="9">
        <f t="shared" si="31"/>
        <v>30962.04</v>
      </c>
      <c r="AD510" s="4" t="s">
        <v>2030</v>
      </c>
      <c r="AE510" s="4" t="s">
        <v>2031</v>
      </c>
      <c r="AF510" s="4" t="s">
        <v>78</v>
      </c>
    </row>
    <row r="511" spans="1:35" ht="54" x14ac:dyDescent="0.3">
      <c r="A511" s="10" t="s">
        <v>2032</v>
      </c>
      <c r="B511" s="10"/>
      <c r="C511" s="17" t="s">
        <v>1983</v>
      </c>
      <c r="D511" s="12"/>
      <c r="E511" s="12"/>
      <c r="F511" s="18" t="s">
        <v>70</v>
      </c>
      <c r="G511" s="19">
        <v>1.8</v>
      </c>
      <c r="H511" s="19"/>
      <c r="I511" s="19">
        <v>5020.866</v>
      </c>
      <c r="J511" s="21">
        <v>12.07</v>
      </c>
      <c r="M511" s="22">
        <f>ROUND(ROUND(J511, 2)*I511, 2)</f>
        <v>60601.85</v>
      </c>
      <c r="P511" s="21">
        <v>12.07</v>
      </c>
      <c r="S511" s="22">
        <f>ROUND(ROUND(P511, 2)*I511, 2)</f>
        <v>60601.85</v>
      </c>
      <c r="V511" s="9">
        <f>ROUND(ROUND(P511, 2)/1.2, 2)</f>
        <v>10.06</v>
      </c>
      <c r="Y511" s="9">
        <f t="shared" si="31"/>
        <v>50501.54</v>
      </c>
      <c r="AD511" s="4" t="s">
        <v>2033</v>
      </c>
      <c r="AE511" s="4" t="s">
        <v>2034</v>
      </c>
      <c r="AF511" s="4" t="s">
        <v>1987</v>
      </c>
    </row>
    <row r="512" spans="1:35" ht="16.95" customHeight="1" x14ac:dyDescent="0.3">
      <c r="A512" s="10" t="s">
        <v>2035</v>
      </c>
      <c r="B512" s="10" t="s">
        <v>2036</v>
      </c>
      <c r="C512" s="352" t="s">
        <v>2037</v>
      </c>
      <c r="D512" s="353"/>
      <c r="E512" s="353"/>
      <c r="F512" s="353"/>
      <c r="G512" s="353"/>
      <c r="H512" s="353"/>
      <c r="I512" s="354"/>
      <c r="M512" s="6">
        <f>SUM(M513,M516,M519,M522,M525,M528,M531,M534,M537,M540,M543,M546,M549,M552,M555,M558,M561,M564,M567,M570,M573,M576,M579,M582,M585,M588,M591,M594,M597,M600,M603,M606,M609,M612,M615,M618,M621,M624,M627,M630,M633,M636,M639)</f>
        <v>78667.210000000006</v>
      </c>
      <c r="N512" s="6">
        <f>SUM(N513,N516,N519,N522,N525,N528,N531,N534,N537,N540,N543,N546,N549,N552,N555,N558,N561,N564,N567,N570,N573,N576,N579,N582,N585,N588,N591,N594,N597,N600,N603,N606,N609,N612,N615,N618,N621,N624,N627,N630,N633,N636,N639)</f>
        <v>2741836.3199999994</v>
      </c>
      <c r="O512" s="6">
        <f>SUM(O513,O516,O519,O522,O525,O528,O531,O534,O537,O540,O543,O546,O549,O552,O555,O558,O561,O564,O567,O570,O573,O576,O579,O582,O585,O588,O591,O594,O597,O600,O603,O606,O609,O612,O615,O618,O621,O624,O627,O630,O633,O636,O639)</f>
        <v>2820503.5300000003</v>
      </c>
      <c r="S512" s="6">
        <f>SUM(S513,S516,S519,S522,S525,S528,S531,S534,S537,S540,S543,S546,S549,S552,S555,S558,S561,S564,S567,S570,S573,S576,S579,S582,S585,S588,S591,S594,S597,S600,S603,S606,S609,S612,S615,S618,S621,S624,S627,S630,S633,S636,S639)</f>
        <v>427754.08999999997</v>
      </c>
      <c r="T512" s="6">
        <f>SUM(T513,T516,T519,T522,T525,T528,T531,T534,T537,T540,T543,T546,T549,T552,T555,T558,T561,T564,T567,T570,T573,T576,T579,T582,T585,T588,T591,T594,T597,T600,T603,T606,T609,T612,T615,T618,T621,T624,T627,T630,T633,T636,T639)</f>
        <v>2741836.3199999994</v>
      </c>
      <c r="U512" s="6">
        <f>SUM(U513,U516,U519,U522,U525,U528,U531,U534,U537,U540,U543,U546,U549,U552,U555,U558,U561,U564,U567,U570,U573,U576,U579,U582,U585,U588,U591,U594,U597,U600,U603,U606,U609,U612,U615,U618,U621,U624,U627,U630,U633,U636,U639)</f>
        <v>3169590.4099999997</v>
      </c>
      <c r="Y512" s="9">
        <f>SUM(Y513,Y516,Y519,Y522,Y525,Y528,Y531,Y534,Y537,Y540,Y543,Y546,Y549,Y552,Y555,Y558,Y561,Y564,Y567,Y570,Y573,Y576,Y579,Y582,Y585,Y588,Y591,Y594,Y597,Y600,Y603,Y606,Y609,Y612,Y615,Y618,Y621,Y624,Y627,Y630,Y633,Y636,Y639)</f>
        <v>356461.77</v>
      </c>
      <c r="Z512" s="9">
        <f>SUM(Z513,Z516,Z519,Z522,Z525,Z528,Z531,Z534,Z537,Z540,Z543,Z546,Z549,Z552,Z555,Z558,Z561,Z564,Z567,Z570,Z573,Z576,Z579,Z582,Z585,Z588,Z591,Z594,Z597,Z600,Z603,Z606,Z609,Z612,Z615,Z618,Z621,Z624,Z627,Z630,Z633,Z636,Z639)</f>
        <v>2284863.5799999996</v>
      </c>
      <c r="AA512" s="9">
        <f>SUM(AA513,AA516,AA519,AA522,AA525,AA528,AA531,AA534,AA537,AA540,AA543,AA546,AA549,AA552,AA555,AA558,AA561,AA564,AA567,AA570,AA573,AA576,AA579,AA582,AA585,AA588,AA591,AA594,AA597,AA600,AA603,AA606,AA609,AA612,AA615,AA618,AA621,AA624,AA627,AA630,AA633,AA636,AA639)</f>
        <v>2641325.3499999996</v>
      </c>
      <c r="AD512" s="4">
        <v>298925347</v>
      </c>
      <c r="AE512" s="4">
        <v>16231514</v>
      </c>
    </row>
    <row r="513" spans="1:35" ht="54" x14ac:dyDescent="0.3">
      <c r="A513" s="10" t="s">
        <v>2038</v>
      </c>
      <c r="B513" s="10" t="s">
        <v>2039</v>
      </c>
      <c r="C513" s="11" t="s">
        <v>2040</v>
      </c>
      <c r="D513" s="12"/>
      <c r="E513" s="12" t="s">
        <v>63</v>
      </c>
      <c r="F513" s="12" t="s">
        <v>64</v>
      </c>
      <c r="G513" s="13">
        <v>1</v>
      </c>
      <c r="H513" s="13"/>
      <c r="I513" s="13">
        <v>0</v>
      </c>
      <c r="J513" s="14">
        <f>IFERROR(ROUND(SUM(M514,M515)/I513, 2),0)</f>
        <v>0</v>
      </c>
      <c r="K513" s="15">
        <v>306</v>
      </c>
      <c r="L513" s="14">
        <f>J513+ROUND(K513, 2)</f>
        <v>306</v>
      </c>
      <c r="M513" s="14">
        <f>ROUND(J513*I513, 2)</f>
        <v>0</v>
      </c>
      <c r="N513" s="14">
        <f>ROUND(I513*ROUND(K513, 2), 2)</f>
        <v>0</v>
      </c>
      <c r="O513" s="14">
        <f>M513+N513</f>
        <v>0</v>
      </c>
      <c r="P513" s="14">
        <f>IFERROR(ROUND(SUM(S514,S515)/I513, 2),0)</f>
        <v>0</v>
      </c>
      <c r="Q513" s="15">
        <v>278</v>
      </c>
      <c r="R513" s="14">
        <f>P513+ROUND(Q513, 2)</f>
        <v>278</v>
      </c>
      <c r="S513" s="14">
        <f>ROUND(P513*I513, 2)</f>
        <v>0</v>
      </c>
      <c r="T513" s="14">
        <f>ROUND(I513*ROUND(Q513, 2), 2)</f>
        <v>0</v>
      </c>
      <c r="U513" s="14">
        <f>S513+T513</f>
        <v>0</v>
      </c>
      <c r="V513" s="9">
        <f>ROUND(P513 / 1.2, 2)</f>
        <v>0</v>
      </c>
      <c r="W513" s="9">
        <f>ROUND(Q513 / 1.2, 2)</f>
        <v>231.67</v>
      </c>
      <c r="X513" s="9">
        <f>ROUND(R513 / 1.2, 2)</f>
        <v>231.67</v>
      </c>
      <c r="Y513" s="9">
        <f>ROUND(S513 / 1.2, 2)</f>
        <v>0</v>
      </c>
      <c r="Z513" s="9">
        <f>ROUND(T513 / 1.2, 2)</f>
        <v>0</v>
      </c>
      <c r="AA513" s="9">
        <f>Y513+Z513</f>
        <v>0</v>
      </c>
      <c r="AD513" s="4">
        <v>298925349</v>
      </c>
      <c r="AE513" s="4">
        <v>16231516</v>
      </c>
      <c r="AG513" s="4" t="s">
        <v>2041</v>
      </c>
      <c r="AH513" s="4" t="s">
        <v>2042</v>
      </c>
      <c r="AI513" s="4" t="s">
        <v>67</v>
      </c>
    </row>
    <row r="514" spans="1:35" ht="108" x14ac:dyDescent="0.3">
      <c r="A514" s="10" t="s">
        <v>2044</v>
      </c>
      <c r="B514" s="10"/>
      <c r="C514" s="24" t="s">
        <v>1091</v>
      </c>
      <c r="D514" s="12"/>
      <c r="E514" s="12" t="s">
        <v>2045</v>
      </c>
      <c r="F514" s="18" t="s">
        <v>70</v>
      </c>
      <c r="G514" s="19">
        <v>0.3</v>
      </c>
      <c r="H514" s="20"/>
      <c r="I514" s="20">
        <v>0</v>
      </c>
      <c r="J514" s="21">
        <v>388.89</v>
      </c>
      <c r="M514" s="22">
        <f>ROUND(ROUND(J514, 2)*I514, 2)</f>
        <v>0</v>
      </c>
      <c r="P514" s="21">
        <v>388.89</v>
      </c>
      <c r="S514" s="22">
        <f>ROUND(ROUND(P514, 2)*I514, 2)</f>
        <v>0</v>
      </c>
      <c r="V514" s="9">
        <f>ROUND(ROUND(P514, 2)/1.2, 2)</f>
        <v>324.08</v>
      </c>
      <c r="Y514" s="9">
        <f t="shared" ref="Y514:Y545" si="32">ROUND(S514 / 1.2, 2)</f>
        <v>0</v>
      </c>
      <c r="AD514" s="4" t="s">
        <v>2046</v>
      </c>
      <c r="AE514" s="4" t="s">
        <v>2047</v>
      </c>
      <c r="AF514" s="4" t="s">
        <v>1095</v>
      </c>
    </row>
    <row r="515" spans="1:35" ht="36" x14ac:dyDescent="0.3">
      <c r="A515" s="10" t="s">
        <v>2050</v>
      </c>
      <c r="B515" s="10"/>
      <c r="C515" s="24" t="s">
        <v>433</v>
      </c>
      <c r="D515" s="12"/>
      <c r="E515" s="12"/>
      <c r="F515" s="18" t="s">
        <v>70</v>
      </c>
      <c r="G515" s="19">
        <v>0.15</v>
      </c>
      <c r="H515" s="20"/>
      <c r="I515" s="20">
        <v>0</v>
      </c>
      <c r="J515" s="21">
        <v>88.8</v>
      </c>
      <c r="M515" s="22">
        <f>ROUND(ROUND(J515, 2)*I515, 2)</f>
        <v>0</v>
      </c>
      <c r="P515" s="21">
        <v>88.8</v>
      </c>
      <c r="S515" s="22">
        <f>ROUND(ROUND(P515, 2)*I515, 2)</f>
        <v>0</v>
      </c>
      <c r="V515" s="9">
        <f>ROUND(ROUND(P515, 2)/1.2, 2)</f>
        <v>74</v>
      </c>
      <c r="Y515" s="9">
        <f t="shared" si="32"/>
        <v>0</v>
      </c>
      <c r="AD515" s="4" t="s">
        <v>2051</v>
      </c>
      <c r="AE515" s="4" t="s">
        <v>2052</v>
      </c>
      <c r="AF515" s="4" t="s">
        <v>436</v>
      </c>
    </row>
    <row r="516" spans="1:35" ht="54" x14ac:dyDescent="0.3">
      <c r="A516" s="10" t="s">
        <v>2055</v>
      </c>
      <c r="B516" s="10" t="s">
        <v>2039</v>
      </c>
      <c r="C516" s="11" t="s">
        <v>2040</v>
      </c>
      <c r="D516" s="12"/>
      <c r="E516" s="12" t="s">
        <v>63</v>
      </c>
      <c r="F516" s="12" t="s">
        <v>64</v>
      </c>
      <c r="G516" s="13">
        <v>1</v>
      </c>
      <c r="H516" s="13"/>
      <c r="I516" s="13">
        <v>0</v>
      </c>
      <c r="J516" s="14">
        <f>IFERROR(ROUND(SUM(M517,M518)/I516, 2),0)</f>
        <v>0</v>
      </c>
      <c r="K516" s="15">
        <v>306</v>
      </c>
      <c r="L516" s="14">
        <f>J516+ROUND(K516, 2)</f>
        <v>306</v>
      </c>
      <c r="M516" s="14">
        <f>ROUND(J516*I516, 2)</f>
        <v>0</v>
      </c>
      <c r="N516" s="14">
        <f>ROUND(I516*ROUND(K516, 2), 2)</f>
        <v>0</v>
      </c>
      <c r="O516" s="14">
        <f>M516+N516</f>
        <v>0</v>
      </c>
      <c r="P516" s="14">
        <f>IFERROR(ROUND(SUM(S517,S518)/I516, 2),0)</f>
        <v>0</v>
      </c>
      <c r="Q516" s="15">
        <v>278</v>
      </c>
      <c r="R516" s="14">
        <f>P516+ROUND(Q516, 2)</f>
        <v>278</v>
      </c>
      <c r="S516" s="14">
        <f>ROUND(P516*I516, 2)</f>
        <v>0</v>
      </c>
      <c r="T516" s="14">
        <f>ROUND(I516*ROUND(Q516, 2), 2)</f>
        <v>0</v>
      </c>
      <c r="U516" s="14">
        <f>S516+T516</f>
        <v>0</v>
      </c>
      <c r="V516" s="9">
        <f>ROUND(P516 / 1.2, 2)</f>
        <v>0</v>
      </c>
      <c r="W516" s="9">
        <f>ROUND(Q516 / 1.2, 2)</f>
        <v>231.67</v>
      </c>
      <c r="X516" s="9">
        <f>ROUND(R516 / 1.2, 2)</f>
        <v>231.67</v>
      </c>
      <c r="Y516" s="9">
        <f t="shared" si="32"/>
        <v>0</v>
      </c>
      <c r="Z516" s="9">
        <f>ROUND(T516 / 1.2, 2)</f>
        <v>0</v>
      </c>
      <c r="AA516" s="9">
        <f>Y516+Z516</f>
        <v>0</v>
      </c>
      <c r="AD516" s="4">
        <v>298925447</v>
      </c>
      <c r="AE516" s="4">
        <v>16231523</v>
      </c>
      <c r="AG516" s="4" t="s">
        <v>2041</v>
      </c>
      <c r="AH516" s="4" t="s">
        <v>2042</v>
      </c>
      <c r="AI516" s="4" t="s">
        <v>67</v>
      </c>
    </row>
    <row r="517" spans="1:35" ht="36" x14ac:dyDescent="0.3">
      <c r="A517" s="10" t="s">
        <v>2057</v>
      </c>
      <c r="B517" s="10"/>
      <c r="C517" s="24" t="s">
        <v>433</v>
      </c>
      <c r="D517" s="12"/>
      <c r="E517" s="12"/>
      <c r="F517" s="18" t="s">
        <v>70</v>
      </c>
      <c r="G517" s="19">
        <v>0.15</v>
      </c>
      <c r="H517" s="20"/>
      <c r="I517" s="20">
        <v>0</v>
      </c>
      <c r="J517" s="21">
        <v>88.8</v>
      </c>
      <c r="M517" s="22">
        <f>ROUND(ROUND(J517, 2)*I517, 2)</f>
        <v>0</v>
      </c>
      <c r="P517" s="21">
        <v>88.8</v>
      </c>
      <c r="S517" s="22">
        <f>ROUND(ROUND(P517, 2)*I517, 2)</f>
        <v>0</v>
      </c>
      <c r="V517" s="9">
        <f>ROUND(ROUND(P517, 2)/1.2, 2)</f>
        <v>74</v>
      </c>
      <c r="Y517" s="9">
        <f t="shared" si="32"/>
        <v>0</v>
      </c>
      <c r="AD517" s="4" t="s">
        <v>2058</v>
      </c>
      <c r="AE517" s="4" t="s">
        <v>2059</v>
      </c>
      <c r="AF517" s="4" t="s">
        <v>436</v>
      </c>
    </row>
    <row r="518" spans="1:35" ht="54" x14ac:dyDescent="0.3">
      <c r="A518" s="10" t="s">
        <v>2062</v>
      </c>
      <c r="B518" s="10"/>
      <c r="C518" s="24" t="s">
        <v>2063</v>
      </c>
      <c r="D518" s="12"/>
      <c r="E518" s="12" t="s">
        <v>2064</v>
      </c>
      <c r="F518" s="18" t="s">
        <v>70</v>
      </c>
      <c r="G518" s="19">
        <v>0.3</v>
      </c>
      <c r="H518" s="20"/>
      <c r="I518" s="20">
        <v>0</v>
      </c>
      <c r="J518" s="21">
        <v>226.67</v>
      </c>
      <c r="M518" s="22">
        <f>ROUND(ROUND(J518, 2)*I518, 2)</f>
        <v>0</v>
      </c>
      <c r="P518" s="21">
        <v>226.67</v>
      </c>
      <c r="S518" s="22">
        <f>ROUND(ROUND(P518, 2)*I518, 2)</f>
        <v>0</v>
      </c>
      <c r="V518" s="9">
        <f>ROUND(ROUND(P518, 2)/1.2, 2)</f>
        <v>188.89</v>
      </c>
      <c r="Y518" s="9">
        <f t="shared" si="32"/>
        <v>0</v>
      </c>
      <c r="AD518" s="4" t="s">
        <v>2065</v>
      </c>
      <c r="AE518" s="4" t="s">
        <v>2066</v>
      </c>
      <c r="AF518" s="4" t="s">
        <v>2067</v>
      </c>
    </row>
    <row r="519" spans="1:35" ht="54" x14ac:dyDescent="0.3">
      <c r="A519" s="10" t="s">
        <v>2070</v>
      </c>
      <c r="B519" s="10" t="s">
        <v>2039</v>
      </c>
      <c r="C519" s="11" t="s">
        <v>2040</v>
      </c>
      <c r="D519" s="12"/>
      <c r="E519" s="12" t="s">
        <v>63</v>
      </c>
      <c r="F519" s="12" t="s">
        <v>64</v>
      </c>
      <c r="G519" s="13">
        <v>1</v>
      </c>
      <c r="H519" s="13"/>
      <c r="I519" s="13">
        <v>0</v>
      </c>
      <c r="J519" s="14">
        <f>IFERROR(ROUND(SUM(M520,M521)/I519, 2),0)</f>
        <v>0</v>
      </c>
      <c r="K519" s="15">
        <v>306</v>
      </c>
      <c r="L519" s="14">
        <f>J519+ROUND(K519, 2)</f>
        <v>306</v>
      </c>
      <c r="M519" s="14">
        <f>ROUND(J519*I519, 2)</f>
        <v>0</v>
      </c>
      <c r="N519" s="14">
        <f>ROUND(I519*ROUND(K519, 2), 2)</f>
        <v>0</v>
      </c>
      <c r="O519" s="14">
        <f>M519+N519</f>
        <v>0</v>
      </c>
      <c r="P519" s="14">
        <f>IFERROR(ROUND(SUM(S520,S521)/I519, 2),0)</f>
        <v>0</v>
      </c>
      <c r="Q519" s="15">
        <v>278</v>
      </c>
      <c r="R519" s="14">
        <f>P519+ROUND(Q519, 2)</f>
        <v>278</v>
      </c>
      <c r="S519" s="14">
        <f>ROUND(P519*I519, 2)</f>
        <v>0</v>
      </c>
      <c r="T519" s="14">
        <f>ROUND(I519*ROUND(Q519, 2), 2)</f>
        <v>0</v>
      </c>
      <c r="U519" s="14">
        <f>S519+T519</f>
        <v>0</v>
      </c>
      <c r="V519" s="9">
        <f>ROUND(P519 / 1.2, 2)</f>
        <v>0</v>
      </c>
      <c r="W519" s="9">
        <f>ROUND(Q519 / 1.2, 2)</f>
        <v>231.67</v>
      </c>
      <c r="X519" s="9">
        <f>ROUND(R519 / 1.2, 2)</f>
        <v>231.67</v>
      </c>
      <c r="Y519" s="9">
        <f t="shared" si="32"/>
        <v>0</v>
      </c>
      <c r="Z519" s="9">
        <f>ROUND(T519 / 1.2, 2)</f>
        <v>0</v>
      </c>
      <c r="AA519" s="9">
        <f>Y519+Z519</f>
        <v>0</v>
      </c>
      <c r="AD519" s="4">
        <v>298925448</v>
      </c>
      <c r="AE519" s="4">
        <v>16231517</v>
      </c>
      <c r="AG519" s="4" t="s">
        <v>2041</v>
      </c>
      <c r="AH519" s="4" t="s">
        <v>2042</v>
      </c>
      <c r="AI519" s="4" t="s">
        <v>67</v>
      </c>
    </row>
    <row r="520" spans="1:35" ht="54" x14ac:dyDescent="0.3">
      <c r="A520" s="10" t="s">
        <v>2072</v>
      </c>
      <c r="B520" s="10"/>
      <c r="C520" s="24" t="s">
        <v>2063</v>
      </c>
      <c r="D520" s="12"/>
      <c r="E520" s="12" t="s">
        <v>2073</v>
      </c>
      <c r="F520" s="18" t="s">
        <v>70</v>
      </c>
      <c r="G520" s="19">
        <v>0.3</v>
      </c>
      <c r="H520" s="20"/>
      <c r="I520" s="20">
        <v>0</v>
      </c>
      <c r="J520" s="21">
        <v>226.67</v>
      </c>
      <c r="M520" s="22">
        <f>ROUND(ROUND(J520, 2)*I520, 2)</f>
        <v>0</v>
      </c>
      <c r="P520" s="21">
        <v>226.67</v>
      </c>
      <c r="S520" s="22">
        <f>ROUND(ROUND(P520, 2)*I520, 2)</f>
        <v>0</v>
      </c>
      <c r="V520" s="9">
        <f>ROUND(ROUND(P520, 2)/1.2, 2)</f>
        <v>188.89</v>
      </c>
      <c r="Y520" s="9">
        <f t="shared" si="32"/>
        <v>0</v>
      </c>
      <c r="AD520" s="4" t="s">
        <v>2074</v>
      </c>
      <c r="AE520" s="4" t="s">
        <v>2075</v>
      </c>
      <c r="AF520" s="4" t="s">
        <v>2067</v>
      </c>
    </row>
    <row r="521" spans="1:35" ht="36" x14ac:dyDescent="0.3">
      <c r="A521" s="10" t="s">
        <v>2078</v>
      </c>
      <c r="B521" s="10"/>
      <c r="C521" s="24" t="s">
        <v>433</v>
      </c>
      <c r="D521" s="12"/>
      <c r="E521" s="12"/>
      <c r="F521" s="18" t="s">
        <v>70</v>
      </c>
      <c r="G521" s="19">
        <v>0.15</v>
      </c>
      <c r="H521" s="20"/>
      <c r="I521" s="20">
        <v>0</v>
      </c>
      <c r="J521" s="21">
        <v>88.8</v>
      </c>
      <c r="M521" s="22">
        <f>ROUND(ROUND(J521, 2)*I521, 2)</f>
        <v>0</v>
      </c>
      <c r="P521" s="21">
        <v>88.8</v>
      </c>
      <c r="S521" s="22">
        <f>ROUND(ROUND(P521, 2)*I521, 2)</f>
        <v>0</v>
      </c>
      <c r="V521" s="9">
        <f>ROUND(ROUND(P521, 2)/1.2, 2)</f>
        <v>74</v>
      </c>
      <c r="Y521" s="9">
        <f t="shared" si="32"/>
        <v>0</v>
      </c>
      <c r="AD521" s="4" t="s">
        <v>2079</v>
      </c>
      <c r="AE521" s="4" t="s">
        <v>2080</v>
      </c>
      <c r="AF521" s="4" t="s">
        <v>436</v>
      </c>
    </row>
    <row r="522" spans="1:35" ht="54" x14ac:dyDescent="0.3">
      <c r="A522" s="10" t="s">
        <v>2083</v>
      </c>
      <c r="B522" s="10" t="s">
        <v>2039</v>
      </c>
      <c r="C522" s="11" t="s">
        <v>2040</v>
      </c>
      <c r="D522" s="12"/>
      <c r="E522" s="12" t="s">
        <v>63</v>
      </c>
      <c r="F522" s="12" t="s">
        <v>64</v>
      </c>
      <c r="G522" s="13">
        <v>1</v>
      </c>
      <c r="H522" s="13"/>
      <c r="I522" s="13">
        <v>0</v>
      </c>
      <c r="J522" s="14">
        <f>IFERROR(ROUND(SUM(M523,M524)/I522, 2),0)</f>
        <v>0</v>
      </c>
      <c r="K522" s="15">
        <v>306</v>
      </c>
      <c r="L522" s="14">
        <f>J522+ROUND(K522, 2)</f>
        <v>306</v>
      </c>
      <c r="M522" s="14">
        <f>ROUND(J522*I522, 2)</f>
        <v>0</v>
      </c>
      <c r="N522" s="14">
        <f>ROUND(I522*ROUND(K522, 2), 2)</f>
        <v>0</v>
      </c>
      <c r="O522" s="14">
        <f>M522+N522</f>
        <v>0</v>
      </c>
      <c r="P522" s="14">
        <f>IFERROR(ROUND(SUM(S523,S524)/I522, 2),0)</f>
        <v>0</v>
      </c>
      <c r="Q522" s="15">
        <v>278</v>
      </c>
      <c r="R522" s="14">
        <f>P522+ROUND(Q522, 2)</f>
        <v>278</v>
      </c>
      <c r="S522" s="14">
        <f>ROUND(P522*I522, 2)</f>
        <v>0</v>
      </c>
      <c r="T522" s="14">
        <f>ROUND(I522*ROUND(Q522, 2), 2)</f>
        <v>0</v>
      </c>
      <c r="U522" s="14">
        <f>S522+T522</f>
        <v>0</v>
      </c>
      <c r="V522" s="9">
        <f>ROUND(P522 / 1.2, 2)</f>
        <v>0</v>
      </c>
      <c r="W522" s="9">
        <f>ROUND(Q522 / 1.2, 2)</f>
        <v>231.67</v>
      </c>
      <c r="X522" s="9">
        <f>ROUND(R522 / 1.2, 2)</f>
        <v>231.67</v>
      </c>
      <c r="Y522" s="9">
        <f t="shared" si="32"/>
        <v>0</v>
      </c>
      <c r="Z522" s="9">
        <f>ROUND(T522 / 1.2, 2)</f>
        <v>0</v>
      </c>
      <c r="AA522" s="9">
        <f>Y522+Z522</f>
        <v>0</v>
      </c>
      <c r="AD522" s="4">
        <v>298925449</v>
      </c>
      <c r="AE522" s="4">
        <v>16231518</v>
      </c>
      <c r="AG522" s="4" t="s">
        <v>2041</v>
      </c>
      <c r="AH522" s="4" t="s">
        <v>2042</v>
      </c>
      <c r="AI522" s="4" t="s">
        <v>67</v>
      </c>
    </row>
    <row r="523" spans="1:35" ht="36" x14ac:dyDescent="0.3">
      <c r="A523" s="10" t="s">
        <v>2085</v>
      </c>
      <c r="B523" s="10"/>
      <c r="C523" s="24" t="s">
        <v>433</v>
      </c>
      <c r="D523" s="12"/>
      <c r="E523" s="12"/>
      <c r="F523" s="18" t="s">
        <v>70</v>
      </c>
      <c r="G523" s="19">
        <v>0.15</v>
      </c>
      <c r="H523" s="20"/>
      <c r="I523" s="20">
        <v>0</v>
      </c>
      <c r="J523" s="21">
        <v>88.8</v>
      </c>
      <c r="M523" s="22">
        <f>ROUND(ROUND(J523, 2)*I523, 2)</f>
        <v>0</v>
      </c>
      <c r="P523" s="21">
        <v>88.8</v>
      </c>
      <c r="S523" s="22">
        <f>ROUND(ROUND(P523, 2)*I523, 2)</f>
        <v>0</v>
      </c>
      <c r="V523" s="9">
        <f>ROUND(ROUND(P523, 2)/1.2, 2)</f>
        <v>74</v>
      </c>
      <c r="Y523" s="9">
        <f t="shared" si="32"/>
        <v>0</v>
      </c>
      <c r="AD523" s="4" t="s">
        <v>2086</v>
      </c>
      <c r="AE523" s="4" t="s">
        <v>2087</v>
      </c>
      <c r="AF523" s="4" t="s">
        <v>436</v>
      </c>
    </row>
    <row r="524" spans="1:35" ht="54" x14ac:dyDescent="0.3">
      <c r="A524" s="10" t="s">
        <v>2090</v>
      </c>
      <c r="B524" s="10"/>
      <c r="C524" s="24" t="s">
        <v>2063</v>
      </c>
      <c r="D524" s="12"/>
      <c r="E524" s="12" t="s">
        <v>2091</v>
      </c>
      <c r="F524" s="18" t="s">
        <v>70</v>
      </c>
      <c r="G524" s="19">
        <v>0.3</v>
      </c>
      <c r="H524" s="20"/>
      <c r="I524" s="20">
        <v>0</v>
      </c>
      <c r="J524" s="21">
        <v>226.67</v>
      </c>
      <c r="M524" s="22">
        <f>ROUND(ROUND(J524, 2)*I524, 2)</f>
        <v>0</v>
      </c>
      <c r="P524" s="21">
        <v>226.67</v>
      </c>
      <c r="S524" s="22">
        <f>ROUND(ROUND(P524, 2)*I524, 2)</f>
        <v>0</v>
      </c>
      <c r="V524" s="9">
        <f>ROUND(ROUND(P524, 2)/1.2, 2)</f>
        <v>188.89</v>
      </c>
      <c r="Y524" s="9">
        <f t="shared" si="32"/>
        <v>0</v>
      </c>
      <c r="AD524" s="4" t="s">
        <v>2092</v>
      </c>
      <c r="AE524" s="4" t="s">
        <v>2093</v>
      </c>
      <c r="AF524" s="4" t="s">
        <v>2067</v>
      </c>
    </row>
    <row r="525" spans="1:35" ht="54" x14ac:dyDescent="0.3">
      <c r="A525" s="10" t="s">
        <v>2096</v>
      </c>
      <c r="B525" s="10" t="s">
        <v>2039</v>
      </c>
      <c r="C525" s="11" t="s">
        <v>2040</v>
      </c>
      <c r="D525" s="12"/>
      <c r="E525" s="12" t="s">
        <v>63</v>
      </c>
      <c r="F525" s="12" t="s">
        <v>64</v>
      </c>
      <c r="G525" s="13">
        <v>1</v>
      </c>
      <c r="H525" s="13"/>
      <c r="I525" s="13">
        <v>0</v>
      </c>
      <c r="J525" s="14">
        <f>IFERROR(ROUND(SUM(M526,M527)/I525, 2),0)</f>
        <v>0</v>
      </c>
      <c r="K525" s="15">
        <v>306</v>
      </c>
      <c r="L525" s="14">
        <f>J525+ROUND(K525, 2)</f>
        <v>306</v>
      </c>
      <c r="M525" s="14">
        <f>ROUND(J525*I525, 2)</f>
        <v>0</v>
      </c>
      <c r="N525" s="14">
        <f>ROUND(I525*ROUND(K525, 2), 2)</f>
        <v>0</v>
      </c>
      <c r="O525" s="14">
        <f>M525+N525</f>
        <v>0</v>
      </c>
      <c r="P525" s="14">
        <f>IFERROR(ROUND(SUM(S526,S527)/I525, 2),0)</f>
        <v>0</v>
      </c>
      <c r="Q525" s="15">
        <v>278</v>
      </c>
      <c r="R525" s="14">
        <f>P525+ROUND(Q525, 2)</f>
        <v>278</v>
      </c>
      <c r="S525" s="14">
        <f>ROUND(P525*I525, 2)</f>
        <v>0</v>
      </c>
      <c r="T525" s="14">
        <f>ROUND(I525*ROUND(Q525, 2), 2)</f>
        <v>0</v>
      </c>
      <c r="U525" s="14">
        <f>S525+T525</f>
        <v>0</v>
      </c>
      <c r="V525" s="9">
        <f>ROUND(P525 / 1.2, 2)</f>
        <v>0</v>
      </c>
      <c r="W525" s="9">
        <f>ROUND(Q525 / 1.2, 2)</f>
        <v>231.67</v>
      </c>
      <c r="X525" s="9">
        <f>ROUND(R525 / 1.2, 2)</f>
        <v>231.67</v>
      </c>
      <c r="Y525" s="9">
        <f t="shared" si="32"/>
        <v>0</v>
      </c>
      <c r="Z525" s="9">
        <f>ROUND(T525 / 1.2, 2)</f>
        <v>0</v>
      </c>
      <c r="AA525" s="9">
        <f>Y525+Z525</f>
        <v>0</v>
      </c>
      <c r="AD525" s="4">
        <v>298925450</v>
      </c>
      <c r="AE525" s="4">
        <v>16231519</v>
      </c>
      <c r="AG525" s="4" t="s">
        <v>2041</v>
      </c>
      <c r="AH525" s="4" t="s">
        <v>2042</v>
      </c>
      <c r="AI525" s="4" t="s">
        <v>67</v>
      </c>
    </row>
    <row r="526" spans="1:35" ht="54" x14ac:dyDescent="0.3">
      <c r="A526" s="10" t="s">
        <v>2098</v>
      </c>
      <c r="B526" s="10"/>
      <c r="C526" s="24" t="s">
        <v>2063</v>
      </c>
      <c r="D526" s="12"/>
      <c r="E526" s="12" t="s">
        <v>2099</v>
      </c>
      <c r="F526" s="18" t="s">
        <v>70</v>
      </c>
      <c r="G526" s="19">
        <v>0.3</v>
      </c>
      <c r="H526" s="20"/>
      <c r="I526" s="20">
        <v>0</v>
      </c>
      <c r="J526" s="21">
        <v>226.67</v>
      </c>
      <c r="M526" s="22">
        <f>ROUND(ROUND(J526, 2)*I526, 2)</f>
        <v>0</v>
      </c>
      <c r="P526" s="21">
        <v>226.67</v>
      </c>
      <c r="S526" s="22">
        <f>ROUND(ROUND(P526, 2)*I526, 2)</f>
        <v>0</v>
      </c>
      <c r="V526" s="9">
        <f>ROUND(ROUND(P526, 2)/1.2, 2)</f>
        <v>188.89</v>
      </c>
      <c r="Y526" s="9">
        <f t="shared" si="32"/>
        <v>0</v>
      </c>
      <c r="AD526" s="4" t="s">
        <v>2100</v>
      </c>
      <c r="AE526" s="4" t="s">
        <v>2101</v>
      </c>
      <c r="AF526" s="4" t="s">
        <v>2067</v>
      </c>
    </row>
    <row r="527" spans="1:35" ht="36" x14ac:dyDescent="0.3">
      <c r="A527" s="10" t="s">
        <v>2104</v>
      </c>
      <c r="B527" s="10"/>
      <c r="C527" s="24" t="s">
        <v>433</v>
      </c>
      <c r="D527" s="12"/>
      <c r="E527" s="12"/>
      <c r="F527" s="18" t="s">
        <v>70</v>
      </c>
      <c r="G527" s="19">
        <v>0.15</v>
      </c>
      <c r="H527" s="20"/>
      <c r="I527" s="20">
        <v>0</v>
      </c>
      <c r="J527" s="21">
        <v>88.8</v>
      </c>
      <c r="M527" s="22">
        <f>ROUND(ROUND(J527, 2)*I527, 2)</f>
        <v>0</v>
      </c>
      <c r="P527" s="21">
        <v>88.8</v>
      </c>
      <c r="S527" s="22">
        <f>ROUND(ROUND(P527, 2)*I527, 2)</f>
        <v>0</v>
      </c>
      <c r="V527" s="9">
        <f>ROUND(ROUND(P527, 2)/1.2, 2)</f>
        <v>74</v>
      </c>
      <c r="Y527" s="9">
        <f t="shared" si="32"/>
        <v>0</v>
      </c>
      <c r="AD527" s="4" t="s">
        <v>2105</v>
      </c>
      <c r="AE527" s="4" t="s">
        <v>2106</v>
      </c>
      <c r="AF527" s="4" t="s">
        <v>436</v>
      </c>
    </row>
    <row r="528" spans="1:35" ht="54" x14ac:dyDescent="0.3">
      <c r="A528" s="10" t="s">
        <v>2109</v>
      </c>
      <c r="B528" s="10" t="s">
        <v>2039</v>
      </c>
      <c r="C528" s="11" t="s">
        <v>2040</v>
      </c>
      <c r="D528" s="12"/>
      <c r="E528" s="12" t="s">
        <v>63</v>
      </c>
      <c r="F528" s="12" t="s">
        <v>64</v>
      </c>
      <c r="G528" s="13">
        <v>1</v>
      </c>
      <c r="H528" s="13"/>
      <c r="I528" s="13">
        <v>0</v>
      </c>
      <c r="J528" s="14">
        <f>IFERROR(ROUND(SUM(M529,M530)/I528, 2),0)</f>
        <v>0</v>
      </c>
      <c r="K528" s="15">
        <v>306</v>
      </c>
      <c r="L528" s="14">
        <f>J528+ROUND(K528, 2)</f>
        <v>306</v>
      </c>
      <c r="M528" s="14">
        <f>ROUND(J528*I528, 2)</f>
        <v>0</v>
      </c>
      <c r="N528" s="14">
        <f>ROUND(I528*ROUND(K528, 2), 2)</f>
        <v>0</v>
      </c>
      <c r="O528" s="14">
        <f>M528+N528</f>
        <v>0</v>
      </c>
      <c r="P528" s="14">
        <f>IFERROR(ROUND(SUM(S529,S530)/I528, 2),0)</f>
        <v>0</v>
      </c>
      <c r="Q528" s="15">
        <v>278</v>
      </c>
      <c r="R528" s="14">
        <f>P528+ROUND(Q528, 2)</f>
        <v>278</v>
      </c>
      <c r="S528" s="14">
        <f>ROUND(P528*I528, 2)</f>
        <v>0</v>
      </c>
      <c r="T528" s="14">
        <f>ROUND(I528*ROUND(Q528, 2), 2)</f>
        <v>0</v>
      </c>
      <c r="U528" s="14">
        <f>S528+T528</f>
        <v>0</v>
      </c>
      <c r="V528" s="9">
        <f>ROUND(P528 / 1.2, 2)</f>
        <v>0</v>
      </c>
      <c r="W528" s="9">
        <f>ROUND(Q528 / 1.2, 2)</f>
        <v>231.67</v>
      </c>
      <c r="X528" s="9">
        <f>ROUND(R528 / 1.2, 2)</f>
        <v>231.67</v>
      </c>
      <c r="Y528" s="9">
        <f t="shared" si="32"/>
        <v>0</v>
      </c>
      <c r="Z528" s="9">
        <f>ROUND(T528 / 1.2, 2)</f>
        <v>0</v>
      </c>
      <c r="AA528" s="9">
        <f>Y528+Z528</f>
        <v>0</v>
      </c>
      <c r="AD528" s="4">
        <v>298925451</v>
      </c>
      <c r="AE528" s="4">
        <v>16231520</v>
      </c>
      <c r="AG528" s="4" t="s">
        <v>2041</v>
      </c>
      <c r="AH528" s="4" t="s">
        <v>2042</v>
      </c>
      <c r="AI528" s="4" t="s">
        <v>67</v>
      </c>
    </row>
    <row r="529" spans="1:35" ht="36" x14ac:dyDescent="0.3">
      <c r="A529" s="10" t="s">
        <v>2111</v>
      </c>
      <c r="B529" s="10"/>
      <c r="C529" s="24" t="s">
        <v>433</v>
      </c>
      <c r="D529" s="12"/>
      <c r="E529" s="12"/>
      <c r="F529" s="18" t="s">
        <v>70</v>
      </c>
      <c r="G529" s="19">
        <v>0.15</v>
      </c>
      <c r="H529" s="20"/>
      <c r="I529" s="20">
        <v>0</v>
      </c>
      <c r="J529" s="21">
        <v>88.8</v>
      </c>
      <c r="M529" s="22">
        <f>ROUND(ROUND(J529, 2)*I529, 2)</f>
        <v>0</v>
      </c>
      <c r="P529" s="21">
        <v>88.8</v>
      </c>
      <c r="S529" s="22">
        <f>ROUND(ROUND(P529, 2)*I529, 2)</f>
        <v>0</v>
      </c>
      <c r="V529" s="9">
        <f>ROUND(ROUND(P529, 2)/1.2, 2)</f>
        <v>74</v>
      </c>
      <c r="Y529" s="9">
        <f t="shared" si="32"/>
        <v>0</v>
      </c>
      <c r="AD529" s="4" t="s">
        <v>2112</v>
      </c>
      <c r="AE529" s="4" t="s">
        <v>2113</v>
      </c>
      <c r="AF529" s="4" t="s">
        <v>436</v>
      </c>
    </row>
    <row r="530" spans="1:35" ht="54" x14ac:dyDescent="0.3">
      <c r="A530" s="10" t="s">
        <v>2116</v>
      </c>
      <c r="B530" s="10"/>
      <c r="C530" s="24" t="s">
        <v>2063</v>
      </c>
      <c r="D530" s="12"/>
      <c r="E530" s="12" t="s">
        <v>2117</v>
      </c>
      <c r="F530" s="18" t="s">
        <v>70</v>
      </c>
      <c r="G530" s="19">
        <v>0.3</v>
      </c>
      <c r="H530" s="20"/>
      <c r="I530" s="20">
        <v>0</v>
      </c>
      <c r="J530" s="21">
        <v>226.67</v>
      </c>
      <c r="M530" s="22">
        <f>ROUND(ROUND(J530, 2)*I530, 2)</f>
        <v>0</v>
      </c>
      <c r="P530" s="21">
        <v>226.67</v>
      </c>
      <c r="S530" s="22">
        <f>ROUND(ROUND(P530, 2)*I530, 2)</f>
        <v>0</v>
      </c>
      <c r="V530" s="9">
        <f>ROUND(ROUND(P530, 2)/1.2, 2)</f>
        <v>188.89</v>
      </c>
      <c r="Y530" s="9">
        <f t="shared" si="32"/>
        <v>0</v>
      </c>
      <c r="AD530" s="4" t="s">
        <v>2118</v>
      </c>
      <c r="AE530" s="4" t="s">
        <v>2119</v>
      </c>
      <c r="AF530" s="4" t="s">
        <v>2067</v>
      </c>
    </row>
    <row r="531" spans="1:35" ht="54" x14ac:dyDescent="0.3">
      <c r="A531" s="10" t="s">
        <v>2122</v>
      </c>
      <c r="B531" s="10" t="s">
        <v>2039</v>
      </c>
      <c r="C531" s="11" t="s">
        <v>2040</v>
      </c>
      <c r="D531" s="12"/>
      <c r="E531" s="12" t="s">
        <v>63</v>
      </c>
      <c r="F531" s="12" t="s">
        <v>64</v>
      </c>
      <c r="G531" s="13">
        <v>1</v>
      </c>
      <c r="H531" s="13"/>
      <c r="I531" s="13">
        <v>0</v>
      </c>
      <c r="J531" s="14">
        <f>IFERROR(ROUND(SUM(M532,M533)/I531, 2),0)</f>
        <v>0</v>
      </c>
      <c r="K531" s="15">
        <v>306</v>
      </c>
      <c r="L531" s="14">
        <f>J531+ROUND(K531, 2)</f>
        <v>306</v>
      </c>
      <c r="M531" s="14">
        <f>ROUND(J531*I531, 2)</f>
        <v>0</v>
      </c>
      <c r="N531" s="14">
        <f>ROUND(I531*ROUND(K531, 2), 2)</f>
        <v>0</v>
      </c>
      <c r="O531" s="14">
        <f>M531+N531</f>
        <v>0</v>
      </c>
      <c r="P531" s="14">
        <f>IFERROR(ROUND(SUM(S532,S533)/I531, 2),0)</f>
        <v>0</v>
      </c>
      <c r="Q531" s="15">
        <v>278</v>
      </c>
      <c r="R531" s="14">
        <f>P531+ROUND(Q531, 2)</f>
        <v>278</v>
      </c>
      <c r="S531" s="14">
        <f>ROUND(P531*I531, 2)</f>
        <v>0</v>
      </c>
      <c r="T531" s="14">
        <f>ROUND(I531*ROUND(Q531, 2), 2)</f>
        <v>0</v>
      </c>
      <c r="U531" s="14">
        <f>S531+T531</f>
        <v>0</v>
      </c>
      <c r="V531" s="9">
        <f>ROUND(P531 / 1.2, 2)</f>
        <v>0</v>
      </c>
      <c r="W531" s="9">
        <f>ROUND(Q531 / 1.2, 2)</f>
        <v>231.67</v>
      </c>
      <c r="X531" s="9">
        <f>ROUND(R531 / 1.2, 2)</f>
        <v>231.67</v>
      </c>
      <c r="Y531" s="9">
        <f t="shared" si="32"/>
        <v>0</v>
      </c>
      <c r="Z531" s="9">
        <f>ROUND(T531 / 1.2, 2)</f>
        <v>0</v>
      </c>
      <c r="AA531" s="9">
        <f>Y531+Z531</f>
        <v>0</v>
      </c>
      <c r="AD531" s="4">
        <v>298925452</v>
      </c>
      <c r="AE531" s="4">
        <v>16231521</v>
      </c>
      <c r="AG531" s="4" t="s">
        <v>2041</v>
      </c>
      <c r="AH531" s="4" t="s">
        <v>2042</v>
      </c>
      <c r="AI531" s="4" t="s">
        <v>67</v>
      </c>
    </row>
    <row r="532" spans="1:35" ht="54" x14ac:dyDescent="0.3">
      <c r="A532" s="10" t="s">
        <v>2124</v>
      </c>
      <c r="B532" s="10"/>
      <c r="C532" s="24" t="s">
        <v>2063</v>
      </c>
      <c r="D532" s="12"/>
      <c r="E532" s="12" t="s">
        <v>2125</v>
      </c>
      <c r="F532" s="18" t="s">
        <v>70</v>
      </c>
      <c r="G532" s="19">
        <v>0.3</v>
      </c>
      <c r="H532" s="20"/>
      <c r="I532" s="20">
        <v>0</v>
      </c>
      <c r="J532" s="21">
        <v>226.67</v>
      </c>
      <c r="M532" s="22">
        <f>ROUND(ROUND(J532, 2)*I532, 2)</f>
        <v>0</v>
      </c>
      <c r="P532" s="21">
        <v>226.67</v>
      </c>
      <c r="S532" s="22">
        <f>ROUND(ROUND(P532, 2)*I532, 2)</f>
        <v>0</v>
      </c>
      <c r="V532" s="9">
        <f>ROUND(ROUND(P532, 2)/1.2, 2)</f>
        <v>188.89</v>
      </c>
      <c r="Y532" s="9">
        <f t="shared" si="32"/>
        <v>0</v>
      </c>
      <c r="AD532" s="4" t="s">
        <v>2126</v>
      </c>
      <c r="AE532" s="4" t="s">
        <v>2127</v>
      </c>
      <c r="AF532" s="4" t="s">
        <v>2067</v>
      </c>
    </row>
    <row r="533" spans="1:35" ht="36" x14ac:dyDescent="0.3">
      <c r="A533" s="10" t="s">
        <v>2130</v>
      </c>
      <c r="B533" s="10"/>
      <c r="C533" s="24" t="s">
        <v>433</v>
      </c>
      <c r="D533" s="12"/>
      <c r="E533" s="12"/>
      <c r="F533" s="18" t="s">
        <v>70</v>
      </c>
      <c r="G533" s="19">
        <v>0.15</v>
      </c>
      <c r="H533" s="20"/>
      <c r="I533" s="20">
        <v>0</v>
      </c>
      <c r="J533" s="21">
        <v>88.8</v>
      </c>
      <c r="M533" s="22">
        <f>ROUND(ROUND(J533, 2)*I533, 2)</f>
        <v>0</v>
      </c>
      <c r="P533" s="21">
        <v>88.8</v>
      </c>
      <c r="S533" s="22">
        <f>ROUND(ROUND(P533, 2)*I533, 2)</f>
        <v>0</v>
      </c>
      <c r="V533" s="9">
        <f>ROUND(ROUND(P533, 2)/1.2, 2)</f>
        <v>74</v>
      </c>
      <c r="Y533" s="9">
        <f t="shared" si="32"/>
        <v>0</v>
      </c>
      <c r="AD533" s="4" t="s">
        <v>2131</v>
      </c>
      <c r="AE533" s="4" t="s">
        <v>2132</v>
      </c>
      <c r="AF533" s="4" t="s">
        <v>436</v>
      </c>
    </row>
    <row r="534" spans="1:35" ht="54" x14ac:dyDescent="0.3">
      <c r="A534" s="10" t="s">
        <v>2135</v>
      </c>
      <c r="B534" s="10" t="s">
        <v>2039</v>
      </c>
      <c r="C534" s="11" t="s">
        <v>2040</v>
      </c>
      <c r="D534" s="12"/>
      <c r="E534" s="12" t="s">
        <v>63</v>
      </c>
      <c r="F534" s="12" t="s">
        <v>64</v>
      </c>
      <c r="G534" s="13">
        <v>1</v>
      </c>
      <c r="H534" s="13"/>
      <c r="I534" s="13">
        <v>0</v>
      </c>
      <c r="J534" s="14">
        <f>IFERROR(ROUND(SUM(M535,M536)/I534, 2),0)</f>
        <v>0</v>
      </c>
      <c r="K534" s="15">
        <v>306</v>
      </c>
      <c r="L534" s="14">
        <f>J534+ROUND(K534, 2)</f>
        <v>306</v>
      </c>
      <c r="M534" s="14">
        <f>ROUND(J534*I534, 2)</f>
        <v>0</v>
      </c>
      <c r="N534" s="14">
        <f>ROUND(I534*ROUND(K534, 2), 2)</f>
        <v>0</v>
      </c>
      <c r="O534" s="14">
        <f>M534+N534</f>
        <v>0</v>
      </c>
      <c r="P534" s="14">
        <f>IFERROR(ROUND(SUM(S535,S536)/I534, 2),0)</f>
        <v>0</v>
      </c>
      <c r="Q534" s="15">
        <v>278</v>
      </c>
      <c r="R534" s="14">
        <f>P534+ROUND(Q534, 2)</f>
        <v>278</v>
      </c>
      <c r="S534" s="14">
        <f>ROUND(P534*I534, 2)</f>
        <v>0</v>
      </c>
      <c r="T534" s="14">
        <f>ROUND(I534*ROUND(Q534, 2), 2)</f>
        <v>0</v>
      </c>
      <c r="U534" s="14">
        <f>S534+T534</f>
        <v>0</v>
      </c>
      <c r="V534" s="9">
        <f>ROUND(P534 / 1.2, 2)</f>
        <v>0</v>
      </c>
      <c r="W534" s="9">
        <f>ROUND(Q534 / 1.2, 2)</f>
        <v>231.67</v>
      </c>
      <c r="X534" s="9">
        <f>ROUND(R534 / 1.2, 2)</f>
        <v>231.67</v>
      </c>
      <c r="Y534" s="9">
        <f t="shared" si="32"/>
        <v>0</v>
      </c>
      <c r="Z534" s="9">
        <f>ROUND(T534 / 1.2, 2)</f>
        <v>0</v>
      </c>
      <c r="AA534" s="9">
        <f>Y534+Z534</f>
        <v>0</v>
      </c>
      <c r="AD534" s="4">
        <v>298925453</v>
      </c>
      <c r="AE534" s="4">
        <v>16231522</v>
      </c>
      <c r="AG534" s="4" t="s">
        <v>2041</v>
      </c>
      <c r="AH534" s="4" t="s">
        <v>2042</v>
      </c>
      <c r="AI534" s="4" t="s">
        <v>67</v>
      </c>
    </row>
    <row r="535" spans="1:35" ht="36" x14ac:dyDescent="0.3">
      <c r="A535" s="10" t="s">
        <v>2137</v>
      </c>
      <c r="B535" s="10"/>
      <c r="C535" s="24" t="s">
        <v>433</v>
      </c>
      <c r="D535" s="12"/>
      <c r="E535" s="12"/>
      <c r="F535" s="18" t="s">
        <v>70</v>
      </c>
      <c r="G535" s="19">
        <v>0.15</v>
      </c>
      <c r="H535" s="20"/>
      <c r="I535" s="20">
        <v>0</v>
      </c>
      <c r="J535" s="21">
        <v>88.8</v>
      </c>
      <c r="M535" s="22">
        <f>ROUND(ROUND(J535, 2)*I535, 2)</f>
        <v>0</v>
      </c>
      <c r="P535" s="21">
        <v>88.8</v>
      </c>
      <c r="S535" s="22">
        <f>ROUND(ROUND(P535, 2)*I535, 2)</f>
        <v>0</v>
      </c>
      <c r="V535" s="9">
        <f>ROUND(ROUND(P535, 2)/1.2, 2)</f>
        <v>74</v>
      </c>
      <c r="Y535" s="9">
        <f t="shared" si="32"/>
        <v>0</v>
      </c>
      <c r="AD535" s="4" t="s">
        <v>2138</v>
      </c>
      <c r="AE535" s="4" t="s">
        <v>2139</v>
      </c>
      <c r="AF535" s="4" t="s">
        <v>436</v>
      </c>
    </row>
    <row r="536" spans="1:35" ht="54" x14ac:dyDescent="0.3">
      <c r="A536" s="10" t="s">
        <v>2142</v>
      </c>
      <c r="B536" s="10"/>
      <c r="C536" s="24" t="s">
        <v>2063</v>
      </c>
      <c r="D536" s="12"/>
      <c r="E536" s="12" t="s">
        <v>2143</v>
      </c>
      <c r="F536" s="18" t="s">
        <v>70</v>
      </c>
      <c r="G536" s="19">
        <v>0.3</v>
      </c>
      <c r="H536" s="20"/>
      <c r="I536" s="20">
        <v>0</v>
      </c>
      <c r="J536" s="21">
        <v>226.67</v>
      </c>
      <c r="M536" s="22">
        <f>ROUND(ROUND(J536, 2)*I536, 2)</f>
        <v>0</v>
      </c>
      <c r="P536" s="21">
        <v>226.67</v>
      </c>
      <c r="S536" s="22">
        <f>ROUND(ROUND(P536, 2)*I536, 2)</f>
        <v>0</v>
      </c>
      <c r="V536" s="9">
        <f>ROUND(ROUND(P536, 2)/1.2, 2)</f>
        <v>188.89</v>
      </c>
      <c r="Y536" s="9">
        <f t="shared" si="32"/>
        <v>0</v>
      </c>
      <c r="AD536" s="4" t="s">
        <v>2144</v>
      </c>
      <c r="AE536" s="4" t="s">
        <v>2145</v>
      </c>
      <c r="AF536" s="4" t="s">
        <v>2067</v>
      </c>
    </row>
    <row r="537" spans="1:35" ht="36" x14ac:dyDescent="0.3">
      <c r="A537" s="10" t="s">
        <v>2148</v>
      </c>
      <c r="B537" s="10" t="s">
        <v>2149</v>
      </c>
      <c r="C537" s="11" t="s">
        <v>2150</v>
      </c>
      <c r="D537" s="12"/>
      <c r="E537" s="12" t="s">
        <v>2151</v>
      </c>
      <c r="F537" s="12" t="s">
        <v>64</v>
      </c>
      <c r="G537" s="13">
        <v>1</v>
      </c>
      <c r="H537" s="13"/>
      <c r="I537" s="13">
        <v>0.85</v>
      </c>
      <c r="J537" s="14">
        <f>IFERROR(ROUND(SUM(M538,M539)/I537, 2),0)</f>
        <v>13.38</v>
      </c>
      <c r="K537" s="15">
        <v>464</v>
      </c>
      <c r="L537" s="14">
        <f>J537+ROUND(K537, 2)</f>
        <v>477.38</v>
      </c>
      <c r="M537" s="14">
        <f>ROUND(J537*I537, 2)</f>
        <v>11.37</v>
      </c>
      <c r="N537" s="14">
        <f>ROUND(I537*ROUND(K537, 2), 2)</f>
        <v>394.4</v>
      </c>
      <c r="O537" s="14">
        <f>M537+N537</f>
        <v>405.77</v>
      </c>
      <c r="P537" s="14">
        <f>IFERROR(ROUND(SUM(S538,S539)/I537, 2),0)</f>
        <v>75.33</v>
      </c>
      <c r="Q537" s="15">
        <v>464</v>
      </c>
      <c r="R537" s="14">
        <f>P537+ROUND(Q537, 2)</f>
        <v>539.33000000000004</v>
      </c>
      <c r="S537" s="14">
        <f>ROUND(P537*I537, 2)</f>
        <v>64.03</v>
      </c>
      <c r="T537" s="14">
        <f>ROUND(I537*ROUND(Q537, 2), 2)</f>
        <v>394.4</v>
      </c>
      <c r="U537" s="14">
        <f>S537+T537</f>
        <v>458.42999999999995</v>
      </c>
      <c r="V537" s="9">
        <f>ROUND(P537 / 1.2, 2)</f>
        <v>62.78</v>
      </c>
      <c r="W537" s="9">
        <f>ROUND(Q537 / 1.2, 2)</f>
        <v>386.67</v>
      </c>
      <c r="X537" s="9">
        <f>ROUND(R537 / 1.2, 2)</f>
        <v>449.44</v>
      </c>
      <c r="Y537" s="9">
        <f t="shared" si="32"/>
        <v>53.36</v>
      </c>
      <c r="Z537" s="9">
        <f>ROUND(T537 / 1.2, 2)</f>
        <v>328.67</v>
      </c>
      <c r="AA537" s="9">
        <f>Y537+Z537</f>
        <v>382.03000000000003</v>
      </c>
      <c r="AD537" s="4">
        <v>298925351</v>
      </c>
      <c r="AE537" s="4">
        <v>19999841</v>
      </c>
      <c r="AG537" s="4" t="s">
        <v>2152</v>
      </c>
      <c r="AH537" s="4" t="s">
        <v>2153</v>
      </c>
      <c r="AI537" s="4" t="s">
        <v>67</v>
      </c>
    </row>
    <row r="538" spans="1:35" ht="72" x14ac:dyDescent="0.3">
      <c r="A538" s="10" t="s">
        <v>2154</v>
      </c>
      <c r="B538" s="10"/>
      <c r="C538" s="24" t="s">
        <v>2155</v>
      </c>
      <c r="D538" s="12"/>
      <c r="E538" s="12" t="s">
        <v>2156</v>
      </c>
      <c r="F538" s="18" t="s">
        <v>70</v>
      </c>
      <c r="G538" s="19">
        <v>0.3</v>
      </c>
      <c r="H538" s="19"/>
      <c r="I538" s="19">
        <v>0.255</v>
      </c>
      <c r="J538" s="21">
        <v>0</v>
      </c>
      <c r="M538" s="22">
        <f>ROUND(ROUND(J538, 2)*I538, 2)</f>
        <v>0</v>
      </c>
      <c r="P538" s="21">
        <v>206.5</v>
      </c>
      <c r="S538" s="22">
        <f>ROUND(ROUND(P538, 2)*I538, 2)</f>
        <v>52.66</v>
      </c>
      <c r="V538" s="9">
        <f>ROUND(ROUND(P538, 2)/1.2, 2)</f>
        <v>172.08</v>
      </c>
      <c r="Y538" s="9">
        <f t="shared" si="32"/>
        <v>43.88</v>
      </c>
      <c r="AD538" s="4" t="s">
        <v>2157</v>
      </c>
      <c r="AE538" s="4" t="s">
        <v>2158</v>
      </c>
      <c r="AF538" s="4" t="s">
        <v>2159</v>
      </c>
    </row>
    <row r="539" spans="1:35" ht="36" x14ac:dyDescent="0.3">
      <c r="A539" s="10" t="s">
        <v>2160</v>
      </c>
      <c r="B539" s="10"/>
      <c r="C539" s="24" t="s">
        <v>433</v>
      </c>
      <c r="D539" s="12"/>
      <c r="E539" s="12"/>
      <c r="F539" s="18" t="s">
        <v>70</v>
      </c>
      <c r="G539" s="19">
        <v>0.15</v>
      </c>
      <c r="H539" s="19"/>
      <c r="I539" s="19">
        <v>0.128</v>
      </c>
      <c r="J539" s="21">
        <v>88.8</v>
      </c>
      <c r="M539" s="22">
        <f>ROUND(ROUND(J539, 2)*I539, 2)</f>
        <v>11.37</v>
      </c>
      <c r="P539" s="21">
        <v>88.8</v>
      </c>
      <c r="S539" s="22">
        <f>ROUND(ROUND(P539, 2)*I539, 2)</f>
        <v>11.37</v>
      </c>
      <c r="V539" s="9">
        <f>ROUND(ROUND(P539, 2)/1.2, 2)</f>
        <v>74</v>
      </c>
      <c r="Y539" s="9">
        <f t="shared" si="32"/>
        <v>9.48</v>
      </c>
      <c r="AD539" s="4" t="s">
        <v>2161</v>
      </c>
      <c r="AE539" s="4" t="s">
        <v>2162</v>
      </c>
      <c r="AF539" s="4" t="s">
        <v>436</v>
      </c>
    </row>
    <row r="540" spans="1:35" ht="36" x14ac:dyDescent="0.3">
      <c r="A540" s="10" t="s">
        <v>2163</v>
      </c>
      <c r="B540" s="10" t="s">
        <v>2149</v>
      </c>
      <c r="C540" s="11" t="s">
        <v>2150</v>
      </c>
      <c r="D540" s="12"/>
      <c r="E540" s="12" t="s">
        <v>2164</v>
      </c>
      <c r="F540" s="12" t="s">
        <v>64</v>
      </c>
      <c r="G540" s="13">
        <v>1</v>
      </c>
      <c r="H540" s="13"/>
      <c r="I540" s="13">
        <v>1.5</v>
      </c>
      <c r="J540" s="14">
        <f>IFERROR(ROUND(SUM(M541,M542)/I540, 2),0)</f>
        <v>13.32</v>
      </c>
      <c r="K540" s="15">
        <v>464</v>
      </c>
      <c r="L540" s="14">
        <f>J540+ROUND(K540, 2)</f>
        <v>477.32</v>
      </c>
      <c r="M540" s="14">
        <f>ROUND(J540*I540, 2)</f>
        <v>19.98</v>
      </c>
      <c r="N540" s="14">
        <f>ROUND(I540*ROUND(K540, 2), 2)</f>
        <v>696</v>
      </c>
      <c r="O540" s="14">
        <f>M540+N540</f>
        <v>715.98</v>
      </c>
      <c r="P540" s="14">
        <f>IFERROR(ROUND(SUM(S541,S542)/I540, 2),0)</f>
        <v>75.27</v>
      </c>
      <c r="Q540" s="15">
        <v>464</v>
      </c>
      <c r="R540" s="14">
        <f>P540+ROUND(Q540, 2)</f>
        <v>539.27</v>
      </c>
      <c r="S540" s="14">
        <f>ROUND(P540*I540, 2)</f>
        <v>112.91</v>
      </c>
      <c r="T540" s="14">
        <f>ROUND(I540*ROUND(Q540, 2), 2)</f>
        <v>696</v>
      </c>
      <c r="U540" s="14">
        <f>S540+T540</f>
        <v>808.91</v>
      </c>
      <c r="V540" s="9">
        <f>ROUND(P540 / 1.2, 2)</f>
        <v>62.73</v>
      </c>
      <c r="W540" s="9">
        <f>ROUND(Q540 / 1.2, 2)</f>
        <v>386.67</v>
      </c>
      <c r="X540" s="9">
        <f>ROUND(R540 / 1.2, 2)</f>
        <v>449.39</v>
      </c>
      <c r="Y540" s="9">
        <f t="shared" si="32"/>
        <v>94.09</v>
      </c>
      <c r="Z540" s="9">
        <f>ROUND(T540 / 1.2, 2)</f>
        <v>580</v>
      </c>
      <c r="AA540" s="9">
        <f>Y540+Z540</f>
        <v>674.09</v>
      </c>
      <c r="AD540" s="4">
        <v>298925454</v>
      </c>
      <c r="AE540" s="4">
        <v>19999842</v>
      </c>
      <c r="AG540" s="4" t="s">
        <v>2152</v>
      </c>
      <c r="AH540" s="4" t="s">
        <v>2153</v>
      </c>
      <c r="AI540" s="4" t="s">
        <v>67</v>
      </c>
    </row>
    <row r="541" spans="1:35" ht="36" x14ac:dyDescent="0.3">
      <c r="A541" s="10" t="s">
        <v>2165</v>
      </c>
      <c r="B541" s="10"/>
      <c r="C541" s="24" t="s">
        <v>433</v>
      </c>
      <c r="D541" s="12"/>
      <c r="E541" s="12"/>
      <c r="F541" s="18" t="s">
        <v>70</v>
      </c>
      <c r="G541" s="19">
        <v>0.15</v>
      </c>
      <c r="H541" s="19"/>
      <c r="I541" s="19">
        <v>0.22500000000000001</v>
      </c>
      <c r="J541" s="21">
        <v>88.8</v>
      </c>
      <c r="M541" s="22">
        <f>ROUND(ROUND(J541, 2)*I541, 2)</f>
        <v>19.98</v>
      </c>
      <c r="P541" s="21">
        <v>88.8</v>
      </c>
      <c r="S541" s="22">
        <f>ROUND(ROUND(P541, 2)*I541, 2)</f>
        <v>19.98</v>
      </c>
      <c r="V541" s="9">
        <f>ROUND(ROUND(P541, 2)/1.2, 2)</f>
        <v>74</v>
      </c>
      <c r="Y541" s="9">
        <f t="shared" si="32"/>
        <v>16.649999999999999</v>
      </c>
      <c r="AD541" s="4" t="s">
        <v>2166</v>
      </c>
      <c r="AE541" s="4" t="s">
        <v>2167</v>
      </c>
      <c r="AF541" s="4" t="s">
        <v>436</v>
      </c>
    </row>
    <row r="542" spans="1:35" ht="72" x14ac:dyDescent="0.3">
      <c r="A542" s="10" t="s">
        <v>2168</v>
      </c>
      <c r="B542" s="10"/>
      <c r="C542" s="24" t="s">
        <v>2155</v>
      </c>
      <c r="D542" s="12"/>
      <c r="E542" s="12" t="s">
        <v>2169</v>
      </c>
      <c r="F542" s="18" t="s">
        <v>70</v>
      </c>
      <c r="G542" s="19">
        <v>0.3</v>
      </c>
      <c r="H542" s="19"/>
      <c r="I542" s="19">
        <v>0.45</v>
      </c>
      <c r="J542" s="21">
        <v>0</v>
      </c>
      <c r="M542" s="22">
        <f>ROUND(ROUND(J542, 2)*I542, 2)</f>
        <v>0</v>
      </c>
      <c r="P542" s="21">
        <v>206.5</v>
      </c>
      <c r="S542" s="22">
        <f>ROUND(ROUND(P542, 2)*I542, 2)</f>
        <v>92.93</v>
      </c>
      <c r="V542" s="9">
        <f>ROUND(ROUND(P542, 2)/1.2, 2)</f>
        <v>172.08</v>
      </c>
      <c r="Y542" s="9">
        <f t="shared" si="32"/>
        <v>77.44</v>
      </c>
      <c r="AD542" s="4" t="s">
        <v>2170</v>
      </c>
      <c r="AE542" s="4" t="s">
        <v>2171</v>
      </c>
      <c r="AF542" s="4" t="s">
        <v>2159</v>
      </c>
    </row>
    <row r="543" spans="1:35" ht="36" x14ac:dyDescent="0.3">
      <c r="A543" s="10" t="s">
        <v>2172</v>
      </c>
      <c r="B543" s="10" t="s">
        <v>2149</v>
      </c>
      <c r="C543" s="11" t="s">
        <v>2150</v>
      </c>
      <c r="D543" s="12"/>
      <c r="E543" s="12" t="s">
        <v>2173</v>
      </c>
      <c r="F543" s="12" t="s">
        <v>64</v>
      </c>
      <c r="G543" s="13">
        <v>1</v>
      </c>
      <c r="H543" s="13"/>
      <c r="I543" s="13">
        <v>139.22</v>
      </c>
      <c r="J543" s="14">
        <f>IFERROR(ROUND(SUM(M544,M545)/I543, 2),0)</f>
        <v>13.32</v>
      </c>
      <c r="K543" s="15">
        <v>464</v>
      </c>
      <c r="L543" s="14">
        <f>J543+ROUND(K543, 2)</f>
        <v>477.32</v>
      </c>
      <c r="M543" s="14">
        <f>ROUND(J543*I543, 2)</f>
        <v>1854.41</v>
      </c>
      <c r="N543" s="14">
        <f>ROUND(I543*ROUND(K543, 2), 2)</f>
        <v>64598.080000000002</v>
      </c>
      <c r="O543" s="14">
        <f>M543+N543</f>
        <v>66452.490000000005</v>
      </c>
      <c r="P543" s="14">
        <f>IFERROR(ROUND(SUM(S544,S545)/I543, 2),0)</f>
        <v>68.28</v>
      </c>
      <c r="Q543" s="15">
        <v>464</v>
      </c>
      <c r="R543" s="14">
        <f>P543+ROUND(Q543, 2)</f>
        <v>532.28</v>
      </c>
      <c r="S543" s="14">
        <f>ROUND(P543*I543, 2)</f>
        <v>9505.94</v>
      </c>
      <c r="T543" s="14">
        <f>ROUND(I543*ROUND(Q543, 2), 2)</f>
        <v>64598.080000000002</v>
      </c>
      <c r="U543" s="14">
        <f>S543+T543</f>
        <v>74104.02</v>
      </c>
      <c r="V543" s="9">
        <f>ROUND(P543 / 1.2, 2)</f>
        <v>56.9</v>
      </c>
      <c r="W543" s="9">
        <f>ROUND(Q543 / 1.2, 2)</f>
        <v>386.67</v>
      </c>
      <c r="X543" s="9">
        <f>ROUND(R543 / 1.2, 2)</f>
        <v>443.57</v>
      </c>
      <c r="Y543" s="9">
        <f t="shared" si="32"/>
        <v>7921.62</v>
      </c>
      <c r="Z543" s="9">
        <f>ROUND(T543 / 1.2, 2)</f>
        <v>53831.73</v>
      </c>
      <c r="AA543" s="9">
        <f>Y543+Z543</f>
        <v>61753.350000000006</v>
      </c>
      <c r="AD543" s="4">
        <v>298925455</v>
      </c>
      <c r="AE543" s="4">
        <v>19999840</v>
      </c>
      <c r="AG543" s="4" t="s">
        <v>2152</v>
      </c>
      <c r="AH543" s="4" t="s">
        <v>2153</v>
      </c>
      <c r="AI543" s="4" t="s">
        <v>67</v>
      </c>
    </row>
    <row r="544" spans="1:35" ht="72" x14ac:dyDescent="0.3">
      <c r="A544" s="10" t="s">
        <v>2174</v>
      </c>
      <c r="B544" s="10"/>
      <c r="C544" s="24" t="s">
        <v>2155</v>
      </c>
      <c r="D544" s="12"/>
      <c r="E544" s="12" t="s">
        <v>2175</v>
      </c>
      <c r="F544" s="18" t="s">
        <v>70</v>
      </c>
      <c r="G544" s="19">
        <v>0.3</v>
      </c>
      <c r="H544" s="19"/>
      <c r="I544" s="19">
        <v>41.765999999999998</v>
      </c>
      <c r="J544" s="21">
        <v>0</v>
      </c>
      <c r="M544" s="22">
        <f>ROUND(ROUND(J544, 2)*I544, 2)</f>
        <v>0</v>
      </c>
      <c r="P544" s="21">
        <v>183.2</v>
      </c>
      <c r="S544" s="22">
        <f>ROUND(ROUND(P544, 2)*I544, 2)</f>
        <v>7651.53</v>
      </c>
      <c r="V544" s="9">
        <f>ROUND(ROUND(P544, 2)/1.2, 2)</f>
        <v>152.66999999999999</v>
      </c>
      <c r="Y544" s="9">
        <f t="shared" si="32"/>
        <v>6376.28</v>
      </c>
      <c r="AD544" s="4" t="s">
        <v>2176</v>
      </c>
      <c r="AE544" s="4" t="s">
        <v>2177</v>
      </c>
      <c r="AF544" s="4" t="s">
        <v>2159</v>
      </c>
    </row>
    <row r="545" spans="1:35" ht="36" x14ac:dyDescent="0.3">
      <c r="A545" s="10" t="s">
        <v>2178</v>
      </c>
      <c r="B545" s="10"/>
      <c r="C545" s="24" t="s">
        <v>433</v>
      </c>
      <c r="D545" s="12"/>
      <c r="E545" s="12"/>
      <c r="F545" s="18" t="s">
        <v>70</v>
      </c>
      <c r="G545" s="19">
        <v>0.15</v>
      </c>
      <c r="H545" s="19"/>
      <c r="I545" s="19">
        <v>20.882999999999999</v>
      </c>
      <c r="J545" s="21">
        <v>88.8</v>
      </c>
      <c r="M545" s="22">
        <f>ROUND(ROUND(J545, 2)*I545, 2)</f>
        <v>1854.41</v>
      </c>
      <c r="P545" s="21">
        <v>88.8</v>
      </c>
      <c r="S545" s="22">
        <f>ROUND(ROUND(P545, 2)*I545, 2)</f>
        <v>1854.41</v>
      </c>
      <c r="V545" s="9">
        <f>ROUND(ROUND(P545, 2)/1.2, 2)</f>
        <v>74</v>
      </c>
      <c r="Y545" s="9">
        <f t="shared" si="32"/>
        <v>1545.34</v>
      </c>
      <c r="AD545" s="4" t="s">
        <v>2179</v>
      </c>
      <c r="AE545" s="4" t="s">
        <v>2180</v>
      </c>
      <c r="AF545" s="4" t="s">
        <v>436</v>
      </c>
    </row>
    <row r="546" spans="1:35" ht="36" x14ac:dyDescent="0.3">
      <c r="A546" s="10" t="s">
        <v>2181</v>
      </c>
      <c r="B546" s="10" t="s">
        <v>2149</v>
      </c>
      <c r="C546" s="11" t="s">
        <v>2150</v>
      </c>
      <c r="D546" s="12"/>
      <c r="E546" s="12" t="s">
        <v>2182</v>
      </c>
      <c r="F546" s="12" t="s">
        <v>64</v>
      </c>
      <c r="G546" s="13">
        <v>1</v>
      </c>
      <c r="H546" s="13"/>
      <c r="I546" s="13">
        <v>143.96</v>
      </c>
      <c r="J546" s="14">
        <f>IFERROR(ROUND(SUM(M547,M548)/I546, 2),0)</f>
        <v>13.32</v>
      </c>
      <c r="K546" s="15">
        <v>464</v>
      </c>
      <c r="L546" s="14">
        <f>J546+ROUND(K546, 2)</f>
        <v>477.32</v>
      </c>
      <c r="M546" s="14">
        <f>ROUND(J546*I546, 2)</f>
        <v>1917.55</v>
      </c>
      <c r="N546" s="14">
        <f>ROUND(I546*ROUND(K546, 2), 2)</f>
        <v>66797.440000000002</v>
      </c>
      <c r="O546" s="14">
        <f>M546+N546</f>
        <v>68714.990000000005</v>
      </c>
      <c r="P546" s="14">
        <f>IFERROR(ROUND(SUM(S547,S548)/I546, 2),0)</f>
        <v>75.27</v>
      </c>
      <c r="Q546" s="15">
        <v>464</v>
      </c>
      <c r="R546" s="14">
        <f>P546+ROUND(Q546, 2)</f>
        <v>539.27</v>
      </c>
      <c r="S546" s="14">
        <f>ROUND(P546*I546, 2)</f>
        <v>10835.87</v>
      </c>
      <c r="T546" s="14">
        <f>ROUND(I546*ROUND(Q546, 2), 2)</f>
        <v>66797.440000000002</v>
      </c>
      <c r="U546" s="14">
        <f>S546+T546</f>
        <v>77633.31</v>
      </c>
      <c r="V546" s="9">
        <f>ROUND(P546 / 1.2, 2)</f>
        <v>62.73</v>
      </c>
      <c r="W546" s="9">
        <f>ROUND(Q546 / 1.2, 2)</f>
        <v>386.67</v>
      </c>
      <c r="X546" s="9">
        <f>ROUND(R546 / 1.2, 2)</f>
        <v>449.39</v>
      </c>
      <c r="Y546" s="9">
        <f t="shared" ref="Y546:Y577" si="33">ROUND(S546 / 1.2, 2)</f>
        <v>9029.89</v>
      </c>
      <c r="Z546" s="9">
        <f>ROUND(T546 / 1.2, 2)</f>
        <v>55664.53</v>
      </c>
      <c r="AA546" s="9">
        <f>Y546+Z546</f>
        <v>64694.42</v>
      </c>
      <c r="AD546" s="4">
        <v>298925456</v>
      </c>
      <c r="AE546" s="4">
        <v>19999843</v>
      </c>
      <c r="AG546" s="4" t="s">
        <v>2152</v>
      </c>
      <c r="AH546" s="4" t="s">
        <v>2153</v>
      </c>
      <c r="AI546" s="4" t="s">
        <v>67</v>
      </c>
    </row>
    <row r="547" spans="1:35" ht="36" x14ac:dyDescent="0.3">
      <c r="A547" s="10" t="s">
        <v>2183</v>
      </c>
      <c r="B547" s="10"/>
      <c r="C547" s="24" t="s">
        <v>433</v>
      </c>
      <c r="D547" s="12"/>
      <c r="E547" s="12"/>
      <c r="F547" s="18" t="s">
        <v>70</v>
      </c>
      <c r="G547" s="19">
        <v>0.15</v>
      </c>
      <c r="H547" s="19"/>
      <c r="I547" s="19">
        <v>21.594000000000001</v>
      </c>
      <c r="J547" s="21">
        <v>88.8</v>
      </c>
      <c r="M547" s="22">
        <f>ROUND(ROUND(J547, 2)*I547, 2)</f>
        <v>1917.55</v>
      </c>
      <c r="P547" s="21">
        <v>88.8</v>
      </c>
      <c r="S547" s="22">
        <f>ROUND(ROUND(P547, 2)*I547, 2)</f>
        <v>1917.55</v>
      </c>
      <c r="V547" s="9">
        <f>ROUND(ROUND(P547, 2)/1.2, 2)</f>
        <v>74</v>
      </c>
      <c r="Y547" s="9">
        <f t="shared" si="33"/>
        <v>1597.96</v>
      </c>
      <c r="AD547" s="4" t="s">
        <v>2184</v>
      </c>
      <c r="AE547" s="4" t="s">
        <v>2185</v>
      </c>
      <c r="AF547" s="4" t="s">
        <v>436</v>
      </c>
    </row>
    <row r="548" spans="1:35" ht="54" x14ac:dyDescent="0.3">
      <c r="A548" s="10" t="s">
        <v>2186</v>
      </c>
      <c r="B548" s="10"/>
      <c r="C548" s="24" t="s">
        <v>2187</v>
      </c>
      <c r="D548" s="12"/>
      <c r="E548" s="12" t="s">
        <v>2188</v>
      </c>
      <c r="F548" s="18" t="s">
        <v>70</v>
      </c>
      <c r="G548" s="19">
        <v>0.3</v>
      </c>
      <c r="H548" s="19"/>
      <c r="I548" s="19">
        <v>43.188000000000002</v>
      </c>
      <c r="J548" s="21">
        <v>0</v>
      </c>
      <c r="M548" s="22">
        <f>ROUND(ROUND(J548, 2)*I548, 2)</f>
        <v>0</v>
      </c>
      <c r="P548" s="21">
        <v>206.5</v>
      </c>
      <c r="S548" s="22">
        <f>ROUND(ROUND(P548, 2)*I548, 2)</f>
        <v>8918.32</v>
      </c>
      <c r="V548" s="9">
        <f>ROUND(ROUND(P548, 2)/1.2, 2)</f>
        <v>172.08</v>
      </c>
      <c r="Y548" s="9">
        <f t="shared" si="33"/>
        <v>7431.93</v>
      </c>
      <c r="AD548" s="4" t="s">
        <v>2189</v>
      </c>
      <c r="AE548" s="4" t="s">
        <v>2190</v>
      </c>
      <c r="AF548" s="4" t="s">
        <v>2191</v>
      </c>
    </row>
    <row r="549" spans="1:35" ht="36" x14ac:dyDescent="0.3">
      <c r="A549" s="10" t="s">
        <v>2192</v>
      </c>
      <c r="B549" s="10" t="s">
        <v>2149</v>
      </c>
      <c r="C549" s="11" t="s">
        <v>2150</v>
      </c>
      <c r="D549" s="12"/>
      <c r="E549" s="12" t="s">
        <v>2193</v>
      </c>
      <c r="F549" s="12" t="s">
        <v>64</v>
      </c>
      <c r="G549" s="13">
        <v>1</v>
      </c>
      <c r="H549" s="13"/>
      <c r="I549" s="13">
        <v>28.93</v>
      </c>
      <c r="J549" s="14">
        <f>IFERROR(ROUND(SUM(M550,M551)/I549, 2),0)</f>
        <v>13.32</v>
      </c>
      <c r="K549" s="15">
        <v>464</v>
      </c>
      <c r="L549" s="14">
        <f>J549+ROUND(K549, 2)</f>
        <v>477.32</v>
      </c>
      <c r="M549" s="14">
        <f>ROUND(J549*I549, 2)</f>
        <v>385.35</v>
      </c>
      <c r="N549" s="14">
        <f>ROUND(I549*ROUND(K549, 2), 2)</f>
        <v>13423.52</v>
      </c>
      <c r="O549" s="14">
        <f>M549+N549</f>
        <v>13808.87</v>
      </c>
      <c r="P549" s="14">
        <f>IFERROR(ROUND(SUM(S550,S551)/I549, 2),0)</f>
        <v>75.27</v>
      </c>
      <c r="Q549" s="15">
        <v>464</v>
      </c>
      <c r="R549" s="14">
        <f>P549+ROUND(Q549, 2)</f>
        <v>539.27</v>
      </c>
      <c r="S549" s="14">
        <f>ROUND(P549*I549, 2)</f>
        <v>2177.56</v>
      </c>
      <c r="T549" s="14">
        <f>ROUND(I549*ROUND(Q549, 2), 2)</f>
        <v>13423.52</v>
      </c>
      <c r="U549" s="14">
        <f>S549+T549</f>
        <v>15601.08</v>
      </c>
      <c r="V549" s="9">
        <f>ROUND(P549 / 1.2, 2)</f>
        <v>62.73</v>
      </c>
      <c r="W549" s="9">
        <f>ROUND(Q549 / 1.2, 2)</f>
        <v>386.67</v>
      </c>
      <c r="X549" s="9">
        <f>ROUND(R549 / 1.2, 2)</f>
        <v>449.39</v>
      </c>
      <c r="Y549" s="9">
        <f t="shared" si="33"/>
        <v>1814.63</v>
      </c>
      <c r="Z549" s="9">
        <f>ROUND(T549 / 1.2, 2)</f>
        <v>11186.27</v>
      </c>
      <c r="AA549" s="9">
        <f>Y549+Z549</f>
        <v>13000.900000000001</v>
      </c>
      <c r="AD549" s="4">
        <v>298925457</v>
      </c>
      <c r="AE549" s="4">
        <v>19999844</v>
      </c>
      <c r="AG549" s="4" t="s">
        <v>2152</v>
      </c>
      <c r="AH549" s="4" t="s">
        <v>2153</v>
      </c>
      <c r="AI549" s="4" t="s">
        <v>67</v>
      </c>
    </row>
    <row r="550" spans="1:35" ht="54" x14ac:dyDescent="0.3">
      <c r="A550" s="10" t="s">
        <v>2194</v>
      </c>
      <c r="B550" s="10"/>
      <c r="C550" s="24" t="s">
        <v>2187</v>
      </c>
      <c r="D550" s="12"/>
      <c r="E550" s="12" t="s">
        <v>2195</v>
      </c>
      <c r="F550" s="18" t="s">
        <v>70</v>
      </c>
      <c r="G550" s="19">
        <v>0.3</v>
      </c>
      <c r="H550" s="19"/>
      <c r="I550" s="19">
        <v>8.6790000000000003</v>
      </c>
      <c r="J550" s="21">
        <v>0</v>
      </c>
      <c r="M550" s="22">
        <f>ROUND(ROUND(J550, 2)*I550, 2)</f>
        <v>0</v>
      </c>
      <c r="P550" s="21">
        <v>206.5</v>
      </c>
      <c r="S550" s="22">
        <f>ROUND(ROUND(P550, 2)*I550, 2)</f>
        <v>1792.21</v>
      </c>
      <c r="V550" s="9">
        <f>ROUND(ROUND(P550, 2)/1.2, 2)</f>
        <v>172.08</v>
      </c>
      <c r="Y550" s="9">
        <f t="shared" si="33"/>
        <v>1493.51</v>
      </c>
      <c r="AD550" s="4" t="s">
        <v>2196</v>
      </c>
      <c r="AE550" s="4" t="s">
        <v>2197</v>
      </c>
      <c r="AF550" s="4" t="s">
        <v>2191</v>
      </c>
    </row>
    <row r="551" spans="1:35" ht="36" x14ac:dyDescent="0.3">
      <c r="A551" s="10" t="s">
        <v>2198</v>
      </c>
      <c r="B551" s="10"/>
      <c r="C551" s="24" t="s">
        <v>433</v>
      </c>
      <c r="D551" s="12"/>
      <c r="E551" s="12"/>
      <c r="F551" s="18" t="s">
        <v>70</v>
      </c>
      <c r="G551" s="19">
        <v>0.15</v>
      </c>
      <c r="H551" s="19"/>
      <c r="I551" s="19">
        <v>4.34</v>
      </c>
      <c r="J551" s="21">
        <v>88.8</v>
      </c>
      <c r="M551" s="22">
        <f>ROUND(ROUND(J551, 2)*I551, 2)</f>
        <v>385.39</v>
      </c>
      <c r="P551" s="21">
        <v>88.8</v>
      </c>
      <c r="S551" s="22">
        <f>ROUND(ROUND(P551, 2)*I551, 2)</f>
        <v>385.39</v>
      </c>
      <c r="V551" s="9">
        <f>ROUND(ROUND(P551, 2)/1.2, 2)</f>
        <v>74</v>
      </c>
      <c r="Y551" s="9">
        <f t="shared" si="33"/>
        <v>321.16000000000003</v>
      </c>
      <c r="AD551" s="4" t="s">
        <v>2199</v>
      </c>
      <c r="AE551" s="4" t="s">
        <v>2200</v>
      </c>
      <c r="AF551" s="4" t="s">
        <v>436</v>
      </c>
    </row>
    <row r="552" spans="1:35" ht="36" x14ac:dyDescent="0.3">
      <c r="A552" s="10" t="s">
        <v>2201</v>
      </c>
      <c r="B552" s="10" t="s">
        <v>2149</v>
      </c>
      <c r="C552" s="11" t="s">
        <v>2150</v>
      </c>
      <c r="D552" s="12"/>
      <c r="E552" s="12" t="s">
        <v>2202</v>
      </c>
      <c r="F552" s="12" t="s">
        <v>64</v>
      </c>
      <c r="G552" s="13">
        <v>1</v>
      </c>
      <c r="H552" s="13"/>
      <c r="I552" s="13">
        <v>28.7</v>
      </c>
      <c r="J552" s="14">
        <f>IFERROR(ROUND(SUM(M553,M554)/I552, 2),0)</f>
        <v>13.32</v>
      </c>
      <c r="K552" s="15">
        <v>464</v>
      </c>
      <c r="L552" s="14">
        <f>J552+ROUND(K552, 2)</f>
        <v>477.32</v>
      </c>
      <c r="M552" s="14">
        <f>ROUND(J552*I552, 2)</f>
        <v>382.28</v>
      </c>
      <c r="N552" s="14">
        <f>ROUND(I552*ROUND(K552, 2), 2)</f>
        <v>13316.8</v>
      </c>
      <c r="O552" s="14">
        <f>M552+N552</f>
        <v>13699.08</v>
      </c>
      <c r="P552" s="14">
        <f>IFERROR(ROUND(SUM(S553,S554)/I552, 2),0)</f>
        <v>75.27</v>
      </c>
      <c r="Q552" s="15">
        <v>464</v>
      </c>
      <c r="R552" s="14">
        <f>P552+ROUND(Q552, 2)</f>
        <v>539.27</v>
      </c>
      <c r="S552" s="14">
        <f>ROUND(P552*I552, 2)</f>
        <v>2160.25</v>
      </c>
      <c r="T552" s="14">
        <f>ROUND(I552*ROUND(Q552, 2), 2)</f>
        <v>13316.8</v>
      </c>
      <c r="U552" s="14">
        <f>S552+T552</f>
        <v>15477.05</v>
      </c>
      <c r="V552" s="9">
        <f>ROUND(P552 / 1.2, 2)</f>
        <v>62.73</v>
      </c>
      <c r="W552" s="9">
        <f>ROUND(Q552 / 1.2, 2)</f>
        <v>386.67</v>
      </c>
      <c r="X552" s="9">
        <f>ROUND(R552 / 1.2, 2)</f>
        <v>449.39</v>
      </c>
      <c r="Y552" s="9">
        <f t="shared" si="33"/>
        <v>1800.21</v>
      </c>
      <c r="Z552" s="9">
        <f>ROUND(T552 / 1.2, 2)</f>
        <v>11097.33</v>
      </c>
      <c r="AA552" s="9">
        <f>Y552+Z552</f>
        <v>12897.54</v>
      </c>
      <c r="AD552" s="4">
        <v>298925458</v>
      </c>
      <c r="AE552" s="4">
        <v>19999845</v>
      </c>
      <c r="AG552" s="4" t="s">
        <v>2152</v>
      </c>
      <c r="AH552" s="4" t="s">
        <v>2153</v>
      </c>
      <c r="AI552" s="4" t="s">
        <v>67</v>
      </c>
    </row>
    <row r="553" spans="1:35" ht="36" x14ac:dyDescent="0.3">
      <c r="A553" s="10" t="s">
        <v>2203</v>
      </c>
      <c r="B553" s="10"/>
      <c r="C553" s="24" t="s">
        <v>433</v>
      </c>
      <c r="D553" s="12"/>
      <c r="E553" s="12"/>
      <c r="F553" s="18" t="s">
        <v>70</v>
      </c>
      <c r="G553" s="19">
        <v>0.15</v>
      </c>
      <c r="H553" s="19"/>
      <c r="I553" s="19">
        <v>4.3049999999999997</v>
      </c>
      <c r="J553" s="21">
        <v>88.8</v>
      </c>
      <c r="M553" s="22">
        <f>ROUND(ROUND(J553, 2)*I553, 2)</f>
        <v>382.28</v>
      </c>
      <c r="P553" s="21">
        <v>88.8</v>
      </c>
      <c r="S553" s="22">
        <f>ROUND(ROUND(P553, 2)*I553, 2)</f>
        <v>382.28</v>
      </c>
      <c r="V553" s="9">
        <f>ROUND(ROUND(P553, 2)/1.2, 2)</f>
        <v>74</v>
      </c>
      <c r="Y553" s="9">
        <f t="shared" si="33"/>
        <v>318.57</v>
      </c>
      <c r="AD553" s="4" t="s">
        <v>2204</v>
      </c>
      <c r="AE553" s="4" t="s">
        <v>2205</v>
      </c>
      <c r="AF553" s="4" t="s">
        <v>436</v>
      </c>
    </row>
    <row r="554" spans="1:35" ht="54" x14ac:dyDescent="0.3">
      <c r="A554" s="10" t="s">
        <v>2206</v>
      </c>
      <c r="B554" s="10"/>
      <c r="C554" s="24" t="s">
        <v>2187</v>
      </c>
      <c r="D554" s="12"/>
      <c r="E554" s="12" t="s">
        <v>2207</v>
      </c>
      <c r="F554" s="18" t="s">
        <v>70</v>
      </c>
      <c r="G554" s="19">
        <v>0.3</v>
      </c>
      <c r="H554" s="19"/>
      <c r="I554" s="19">
        <v>8.61</v>
      </c>
      <c r="J554" s="21">
        <v>0</v>
      </c>
      <c r="M554" s="22">
        <f>ROUND(ROUND(J554, 2)*I554, 2)</f>
        <v>0</v>
      </c>
      <c r="P554" s="21">
        <v>206.5</v>
      </c>
      <c r="S554" s="22">
        <f>ROUND(ROUND(P554, 2)*I554, 2)</f>
        <v>1777.97</v>
      </c>
      <c r="V554" s="9">
        <f>ROUND(ROUND(P554, 2)/1.2, 2)</f>
        <v>172.08</v>
      </c>
      <c r="Y554" s="9">
        <f t="shared" si="33"/>
        <v>1481.64</v>
      </c>
      <c r="AD554" s="4" t="s">
        <v>2208</v>
      </c>
      <c r="AE554" s="4" t="s">
        <v>2209</v>
      </c>
      <c r="AF554" s="4" t="s">
        <v>2191</v>
      </c>
    </row>
    <row r="555" spans="1:35" ht="36" x14ac:dyDescent="0.3">
      <c r="A555" s="10" t="s">
        <v>2210</v>
      </c>
      <c r="B555" s="10" t="s">
        <v>2149</v>
      </c>
      <c r="C555" s="11" t="s">
        <v>2150</v>
      </c>
      <c r="D555" s="12"/>
      <c r="E555" s="12" t="s">
        <v>2211</v>
      </c>
      <c r="F555" s="12" t="s">
        <v>64</v>
      </c>
      <c r="G555" s="13">
        <v>1</v>
      </c>
      <c r="H555" s="13"/>
      <c r="I555" s="13">
        <v>29.42</v>
      </c>
      <c r="J555" s="14">
        <f>IFERROR(ROUND(SUM(M556,M557)/I555, 2),0)</f>
        <v>13.32</v>
      </c>
      <c r="K555" s="15">
        <v>464</v>
      </c>
      <c r="L555" s="14">
        <f>J555+ROUND(K555, 2)</f>
        <v>477.32</v>
      </c>
      <c r="M555" s="14">
        <f>ROUND(J555*I555, 2)</f>
        <v>391.87</v>
      </c>
      <c r="N555" s="14">
        <f>ROUND(I555*ROUND(K555, 2), 2)</f>
        <v>13650.88</v>
      </c>
      <c r="O555" s="14">
        <f>M555+N555</f>
        <v>14042.75</v>
      </c>
      <c r="P555" s="14">
        <f>IFERROR(ROUND(SUM(S556,S557)/I555, 2),0)</f>
        <v>75.27</v>
      </c>
      <c r="Q555" s="15">
        <v>464</v>
      </c>
      <c r="R555" s="14">
        <f>P555+ROUND(Q555, 2)</f>
        <v>539.27</v>
      </c>
      <c r="S555" s="14">
        <f>ROUND(P555*I555, 2)</f>
        <v>2214.44</v>
      </c>
      <c r="T555" s="14">
        <f>ROUND(I555*ROUND(Q555, 2), 2)</f>
        <v>13650.88</v>
      </c>
      <c r="U555" s="14">
        <f>S555+T555</f>
        <v>15865.32</v>
      </c>
      <c r="V555" s="9">
        <f>ROUND(P555 / 1.2, 2)</f>
        <v>62.73</v>
      </c>
      <c r="W555" s="9">
        <f>ROUND(Q555 / 1.2, 2)</f>
        <v>386.67</v>
      </c>
      <c r="X555" s="9">
        <f>ROUND(R555 / 1.2, 2)</f>
        <v>449.39</v>
      </c>
      <c r="Y555" s="9">
        <f t="shared" si="33"/>
        <v>1845.37</v>
      </c>
      <c r="Z555" s="9">
        <f>ROUND(T555 / 1.2, 2)</f>
        <v>11375.73</v>
      </c>
      <c r="AA555" s="9">
        <f>Y555+Z555</f>
        <v>13221.099999999999</v>
      </c>
      <c r="AD555" s="4">
        <v>298925459</v>
      </c>
      <c r="AE555" s="4">
        <v>19999846</v>
      </c>
      <c r="AG555" s="4" t="s">
        <v>2152</v>
      </c>
      <c r="AH555" s="4" t="s">
        <v>2153</v>
      </c>
      <c r="AI555" s="4" t="s">
        <v>67</v>
      </c>
    </row>
    <row r="556" spans="1:35" ht="54" x14ac:dyDescent="0.3">
      <c r="A556" s="10" t="s">
        <v>2212</v>
      </c>
      <c r="B556" s="10"/>
      <c r="C556" s="24" t="s">
        <v>2187</v>
      </c>
      <c r="D556" s="12"/>
      <c r="E556" s="12" t="s">
        <v>2213</v>
      </c>
      <c r="F556" s="18" t="s">
        <v>70</v>
      </c>
      <c r="G556" s="19">
        <v>0.3</v>
      </c>
      <c r="H556" s="19"/>
      <c r="I556" s="19">
        <v>8.8260000000000005</v>
      </c>
      <c r="J556" s="21">
        <v>0</v>
      </c>
      <c r="M556" s="22">
        <f>ROUND(ROUND(J556, 2)*I556, 2)</f>
        <v>0</v>
      </c>
      <c r="P556" s="21">
        <v>206.5</v>
      </c>
      <c r="S556" s="22">
        <f>ROUND(ROUND(P556, 2)*I556, 2)</f>
        <v>1822.57</v>
      </c>
      <c r="V556" s="9">
        <f>ROUND(ROUND(P556, 2)/1.2, 2)</f>
        <v>172.08</v>
      </c>
      <c r="Y556" s="9">
        <f t="shared" si="33"/>
        <v>1518.81</v>
      </c>
      <c r="AD556" s="4" t="s">
        <v>2214</v>
      </c>
      <c r="AE556" s="4" t="s">
        <v>2215</v>
      </c>
      <c r="AF556" s="4" t="s">
        <v>2191</v>
      </c>
    </row>
    <row r="557" spans="1:35" ht="36" x14ac:dyDescent="0.3">
      <c r="A557" s="10" t="s">
        <v>2216</v>
      </c>
      <c r="B557" s="10"/>
      <c r="C557" s="24" t="s">
        <v>433</v>
      </c>
      <c r="D557" s="12"/>
      <c r="E557" s="12"/>
      <c r="F557" s="18" t="s">
        <v>70</v>
      </c>
      <c r="G557" s="19">
        <v>0.15</v>
      </c>
      <c r="H557" s="19"/>
      <c r="I557" s="19">
        <v>4.4130000000000003</v>
      </c>
      <c r="J557" s="21">
        <v>88.8</v>
      </c>
      <c r="M557" s="22">
        <f>ROUND(ROUND(J557, 2)*I557, 2)</f>
        <v>391.87</v>
      </c>
      <c r="P557" s="21">
        <v>88.8</v>
      </c>
      <c r="S557" s="22">
        <f>ROUND(ROUND(P557, 2)*I557, 2)</f>
        <v>391.87</v>
      </c>
      <c r="V557" s="9">
        <f>ROUND(ROUND(P557, 2)/1.2, 2)</f>
        <v>74</v>
      </c>
      <c r="Y557" s="9">
        <f t="shared" si="33"/>
        <v>326.56</v>
      </c>
      <c r="AD557" s="4" t="s">
        <v>2217</v>
      </c>
      <c r="AE557" s="4" t="s">
        <v>2218</v>
      </c>
      <c r="AF557" s="4" t="s">
        <v>436</v>
      </c>
    </row>
    <row r="558" spans="1:35" ht="36" x14ac:dyDescent="0.3">
      <c r="A558" s="10" t="s">
        <v>2219</v>
      </c>
      <c r="B558" s="10" t="s">
        <v>2149</v>
      </c>
      <c r="C558" s="11" t="s">
        <v>2150</v>
      </c>
      <c r="D558" s="12"/>
      <c r="E558" s="12" t="s">
        <v>2220</v>
      </c>
      <c r="F558" s="12" t="s">
        <v>64</v>
      </c>
      <c r="G558" s="13">
        <v>1</v>
      </c>
      <c r="H558" s="13"/>
      <c r="I558" s="13">
        <v>316.79000000000002</v>
      </c>
      <c r="J558" s="14">
        <f>IFERROR(ROUND(SUM(M559,M560)/I558, 2),0)</f>
        <v>13.32</v>
      </c>
      <c r="K558" s="15">
        <v>464</v>
      </c>
      <c r="L558" s="14">
        <f>J558+ROUND(K558, 2)</f>
        <v>477.32</v>
      </c>
      <c r="M558" s="14">
        <f>ROUND(J558*I558, 2)</f>
        <v>4219.6400000000003</v>
      </c>
      <c r="N558" s="14">
        <f>ROUND(I558*ROUND(K558, 2), 2)</f>
        <v>146990.56</v>
      </c>
      <c r="O558" s="14">
        <f>M558+N558</f>
        <v>151210.20000000001</v>
      </c>
      <c r="P558" s="14">
        <f>IFERROR(ROUND(SUM(S559,S560)/I558, 2),0)</f>
        <v>75.27</v>
      </c>
      <c r="Q558" s="15">
        <v>464</v>
      </c>
      <c r="R558" s="14">
        <f>P558+ROUND(Q558, 2)</f>
        <v>539.27</v>
      </c>
      <c r="S558" s="14">
        <f>ROUND(P558*I558, 2)</f>
        <v>23844.78</v>
      </c>
      <c r="T558" s="14">
        <f>ROUND(I558*ROUND(Q558, 2), 2)</f>
        <v>146990.56</v>
      </c>
      <c r="U558" s="14">
        <f>S558+T558</f>
        <v>170835.34</v>
      </c>
      <c r="V558" s="9">
        <f>ROUND(P558 / 1.2, 2)</f>
        <v>62.73</v>
      </c>
      <c r="W558" s="9">
        <f>ROUND(Q558 / 1.2, 2)</f>
        <v>386.67</v>
      </c>
      <c r="X558" s="9">
        <f>ROUND(R558 / 1.2, 2)</f>
        <v>449.39</v>
      </c>
      <c r="Y558" s="9">
        <f t="shared" si="33"/>
        <v>19870.650000000001</v>
      </c>
      <c r="Z558" s="9">
        <f>ROUND(T558 / 1.2, 2)</f>
        <v>122492.13</v>
      </c>
      <c r="AA558" s="9">
        <f>Y558+Z558</f>
        <v>142362.78</v>
      </c>
      <c r="AD558" s="4">
        <v>298925460</v>
      </c>
      <c r="AE558" s="4">
        <v>20002013</v>
      </c>
      <c r="AG558" s="4" t="s">
        <v>2152</v>
      </c>
      <c r="AH558" s="4" t="s">
        <v>2153</v>
      </c>
      <c r="AI558" s="4" t="s">
        <v>67</v>
      </c>
    </row>
    <row r="559" spans="1:35" ht="36" x14ac:dyDescent="0.3">
      <c r="A559" s="10" t="s">
        <v>2221</v>
      </c>
      <c r="B559" s="10"/>
      <c r="C559" s="24" t="s">
        <v>433</v>
      </c>
      <c r="D559" s="12"/>
      <c r="E559" s="12"/>
      <c r="F559" s="18" t="s">
        <v>70</v>
      </c>
      <c r="G559" s="19">
        <v>0.15</v>
      </c>
      <c r="H559" s="19"/>
      <c r="I559" s="19">
        <v>47.518999999999998</v>
      </c>
      <c r="J559" s="21">
        <v>88.8</v>
      </c>
      <c r="M559" s="22">
        <f>ROUND(ROUND(J559, 2)*I559, 2)</f>
        <v>4219.6899999999996</v>
      </c>
      <c r="P559" s="21">
        <v>88.8</v>
      </c>
      <c r="S559" s="22">
        <f>ROUND(ROUND(P559, 2)*I559, 2)</f>
        <v>4219.6899999999996</v>
      </c>
      <c r="V559" s="9">
        <f>ROUND(ROUND(P559, 2)/1.2, 2)</f>
        <v>74</v>
      </c>
      <c r="Y559" s="9">
        <f t="shared" si="33"/>
        <v>3516.41</v>
      </c>
      <c r="AD559" s="4" t="s">
        <v>2222</v>
      </c>
      <c r="AE559" s="4" t="s">
        <v>2223</v>
      </c>
      <c r="AF559" s="4" t="s">
        <v>436</v>
      </c>
    </row>
    <row r="560" spans="1:35" ht="90" x14ac:dyDescent="0.3">
      <c r="A560" s="10" t="s">
        <v>2224</v>
      </c>
      <c r="B560" s="10"/>
      <c r="C560" s="24" t="s">
        <v>2155</v>
      </c>
      <c r="D560" s="12"/>
      <c r="E560" s="12" t="s">
        <v>2225</v>
      </c>
      <c r="F560" s="18" t="s">
        <v>70</v>
      </c>
      <c r="G560" s="19">
        <v>0.3</v>
      </c>
      <c r="H560" s="19"/>
      <c r="I560" s="19">
        <v>95.037000000000006</v>
      </c>
      <c r="J560" s="21">
        <v>0</v>
      </c>
      <c r="M560" s="22">
        <f>ROUND(ROUND(J560, 2)*I560, 2)</f>
        <v>0</v>
      </c>
      <c r="P560" s="21">
        <v>206.5</v>
      </c>
      <c r="S560" s="22">
        <f>ROUND(ROUND(P560, 2)*I560, 2)</f>
        <v>19625.14</v>
      </c>
      <c r="V560" s="9">
        <f>ROUND(ROUND(P560, 2)/1.2, 2)</f>
        <v>172.08</v>
      </c>
      <c r="Y560" s="9">
        <f t="shared" si="33"/>
        <v>16354.28</v>
      </c>
      <c r="AD560" s="4" t="s">
        <v>2226</v>
      </c>
      <c r="AE560" s="4" t="s">
        <v>2227</v>
      </c>
      <c r="AF560" s="4" t="s">
        <v>2159</v>
      </c>
    </row>
    <row r="561" spans="1:35" ht="36" x14ac:dyDescent="0.3">
      <c r="A561" s="10" t="s">
        <v>2228</v>
      </c>
      <c r="B561" s="10" t="s">
        <v>2149</v>
      </c>
      <c r="C561" s="11" t="s">
        <v>2150</v>
      </c>
      <c r="D561" s="12"/>
      <c r="E561" s="12" t="s">
        <v>2229</v>
      </c>
      <c r="F561" s="12" t="s">
        <v>64</v>
      </c>
      <c r="G561" s="13">
        <v>1</v>
      </c>
      <c r="H561" s="13"/>
      <c r="I561" s="13">
        <v>564.55999999999995</v>
      </c>
      <c r="J561" s="14">
        <f>IFERROR(ROUND(SUM(M562,M563)/I561, 2),0)</f>
        <v>13.32</v>
      </c>
      <c r="K561" s="15">
        <v>464</v>
      </c>
      <c r="L561" s="14">
        <f>J561+ROUND(K561, 2)</f>
        <v>477.32</v>
      </c>
      <c r="M561" s="14">
        <f>ROUND(J561*I561, 2)</f>
        <v>7519.94</v>
      </c>
      <c r="N561" s="14">
        <f>ROUND(I561*ROUND(K561, 2), 2)</f>
        <v>261955.84</v>
      </c>
      <c r="O561" s="14">
        <f>M561+N561</f>
        <v>269475.77999999997</v>
      </c>
      <c r="P561" s="14">
        <f>IFERROR(ROUND(SUM(S562,S563)/I561, 2),0)</f>
        <v>68.28</v>
      </c>
      <c r="Q561" s="15">
        <v>464</v>
      </c>
      <c r="R561" s="14">
        <f>P561+ROUND(Q561, 2)</f>
        <v>532.28</v>
      </c>
      <c r="S561" s="14">
        <f>ROUND(P561*I561, 2)</f>
        <v>38548.160000000003</v>
      </c>
      <c r="T561" s="14">
        <f>ROUND(I561*ROUND(Q561, 2), 2)</f>
        <v>261955.84</v>
      </c>
      <c r="U561" s="14">
        <f>S561+T561</f>
        <v>300504</v>
      </c>
      <c r="V561" s="9">
        <f>ROUND(P561 / 1.2, 2)</f>
        <v>56.9</v>
      </c>
      <c r="W561" s="9">
        <f>ROUND(Q561 / 1.2, 2)</f>
        <v>386.67</v>
      </c>
      <c r="X561" s="9">
        <f>ROUND(R561 / 1.2, 2)</f>
        <v>443.57</v>
      </c>
      <c r="Y561" s="9">
        <f t="shared" si="33"/>
        <v>32123.47</v>
      </c>
      <c r="Z561" s="9">
        <f>ROUND(T561 / 1.2, 2)</f>
        <v>218296.53</v>
      </c>
      <c r="AA561" s="9">
        <f>Y561+Z561</f>
        <v>250420</v>
      </c>
      <c r="AD561" s="4">
        <v>298925461</v>
      </c>
      <c r="AE561" s="4">
        <v>20002014</v>
      </c>
      <c r="AG561" s="4" t="s">
        <v>2152</v>
      </c>
      <c r="AH561" s="4" t="s">
        <v>2153</v>
      </c>
      <c r="AI561" s="4" t="s">
        <v>67</v>
      </c>
    </row>
    <row r="562" spans="1:35" ht="54" x14ac:dyDescent="0.3">
      <c r="A562" s="10" t="s">
        <v>2230</v>
      </c>
      <c r="B562" s="10"/>
      <c r="C562" s="24" t="s">
        <v>2187</v>
      </c>
      <c r="D562" s="12"/>
      <c r="E562" s="12" t="s">
        <v>2231</v>
      </c>
      <c r="F562" s="18" t="s">
        <v>70</v>
      </c>
      <c r="G562" s="19">
        <v>0.3</v>
      </c>
      <c r="H562" s="19"/>
      <c r="I562" s="19">
        <v>169.36799999999999</v>
      </c>
      <c r="J562" s="21">
        <v>0</v>
      </c>
      <c r="M562" s="22">
        <f>ROUND(ROUND(J562, 2)*I562, 2)</f>
        <v>0</v>
      </c>
      <c r="P562" s="21">
        <v>183.2</v>
      </c>
      <c r="S562" s="22">
        <f>ROUND(ROUND(P562, 2)*I562, 2)</f>
        <v>31028.22</v>
      </c>
      <c r="V562" s="9">
        <f>ROUND(ROUND(P562, 2)/1.2, 2)</f>
        <v>152.66999999999999</v>
      </c>
      <c r="Y562" s="9">
        <f t="shared" si="33"/>
        <v>25856.85</v>
      </c>
      <c r="AD562" s="4" t="s">
        <v>2232</v>
      </c>
      <c r="AE562" s="4" t="s">
        <v>2233</v>
      </c>
      <c r="AF562" s="4" t="s">
        <v>2191</v>
      </c>
    </row>
    <row r="563" spans="1:35" ht="36" x14ac:dyDescent="0.3">
      <c r="A563" s="10" t="s">
        <v>2234</v>
      </c>
      <c r="B563" s="10"/>
      <c r="C563" s="24" t="s">
        <v>433</v>
      </c>
      <c r="D563" s="12"/>
      <c r="E563" s="12"/>
      <c r="F563" s="18" t="s">
        <v>70</v>
      </c>
      <c r="G563" s="19">
        <v>0.15</v>
      </c>
      <c r="H563" s="19"/>
      <c r="I563" s="19">
        <v>84.683999999999997</v>
      </c>
      <c r="J563" s="21">
        <v>88.8</v>
      </c>
      <c r="M563" s="22">
        <f>ROUND(ROUND(J563, 2)*I563, 2)</f>
        <v>7519.94</v>
      </c>
      <c r="P563" s="21">
        <v>88.8</v>
      </c>
      <c r="S563" s="22">
        <f>ROUND(ROUND(P563, 2)*I563, 2)</f>
        <v>7519.94</v>
      </c>
      <c r="V563" s="9">
        <f>ROUND(ROUND(P563, 2)/1.2, 2)</f>
        <v>74</v>
      </c>
      <c r="Y563" s="9">
        <f t="shared" si="33"/>
        <v>6266.62</v>
      </c>
      <c r="AD563" s="4" t="s">
        <v>2235</v>
      </c>
      <c r="AE563" s="4" t="s">
        <v>2236</v>
      </c>
      <c r="AF563" s="4" t="s">
        <v>436</v>
      </c>
    </row>
    <row r="564" spans="1:35" ht="36" x14ac:dyDescent="0.3">
      <c r="A564" s="10" t="s">
        <v>2237</v>
      </c>
      <c r="B564" s="10" t="s">
        <v>2149</v>
      </c>
      <c r="C564" s="11" t="s">
        <v>2150</v>
      </c>
      <c r="D564" s="12"/>
      <c r="E564" s="12" t="s">
        <v>2238</v>
      </c>
      <c r="F564" s="12" t="s">
        <v>64</v>
      </c>
      <c r="G564" s="13">
        <v>1</v>
      </c>
      <c r="H564" s="13"/>
      <c r="I564" s="13">
        <v>32.17</v>
      </c>
      <c r="J564" s="14">
        <f>IFERROR(ROUND(SUM(M565,M566)/I564, 2),0)</f>
        <v>12</v>
      </c>
      <c r="K564" s="15">
        <v>464</v>
      </c>
      <c r="L564" s="14">
        <f>J564+ROUND(K564, 2)</f>
        <v>476</v>
      </c>
      <c r="M564" s="14">
        <f>ROUND(J564*I564, 2)</f>
        <v>386.04</v>
      </c>
      <c r="N564" s="14">
        <f>ROUND(I564*ROUND(K564, 2), 2)</f>
        <v>14926.88</v>
      </c>
      <c r="O564" s="14">
        <f>M564+N564</f>
        <v>15312.92</v>
      </c>
      <c r="P564" s="14">
        <f>IFERROR(ROUND(SUM(S565,S566)/I564, 2),0)</f>
        <v>73.95</v>
      </c>
      <c r="Q564" s="15">
        <v>464</v>
      </c>
      <c r="R564" s="14">
        <f>P564+ROUND(Q564, 2)</f>
        <v>537.95000000000005</v>
      </c>
      <c r="S564" s="14">
        <f>ROUND(P564*I564, 2)</f>
        <v>2378.9699999999998</v>
      </c>
      <c r="T564" s="14">
        <f>ROUND(I564*ROUND(Q564, 2), 2)</f>
        <v>14926.88</v>
      </c>
      <c r="U564" s="14">
        <f>S564+T564</f>
        <v>17305.849999999999</v>
      </c>
      <c r="V564" s="9">
        <f>ROUND(P564 / 1.2, 2)</f>
        <v>61.63</v>
      </c>
      <c r="W564" s="9">
        <f>ROUND(Q564 / 1.2, 2)</f>
        <v>386.67</v>
      </c>
      <c r="X564" s="9">
        <f>ROUND(R564 / 1.2, 2)</f>
        <v>448.29</v>
      </c>
      <c r="Y564" s="9">
        <f t="shared" si="33"/>
        <v>1982.48</v>
      </c>
      <c r="Z564" s="9">
        <f>ROUND(T564 / 1.2, 2)</f>
        <v>12439.07</v>
      </c>
      <c r="AA564" s="9">
        <f>Y564+Z564</f>
        <v>14421.55</v>
      </c>
      <c r="AD564" s="4">
        <v>298925462</v>
      </c>
      <c r="AE564" s="4">
        <v>20002017</v>
      </c>
      <c r="AG564" s="4" t="s">
        <v>2152</v>
      </c>
      <c r="AH564" s="4" t="s">
        <v>2153</v>
      </c>
      <c r="AI564" s="4" t="s">
        <v>67</v>
      </c>
    </row>
    <row r="565" spans="1:35" ht="36" x14ac:dyDescent="0.3">
      <c r="A565" s="10" t="s">
        <v>2239</v>
      </c>
      <c r="B565" s="10"/>
      <c r="C565" s="24" t="s">
        <v>2240</v>
      </c>
      <c r="D565" s="12"/>
      <c r="E565" s="12"/>
      <c r="F565" s="18" t="s">
        <v>70</v>
      </c>
      <c r="G565" s="19">
        <v>0.15</v>
      </c>
      <c r="H565" s="19"/>
      <c r="I565" s="19">
        <v>4.8259999999999996</v>
      </c>
      <c r="J565" s="21">
        <v>80</v>
      </c>
      <c r="M565" s="22">
        <f>ROUND(ROUND(J565, 2)*I565, 2)</f>
        <v>386.08</v>
      </c>
      <c r="P565" s="21">
        <v>80</v>
      </c>
      <c r="S565" s="22">
        <f>ROUND(ROUND(P565, 2)*I565, 2)</f>
        <v>386.08</v>
      </c>
      <c r="V565" s="9">
        <f>ROUND(ROUND(P565, 2)/1.2, 2)</f>
        <v>66.67</v>
      </c>
      <c r="Y565" s="9">
        <f t="shared" si="33"/>
        <v>321.73</v>
      </c>
      <c r="AD565" s="4" t="s">
        <v>2241</v>
      </c>
      <c r="AE565" s="4" t="s">
        <v>2242</v>
      </c>
      <c r="AF565" s="4" t="s">
        <v>2243</v>
      </c>
    </row>
    <row r="566" spans="1:35" ht="72" x14ac:dyDescent="0.3">
      <c r="A566" s="10" t="s">
        <v>2244</v>
      </c>
      <c r="B566" s="10"/>
      <c r="C566" s="24" t="s">
        <v>2187</v>
      </c>
      <c r="D566" s="12"/>
      <c r="E566" s="12" t="s">
        <v>2245</v>
      </c>
      <c r="F566" s="18" t="s">
        <v>70</v>
      </c>
      <c r="G566" s="19">
        <v>0.3</v>
      </c>
      <c r="H566" s="19"/>
      <c r="I566" s="19">
        <v>9.6509999999999998</v>
      </c>
      <c r="J566" s="21">
        <v>0</v>
      </c>
      <c r="M566" s="22">
        <f>ROUND(ROUND(J566, 2)*I566, 2)</f>
        <v>0</v>
      </c>
      <c r="P566" s="21">
        <v>206.5</v>
      </c>
      <c r="S566" s="22">
        <f>ROUND(ROUND(P566, 2)*I566, 2)</f>
        <v>1992.93</v>
      </c>
      <c r="V566" s="9">
        <f>ROUND(ROUND(P566, 2)/1.2, 2)</f>
        <v>172.08</v>
      </c>
      <c r="Y566" s="9">
        <f t="shared" si="33"/>
        <v>1660.78</v>
      </c>
      <c r="AD566" s="4" t="s">
        <v>2246</v>
      </c>
      <c r="AE566" s="4" t="s">
        <v>2247</v>
      </c>
      <c r="AF566" s="4" t="s">
        <v>2191</v>
      </c>
    </row>
    <row r="567" spans="1:35" ht="36" x14ac:dyDescent="0.3">
      <c r="A567" s="10" t="s">
        <v>2248</v>
      </c>
      <c r="B567" s="10" t="s">
        <v>2149</v>
      </c>
      <c r="C567" s="11" t="s">
        <v>2150</v>
      </c>
      <c r="D567" s="12"/>
      <c r="E567" s="12" t="s">
        <v>2249</v>
      </c>
      <c r="F567" s="12" t="s">
        <v>64</v>
      </c>
      <c r="G567" s="13">
        <v>1</v>
      </c>
      <c r="H567" s="13"/>
      <c r="I567" s="13">
        <v>38.729999999999997</v>
      </c>
      <c r="J567" s="14">
        <f>IFERROR(ROUND(SUM(M568,M569)/I567, 2),0)</f>
        <v>13.32</v>
      </c>
      <c r="K567" s="15">
        <v>464</v>
      </c>
      <c r="L567" s="14">
        <f>J567+ROUND(K567, 2)</f>
        <v>477.32</v>
      </c>
      <c r="M567" s="14">
        <f>ROUND(J567*I567, 2)</f>
        <v>515.88</v>
      </c>
      <c r="N567" s="14">
        <f>ROUND(I567*ROUND(K567, 2), 2)</f>
        <v>17970.72</v>
      </c>
      <c r="O567" s="14">
        <f>M567+N567</f>
        <v>18486.600000000002</v>
      </c>
      <c r="P567" s="14">
        <f>IFERROR(ROUND(SUM(S568,S569)/I567, 2),0)</f>
        <v>75.27</v>
      </c>
      <c r="Q567" s="15">
        <v>464</v>
      </c>
      <c r="R567" s="14">
        <f>P567+ROUND(Q567, 2)</f>
        <v>539.27</v>
      </c>
      <c r="S567" s="14">
        <f>ROUND(P567*I567, 2)</f>
        <v>2915.21</v>
      </c>
      <c r="T567" s="14">
        <f>ROUND(I567*ROUND(Q567, 2), 2)</f>
        <v>17970.72</v>
      </c>
      <c r="U567" s="14">
        <f>S567+T567</f>
        <v>20885.93</v>
      </c>
      <c r="V567" s="9">
        <f>ROUND(P567 / 1.2, 2)</f>
        <v>62.73</v>
      </c>
      <c r="W567" s="9">
        <f>ROUND(Q567 / 1.2, 2)</f>
        <v>386.67</v>
      </c>
      <c r="X567" s="9">
        <f>ROUND(R567 / 1.2, 2)</f>
        <v>449.39</v>
      </c>
      <c r="Y567" s="9">
        <f t="shared" si="33"/>
        <v>2429.34</v>
      </c>
      <c r="Z567" s="9">
        <f>ROUND(T567 / 1.2, 2)</f>
        <v>14975.6</v>
      </c>
      <c r="AA567" s="9">
        <f>Y567+Z567</f>
        <v>17404.940000000002</v>
      </c>
      <c r="AD567" s="4">
        <v>298925463</v>
      </c>
      <c r="AE567" s="4">
        <v>20002018</v>
      </c>
      <c r="AG567" s="4" t="s">
        <v>2152</v>
      </c>
      <c r="AH567" s="4" t="s">
        <v>2153</v>
      </c>
      <c r="AI567" s="4" t="s">
        <v>67</v>
      </c>
    </row>
    <row r="568" spans="1:35" ht="54" x14ac:dyDescent="0.3">
      <c r="A568" s="10" t="s">
        <v>2250</v>
      </c>
      <c r="B568" s="10"/>
      <c r="C568" s="24" t="s">
        <v>2187</v>
      </c>
      <c r="D568" s="12"/>
      <c r="E568" s="12" t="s">
        <v>2251</v>
      </c>
      <c r="F568" s="18" t="s">
        <v>70</v>
      </c>
      <c r="G568" s="19">
        <v>0.3</v>
      </c>
      <c r="H568" s="19"/>
      <c r="I568" s="19">
        <v>11.619</v>
      </c>
      <c r="J568" s="21">
        <v>0</v>
      </c>
      <c r="M568" s="22">
        <f>ROUND(ROUND(J568, 2)*I568, 2)</f>
        <v>0</v>
      </c>
      <c r="P568" s="21">
        <v>206.5</v>
      </c>
      <c r="S568" s="22">
        <f>ROUND(ROUND(P568, 2)*I568, 2)</f>
        <v>2399.3200000000002</v>
      </c>
      <c r="V568" s="9">
        <f>ROUND(ROUND(P568, 2)/1.2, 2)</f>
        <v>172.08</v>
      </c>
      <c r="Y568" s="9">
        <f t="shared" si="33"/>
        <v>1999.43</v>
      </c>
      <c r="AD568" s="4" t="s">
        <v>2252</v>
      </c>
      <c r="AE568" s="4" t="s">
        <v>2253</v>
      </c>
      <c r="AF568" s="4" t="s">
        <v>2191</v>
      </c>
    </row>
    <row r="569" spans="1:35" ht="36" x14ac:dyDescent="0.3">
      <c r="A569" s="10" t="s">
        <v>2254</v>
      </c>
      <c r="B569" s="10"/>
      <c r="C569" s="24" t="s">
        <v>433</v>
      </c>
      <c r="D569" s="12"/>
      <c r="E569" s="12"/>
      <c r="F569" s="18" t="s">
        <v>70</v>
      </c>
      <c r="G569" s="19">
        <v>0.15</v>
      </c>
      <c r="H569" s="19"/>
      <c r="I569" s="19">
        <v>5.81</v>
      </c>
      <c r="J569" s="21">
        <v>88.8</v>
      </c>
      <c r="M569" s="22">
        <f>ROUND(ROUND(J569, 2)*I569, 2)</f>
        <v>515.92999999999995</v>
      </c>
      <c r="P569" s="21">
        <v>88.8</v>
      </c>
      <c r="S569" s="22">
        <f>ROUND(ROUND(P569, 2)*I569, 2)</f>
        <v>515.92999999999995</v>
      </c>
      <c r="V569" s="9">
        <f>ROUND(ROUND(P569, 2)/1.2, 2)</f>
        <v>74</v>
      </c>
      <c r="Y569" s="9">
        <f t="shared" si="33"/>
        <v>429.94</v>
      </c>
      <c r="AD569" s="4" t="s">
        <v>2255</v>
      </c>
      <c r="AE569" s="4" t="s">
        <v>2256</v>
      </c>
      <c r="AF569" s="4" t="s">
        <v>436</v>
      </c>
    </row>
    <row r="570" spans="1:35" ht="36" x14ac:dyDescent="0.3">
      <c r="A570" s="10" t="s">
        <v>2257</v>
      </c>
      <c r="B570" s="10" t="s">
        <v>2149</v>
      </c>
      <c r="C570" s="11" t="s">
        <v>2150</v>
      </c>
      <c r="D570" s="12"/>
      <c r="E570" s="12" t="s">
        <v>2211</v>
      </c>
      <c r="F570" s="12" t="s">
        <v>64</v>
      </c>
      <c r="G570" s="13">
        <v>1</v>
      </c>
      <c r="H570" s="13"/>
      <c r="I570" s="13">
        <v>38.74</v>
      </c>
      <c r="J570" s="14">
        <f>IFERROR(ROUND(SUM(M571,M572)/I570, 2),0)</f>
        <v>13.32</v>
      </c>
      <c r="K570" s="15">
        <v>464</v>
      </c>
      <c r="L570" s="14">
        <f>J570+ROUND(K570, 2)</f>
        <v>477.32</v>
      </c>
      <c r="M570" s="14">
        <f>ROUND(J570*I570, 2)</f>
        <v>516.02</v>
      </c>
      <c r="N570" s="14">
        <f>ROUND(I570*ROUND(K570, 2), 2)</f>
        <v>17975.36</v>
      </c>
      <c r="O570" s="14">
        <f>M570+N570</f>
        <v>18491.38</v>
      </c>
      <c r="P570" s="14">
        <f>IFERROR(ROUND(SUM(S571,S572)/I570, 2),0)</f>
        <v>75.27</v>
      </c>
      <c r="Q570" s="15">
        <v>464</v>
      </c>
      <c r="R570" s="14">
        <f>P570+ROUND(Q570, 2)</f>
        <v>539.27</v>
      </c>
      <c r="S570" s="14">
        <f>ROUND(P570*I570, 2)</f>
        <v>2915.96</v>
      </c>
      <c r="T570" s="14">
        <f>ROUND(I570*ROUND(Q570, 2), 2)</f>
        <v>17975.36</v>
      </c>
      <c r="U570" s="14">
        <f>S570+T570</f>
        <v>20891.32</v>
      </c>
      <c r="V570" s="9">
        <f>ROUND(P570 / 1.2, 2)</f>
        <v>62.73</v>
      </c>
      <c r="W570" s="9">
        <f>ROUND(Q570 / 1.2, 2)</f>
        <v>386.67</v>
      </c>
      <c r="X570" s="9">
        <f>ROUND(R570 / 1.2, 2)</f>
        <v>449.39</v>
      </c>
      <c r="Y570" s="9">
        <f t="shared" si="33"/>
        <v>2429.9699999999998</v>
      </c>
      <c r="Z570" s="9">
        <f>ROUND(T570 / 1.2, 2)</f>
        <v>14979.47</v>
      </c>
      <c r="AA570" s="9">
        <f>Y570+Z570</f>
        <v>17409.439999999999</v>
      </c>
      <c r="AD570" s="4">
        <v>298925464</v>
      </c>
      <c r="AE570" s="4">
        <v>20002019</v>
      </c>
      <c r="AG570" s="4" t="s">
        <v>2152</v>
      </c>
      <c r="AH570" s="4" t="s">
        <v>2153</v>
      </c>
      <c r="AI570" s="4" t="s">
        <v>67</v>
      </c>
    </row>
    <row r="571" spans="1:35" ht="36" x14ac:dyDescent="0.3">
      <c r="A571" s="10" t="s">
        <v>2258</v>
      </c>
      <c r="B571" s="10"/>
      <c r="C571" s="24" t="s">
        <v>433</v>
      </c>
      <c r="D571" s="12"/>
      <c r="E571" s="12"/>
      <c r="F571" s="18" t="s">
        <v>70</v>
      </c>
      <c r="G571" s="19">
        <v>0.15</v>
      </c>
      <c r="H571" s="19"/>
      <c r="I571" s="19">
        <v>5.8109999999999999</v>
      </c>
      <c r="J571" s="21">
        <v>88.8</v>
      </c>
      <c r="M571" s="22">
        <f>ROUND(ROUND(J571, 2)*I571, 2)</f>
        <v>516.02</v>
      </c>
      <c r="P571" s="21">
        <v>88.8</v>
      </c>
      <c r="S571" s="22">
        <f>ROUND(ROUND(P571, 2)*I571, 2)</f>
        <v>516.02</v>
      </c>
      <c r="V571" s="9">
        <f>ROUND(ROUND(P571, 2)/1.2, 2)</f>
        <v>74</v>
      </c>
      <c r="Y571" s="9">
        <f t="shared" si="33"/>
        <v>430.02</v>
      </c>
      <c r="AD571" s="4" t="s">
        <v>2259</v>
      </c>
      <c r="AE571" s="4" t="s">
        <v>2260</v>
      </c>
      <c r="AF571" s="4" t="s">
        <v>436</v>
      </c>
    </row>
    <row r="572" spans="1:35" ht="72" x14ac:dyDescent="0.3">
      <c r="A572" s="10" t="s">
        <v>2261</v>
      </c>
      <c r="B572" s="10"/>
      <c r="C572" s="24" t="s">
        <v>2187</v>
      </c>
      <c r="D572" s="12"/>
      <c r="E572" s="12" t="s">
        <v>2262</v>
      </c>
      <c r="F572" s="18" t="s">
        <v>70</v>
      </c>
      <c r="G572" s="19">
        <v>0.3</v>
      </c>
      <c r="H572" s="19"/>
      <c r="I572" s="19">
        <v>11.622</v>
      </c>
      <c r="J572" s="21">
        <v>0</v>
      </c>
      <c r="M572" s="22">
        <f>ROUND(ROUND(J572, 2)*I572, 2)</f>
        <v>0</v>
      </c>
      <c r="P572" s="21">
        <v>206.5</v>
      </c>
      <c r="S572" s="22">
        <f>ROUND(ROUND(P572, 2)*I572, 2)</f>
        <v>2399.94</v>
      </c>
      <c r="V572" s="9">
        <f>ROUND(ROUND(P572, 2)/1.2, 2)</f>
        <v>172.08</v>
      </c>
      <c r="Y572" s="9">
        <f t="shared" si="33"/>
        <v>1999.95</v>
      </c>
      <c r="AD572" s="4" t="s">
        <v>2263</v>
      </c>
      <c r="AE572" s="4" t="s">
        <v>2264</v>
      </c>
      <c r="AF572" s="4" t="s">
        <v>2191</v>
      </c>
    </row>
    <row r="573" spans="1:35" ht="36" x14ac:dyDescent="0.3">
      <c r="A573" s="10" t="s">
        <v>2265</v>
      </c>
      <c r="B573" s="10" t="s">
        <v>2149</v>
      </c>
      <c r="C573" s="11" t="s">
        <v>2150</v>
      </c>
      <c r="D573" s="12"/>
      <c r="E573" s="12" t="s">
        <v>2266</v>
      </c>
      <c r="F573" s="12" t="s">
        <v>64</v>
      </c>
      <c r="G573" s="13">
        <v>1</v>
      </c>
      <c r="H573" s="13"/>
      <c r="I573" s="13">
        <v>33.549999999999997</v>
      </c>
      <c r="J573" s="14">
        <f>IFERROR(ROUND(SUM(M574,M575)/I573, 2),0)</f>
        <v>13.32</v>
      </c>
      <c r="K573" s="15">
        <v>464</v>
      </c>
      <c r="L573" s="14">
        <f>J573+ROUND(K573, 2)</f>
        <v>477.32</v>
      </c>
      <c r="M573" s="14">
        <f>ROUND(J573*I573, 2)</f>
        <v>446.89</v>
      </c>
      <c r="N573" s="14">
        <f>ROUND(I573*ROUND(K573, 2), 2)</f>
        <v>15567.2</v>
      </c>
      <c r="O573" s="14">
        <f>M573+N573</f>
        <v>16014.09</v>
      </c>
      <c r="P573" s="14">
        <f>IFERROR(ROUND(SUM(S574,S575)/I573, 2),0)</f>
        <v>75.27</v>
      </c>
      <c r="Q573" s="15">
        <v>464</v>
      </c>
      <c r="R573" s="14">
        <f>P573+ROUND(Q573, 2)</f>
        <v>539.27</v>
      </c>
      <c r="S573" s="14">
        <f>ROUND(P573*I573, 2)</f>
        <v>2525.31</v>
      </c>
      <c r="T573" s="14">
        <f>ROUND(I573*ROUND(Q573, 2), 2)</f>
        <v>15567.2</v>
      </c>
      <c r="U573" s="14">
        <f>S573+T573</f>
        <v>18092.510000000002</v>
      </c>
      <c r="V573" s="9">
        <f>ROUND(P573 / 1.2, 2)</f>
        <v>62.73</v>
      </c>
      <c r="W573" s="9">
        <f>ROUND(Q573 / 1.2, 2)</f>
        <v>386.67</v>
      </c>
      <c r="X573" s="9">
        <f>ROUND(R573 / 1.2, 2)</f>
        <v>449.39</v>
      </c>
      <c r="Y573" s="9">
        <f t="shared" si="33"/>
        <v>2104.4299999999998</v>
      </c>
      <c r="Z573" s="9">
        <f>ROUND(T573 / 1.2, 2)</f>
        <v>12972.67</v>
      </c>
      <c r="AA573" s="9">
        <f>Y573+Z573</f>
        <v>15077.1</v>
      </c>
      <c r="AD573" s="4">
        <v>298925465</v>
      </c>
      <c r="AE573" s="4">
        <v>20002015</v>
      </c>
      <c r="AG573" s="4" t="s">
        <v>2152</v>
      </c>
      <c r="AH573" s="4" t="s">
        <v>2153</v>
      </c>
      <c r="AI573" s="4" t="s">
        <v>67</v>
      </c>
    </row>
    <row r="574" spans="1:35" ht="54" x14ac:dyDescent="0.3">
      <c r="A574" s="10" t="s">
        <v>2267</v>
      </c>
      <c r="B574" s="10"/>
      <c r="C574" s="24" t="s">
        <v>2187</v>
      </c>
      <c r="D574" s="12"/>
      <c r="E574" s="12" t="s">
        <v>2268</v>
      </c>
      <c r="F574" s="18" t="s">
        <v>70</v>
      </c>
      <c r="G574" s="19">
        <v>0.3</v>
      </c>
      <c r="H574" s="19"/>
      <c r="I574" s="19">
        <v>10.065</v>
      </c>
      <c r="J574" s="21">
        <v>0</v>
      </c>
      <c r="M574" s="22">
        <f>ROUND(ROUND(J574, 2)*I574, 2)</f>
        <v>0</v>
      </c>
      <c r="P574" s="21">
        <v>206.5</v>
      </c>
      <c r="S574" s="22">
        <f>ROUND(ROUND(P574, 2)*I574, 2)</f>
        <v>2078.42</v>
      </c>
      <c r="V574" s="9">
        <f>ROUND(ROUND(P574, 2)/1.2, 2)</f>
        <v>172.08</v>
      </c>
      <c r="Y574" s="9">
        <f t="shared" si="33"/>
        <v>1732.02</v>
      </c>
      <c r="AD574" s="4" t="s">
        <v>2269</v>
      </c>
      <c r="AE574" s="4" t="s">
        <v>2270</v>
      </c>
      <c r="AF574" s="4" t="s">
        <v>2191</v>
      </c>
    </row>
    <row r="575" spans="1:35" ht="36" x14ac:dyDescent="0.3">
      <c r="A575" s="10" t="s">
        <v>2271</v>
      </c>
      <c r="B575" s="10"/>
      <c r="C575" s="24" t="s">
        <v>433</v>
      </c>
      <c r="D575" s="12"/>
      <c r="E575" s="12"/>
      <c r="F575" s="18" t="s">
        <v>70</v>
      </c>
      <c r="G575" s="19">
        <v>0.15</v>
      </c>
      <c r="H575" s="19"/>
      <c r="I575" s="19">
        <v>5.0330000000000004</v>
      </c>
      <c r="J575" s="21">
        <v>88.8</v>
      </c>
      <c r="M575" s="22">
        <f>ROUND(ROUND(J575, 2)*I575, 2)</f>
        <v>446.93</v>
      </c>
      <c r="P575" s="21">
        <v>88.8</v>
      </c>
      <c r="S575" s="22">
        <f>ROUND(ROUND(P575, 2)*I575, 2)</f>
        <v>446.93</v>
      </c>
      <c r="V575" s="9">
        <f>ROUND(ROUND(P575, 2)/1.2, 2)</f>
        <v>74</v>
      </c>
      <c r="Y575" s="9">
        <f t="shared" si="33"/>
        <v>372.44</v>
      </c>
      <c r="AD575" s="4" t="s">
        <v>2272</v>
      </c>
      <c r="AE575" s="4" t="s">
        <v>2273</v>
      </c>
      <c r="AF575" s="4" t="s">
        <v>436</v>
      </c>
    </row>
    <row r="576" spans="1:35" ht="36" x14ac:dyDescent="0.3">
      <c r="A576" s="10" t="s">
        <v>2274</v>
      </c>
      <c r="B576" s="10" t="s">
        <v>2149</v>
      </c>
      <c r="C576" s="11" t="s">
        <v>2150</v>
      </c>
      <c r="D576" s="12"/>
      <c r="E576" s="12" t="s">
        <v>2275</v>
      </c>
      <c r="F576" s="12" t="s">
        <v>64</v>
      </c>
      <c r="G576" s="13">
        <v>1</v>
      </c>
      <c r="H576" s="13"/>
      <c r="I576" s="13">
        <v>1504.31</v>
      </c>
      <c r="J576" s="14">
        <f>IFERROR(ROUND(SUM(M577,M578)/I576, 2),0)</f>
        <v>13.32</v>
      </c>
      <c r="K576" s="15">
        <v>464</v>
      </c>
      <c r="L576" s="14">
        <f>J576+ROUND(K576, 2)</f>
        <v>477.32</v>
      </c>
      <c r="M576" s="14">
        <f>ROUND(J576*I576, 2)</f>
        <v>20037.41</v>
      </c>
      <c r="N576" s="14">
        <f>ROUND(I576*ROUND(K576, 2), 2)</f>
        <v>697999.84</v>
      </c>
      <c r="O576" s="14">
        <f>M576+N576</f>
        <v>718037.25</v>
      </c>
      <c r="P576" s="14">
        <f>IFERROR(ROUND(SUM(S577,S578)/I576, 2),0)</f>
        <v>75.27</v>
      </c>
      <c r="Q576" s="15">
        <v>464</v>
      </c>
      <c r="R576" s="14">
        <f>P576+ROUND(Q576, 2)</f>
        <v>539.27</v>
      </c>
      <c r="S576" s="14">
        <f>ROUND(P576*I576, 2)</f>
        <v>113229.41</v>
      </c>
      <c r="T576" s="14">
        <f>ROUND(I576*ROUND(Q576, 2), 2)</f>
        <v>697999.84</v>
      </c>
      <c r="U576" s="14">
        <f>S576+T576</f>
        <v>811229.25</v>
      </c>
      <c r="V576" s="9">
        <f>ROUND(P576 / 1.2, 2)</f>
        <v>62.73</v>
      </c>
      <c r="W576" s="9">
        <f>ROUND(Q576 / 1.2, 2)</f>
        <v>386.67</v>
      </c>
      <c r="X576" s="9">
        <f>ROUND(R576 / 1.2, 2)</f>
        <v>449.39</v>
      </c>
      <c r="Y576" s="9">
        <f t="shared" si="33"/>
        <v>94357.84</v>
      </c>
      <c r="Z576" s="9">
        <f>ROUND(T576 / 1.2, 2)</f>
        <v>581666.53</v>
      </c>
      <c r="AA576" s="9">
        <f>Y576+Z576</f>
        <v>676024.37</v>
      </c>
      <c r="AD576" s="4">
        <v>298925466</v>
      </c>
      <c r="AE576" s="4">
        <v>20002016</v>
      </c>
      <c r="AG576" s="4" t="s">
        <v>2152</v>
      </c>
      <c r="AH576" s="4" t="s">
        <v>2153</v>
      </c>
      <c r="AI576" s="4" t="s">
        <v>67</v>
      </c>
    </row>
    <row r="577" spans="1:35" ht="36" x14ac:dyDescent="0.3">
      <c r="A577" s="10" t="s">
        <v>2276</v>
      </c>
      <c r="B577" s="10"/>
      <c r="C577" s="24" t="s">
        <v>433</v>
      </c>
      <c r="D577" s="12"/>
      <c r="E577" s="12"/>
      <c r="F577" s="18" t="s">
        <v>70</v>
      </c>
      <c r="G577" s="19">
        <v>0.15</v>
      </c>
      <c r="H577" s="19"/>
      <c r="I577" s="19">
        <v>225.64699999999999</v>
      </c>
      <c r="J577" s="21">
        <v>88.8</v>
      </c>
      <c r="M577" s="22">
        <f>ROUND(ROUND(J577, 2)*I577, 2)</f>
        <v>20037.45</v>
      </c>
      <c r="P577" s="21">
        <v>88.8</v>
      </c>
      <c r="S577" s="22">
        <f>ROUND(ROUND(P577, 2)*I577, 2)</f>
        <v>20037.45</v>
      </c>
      <c r="V577" s="9">
        <f>ROUND(ROUND(P577, 2)/1.2, 2)</f>
        <v>74</v>
      </c>
      <c r="Y577" s="9">
        <f t="shared" si="33"/>
        <v>16697.88</v>
      </c>
      <c r="AD577" s="4" t="s">
        <v>2277</v>
      </c>
      <c r="AE577" s="4" t="s">
        <v>2278</v>
      </c>
      <c r="AF577" s="4" t="s">
        <v>436</v>
      </c>
    </row>
    <row r="578" spans="1:35" ht="90" x14ac:dyDescent="0.3">
      <c r="A578" s="10" t="s">
        <v>2279</v>
      </c>
      <c r="B578" s="10"/>
      <c r="C578" s="24" t="s">
        <v>2187</v>
      </c>
      <c r="D578" s="12"/>
      <c r="E578" s="12" t="s">
        <v>2280</v>
      </c>
      <c r="F578" s="18" t="s">
        <v>70</v>
      </c>
      <c r="G578" s="19">
        <v>0.3</v>
      </c>
      <c r="H578" s="19"/>
      <c r="I578" s="19">
        <v>451.29300000000001</v>
      </c>
      <c r="J578" s="21">
        <v>0</v>
      </c>
      <c r="M578" s="22">
        <f>ROUND(ROUND(J578, 2)*I578, 2)</f>
        <v>0</v>
      </c>
      <c r="P578" s="21">
        <v>206.5</v>
      </c>
      <c r="S578" s="22">
        <f>ROUND(ROUND(P578, 2)*I578, 2)</f>
        <v>93192</v>
      </c>
      <c r="V578" s="9">
        <f>ROUND(ROUND(P578, 2)/1.2, 2)</f>
        <v>172.08</v>
      </c>
      <c r="Y578" s="9">
        <f t="shared" ref="Y578:Y609" si="34">ROUND(S578 / 1.2, 2)</f>
        <v>77660</v>
      </c>
      <c r="AD578" s="4" t="s">
        <v>2281</v>
      </c>
      <c r="AE578" s="4" t="s">
        <v>2282</v>
      </c>
      <c r="AF578" s="4" t="s">
        <v>2191</v>
      </c>
    </row>
    <row r="579" spans="1:35" ht="36" x14ac:dyDescent="0.3">
      <c r="A579" s="10" t="s">
        <v>2283</v>
      </c>
      <c r="B579" s="10" t="s">
        <v>2149</v>
      </c>
      <c r="C579" s="11" t="s">
        <v>2150</v>
      </c>
      <c r="D579" s="12"/>
      <c r="E579" s="12" t="s">
        <v>2284</v>
      </c>
      <c r="F579" s="12" t="s">
        <v>64</v>
      </c>
      <c r="G579" s="13">
        <v>1</v>
      </c>
      <c r="H579" s="13"/>
      <c r="I579" s="13">
        <v>229.48</v>
      </c>
      <c r="J579" s="14">
        <f>IFERROR(ROUND(SUM(M580,M581)/I579, 2),0)</f>
        <v>13.32</v>
      </c>
      <c r="K579" s="15">
        <v>464</v>
      </c>
      <c r="L579" s="14">
        <f>J579+ROUND(K579, 2)</f>
        <v>477.32</v>
      </c>
      <c r="M579" s="14">
        <f>ROUND(J579*I579, 2)</f>
        <v>3056.67</v>
      </c>
      <c r="N579" s="14">
        <f>ROUND(I579*ROUND(K579, 2), 2)</f>
        <v>106478.72</v>
      </c>
      <c r="O579" s="14">
        <f>M579+N579</f>
        <v>109535.39</v>
      </c>
      <c r="P579" s="14">
        <f>IFERROR(ROUND(SUM(S580,S581)/I579, 2),0)</f>
        <v>68.28</v>
      </c>
      <c r="Q579" s="15">
        <v>464</v>
      </c>
      <c r="R579" s="14">
        <f>P579+ROUND(Q579, 2)</f>
        <v>532.28</v>
      </c>
      <c r="S579" s="14">
        <f>ROUND(P579*I579, 2)</f>
        <v>15668.89</v>
      </c>
      <c r="T579" s="14">
        <f>ROUND(I579*ROUND(Q579, 2), 2)</f>
        <v>106478.72</v>
      </c>
      <c r="U579" s="14">
        <f>S579+T579</f>
        <v>122147.61</v>
      </c>
      <c r="V579" s="9">
        <f>ROUND(P579 / 1.2, 2)</f>
        <v>56.9</v>
      </c>
      <c r="W579" s="9">
        <f>ROUND(Q579 / 1.2, 2)</f>
        <v>386.67</v>
      </c>
      <c r="X579" s="9">
        <f>ROUND(R579 / 1.2, 2)</f>
        <v>443.57</v>
      </c>
      <c r="Y579" s="9">
        <f t="shared" si="34"/>
        <v>13057.41</v>
      </c>
      <c r="Z579" s="9">
        <f>ROUND(T579 / 1.2, 2)</f>
        <v>88732.27</v>
      </c>
      <c r="AA579" s="9">
        <f>Y579+Z579</f>
        <v>101789.68000000001</v>
      </c>
      <c r="AD579" s="4">
        <v>298925467</v>
      </c>
      <c r="AE579" s="4">
        <v>20002020</v>
      </c>
      <c r="AG579" s="4" t="s">
        <v>2152</v>
      </c>
      <c r="AH579" s="4" t="s">
        <v>2153</v>
      </c>
      <c r="AI579" s="4" t="s">
        <v>67</v>
      </c>
    </row>
    <row r="580" spans="1:35" ht="54" x14ac:dyDescent="0.3">
      <c r="A580" s="10" t="s">
        <v>2285</v>
      </c>
      <c r="B580" s="10"/>
      <c r="C580" s="24" t="s">
        <v>2155</v>
      </c>
      <c r="D580" s="12"/>
      <c r="E580" s="12" t="s">
        <v>2286</v>
      </c>
      <c r="F580" s="18" t="s">
        <v>70</v>
      </c>
      <c r="G580" s="19">
        <v>0.3</v>
      </c>
      <c r="H580" s="19"/>
      <c r="I580" s="19">
        <v>68.843999999999994</v>
      </c>
      <c r="J580" s="21">
        <v>0</v>
      </c>
      <c r="M580" s="22">
        <f>ROUND(ROUND(J580, 2)*I580, 2)</f>
        <v>0</v>
      </c>
      <c r="P580" s="21">
        <v>183.2</v>
      </c>
      <c r="S580" s="22">
        <f>ROUND(ROUND(P580, 2)*I580, 2)</f>
        <v>12612.22</v>
      </c>
      <c r="V580" s="9">
        <f>ROUND(ROUND(P580, 2)/1.2, 2)</f>
        <v>152.66999999999999</v>
      </c>
      <c r="Y580" s="9">
        <f t="shared" si="34"/>
        <v>10510.18</v>
      </c>
      <c r="AD580" s="4" t="s">
        <v>2287</v>
      </c>
      <c r="AE580" s="4" t="s">
        <v>2288</v>
      </c>
      <c r="AF580" s="4" t="s">
        <v>2159</v>
      </c>
    </row>
    <row r="581" spans="1:35" ht="36" x14ac:dyDescent="0.3">
      <c r="A581" s="10" t="s">
        <v>2289</v>
      </c>
      <c r="B581" s="10"/>
      <c r="C581" s="24" t="s">
        <v>433</v>
      </c>
      <c r="D581" s="12"/>
      <c r="E581" s="12"/>
      <c r="F581" s="18" t="s">
        <v>70</v>
      </c>
      <c r="G581" s="19">
        <v>0.15</v>
      </c>
      <c r="H581" s="19"/>
      <c r="I581" s="19">
        <v>34.421999999999997</v>
      </c>
      <c r="J581" s="21">
        <v>88.8</v>
      </c>
      <c r="M581" s="22">
        <f>ROUND(ROUND(J581, 2)*I581, 2)</f>
        <v>3056.67</v>
      </c>
      <c r="P581" s="21">
        <v>88.8</v>
      </c>
      <c r="S581" s="22">
        <f>ROUND(ROUND(P581, 2)*I581, 2)</f>
        <v>3056.67</v>
      </c>
      <c r="V581" s="9">
        <f>ROUND(ROUND(P581, 2)/1.2, 2)</f>
        <v>74</v>
      </c>
      <c r="Y581" s="9">
        <f t="shared" si="34"/>
        <v>2547.23</v>
      </c>
      <c r="AD581" s="4" t="s">
        <v>2290</v>
      </c>
      <c r="AE581" s="4" t="s">
        <v>2291</v>
      </c>
      <c r="AF581" s="4" t="s">
        <v>436</v>
      </c>
    </row>
    <row r="582" spans="1:35" ht="36" x14ac:dyDescent="0.3">
      <c r="A582" s="10" t="s">
        <v>2292</v>
      </c>
      <c r="B582" s="10" t="s">
        <v>2149</v>
      </c>
      <c r="C582" s="11" t="s">
        <v>2150</v>
      </c>
      <c r="D582" s="12"/>
      <c r="E582" s="12" t="s">
        <v>2293</v>
      </c>
      <c r="F582" s="12" t="s">
        <v>64</v>
      </c>
      <c r="G582" s="13">
        <v>1</v>
      </c>
      <c r="H582" s="13"/>
      <c r="I582" s="13">
        <v>16.88</v>
      </c>
      <c r="J582" s="14">
        <f>IFERROR(ROUND(SUM(M583,M584)/I582, 2),0)</f>
        <v>13.32</v>
      </c>
      <c r="K582" s="15">
        <v>464</v>
      </c>
      <c r="L582" s="14">
        <f>J582+ROUND(K582, 2)</f>
        <v>477.32</v>
      </c>
      <c r="M582" s="14">
        <f>ROUND(J582*I582, 2)</f>
        <v>224.84</v>
      </c>
      <c r="N582" s="14">
        <f>ROUND(I582*ROUND(K582, 2), 2)</f>
        <v>7832.32</v>
      </c>
      <c r="O582" s="14">
        <f>M582+N582</f>
        <v>8057.16</v>
      </c>
      <c r="P582" s="14">
        <f>IFERROR(ROUND(SUM(S583,S584)/I582, 2),0)</f>
        <v>75.27</v>
      </c>
      <c r="Q582" s="15">
        <v>464</v>
      </c>
      <c r="R582" s="14">
        <f>P582+ROUND(Q582, 2)</f>
        <v>539.27</v>
      </c>
      <c r="S582" s="14">
        <f>ROUND(P582*I582, 2)</f>
        <v>1270.56</v>
      </c>
      <c r="T582" s="14">
        <f>ROUND(I582*ROUND(Q582, 2), 2)</f>
        <v>7832.32</v>
      </c>
      <c r="U582" s="14">
        <f>S582+T582</f>
        <v>9102.8799999999992</v>
      </c>
      <c r="V582" s="9">
        <f>ROUND(P582 / 1.2, 2)</f>
        <v>62.73</v>
      </c>
      <c r="W582" s="9">
        <f>ROUND(Q582 / 1.2, 2)</f>
        <v>386.67</v>
      </c>
      <c r="X582" s="9">
        <f>ROUND(R582 / 1.2, 2)</f>
        <v>449.39</v>
      </c>
      <c r="Y582" s="9">
        <f t="shared" si="34"/>
        <v>1058.8</v>
      </c>
      <c r="Z582" s="9">
        <f>ROUND(T582 / 1.2, 2)</f>
        <v>6526.93</v>
      </c>
      <c r="AA582" s="9">
        <f>Y582+Z582</f>
        <v>7585.7300000000005</v>
      </c>
      <c r="AD582" s="4">
        <v>298925468</v>
      </c>
      <c r="AE582" s="4">
        <v>20002021</v>
      </c>
      <c r="AG582" s="4" t="s">
        <v>2152</v>
      </c>
      <c r="AH582" s="4" t="s">
        <v>2153</v>
      </c>
      <c r="AI582" s="4" t="s">
        <v>67</v>
      </c>
    </row>
    <row r="583" spans="1:35" ht="36" x14ac:dyDescent="0.3">
      <c r="A583" s="10" t="s">
        <v>2294</v>
      </c>
      <c r="B583" s="10"/>
      <c r="C583" s="24" t="s">
        <v>433</v>
      </c>
      <c r="D583" s="12"/>
      <c r="E583" s="12"/>
      <c r="F583" s="18" t="s">
        <v>70</v>
      </c>
      <c r="G583" s="19">
        <v>0.15</v>
      </c>
      <c r="H583" s="19"/>
      <c r="I583" s="19">
        <v>2.532</v>
      </c>
      <c r="J583" s="21">
        <v>88.8</v>
      </c>
      <c r="M583" s="22">
        <f>ROUND(ROUND(J583, 2)*I583, 2)</f>
        <v>224.84</v>
      </c>
      <c r="P583" s="21">
        <v>88.8</v>
      </c>
      <c r="S583" s="22">
        <f>ROUND(ROUND(P583, 2)*I583, 2)</f>
        <v>224.84</v>
      </c>
      <c r="V583" s="9">
        <f>ROUND(ROUND(P583, 2)/1.2, 2)</f>
        <v>74</v>
      </c>
      <c r="Y583" s="9">
        <f t="shared" si="34"/>
        <v>187.37</v>
      </c>
      <c r="AD583" s="4" t="s">
        <v>2295</v>
      </c>
      <c r="AE583" s="4" t="s">
        <v>2296</v>
      </c>
      <c r="AF583" s="4" t="s">
        <v>436</v>
      </c>
    </row>
    <row r="584" spans="1:35" ht="54" x14ac:dyDescent="0.3">
      <c r="A584" s="10" t="s">
        <v>2297</v>
      </c>
      <c r="B584" s="10"/>
      <c r="C584" s="24" t="s">
        <v>2155</v>
      </c>
      <c r="D584" s="12"/>
      <c r="E584" s="12" t="s">
        <v>2298</v>
      </c>
      <c r="F584" s="18" t="s">
        <v>70</v>
      </c>
      <c r="G584" s="19">
        <v>0.3</v>
      </c>
      <c r="H584" s="19"/>
      <c r="I584" s="19">
        <v>5.0640000000000001</v>
      </c>
      <c r="J584" s="21">
        <v>0</v>
      </c>
      <c r="M584" s="22">
        <f>ROUND(ROUND(J584, 2)*I584, 2)</f>
        <v>0</v>
      </c>
      <c r="P584" s="21">
        <v>206.5</v>
      </c>
      <c r="S584" s="22">
        <f>ROUND(ROUND(P584, 2)*I584, 2)</f>
        <v>1045.72</v>
      </c>
      <c r="V584" s="9">
        <f>ROUND(ROUND(P584, 2)/1.2, 2)</f>
        <v>172.08</v>
      </c>
      <c r="Y584" s="9">
        <f t="shared" si="34"/>
        <v>871.43</v>
      </c>
      <c r="AD584" s="4" t="s">
        <v>2299</v>
      </c>
      <c r="AE584" s="4" t="s">
        <v>2300</v>
      </c>
      <c r="AF584" s="4" t="s">
        <v>2159</v>
      </c>
    </row>
    <row r="585" spans="1:35" ht="36" x14ac:dyDescent="0.3">
      <c r="A585" s="10" t="s">
        <v>2301</v>
      </c>
      <c r="B585" s="10" t="s">
        <v>2149</v>
      </c>
      <c r="C585" s="11" t="s">
        <v>2150</v>
      </c>
      <c r="D585" s="12"/>
      <c r="E585" s="12" t="s">
        <v>2302</v>
      </c>
      <c r="F585" s="12" t="s">
        <v>64</v>
      </c>
      <c r="G585" s="13">
        <v>1</v>
      </c>
      <c r="H585" s="13"/>
      <c r="I585" s="13">
        <v>107.24</v>
      </c>
      <c r="J585" s="14">
        <f>IFERROR(ROUND(SUM(M586,M587)/I585, 2),0)</f>
        <v>13.32</v>
      </c>
      <c r="K585" s="15">
        <v>464</v>
      </c>
      <c r="L585" s="14">
        <f>J585+ROUND(K585, 2)</f>
        <v>477.32</v>
      </c>
      <c r="M585" s="14">
        <f>ROUND(J585*I585, 2)</f>
        <v>1428.44</v>
      </c>
      <c r="N585" s="14">
        <f>ROUND(I585*ROUND(K585, 2), 2)</f>
        <v>49759.360000000001</v>
      </c>
      <c r="O585" s="14">
        <f>M585+N585</f>
        <v>51187.8</v>
      </c>
      <c r="P585" s="14">
        <f>IFERROR(ROUND(SUM(S586,S587)/I585, 2),0)</f>
        <v>68.31</v>
      </c>
      <c r="Q585" s="15">
        <v>464</v>
      </c>
      <c r="R585" s="14">
        <f>P585+ROUND(Q585, 2)</f>
        <v>532.30999999999995</v>
      </c>
      <c r="S585" s="14">
        <f>ROUND(P585*I585, 2)</f>
        <v>7325.56</v>
      </c>
      <c r="T585" s="14">
        <f>ROUND(I585*ROUND(Q585, 2), 2)</f>
        <v>49759.360000000001</v>
      </c>
      <c r="U585" s="14">
        <f>S585+T585</f>
        <v>57084.92</v>
      </c>
      <c r="V585" s="9">
        <f>ROUND(P585 / 1.2, 2)</f>
        <v>56.93</v>
      </c>
      <c r="W585" s="9">
        <f>ROUND(Q585 / 1.2, 2)</f>
        <v>386.67</v>
      </c>
      <c r="X585" s="9">
        <f>ROUND(R585 / 1.2, 2)</f>
        <v>443.59</v>
      </c>
      <c r="Y585" s="9">
        <f t="shared" si="34"/>
        <v>6104.63</v>
      </c>
      <c r="Z585" s="9">
        <f>ROUND(T585 / 1.2, 2)</f>
        <v>41466.129999999997</v>
      </c>
      <c r="AA585" s="9">
        <f>Y585+Z585</f>
        <v>47570.759999999995</v>
      </c>
      <c r="AD585" s="4">
        <v>298925469</v>
      </c>
      <c r="AE585" s="4">
        <v>20002022</v>
      </c>
      <c r="AG585" s="4" t="s">
        <v>2152</v>
      </c>
      <c r="AH585" s="4" t="s">
        <v>2153</v>
      </c>
      <c r="AI585" s="4" t="s">
        <v>67</v>
      </c>
    </row>
    <row r="586" spans="1:35" ht="54" x14ac:dyDescent="0.3">
      <c r="A586" s="10" t="s">
        <v>2303</v>
      </c>
      <c r="B586" s="10"/>
      <c r="C586" s="24" t="s">
        <v>2187</v>
      </c>
      <c r="D586" s="12"/>
      <c r="E586" s="12" t="s">
        <v>2304</v>
      </c>
      <c r="F586" s="18" t="s">
        <v>70</v>
      </c>
      <c r="G586" s="19">
        <v>0.3</v>
      </c>
      <c r="H586" s="19"/>
      <c r="I586" s="19">
        <v>32.171999999999997</v>
      </c>
      <c r="J586" s="21">
        <v>0</v>
      </c>
      <c r="M586" s="22">
        <f>ROUND(ROUND(J586, 2)*I586, 2)</f>
        <v>0</v>
      </c>
      <c r="P586" s="21">
        <v>183.3</v>
      </c>
      <c r="S586" s="22">
        <f>ROUND(ROUND(P586, 2)*I586, 2)</f>
        <v>5897.13</v>
      </c>
      <c r="V586" s="9">
        <f>ROUND(ROUND(P586, 2)/1.2, 2)</f>
        <v>152.75</v>
      </c>
      <c r="Y586" s="9">
        <f t="shared" si="34"/>
        <v>4914.28</v>
      </c>
      <c r="AD586" s="4" t="s">
        <v>2305</v>
      </c>
      <c r="AE586" s="4" t="s">
        <v>2306</v>
      </c>
      <c r="AF586" s="4" t="s">
        <v>2191</v>
      </c>
    </row>
    <row r="587" spans="1:35" ht="36" x14ac:dyDescent="0.3">
      <c r="A587" s="10" t="s">
        <v>2307</v>
      </c>
      <c r="B587" s="10"/>
      <c r="C587" s="24" t="s">
        <v>433</v>
      </c>
      <c r="D587" s="12"/>
      <c r="E587" s="12"/>
      <c r="F587" s="18" t="s">
        <v>70</v>
      </c>
      <c r="G587" s="19">
        <v>0.15</v>
      </c>
      <c r="H587" s="19"/>
      <c r="I587" s="19">
        <v>16.085999999999999</v>
      </c>
      <c r="J587" s="21">
        <v>88.8</v>
      </c>
      <c r="M587" s="22">
        <f>ROUND(ROUND(J587, 2)*I587, 2)</f>
        <v>1428.44</v>
      </c>
      <c r="P587" s="21">
        <v>88.8</v>
      </c>
      <c r="S587" s="22">
        <f>ROUND(ROUND(P587, 2)*I587, 2)</f>
        <v>1428.44</v>
      </c>
      <c r="V587" s="9">
        <f>ROUND(ROUND(P587, 2)/1.2, 2)</f>
        <v>74</v>
      </c>
      <c r="Y587" s="9">
        <f t="shared" si="34"/>
        <v>1190.3699999999999</v>
      </c>
      <c r="AD587" s="4" t="s">
        <v>2308</v>
      </c>
      <c r="AE587" s="4" t="s">
        <v>2309</v>
      </c>
      <c r="AF587" s="4" t="s">
        <v>436</v>
      </c>
    </row>
    <row r="588" spans="1:35" ht="36" x14ac:dyDescent="0.3">
      <c r="A588" s="10" t="s">
        <v>2310</v>
      </c>
      <c r="B588" s="10" t="s">
        <v>2149</v>
      </c>
      <c r="C588" s="11" t="s">
        <v>2150</v>
      </c>
      <c r="D588" s="12"/>
      <c r="E588" s="12" t="s">
        <v>2311</v>
      </c>
      <c r="F588" s="12" t="s">
        <v>64</v>
      </c>
      <c r="G588" s="13">
        <v>1</v>
      </c>
      <c r="H588" s="13"/>
      <c r="I588" s="13">
        <v>3.42</v>
      </c>
      <c r="J588" s="14">
        <f>IFERROR(ROUND(SUM(M589,M590)/I588, 2),0)</f>
        <v>13.32</v>
      </c>
      <c r="K588" s="15">
        <v>464</v>
      </c>
      <c r="L588" s="14">
        <f>J588+ROUND(K588, 2)</f>
        <v>477.32</v>
      </c>
      <c r="M588" s="14">
        <f>ROUND(J588*I588, 2)</f>
        <v>45.55</v>
      </c>
      <c r="N588" s="14">
        <f>ROUND(I588*ROUND(K588, 2), 2)</f>
        <v>1586.88</v>
      </c>
      <c r="O588" s="14">
        <f>M588+N588</f>
        <v>1632.43</v>
      </c>
      <c r="P588" s="14">
        <f>IFERROR(ROUND(SUM(S589,S590)/I588, 2),0)</f>
        <v>75.27</v>
      </c>
      <c r="Q588" s="15">
        <v>464</v>
      </c>
      <c r="R588" s="14">
        <f>P588+ROUND(Q588, 2)</f>
        <v>539.27</v>
      </c>
      <c r="S588" s="14">
        <f>ROUND(P588*I588, 2)</f>
        <v>257.42</v>
      </c>
      <c r="T588" s="14">
        <f>ROUND(I588*ROUND(Q588, 2), 2)</f>
        <v>1586.88</v>
      </c>
      <c r="U588" s="14">
        <f>S588+T588</f>
        <v>1844.3000000000002</v>
      </c>
      <c r="V588" s="9">
        <f>ROUND(P588 / 1.2, 2)</f>
        <v>62.73</v>
      </c>
      <c r="W588" s="9">
        <f>ROUND(Q588 / 1.2, 2)</f>
        <v>386.67</v>
      </c>
      <c r="X588" s="9">
        <f>ROUND(R588 / 1.2, 2)</f>
        <v>449.39</v>
      </c>
      <c r="Y588" s="9">
        <f t="shared" si="34"/>
        <v>214.52</v>
      </c>
      <c r="Z588" s="9">
        <f>ROUND(T588 / 1.2, 2)</f>
        <v>1322.4</v>
      </c>
      <c r="AA588" s="9">
        <f>Y588+Z588</f>
        <v>1536.92</v>
      </c>
      <c r="AD588" s="4">
        <v>298925470</v>
      </c>
      <c r="AE588" s="4">
        <v>20002023</v>
      </c>
      <c r="AG588" s="4" t="s">
        <v>2152</v>
      </c>
      <c r="AH588" s="4" t="s">
        <v>2153</v>
      </c>
      <c r="AI588" s="4" t="s">
        <v>67</v>
      </c>
    </row>
    <row r="589" spans="1:35" ht="36" x14ac:dyDescent="0.3">
      <c r="A589" s="10" t="s">
        <v>2312</v>
      </c>
      <c r="B589" s="10"/>
      <c r="C589" s="24" t="s">
        <v>433</v>
      </c>
      <c r="D589" s="12"/>
      <c r="E589" s="12"/>
      <c r="F589" s="18" t="s">
        <v>70</v>
      </c>
      <c r="G589" s="19">
        <v>0.15</v>
      </c>
      <c r="H589" s="19"/>
      <c r="I589" s="19">
        <v>0.51300000000000001</v>
      </c>
      <c r="J589" s="21">
        <v>88.8</v>
      </c>
      <c r="M589" s="22">
        <f>ROUND(ROUND(J589, 2)*I589, 2)</f>
        <v>45.55</v>
      </c>
      <c r="P589" s="21">
        <v>88.8</v>
      </c>
      <c r="S589" s="22">
        <f>ROUND(ROUND(P589, 2)*I589, 2)</f>
        <v>45.55</v>
      </c>
      <c r="V589" s="9">
        <f>ROUND(ROUND(P589, 2)/1.2, 2)</f>
        <v>74</v>
      </c>
      <c r="Y589" s="9">
        <f t="shared" si="34"/>
        <v>37.96</v>
      </c>
      <c r="AD589" s="4" t="s">
        <v>2313</v>
      </c>
      <c r="AE589" s="4" t="s">
        <v>2314</v>
      </c>
      <c r="AF589" s="4" t="s">
        <v>436</v>
      </c>
    </row>
    <row r="590" spans="1:35" ht="54" x14ac:dyDescent="0.3">
      <c r="A590" s="10" t="s">
        <v>2315</v>
      </c>
      <c r="B590" s="10"/>
      <c r="C590" s="24" t="s">
        <v>2187</v>
      </c>
      <c r="D590" s="12"/>
      <c r="E590" s="12" t="s">
        <v>2316</v>
      </c>
      <c r="F590" s="18" t="s">
        <v>70</v>
      </c>
      <c r="G590" s="19">
        <v>0.3</v>
      </c>
      <c r="H590" s="19"/>
      <c r="I590" s="19">
        <v>1.026</v>
      </c>
      <c r="J590" s="21">
        <v>0</v>
      </c>
      <c r="M590" s="22">
        <f>ROUND(ROUND(J590, 2)*I590, 2)</f>
        <v>0</v>
      </c>
      <c r="P590" s="21">
        <v>206.5</v>
      </c>
      <c r="S590" s="22">
        <f>ROUND(ROUND(P590, 2)*I590, 2)</f>
        <v>211.87</v>
      </c>
      <c r="V590" s="9">
        <f>ROUND(ROUND(P590, 2)/1.2, 2)</f>
        <v>172.08</v>
      </c>
      <c r="Y590" s="9">
        <f t="shared" si="34"/>
        <v>176.56</v>
      </c>
      <c r="AD590" s="4" t="s">
        <v>2317</v>
      </c>
      <c r="AE590" s="4" t="s">
        <v>2318</v>
      </c>
      <c r="AF590" s="4" t="s">
        <v>2191</v>
      </c>
    </row>
    <row r="591" spans="1:35" ht="36" x14ac:dyDescent="0.3">
      <c r="A591" s="10" t="s">
        <v>2319</v>
      </c>
      <c r="B591" s="10" t="s">
        <v>2149</v>
      </c>
      <c r="C591" s="11" t="s">
        <v>2150</v>
      </c>
      <c r="D591" s="12"/>
      <c r="E591" s="12" t="s">
        <v>2320</v>
      </c>
      <c r="F591" s="12" t="s">
        <v>64</v>
      </c>
      <c r="G591" s="13">
        <v>1</v>
      </c>
      <c r="H591" s="13"/>
      <c r="I591" s="13">
        <v>357.68</v>
      </c>
      <c r="J591" s="14">
        <f>IFERROR(ROUND(SUM(M592,M593)/I591, 2),0)</f>
        <v>13.32</v>
      </c>
      <c r="K591" s="15">
        <v>464</v>
      </c>
      <c r="L591" s="14">
        <f>J591+ROUND(K591, 2)</f>
        <v>477.32</v>
      </c>
      <c r="M591" s="14">
        <f>ROUND(J591*I591, 2)</f>
        <v>4764.3</v>
      </c>
      <c r="N591" s="14">
        <f>ROUND(I591*ROUND(K591, 2), 2)</f>
        <v>165963.51999999999</v>
      </c>
      <c r="O591" s="14">
        <f>M591+N591</f>
        <v>170727.81999999998</v>
      </c>
      <c r="P591" s="14">
        <f>IFERROR(ROUND(SUM(S592,S593)/I591, 2),0)</f>
        <v>75.27</v>
      </c>
      <c r="Q591" s="15">
        <v>464</v>
      </c>
      <c r="R591" s="14">
        <f>P591+ROUND(Q591, 2)</f>
        <v>539.27</v>
      </c>
      <c r="S591" s="14">
        <f>ROUND(P591*I591, 2)</f>
        <v>26922.57</v>
      </c>
      <c r="T591" s="14">
        <f>ROUND(I591*ROUND(Q591, 2), 2)</f>
        <v>165963.51999999999</v>
      </c>
      <c r="U591" s="14">
        <f>S591+T591</f>
        <v>192886.09</v>
      </c>
      <c r="V591" s="9">
        <f>ROUND(P591 / 1.2, 2)</f>
        <v>62.73</v>
      </c>
      <c r="W591" s="9">
        <f>ROUND(Q591 / 1.2, 2)</f>
        <v>386.67</v>
      </c>
      <c r="X591" s="9">
        <f>ROUND(R591 / 1.2, 2)</f>
        <v>449.39</v>
      </c>
      <c r="Y591" s="9">
        <f t="shared" si="34"/>
        <v>22435.48</v>
      </c>
      <c r="Z591" s="9">
        <f>ROUND(T591 / 1.2, 2)</f>
        <v>138302.93</v>
      </c>
      <c r="AA591" s="9">
        <f>Y591+Z591</f>
        <v>160738.41</v>
      </c>
      <c r="AD591" s="4">
        <v>298925471</v>
      </c>
      <c r="AE591" s="4">
        <v>20002024</v>
      </c>
      <c r="AG591" s="4" t="s">
        <v>2152</v>
      </c>
      <c r="AH591" s="4" t="s">
        <v>2153</v>
      </c>
      <c r="AI591" s="4" t="s">
        <v>67</v>
      </c>
    </row>
    <row r="592" spans="1:35" ht="72" x14ac:dyDescent="0.3">
      <c r="A592" s="10" t="s">
        <v>2321</v>
      </c>
      <c r="B592" s="10"/>
      <c r="C592" s="24" t="s">
        <v>2155</v>
      </c>
      <c r="D592" s="12"/>
      <c r="E592" s="12" t="s">
        <v>2175</v>
      </c>
      <c r="F592" s="18" t="s">
        <v>70</v>
      </c>
      <c r="G592" s="19">
        <v>0.3</v>
      </c>
      <c r="H592" s="19"/>
      <c r="I592" s="19">
        <v>107.304</v>
      </c>
      <c r="J592" s="21">
        <v>0</v>
      </c>
      <c r="M592" s="22">
        <f>ROUND(ROUND(J592, 2)*I592, 2)</f>
        <v>0</v>
      </c>
      <c r="P592" s="21">
        <v>206.5</v>
      </c>
      <c r="S592" s="22">
        <f>ROUND(ROUND(P592, 2)*I592, 2)</f>
        <v>22158.28</v>
      </c>
      <c r="V592" s="9">
        <f>ROUND(ROUND(P592, 2)/1.2, 2)</f>
        <v>172.08</v>
      </c>
      <c r="Y592" s="9">
        <f t="shared" si="34"/>
        <v>18465.23</v>
      </c>
      <c r="AD592" s="4" t="s">
        <v>2322</v>
      </c>
      <c r="AE592" s="4" t="s">
        <v>2323</v>
      </c>
      <c r="AF592" s="4" t="s">
        <v>2159</v>
      </c>
    </row>
    <row r="593" spans="1:35" ht="36" x14ac:dyDescent="0.3">
      <c r="A593" s="10" t="s">
        <v>2324</v>
      </c>
      <c r="B593" s="10"/>
      <c r="C593" s="24" t="s">
        <v>433</v>
      </c>
      <c r="D593" s="12"/>
      <c r="E593" s="12"/>
      <c r="F593" s="18" t="s">
        <v>70</v>
      </c>
      <c r="G593" s="19">
        <v>0.15</v>
      </c>
      <c r="H593" s="19"/>
      <c r="I593" s="19">
        <v>53.652000000000001</v>
      </c>
      <c r="J593" s="21">
        <v>88.8</v>
      </c>
      <c r="M593" s="22">
        <f>ROUND(ROUND(J593, 2)*I593, 2)</f>
        <v>4764.3</v>
      </c>
      <c r="P593" s="21">
        <v>88.8</v>
      </c>
      <c r="S593" s="22">
        <f>ROUND(ROUND(P593, 2)*I593, 2)</f>
        <v>4764.3</v>
      </c>
      <c r="V593" s="9">
        <f>ROUND(ROUND(P593, 2)/1.2, 2)</f>
        <v>74</v>
      </c>
      <c r="Y593" s="9">
        <f t="shared" si="34"/>
        <v>3970.25</v>
      </c>
      <c r="AD593" s="4" t="s">
        <v>2325</v>
      </c>
      <c r="AE593" s="4" t="s">
        <v>2326</v>
      </c>
      <c r="AF593" s="4" t="s">
        <v>436</v>
      </c>
    </row>
    <row r="594" spans="1:35" ht="36" x14ac:dyDescent="0.3">
      <c r="A594" s="10" t="s">
        <v>2327</v>
      </c>
      <c r="B594" s="10" t="s">
        <v>2149</v>
      </c>
      <c r="C594" s="11" t="s">
        <v>2150</v>
      </c>
      <c r="D594" s="12"/>
      <c r="E594" s="12" t="s">
        <v>2328</v>
      </c>
      <c r="F594" s="12" t="s">
        <v>64</v>
      </c>
      <c r="G594" s="13">
        <v>1</v>
      </c>
      <c r="H594" s="13"/>
      <c r="I594" s="13">
        <v>577.95000000000005</v>
      </c>
      <c r="J594" s="14">
        <f>IFERROR(ROUND(SUM(M595,M596)/I594, 2),0)</f>
        <v>13.32</v>
      </c>
      <c r="K594" s="15">
        <v>464</v>
      </c>
      <c r="L594" s="14">
        <f>J594+ROUND(K594, 2)</f>
        <v>477.32</v>
      </c>
      <c r="M594" s="14">
        <f>ROUND(J594*I594, 2)</f>
        <v>7698.29</v>
      </c>
      <c r="N594" s="14">
        <f>ROUND(I594*ROUND(K594, 2), 2)</f>
        <v>268168.8</v>
      </c>
      <c r="O594" s="14">
        <f>M594+N594</f>
        <v>275867.08999999997</v>
      </c>
      <c r="P594" s="14">
        <f>IFERROR(ROUND(SUM(S595,S596)/I594, 2),0)</f>
        <v>75.27</v>
      </c>
      <c r="Q594" s="15">
        <v>464</v>
      </c>
      <c r="R594" s="14">
        <f>P594+ROUND(Q594, 2)</f>
        <v>539.27</v>
      </c>
      <c r="S594" s="14">
        <f>ROUND(P594*I594, 2)</f>
        <v>43502.3</v>
      </c>
      <c r="T594" s="14">
        <f>ROUND(I594*ROUND(Q594, 2), 2)</f>
        <v>268168.8</v>
      </c>
      <c r="U594" s="14">
        <f>S594+T594</f>
        <v>311671.09999999998</v>
      </c>
      <c r="V594" s="9">
        <f>ROUND(P594 / 1.2, 2)</f>
        <v>62.73</v>
      </c>
      <c r="W594" s="9">
        <f>ROUND(Q594 / 1.2, 2)</f>
        <v>386.67</v>
      </c>
      <c r="X594" s="9">
        <f>ROUND(R594 / 1.2, 2)</f>
        <v>449.39</v>
      </c>
      <c r="Y594" s="9">
        <f t="shared" si="34"/>
        <v>36251.919999999998</v>
      </c>
      <c r="Z594" s="9">
        <f>ROUND(T594 / 1.2, 2)</f>
        <v>223474</v>
      </c>
      <c r="AA594" s="9">
        <f>Y594+Z594</f>
        <v>259725.91999999998</v>
      </c>
      <c r="AD594" s="4">
        <v>298925472</v>
      </c>
      <c r="AE594" s="4">
        <v>20002025</v>
      </c>
      <c r="AG594" s="4" t="s">
        <v>2152</v>
      </c>
      <c r="AH594" s="4" t="s">
        <v>2153</v>
      </c>
      <c r="AI594" s="4" t="s">
        <v>67</v>
      </c>
    </row>
    <row r="595" spans="1:35" ht="36" x14ac:dyDescent="0.3">
      <c r="A595" s="10" t="s">
        <v>2329</v>
      </c>
      <c r="B595" s="10"/>
      <c r="C595" s="24" t="s">
        <v>433</v>
      </c>
      <c r="D595" s="12"/>
      <c r="E595" s="12"/>
      <c r="F595" s="18" t="s">
        <v>70</v>
      </c>
      <c r="G595" s="19">
        <v>0.15</v>
      </c>
      <c r="H595" s="19"/>
      <c r="I595" s="19">
        <v>86.692999999999998</v>
      </c>
      <c r="J595" s="21">
        <v>88.8</v>
      </c>
      <c r="M595" s="22">
        <f>ROUND(ROUND(J595, 2)*I595, 2)</f>
        <v>7698.34</v>
      </c>
      <c r="P595" s="21">
        <v>88.8</v>
      </c>
      <c r="S595" s="22">
        <f>ROUND(ROUND(P595, 2)*I595, 2)</f>
        <v>7698.34</v>
      </c>
      <c r="V595" s="9">
        <f>ROUND(ROUND(P595, 2)/1.2, 2)</f>
        <v>74</v>
      </c>
      <c r="Y595" s="9">
        <f t="shared" si="34"/>
        <v>6415.28</v>
      </c>
      <c r="AD595" s="4" t="s">
        <v>2330</v>
      </c>
      <c r="AE595" s="4" t="s">
        <v>2331</v>
      </c>
      <c r="AF595" s="4" t="s">
        <v>436</v>
      </c>
    </row>
    <row r="596" spans="1:35" ht="90" x14ac:dyDescent="0.3">
      <c r="A596" s="10" t="s">
        <v>2332</v>
      </c>
      <c r="B596" s="10"/>
      <c r="C596" s="24" t="s">
        <v>2155</v>
      </c>
      <c r="D596" s="12"/>
      <c r="E596" s="12" t="s">
        <v>2225</v>
      </c>
      <c r="F596" s="18" t="s">
        <v>70</v>
      </c>
      <c r="G596" s="19">
        <v>0.3</v>
      </c>
      <c r="H596" s="19"/>
      <c r="I596" s="19">
        <v>173.38499999999999</v>
      </c>
      <c r="J596" s="21">
        <v>0</v>
      </c>
      <c r="M596" s="22">
        <f>ROUND(ROUND(J596, 2)*I596, 2)</f>
        <v>0</v>
      </c>
      <c r="P596" s="21">
        <v>206.5</v>
      </c>
      <c r="S596" s="22">
        <f>ROUND(ROUND(P596, 2)*I596, 2)</f>
        <v>35804</v>
      </c>
      <c r="V596" s="9">
        <f>ROUND(ROUND(P596, 2)/1.2, 2)</f>
        <v>172.08</v>
      </c>
      <c r="Y596" s="9">
        <f t="shared" si="34"/>
        <v>29836.67</v>
      </c>
      <c r="AD596" s="4" t="s">
        <v>2333</v>
      </c>
      <c r="AE596" s="4" t="s">
        <v>2334</v>
      </c>
      <c r="AF596" s="4" t="s">
        <v>2159</v>
      </c>
    </row>
    <row r="597" spans="1:35" ht="36" x14ac:dyDescent="0.3">
      <c r="A597" s="10" t="s">
        <v>2335</v>
      </c>
      <c r="B597" s="10" t="s">
        <v>2149</v>
      </c>
      <c r="C597" s="11" t="s">
        <v>2150</v>
      </c>
      <c r="D597" s="12"/>
      <c r="E597" s="12" t="s">
        <v>2336</v>
      </c>
      <c r="F597" s="12" t="s">
        <v>64</v>
      </c>
      <c r="G597" s="13">
        <v>1</v>
      </c>
      <c r="H597" s="13"/>
      <c r="I597" s="13">
        <v>0.73</v>
      </c>
      <c r="J597" s="14">
        <f>IFERROR(ROUND(SUM(M598,M599)/I597, 2),0)</f>
        <v>13.38</v>
      </c>
      <c r="K597" s="15">
        <v>464</v>
      </c>
      <c r="L597" s="14">
        <f>J597+ROUND(K597, 2)</f>
        <v>477.38</v>
      </c>
      <c r="M597" s="14">
        <f>ROUND(J597*I597, 2)</f>
        <v>9.77</v>
      </c>
      <c r="N597" s="14">
        <f>ROUND(I597*ROUND(K597, 2), 2)</f>
        <v>338.72</v>
      </c>
      <c r="O597" s="14">
        <f>M597+N597</f>
        <v>348.49</v>
      </c>
      <c r="P597" s="14">
        <f>IFERROR(ROUND(SUM(S598,S599)/I597, 2),0)</f>
        <v>75.33</v>
      </c>
      <c r="Q597" s="15">
        <v>464</v>
      </c>
      <c r="R597" s="14">
        <f>P597+ROUND(Q597, 2)</f>
        <v>539.33000000000004</v>
      </c>
      <c r="S597" s="14">
        <f>ROUND(P597*I597, 2)</f>
        <v>54.99</v>
      </c>
      <c r="T597" s="14">
        <f>ROUND(I597*ROUND(Q597, 2), 2)</f>
        <v>338.72</v>
      </c>
      <c r="U597" s="14">
        <f>S597+T597</f>
        <v>393.71000000000004</v>
      </c>
      <c r="V597" s="9">
        <f>ROUND(P597 / 1.2, 2)</f>
        <v>62.78</v>
      </c>
      <c r="W597" s="9">
        <f>ROUND(Q597 / 1.2, 2)</f>
        <v>386.67</v>
      </c>
      <c r="X597" s="9">
        <f>ROUND(R597 / 1.2, 2)</f>
        <v>449.44</v>
      </c>
      <c r="Y597" s="9">
        <f t="shared" si="34"/>
        <v>45.83</v>
      </c>
      <c r="Z597" s="9">
        <f>ROUND(T597 / 1.2, 2)</f>
        <v>282.27</v>
      </c>
      <c r="AA597" s="9">
        <f>Y597+Z597</f>
        <v>328.09999999999997</v>
      </c>
      <c r="AD597" s="4">
        <v>298925473</v>
      </c>
      <c r="AE597" s="4">
        <v>20002274</v>
      </c>
      <c r="AG597" s="4" t="s">
        <v>2152</v>
      </c>
      <c r="AH597" s="4" t="s">
        <v>2153</v>
      </c>
      <c r="AI597" s="4" t="s">
        <v>67</v>
      </c>
    </row>
    <row r="598" spans="1:35" ht="72" x14ac:dyDescent="0.3">
      <c r="A598" s="10" t="s">
        <v>2337</v>
      </c>
      <c r="B598" s="10"/>
      <c r="C598" s="24" t="s">
        <v>2155</v>
      </c>
      <c r="D598" s="12"/>
      <c r="E598" s="12" t="s">
        <v>2156</v>
      </c>
      <c r="F598" s="18" t="s">
        <v>70</v>
      </c>
      <c r="G598" s="19">
        <v>0.3</v>
      </c>
      <c r="H598" s="19"/>
      <c r="I598" s="19">
        <v>0.219</v>
      </c>
      <c r="J598" s="21">
        <v>0</v>
      </c>
      <c r="M598" s="22">
        <f>ROUND(ROUND(J598, 2)*I598, 2)</f>
        <v>0</v>
      </c>
      <c r="P598" s="21">
        <v>206.5</v>
      </c>
      <c r="S598" s="22">
        <f>ROUND(ROUND(P598, 2)*I598, 2)</f>
        <v>45.22</v>
      </c>
      <c r="V598" s="9">
        <f>ROUND(ROUND(P598, 2)/1.2, 2)</f>
        <v>172.08</v>
      </c>
      <c r="Y598" s="9">
        <f t="shared" si="34"/>
        <v>37.68</v>
      </c>
      <c r="AD598" s="4" t="s">
        <v>2338</v>
      </c>
      <c r="AE598" s="4" t="s">
        <v>2339</v>
      </c>
      <c r="AF598" s="4" t="s">
        <v>2159</v>
      </c>
    </row>
    <row r="599" spans="1:35" ht="36" x14ac:dyDescent="0.3">
      <c r="A599" s="10" t="s">
        <v>2340</v>
      </c>
      <c r="B599" s="10"/>
      <c r="C599" s="24" t="s">
        <v>433</v>
      </c>
      <c r="D599" s="12"/>
      <c r="E599" s="12"/>
      <c r="F599" s="18" t="s">
        <v>70</v>
      </c>
      <c r="G599" s="19">
        <v>0.15</v>
      </c>
      <c r="H599" s="19"/>
      <c r="I599" s="19">
        <v>0.11</v>
      </c>
      <c r="J599" s="21">
        <v>88.8</v>
      </c>
      <c r="M599" s="22">
        <f>ROUND(ROUND(J599, 2)*I599, 2)</f>
        <v>9.77</v>
      </c>
      <c r="P599" s="21">
        <v>88.8</v>
      </c>
      <c r="S599" s="22">
        <f>ROUND(ROUND(P599, 2)*I599, 2)</f>
        <v>9.77</v>
      </c>
      <c r="V599" s="9">
        <f>ROUND(ROUND(P599, 2)/1.2, 2)</f>
        <v>74</v>
      </c>
      <c r="Y599" s="9">
        <f t="shared" si="34"/>
        <v>8.14</v>
      </c>
      <c r="AD599" s="4" t="s">
        <v>2341</v>
      </c>
      <c r="AE599" s="4" t="s">
        <v>2342</v>
      </c>
      <c r="AF599" s="4" t="s">
        <v>436</v>
      </c>
    </row>
    <row r="600" spans="1:35" ht="36" x14ac:dyDescent="0.3">
      <c r="A600" s="10" t="s">
        <v>2343</v>
      </c>
      <c r="B600" s="10" t="s">
        <v>2149</v>
      </c>
      <c r="C600" s="11" t="s">
        <v>2150</v>
      </c>
      <c r="D600" s="12"/>
      <c r="E600" s="12" t="s">
        <v>2344</v>
      </c>
      <c r="F600" s="12" t="s">
        <v>64</v>
      </c>
      <c r="G600" s="13">
        <v>1</v>
      </c>
      <c r="H600" s="13"/>
      <c r="I600" s="13">
        <v>1.5</v>
      </c>
      <c r="J600" s="14">
        <f>IFERROR(ROUND(SUM(M601,M602)/I600, 2),0)</f>
        <v>13.32</v>
      </c>
      <c r="K600" s="15">
        <v>464</v>
      </c>
      <c r="L600" s="14">
        <f>J600+ROUND(K600, 2)</f>
        <v>477.32</v>
      </c>
      <c r="M600" s="14">
        <f>ROUND(J600*I600, 2)</f>
        <v>19.98</v>
      </c>
      <c r="N600" s="14">
        <f>ROUND(I600*ROUND(K600, 2), 2)</f>
        <v>696</v>
      </c>
      <c r="O600" s="14">
        <f>M600+N600</f>
        <v>715.98</v>
      </c>
      <c r="P600" s="14">
        <f>IFERROR(ROUND(SUM(S601,S602)/I600, 2),0)</f>
        <v>75.27</v>
      </c>
      <c r="Q600" s="15">
        <v>464</v>
      </c>
      <c r="R600" s="14">
        <f>P600+ROUND(Q600, 2)</f>
        <v>539.27</v>
      </c>
      <c r="S600" s="14">
        <f>ROUND(P600*I600, 2)</f>
        <v>112.91</v>
      </c>
      <c r="T600" s="14">
        <f>ROUND(I600*ROUND(Q600, 2), 2)</f>
        <v>696</v>
      </c>
      <c r="U600" s="14">
        <f>S600+T600</f>
        <v>808.91</v>
      </c>
      <c r="V600" s="9">
        <f>ROUND(P600 / 1.2, 2)</f>
        <v>62.73</v>
      </c>
      <c r="W600" s="9">
        <f>ROUND(Q600 / 1.2, 2)</f>
        <v>386.67</v>
      </c>
      <c r="X600" s="9">
        <f>ROUND(R600 / 1.2, 2)</f>
        <v>449.39</v>
      </c>
      <c r="Y600" s="9">
        <f t="shared" si="34"/>
        <v>94.09</v>
      </c>
      <c r="Z600" s="9">
        <f>ROUND(T600 / 1.2, 2)</f>
        <v>580</v>
      </c>
      <c r="AA600" s="9">
        <f>Y600+Z600</f>
        <v>674.09</v>
      </c>
      <c r="AD600" s="4">
        <v>298925474</v>
      </c>
      <c r="AE600" s="4">
        <v>20002275</v>
      </c>
      <c r="AG600" s="4" t="s">
        <v>2152</v>
      </c>
      <c r="AH600" s="4" t="s">
        <v>2153</v>
      </c>
      <c r="AI600" s="4" t="s">
        <v>67</v>
      </c>
    </row>
    <row r="601" spans="1:35" ht="36" x14ac:dyDescent="0.3">
      <c r="A601" s="10" t="s">
        <v>2345</v>
      </c>
      <c r="B601" s="10"/>
      <c r="C601" s="24" t="s">
        <v>433</v>
      </c>
      <c r="D601" s="12"/>
      <c r="E601" s="12"/>
      <c r="F601" s="18" t="s">
        <v>70</v>
      </c>
      <c r="G601" s="19">
        <v>0.15</v>
      </c>
      <c r="H601" s="19"/>
      <c r="I601" s="19">
        <v>0.22500000000000001</v>
      </c>
      <c r="J601" s="21">
        <v>88.8</v>
      </c>
      <c r="M601" s="22">
        <f>ROUND(ROUND(J601, 2)*I601, 2)</f>
        <v>19.98</v>
      </c>
      <c r="P601" s="21">
        <v>88.8</v>
      </c>
      <c r="S601" s="22">
        <f>ROUND(ROUND(P601, 2)*I601, 2)</f>
        <v>19.98</v>
      </c>
      <c r="V601" s="9">
        <f>ROUND(ROUND(P601, 2)/1.2, 2)</f>
        <v>74</v>
      </c>
      <c r="Y601" s="9">
        <f t="shared" si="34"/>
        <v>16.649999999999999</v>
      </c>
      <c r="AD601" s="4" t="s">
        <v>2346</v>
      </c>
      <c r="AE601" s="4" t="s">
        <v>2347</v>
      </c>
      <c r="AF601" s="4" t="s">
        <v>436</v>
      </c>
    </row>
    <row r="602" spans="1:35" ht="72" x14ac:dyDescent="0.3">
      <c r="A602" s="10" t="s">
        <v>2348</v>
      </c>
      <c r="B602" s="10"/>
      <c r="C602" s="24" t="s">
        <v>2155</v>
      </c>
      <c r="D602" s="12"/>
      <c r="E602" s="12" t="s">
        <v>2169</v>
      </c>
      <c r="F602" s="18" t="s">
        <v>70</v>
      </c>
      <c r="G602" s="19">
        <v>0.3</v>
      </c>
      <c r="H602" s="19"/>
      <c r="I602" s="19">
        <v>0.45</v>
      </c>
      <c r="J602" s="21">
        <v>0</v>
      </c>
      <c r="M602" s="22">
        <f>ROUND(ROUND(J602, 2)*I602, 2)</f>
        <v>0</v>
      </c>
      <c r="P602" s="21">
        <v>206.5</v>
      </c>
      <c r="S602" s="22">
        <f>ROUND(ROUND(P602, 2)*I602, 2)</f>
        <v>92.93</v>
      </c>
      <c r="V602" s="9">
        <f>ROUND(ROUND(P602, 2)/1.2, 2)</f>
        <v>172.08</v>
      </c>
      <c r="Y602" s="9">
        <f t="shared" si="34"/>
        <v>77.44</v>
      </c>
      <c r="AD602" s="4" t="s">
        <v>2349</v>
      </c>
      <c r="AE602" s="4" t="s">
        <v>2350</v>
      </c>
      <c r="AF602" s="4" t="s">
        <v>2159</v>
      </c>
    </row>
    <row r="603" spans="1:35" ht="36" x14ac:dyDescent="0.3">
      <c r="A603" s="10" t="s">
        <v>2351</v>
      </c>
      <c r="B603" s="10" t="s">
        <v>2149</v>
      </c>
      <c r="C603" s="11" t="s">
        <v>2150</v>
      </c>
      <c r="D603" s="12"/>
      <c r="E603" s="12" t="s">
        <v>2352</v>
      </c>
      <c r="F603" s="12" t="s">
        <v>64</v>
      </c>
      <c r="G603" s="13">
        <v>1</v>
      </c>
      <c r="H603" s="13"/>
      <c r="I603" s="13">
        <v>79.66</v>
      </c>
      <c r="J603" s="14">
        <f>IFERROR(ROUND(SUM(M604,M605)/I603, 2),0)</f>
        <v>13.32</v>
      </c>
      <c r="K603" s="15">
        <v>464</v>
      </c>
      <c r="L603" s="14">
        <f>J603+ROUND(K603, 2)</f>
        <v>477.32</v>
      </c>
      <c r="M603" s="14">
        <f>ROUND(J603*I603, 2)</f>
        <v>1061.07</v>
      </c>
      <c r="N603" s="14">
        <f>ROUND(I603*ROUND(K603, 2), 2)</f>
        <v>36962.239999999998</v>
      </c>
      <c r="O603" s="14">
        <f>M603+N603</f>
        <v>38023.31</v>
      </c>
      <c r="P603" s="14">
        <f>IFERROR(ROUND(SUM(S604,S605)/I603, 2),0)</f>
        <v>68.28</v>
      </c>
      <c r="Q603" s="15">
        <v>464</v>
      </c>
      <c r="R603" s="14">
        <f>P603+ROUND(Q603, 2)</f>
        <v>532.28</v>
      </c>
      <c r="S603" s="14">
        <f>ROUND(P603*I603, 2)</f>
        <v>5439.18</v>
      </c>
      <c r="T603" s="14">
        <f>ROUND(I603*ROUND(Q603, 2), 2)</f>
        <v>36962.239999999998</v>
      </c>
      <c r="U603" s="14">
        <f>S603+T603</f>
        <v>42401.42</v>
      </c>
      <c r="V603" s="9">
        <f>ROUND(P603 / 1.2, 2)</f>
        <v>56.9</v>
      </c>
      <c r="W603" s="9">
        <f>ROUND(Q603 / 1.2, 2)</f>
        <v>386.67</v>
      </c>
      <c r="X603" s="9">
        <f>ROUND(R603 / 1.2, 2)</f>
        <v>443.57</v>
      </c>
      <c r="Y603" s="9">
        <f t="shared" si="34"/>
        <v>4532.6499999999996</v>
      </c>
      <c r="Z603" s="9">
        <f>ROUND(T603 / 1.2, 2)</f>
        <v>30801.87</v>
      </c>
      <c r="AA603" s="9">
        <f>Y603+Z603</f>
        <v>35334.519999999997</v>
      </c>
      <c r="AD603" s="4">
        <v>298925475</v>
      </c>
      <c r="AE603" s="4">
        <v>20002276</v>
      </c>
      <c r="AG603" s="4" t="s">
        <v>2152</v>
      </c>
      <c r="AH603" s="4" t="s">
        <v>2153</v>
      </c>
      <c r="AI603" s="4" t="s">
        <v>67</v>
      </c>
    </row>
    <row r="604" spans="1:35" ht="54" x14ac:dyDescent="0.3">
      <c r="A604" s="10" t="s">
        <v>2353</v>
      </c>
      <c r="B604" s="10"/>
      <c r="C604" s="24" t="s">
        <v>2187</v>
      </c>
      <c r="D604" s="12"/>
      <c r="E604" s="12" t="s">
        <v>2231</v>
      </c>
      <c r="F604" s="18" t="s">
        <v>70</v>
      </c>
      <c r="G604" s="19">
        <v>0.3</v>
      </c>
      <c r="H604" s="19"/>
      <c r="I604" s="19">
        <v>23.898</v>
      </c>
      <c r="J604" s="21">
        <v>0</v>
      </c>
      <c r="M604" s="22">
        <f>ROUND(ROUND(J604, 2)*I604, 2)</f>
        <v>0</v>
      </c>
      <c r="P604" s="21">
        <v>183.2</v>
      </c>
      <c r="S604" s="22">
        <f>ROUND(ROUND(P604, 2)*I604, 2)</f>
        <v>4378.1099999999997</v>
      </c>
      <c r="V604" s="9">
        <f>ROUND(ROUND(P604, 2)/1.2, 2)</f>
        <v>152.66999999999999</v>
      </c>
      <c r="Y604" s="9">
        <f t="shared" si="34"/>
        <v>3648.43</v>
      </c>
      <c r="AD604" s="4" t="s">
        <v>2354</v>
      </c>
      <c r="AE604" s="4" t="s">
        <v>2355</v>
      </c>
      <c r="AF604" s="4" t="s">
        <v>2191</v>
      </c>
    </row>
    <row r="605" spans="1:35" ht="36" x14ac:dyDescent="0.3">
      <c r="A605" s="10" t="s">
        <v>2356</v>
      </c>
      <c r="B605" s="10"/>
      <c r="C605" s="24" t="s">
        <v>433</v>
      </c>
      <c r="D605" s="12"/>
      <c r="E605" s="12"/>
      <c r="F605" s="18" t="s">
        <v>70</v>
      </c>
      <c r="G605" s="19">
        <v>0.15</v>
      </c>
      <c r="H605" s="19"/>
      <c r="I605" s="19">
        <v>11.949</v>
      </c>
      <c r="J605" s="21">
        <v>88.8</v>
      </c>
      <c r="M605" s="22">
        <f>ROUND(ROUND(J605, 2)*I605, 2)</f>
        <v>1061.07</v>
      </c>
      <c r="P605" s="21">
        <v>88.8</v>
      </c>
      <c r="S605" s="22">
        <f>ROUND(ROUND(P605, 2)*I605, 2)</f>
        <v>1061.07</v>
      </c>
      <c r="V605" s="9">
        <f>ROUND(ROUND(P605, 2)/1.2, 2)</f>
        <v>74</v>
      </c>
      <c r="Y605" s="9">
        <f t="shared" si="34"/>
        <v>884.23</v>
      </c>
      <c r="AD605" s="4" t="s">
        <v>2357</v>
      </c>
      <c r="AE605" s="4" t="s">
        <v>2358</v>
      </c>
      <c r="AF605" s="4" t="s">
        <v>436</v>
      </c>
    </row>
    <row r="606" spans="1:35" ht="36" x14ac:dyDescent="0.3">
      <c r="A606" s="10" t="s">
        <v>2359</v>
      </c>
      <c r="B606" s="10" t="s">
        <v>2149</v>
      </c>
      <c r="C606" s="11" t="s">
        <v>2150</v>
      </c>
      <c r="D606" s="12"/>
      <c r="E606" s="12" t="s">
        <v>2360</v>
      </c>
      <c r="F606" s="12" t="s">
        <v>64</v>
      </c>
      <c r="G606" s="13">
        <v>1</v>
      </c>
      <c r="H606" s="13"/>
      <c r="I606" s="13">
        <v>80.790000000000006</v>
      </c>
      <c r="J606" s="14">
        <f>IFERROR(ROUND(SUM(M607,M608)/I606, 2),0)</f>
        <v>13.32</v>
      </c>
      <c r="K606" s="15">
        <v>464</v>
      </c>
      <c r="L606" s="14">
        <f>J606+ROUND(K606, 2)</f>
        <v>477.32</v>
      </c>
      <c r="M606" s="14">
        <f>ROUND(J606*I606, 2)</f>
        <v>1076.1199999999999</v>
      </c>
      <c r="N606" s="14">
        <f>ROUND(I606*ROUND(K606, 2), 2)</f>
        <v>37486.559999999998</v>
      </c>
      <c r="O606" s="14">
        <f>M606+N606</f>
        <v>38562.68</v>
      </c>
      <c r="P606" s="14">
        <f>IFERROR(ROUND(SUM(S607,S608)/I606, 2),0)</f>
        <v>75.27</v>
      </c>
      <c r="Q606" s="15">
        <v>464</v>
      </c>
      <c r="R606" s="14">
        <f>P606+ROUND(Q606, 2)</f>
        <v>539.27</v>
      </c>
      <c r="S606" s="14">
        <f>ROUND(P606*I606, 2)</f>
        <v>6081.06</v>
      </c>
      <c r="T606" s="14">
        <f>ROUND(I606*ROUND(Q606, 2), 2)</f>
        <v>37486.559999999998</v>
      </c>
      <c r="U606" s="14">
        <f>S606+T606</f>
        <v>43567.619999999995</v>
      </c>
      <c r="V606" s="9">
        <f>ROUND(P606 / 1.2, 2)</f>
        <v>62.73</v>
      </c>
      <c r="W606" s="9">
        <f>ROUND(Q606 / 1.2, 2)</f>
        <v>386.67</v>
      </c>
      <c r="X606" s="9">
        <f>ROUND(R606 / 1.2, 2)</f>
        <v>449.39</v>
      </c>
      <c r="Y606" s="9">
        <f t="shared" si="34"/>
        <v>5067.55</v>
      </c>
      <c r="Z606" s="9">
        <f>ROUND(T606 / 1.2, 2)</f>
        <v>31238.799999999999</v>
      </c>
      <c r="AA606" s="9">
        <f>Y606+Z606</f>
        <v>36306.35</v>
      </c>
      <c r="AD606" s="4">
        <v>298925476</v>
      </c>
      <c r="AE606" s="4">
        <v>20002277</v>
      </c>
      <c r="AG606" s="4" t="s">
        <v>2152</v>
      </c>
      <c r="AH606" s="4" t="s">
        <v>2153</v>
      </c>
      <c r="AI606" s="4" t="s">
        <v>67</v>
      </c>
    </row>
    <row r="607" spans="1:35" ht="36" x14ac:dyDescent="0.3">
      <c r="A607" s="10" t="s">
        <v>2361</v>
      </c>
      <c r="B607" s="10"/>
      <c r="C607" s="24" t="s">
        <v>433</v>
      </c>
      <c r="D607" s="12"/>
      <c r="E607" s="12"/>
      <c r="F607" s="18" t="s">
        <v>70</v>
      </c>
      <c r="G607" s="19">
        <v>0.15</v>
      </c>
      <c r="H607" s="19"/>
      <c r="I607" s="19">
        <v>12.119</v>
      </c>
      <c r="J607" s="21">
        <v>88.8</v>
      </c>
      <c r="M607" s="22">
        <f>ROUND(ROUND(J607, 2)*I607, 2)</f>
        <v>1076.17</v>
      </c>
      <c r="P607" s="21">
        <v>88.8</v>
      </c>
      <c r="S607" s="22">
        <f>ROUND(ROUND(P607, 2)*I607, 2)</f>
        <v>1076.17</v>
      </c>
      <c r="V607" s="9">
        <f>ROUND(ROUND(P607, 2)/1.2, 2)</f>
        <v>74</v>
      </c>
      <c r="Y607" s="9">
        <f t="shared" si="34"/>
        <v>896.81</v>
      </c>
      <c r="AD607" s="4" t="s">
        <v>2362</v>
      </c>
      <c r="AE607" s="4" t="s">
        <v>2363</v>
      </c>
      <c r="AF607" s="4" t="s">
        <v>436</v>
      </c>
    </row>
    <row r="608" spans="1:35" ht="54" x14ac:dyDescent="0.3">
      <c r="A608" s="10" t="s">
        <v>2364</v>
      </c>
      <c r="B608" s="10"/>
      <c r="C608" s="24" t="s">
        <v>2187</v>
      </c>
      <c r="D608" s="12"/>
      <c r="E608" s="12" t="s">
        <v>2188</v>
      </c>
      <c r="F608" s="18" t="s">
        <v>70</v>
      </c>
      <c r="G608" s="19">
        <v>0.3</v>
      </c>
      <c r="H608" s="19"/>
      <c r="I608" s="19">
        <v>24.236999999999998</v>
      </c>
      <c r="J608" s="21">
        <v>0</v>
      </c>
      <c r="M608" s="22">
        <f>ROUND(ROUND(J608, 2)*I608, 2)</f>
        <v>0</v>
      </c>
      <c r="P608" s="21">
        <v>206.5</v>
      </c>
      <c r="S608" s="22">
        <f>ROUND(ROUND(P608, 2)*I608, 2)</f>
        <v>5004.9399999999996</v>
      </c>
      <c r="V608" s="9">
        <f>ROUND(ROUND(P608, 2)/1.2, 2)</f>
        <v>172.08</v>
      </c>
      <c r="Y608" s="9">
        <f t="shared" si="34"/>
        <v>4170.78</v>
      </c>
      <c r="AD608" s="4" t="s">
        <v>2365</v>
      </c>
      <c r="AE608" s="4" t="s">
        <v>2366</v>
      </c>
      <c r="AF608" s="4" t="s">
        <v>2191</v>
      </c>
    </row>
    <row r="609" spans="1:35" ht="36" x14ac:dyDescent="0.3">
      <c r="A609" s="10" t="s">
        <v>2367</v>
      </c>
      <c r="B609" s="10" t="s">
        <v>2149</v>
      </c>
      <c r="C609" s="11" t="s">
        <v>2150</v>
      </c>
      <c r="D609" s="12"/>
      <c r="E609" s="12" t="s">
        <v>2368</v>
      </c>
      <c r="F609" s="12" t="s">
        <v>64</v>
      </c>
      <c r="G609" s="13">
        <v>1</v>
      </c>
      <c r="H609" s="13"/>
      <c r="I609" s="13">
        <v>26.92</v>
      </c>
      <c r="J609" s="14">
        <f>IFERROR(ROUND(SUM(M610,M611)/I609, 2),0)</f>
        <v>13.32</v>
      </c>
      <c r="K609" s="15">
        <v>464</v>
      </c>
      <c r="L609" s="14">
        <f>J609+ROUND(K609, 2)</f>
        <v>477.32</v>
      </c>
      <c r="M609" s="14">
        <f>ROUND(J609*I609, 2)</f>
        <v>358.57</v>
      </c>
      <c r="N609" s="14">
        <f>ROUND(I609*ROUND(K609, 2), 2)</f>
        <v>12490.88</v>
      </c>
      <c r="O609" s="14">
        <f>M609+N609</f>
        <v>12849.449999999999</v>
      </c>
      <c r="P609" s="14">
        <f>IFERROR(ROUND(SUM(S610,S611)/I609, 2),0)</f>
        <v>75.27</v>
      </c>
      <c r="Q609" s="15">
        <v>464</v>
      </c>
      <c r="R609" s="14">
        <f>P609+ROUND(Q609, 2)</f>
        <v>539.27</v>
      </c>
      <c r="S609" s="14">
        <f>ROUND(P609*I609, 2)</f>
        <v>2026.27</v>
      </c>
      <c r="T609" s="14">
        <f>ROUND(I609*ROUND(Q609, 2), 2)</f>
        <v>12490.88</v>
      </c>
      <c r="U609" s="14">
        <f>S609+T609</f>
        <v>14517.15</v>
      </c>
      <c r="V609" s="9">
        <f>ROUND(P609 / 1.2, 2)</f>
        <v>62.73</v>
      </c>
      <c r="W609" s="9">
        <f>ROUND(Q609 / 1.2, 2)</f>
        <v>386.67</v>
      </c>
      <c r="X609" s="9">
        <f>ROUND(R609 / 1.2, 2)</f>
        <v>449.39</v>
      </c>
      <c r="Y609" s="9">
        <f t="shared" si="34"/>
        <v>1688.56</v>
      </c>
      <c r="Z609" s="9">
        <f>ROUND(T609 / 1.2, 2)</f>
        <v>10409.07</v>
      </c>
      <c r="AA609" s="9">
        <f>Y609+Z609</f>
        <v>12097.63</v>
      </c>
      <c r="AD609" s="4">
        <v>298925477</v>
      </c>
      <c r="AE609" s="4">
        <v>20002410</v>
      </c>
      <c r="AG609" s="4" t="s">
        <v>2152</v>
      </c>
      <c r="AH609" s="4" t="s">
        <v>2153</v>
      </c>
      <c r="AI609" s="4" t="s">
        <v>67</v>
      </c>
    </row>
    <row r="610" spans="1:35" ht="72" x14ac:dyDescent="0.3">
      <c r="A610" s="10" t="s">
        <v>2369</v>
      </c>
      <c r="B610" s="10"/>
      <c r="C610" s="24" t="s">
        <v>2187</v>
      </c>
      <c r="D610" s="12"/>
      <c r="E610" s="12" t="s">
        <v>2370</v>
      </c>
      <c r="F610" s="18" t="s">
        <v>70</v>
      </c>
      <c r="G610" s="19">
        <v>0.3</v>
      </c>
      <c r="H610" s="19"/>
      <c r="I610" s="19">
        <v>8.0760000000000005</v>
      </c>
      <c r="J610" s="21">
        <v>0</v>
      </c>
      <c r="M610" s="22">
        <f>ROUND(ROUND(J610, 2)*I610, 2)</f>
        <v>0</v>
      </c>
      <c r="P610" s="21">
        <v>206.5</v>
      </c>
      <c r="S610" s="22">
        <f>ROUND(ROUND(P610, 2)*I610, 2)</f>
        <v>1667.69</v>
      </c>
      <c r="V610" s="9">
        <f>ROUND(ROUND(P610, 2)/1.2, 2)</f>
        <v>172.08</v>
      </c>
      <c r="Y610" s="9">
        <f t="shared" ref="Y610:Y641" si="35">ROUND(S610 / 1.2, 2)</f>
        <v>1389.74</v>
      </c>
      <c r="AD610" s="4" t="s">
        <v>2371</v>
      </c>
      <c r="AE610" s="4" t="s">
        <v>2372</v>
      </c>
      <c r="AF610" s="4" t="s">
        <v>2191</v>
      </c>
    </row>
    <row r="611" spans="1:35" ht="36" x14ac:dyDescent="0.3">
      <c r="A611" s="10" t="s">
        <v>2373</v>
      </c>
      <c r="B611" s="10"/>
      <c r="C611" s="24" t="s">
        <v>433</v>
      </c>
      <c r="D611" s="12"/>
      <c r="E611" s="12"/>
      <c r="F611" s="18" t="s">
        <v>70</v>
      </c>
      <c r="G611" s="19">
        <v>0.15</v>
      </c>
      <c r="H611" s="19"/>
      <c r="I611" s="19">
        <v>4.0380000000000003</v>
      </c>
      <c r="J611" s="21">
        <v>88.8</v>
      </c>
      <c r="M611" s="22">
        <f>ROUND(ROUND(J611, 2)*I611, 2)</f>
        <v>358.57</v>
      </c>
      <c r="P611" s="21">
        <v>88.8</v>
      </c>
      <c r="S611" s="22">
        <f>ROUND(ROUND(P611, 2)*I611, 2)</f>
        <v>358.57</v>
      </c>
      <c r="V611" s="9">
        <f>ROUND(ROUND(P611, 2)/1.2, 2)</f>
        <v>74</v>
      </c>
      <c r="Y611" s="9">
        <f t="shared" si="35"/>
        <v>298.81</v>
      </c>
      <c r="AD611" s="4" t="s">
        <v>2374</v>
      </c>
      <c r="AE611" s="4" t="s">
        <v>2375</v>
      </c>
      <c r="AF611" s="4" t="s">
        <v>436</v>
      </c>
    </row>
    <row r="612" spans="1:35" ht="36" x14ac:dyDescent="0.3">
      <c r="A612" s="10" t="s">
        <v>2376</v>
      </c>
      <c r="B612" s="10" t="s">
        <v>2149</v>
      </c>
      <c r="C612" s="11" t="s">
        <v>2150</v>
      </c>
      <c r="D612" s="12"/>
      <c r="E612" s="12" t="s">
        <v>2377</v>
      </c>
      <c r="F612" s="12" t="s">
        <v>64</v>
      </c>
      <c r="G612" s="13">
        <v>1</v>
      </c>
      <c r="H612" s="13"/>
      <c r="I612" s="13">
        <v>28.35</v>
      </c>
      <c r="J612" s="14">
        <f>IFERROR(ROUND(SUM(M613,M614)/I612, 2),0)</f>
        <v>13.32</v>
      </c>
      <c r="K612" s="15">
        <v>464</v>
      </c>
      <c r="L612" s="14">
        <f>J612+ROUND(K612, 2)</f>
        <v>477.32</v>
      </c>
      <c r="M612" s="14">
        <f>ROUND(J612*I612, 2)</f>
        <v>377.62</v>
      </c>
      <c r="N612" s="14">
        <f>ROUND(I612*ROUND(K612, 2), 2)</f>
        <v>13154.4</v>
      </c>
      <c r="O612" s="14">
        <f>M612+N612</f>
        <v>13532.02</v>
      </c>
      <c r="P612" s="14">
        <f>IFERROR(ROUND(SUM(S613,S614)/I612, 2),0)</f>
        <v>75.27</v>
      </c>
      <c r="Q612" s="15">
        <v>464</v>
      </c>
      <c r="R612" s="14">
        <f>P612+ROUND(Q612, 2)</f>
        <v>539.27</v>
      </c>
      <c r="S612" s="14">
        <f>ROUND(P612*I612, 2)</f>
        <v>2133.9</v>
      </c>
      <c r="T612" s="14">
        <f>ROUND(I612*ROUND(Q612, 2), 2)</f>
        <v>13154.4</v>
      </c>
      <c r="U612" s="14">
        <f>S612+T612</f>
        <v>15288.3</v>
      </c>
      <c r="V612" s="9">
        <f>ROUND(P612 / 1.2, 2)</f>
        <v>62.73</v>
      </c>
      <c r="W612" s="9">
        <f>ROUND(Q612 / 1.2, 2)</f>
        <v>386.67</v>
      </c>
      <c r="X612" s="9">
        <f>ROUND(R612 / 1.2, 2)</f>
        <v>449.39</v>
      </c>
      <c r="Y612" s="9">
        <f t="shared" si="35"/>
        <v>1778.25</v>
      </c>
      <c r="Z612" s="9">
        <f>ROUND(T612 / 1.2, 2)</f>
        <v>10962</v>
      </c>
      <c r="AA612" s="9">
        <f>Y612+Z612</f>
        <v>12740.25</v>
      </c>
      <c r="AD612" s="4">
        <v>298925478</v>
      </c>
      <c r="AE612" s="4">
        <v>20002411</v>
      </c>
      <c r="AG612" s="4" t="s">
        <v>2152</v>
      </c>
      <c r="AH612" s="4" t="s">
        <v>2153</v>
      </c>
      <c r="AI612" s="4" t="s">
        <v>67</v>
      </c>
    </row>
    <row r="613" spans="1:35" ht="36" x14ac:dyDescent="0.3">
      <c r="A613" s="10" t="s">
        <v>2378</v>
      </c>
      <c r="B613" s="10"/>
      <c r="C613" s="24" t="s">
        <v>433</v>
      </c>
      <c r="D613" s="12"/>
      <c r="E613" s="12"/>
      <c r="F613" s="18" t="s">
        <v>70</v>
      </c>
      <c r="G613" s="19">
        <v>0.15</v>
      </c>
      <c r="H613" s="19"/>
      <c r="I613" s="19">
        <v>4.2530000000000001</v>
      </c>
      <c r="J613" s="21">
        <v>88.8</v>
      </c>
      <c r="M613" s="22">
        <f>ROUND(ROUND(J613, 2)*I613, 2)</f>
        <v>377.67</v>
      </c>
      <c r="P613" s="21">
        <v>88.8</v>
      </c>
      <c r="S613" s="22">
        <f>ROUND(ROUND(P613, 2)*I613, 2)</f>
        <v>377.67</v>
      </c>
      <c r="V613" s="9">
        <f>ROUND(ROUND(P613, 2)/1.2, 2)</f>
        <v>74</v>
      </c>
      <c r="Y613" s="9">
        <f t="shared" si="35"/>
        <v>314.73</v>
      </c>
      <c r="AD613" s="4" t="s">
        <v>2379</v>
      </c>
      <c r="AE613" s="4" t="s">
        <v>2380</v>
      </c>
      <c r="AF613" s="4" t="s">
        <v>436</v>
      </c>
    </row>
    <row r="614" spans="1:35" ht="54" x14ac:dyDescent="0.3">
      <c r="A614" s="10" t="s">
        <v>2381</v>
      </c>
      <c r="B614" s="10"/>
      <c r="C614" s="24" t="s">
        <v>2187</v>
      </c>
      <c r="D614" s="12"/>
      <c r="E614" s="12" t="s">
        <v>2382</v>
      </c>
      <c r="F614" s="18" t="s">
        <v>70</v>
      </c>
      <c r="G614" s="19">
        <v>0.3</v>
      </c>
      <c r="H614" s="19"/>
      <c r="I614" s="19">
        <v>8.5050000000000008</v>
      </c>
      <c r="J614" s="21">
        <v>0</v>
      </c>
      <c r="M614" s="22">
        <f>ROUND(ROUND(J614, 2)*I614, 2)</f>
        <v>0</v>
      </c>
      <c r="P614" s="21">
        <v>206.5</v>
      </c>
      <c r="S614" s="22">
        <f>ROUND(ROUND(P614, 2)*I614, 2)</f>
        <v>1756.28</v>
      </c>
      <c r="V614" s="9">
        <f>ROUND(ROUND(P614, 2)/1.2, 2)</f>
        <v>172.08</v>
      </c>
      <c r="Y614" s="9">
        <f t="shared" si="35"/>
        <v>1463.57</v>
      </c>
      <c r="AD614" s="4" t="s">
        <v>2383</v>
      </c>
      <c r="AE614" s="4" t="s">
        <v>2384</v>
      </c>
      <c r="AF614" s="4" t="s">
        <v>2191</v>
      </c>
    </row>
    <row r="615" spans="1:35" ht="36" x14ac:dyDescent="0.3">
      <c r="A615" s="10" t="s">
        <v>2385</v>
      </c>
      <c r="B615" s="10" t="s">
        <v>2149</v>
      </c>
      <c r="C615" s="11" t="s">
        <v>2150</v>
      </c>
      <c r="D615" s="12"/>
      <c r="E615" s="12" t="s">
        <v>2386</v>
      </c>
      <c r="F615" s="12" t="s">
        <v>64</v>
      </c>
      <c r="G615" s="13">
        <v>1</v>
      </c>
      <c r="H615" s="13"/>
      <c r="I615" s="13">
        <v>26.03</v>
      </c>
      <c r="J615" s="14">
        <f>IFERROR(ROUND(SUM(M616,M617)/I615, 2),0)</f>
        <v>13.32</v>
      </c>
      <c r="K615" s="15">
        <v>464</v>
      </c>
      <c r="L615" s="14">
        <f>J615+ROUND(K615, 2)</f>
        <v>477.32</v>
      </c>
      <c r="M615" s="14">
        <f>ROUND(J615*I615, 2)</f>
        <v>346.72</v>
      </c>
      <c r="N615" s="14">
        <f>ROUND(I615*ROUND(K615, 2), 2)</f>
        <v>12077.92</v>
      </c>
      <c r="O615" s="14">
        <f>M615+N615</f>
        <v>12424.64</v>
      </c>
      <c r="P615" s="14">
        <f>IFERROR(ROUND(SUM(S616,S617)/I615, 2),0)</f>
        <v>75.27</v>
      </c>
      <c r="Q615" s="15">
        <v>464</v>
      </c>
      <c r="R615" s="14">
        <f>P615+ROUND(Q615, 2)</f>
        <v>539.27</v>
      </c>
      <c r="S615" s="14">
        <f>ROUND(P615*I615, 2)</f>
        <v>1959.28</v>
      </c>
      <c r="T615" s="14">
        <f>ROUND(I615*ROUND(Q615, 2), 2)</f>
        <v>12077.92</v>
      </c>
      <c r="U615" s="14">
        <f>S615+T615</f>
        <v>14037.2</v>
      </c>
      <c r="V615" s="9">
        <f>ROUND(P615 / 1.2, 2)</f>
        <v>62.73</v>
      </c>
      <c r="W615" s="9">
        <f>ROUND(Q615 / 1.2, 2)</f>
        <v>386.67</v>
      </c>
      <c r="X615" s="9">
        <f>ROUND(R615 / 1.2, 2)</f>
        <v>449.39</v>
      </c>
      <c r="Y615" s="9">
        <f t="shared" si="35"/>
        <v>1632.73</v>
      </c>
      <c r="Z615" s="9">
        <f>ROUND(T615 / 1.2, 2)</f>
        <v>10064.93</v>
      </c>
      <c r="AA615" s="9">
        <f>Y615+Z615</f>
        <v>11697.66</v>
      </c>
      <c r="AD615" s="4">
        <v>298925479</v>
      </c>
      <c r="AE615" s="4">
        <v>20002412</v>
      </c>
      <c r="AG615" s="4" t="s">
        <v>2152</v>
      </c>
      <c r="AH615" s="4" t="s">
        <v>2153</v>
      </c>
      <c r="AI615" s="4" t="s">
        <v>67</v>
      </c>
    </row>
    <row r="616" spans="1:35" ht="54" x14ac:dyDescent="0.3">
      <c r="A616" s="10" t="s">
        <v>2387</v>
      </c>
      <c r="B616" s="10"/>
      <c r="C616" s="24" t="s">
        <v>2187</v>
      </c>
      <c r="D616" s="12"/>
      <c r="E616" s="12" t="s">
        <v>2207</v>
      </c>
      <c r="F616" s="18" t="s">
        <v>70</v>
      </c>
      <c r="G616" s="19">
        <v>0.3</v>
      </c>
      <c r="H616" s="19"/>
      <c r="I616" s="19">
        <v>7.8090000000000002</v>
      </c>
      <c r="J616" s="21">
        <v>0</v>
      </c>
      <c r="M616" s="22">
        <f>ROUND(ROUND(J616, 2)*I616, 2)</f>
        <v>0</v>
      </c>
      <c r="P616" s="21">
        <v>206.5</v>
      </c>
      <c r="S616" s="22">
        <f>ROUND(ROUND(P616, 2)*I616, 2)</f>
        <v>1612.56</v>
      </c>
      <c r="V616" s="9">
        <f>ROUND(ROUND(P616, 2)/1.2, 2)</f>
        <v>172.08</v>
      </c>
      <c r="Y616" s="9">
        <f t="shared" si="35"/>
        <v>1343.8</v>
      </c>
      <c r="AD616" s="4" t="s">
        <v>2388</v>
      </c>
      <c r="AE616" s="4" t="s">
        <v>2389</v>
      </c>
      <c r="AF616" s="4" t="s">
        <v>2191</v>
      </c>
    </row>
    <row r="617" spans="1:35" ht="36" x14ac:dyDescent="0.3">
      <c r="A617" s="10" t="s">
        <v>2390</v>
      </c>
      <c r="B617" s="10"/>
      <c r="C617" s="24" t="s">
        <v>433</v>
      </c>
      <c r="D617" s="12"/>
      <c r="E617" s="12"/>
      <c r="F617" s="18" t="s">
        <v>70</v>
      </c>
      <c r="G617" s="19">
        <v>0.15</v>
      </c>
      <c r="H617" s="19"/>
      <c r="I617" s="19">
        <v>3.9049999999999998</v>
      </c>
      <c r="J617" s="21">
        <v>88.8</v>
      </c>
      <c r="M617" s="22">
        <f>ROUND(ROUND(J617, 2)*I617, 2)</f>
        <v>346.76</v>
      </c>
      <c r="P617" s="21">
        <v>88.8</v>
      </c>
      <c r="S617" s="22">
        <f>ROUND(ROUND(P617, 2)*I617, 2)</f>
        <v>346.76</v>
      </c>
      <c r="V617" s="9">
        <f>ROUND(ROUND(P617, 2)/1.2, 2)</f>
        <v>74</v>
      </c>
      <c r="Y617" s="9">
        <f t="shared" si="35"/>
        <v>288.97000000000003</v>
      </c>
      <c r="AD617" s="4" t="s">
        <v>2391</v>
      </c>
      <c r="AE617" s="4" t="s">
        <v>2392</v>
      </c>
      <c r="AF617" s="4" t="s">
        <v>436</v>
      </c>
    </row>
    <row r="618" spans="1:35" ht="36" x14ac:dyDescent="0.3">
      <c r="A618" s="10" t="s">
        <v>2393</v>
      </c>
      <c r="B618" s="10" t="s">
        <v>2149</v>
      </c>
      <c r="C618" s="11" t="s">
        <v>2150</v>
      </c>
      <c r="D618" s="12"/>
      <c r="E618" s="12" t="s">
        <v>2394</v>
      </c>
      <c r="F618" s="12" t="s">
        <v>64</v>
      </c>
      <c r="G618" s="13">
        <v>1</v>
      </c>
      <c r="H618" s="13"/>
      <c r="I618" s="13">
        <v>34.79</v>
      </c>
      <c r="J618" s="14">
        <f>IFERROR(ROUND(SUM(M619,M620)/I618, 2),0)</f>
        <v>13.32</v>
      </c>
      <c r="K618" s="15">
        <v>464</v>
      </c>
      <c r="L618" s="14">
        <f>J618+ROUND(K618, 2)</f>
        <v>477.32</v>
      </c>
      <c r="M618" s="14">
        <f>ROUND(J618*I618, 2)</f>
        <v>463.4</v>
      </c>
      <c r="N618" s="14">
        <f>ROUND(I618*ROUND(K618, 2), 2)</f>
        <v>16142.56</v>
      </c>
      <c r="O618" s="14">
        <f>M618+N618</f>
        <v>16605.96</v>
      </c>
      <c r="P618" s="14">
        <f>IFERROR(ROUND(SUM(S619,S620)/I618, 2),0)</f>
        <v>75.27</v>
      </c>
      <c r="Q618" s="15">
        <v>464</v>
      </c>
      <c r="R618" s="14">
        <f>P618+ROUND(Q618, 2)</f>
        <v>539.27</v>
      </c>
      <c r="S618" s="14">
        <f>ROUND(P618*I618, 2)</f>
        <v>2618.64</v>
      </c>
      <c r="T618" s="14">
        <f>ROUND(I618*ROUND(Q618, 2), 2)</f>
        <v>16142.56</v>
      </c>
      <c r="U618" s="14">
        <f>S618+T618</f>
        <v>18761.2</v>
      </c>
      <c r="V618" s="9">
        <f>ROUND(P618 / 1.2, 2)</f>
        <v>62.73</v>
      </c>
      <c r="W618" s="9">
        <f>ROUND(Q618 / 1.2, 2)</f>
        <v>386.67</v>
      </c>
      <c r="X618" s="9">
        <f>ROUND(R618 / 1.2, 2)</f>
        <v>449.39</v>
      </c>
      <c r="Y618" s="9">
        <f t="shared" si="35"/>
        <v>2182.1999999999998</v>
      </c>
      <c r="Z618" s="9">
        <f>ROUND(T618 / 1.2, 2)</f>
        <v>13452.13</v>
      </c>
      <c r="AA618" s="9">
        <f>Y618+Z618</f>
        <v>15634.329999999998</v>
      </c>
      <c r="AD618" s="4">
        <v>298925480</v>
      </c>
      <c r="AE618" s="4">
        <v>20003313</v>
      </c>
      <c r="AG618" s="4" t="s">
        <v>2152</v>
      </c>
      <c r="AH618" s="4" t="s">
        <v>2153</v>
      </c>
      <c r="AI618" s="4" t="s">
        <v>67</v>
      </c>
    </row>
    <row r="619" spans="1:35" ht="36" x14ac:dyDescent="0.3">
      <c r="A619" s="10" t="s">
        <v>2395</v>
      </c>
      <c r="B619" s="10"/>
      <c r="C619" s="24" t="s">
        <v>433</v>
      </c>
      <c r="D619" s="12"/>
      <c r="E619" s="12"/>
      <c r="F619" s="18" t="s">
        <v>70</v>
      </c>
      <c r="G619" s="19">
        <v>0.15</v>
      </c>
      <c r="H619" s="19"/>
      <c r="I619" s="19">
        <v>5.2190000000000003</v>
      </c>
      <c r="J619" s="21">
        <v>88.8</v>
      </c>
      <c r="M619" s="22">
        <f>ROUND(ROUND(J619, 2)*I619, 2)</f>
        <v>463.45</v>
      </c>
      <c r="P619" s="21">
        <v>88.8</v>
      </c>
      <c r="S619" s="22">
        <f>ROUND(ROUND(P619, 2)*I619, 2)</f>
        <v>463.45</v>
      </c>
      <c r="V619" s="9">
        <f>ROUND(ROUND(P619, 2)/1.2, 2)</f>
        <v>74</v>
      </c>
      <c r="Y619" s="9">
        <f t="shared" si="35"/>
        <v>386.21</v>
      </c>
      <c r="AD619" s="4" t="s">
        <v>2396</v>
      </c>
      <c r="AE619" s="4" t="s">
        <v>2397</v>
      </c>
      <c r="AF619" s="4" t="s">
        <v>436</v>
      </c>
    </row>
    <row r="620" spans="1:35" ht="54" x14ac:dyDescent="0.3">
      <c r="A620" s="10" t="s">
        <v>2398</v>
      </c>
      <c r="B620" s="10"/>
      <c r="C620" s="24" t="s">
        <v>2399</v>
      </c>
      <c r="D620" s="12"/>
      <c r="E620" s="12" t="s">
        <v>2251</v>
      </c>
      <c r="F620" s="18" t="s">
        <v>70</v>
      </c>
      <c r="G620" s="19">
        <v>0.3</v>
      </c>
      <c r="H620" s="19"/>
      <c r="I620" s="19">
        <v>10.436999999999999</v>
      </c>
      <c r="J620" s="21">
        <v>0</v>
      </c>
      <c r="M620" s="22">
        <f>ROUND(ROUND(J620, 2)*I620, 2)</f>
        <v>0</v>
      </c>
      <c r="P620" s="21">
        <v>206.5</v>
      </c>
      <c r="S620" s="22">
        <f>ROUND(ROUND(P620, 2)*I620, 2)</f>
        <v>2155.2399999999998</v>
      </c>
      <c r="V620" s="9">
        <f>ROUND(ROUND(P620, 2)/1.2, 2)</f>
        <v>172.08</v>
      </c>
      <c r="Y620" s="9">
        <f t="shared" si="35"/>
        <v>1796.03</v>
      </c>
      <c r="AD620" s="4" t="s">
        <v>2400</v>
      </c>
      <c r="AE620" s="4" t="s">
        <v>2401</v>
      </c>
      <c r="AF620" s="4" t="s">
        <v>2402</v>
      </c>
    </row>
    <row r="621" spans="1:35" ht="36" x14ac:dyDescent="0.3">
      <c r="A621" s="10" t="s">
        <v>2403</v>
      </c>
      <c r="B621" s="10" t="s">
        <v>2149</v>
      </c>
      <c r="C621" s="11" t="s">
        <v>2150</v>
      </c>
      <c r="D621" s="12"/>
      <c r="E621" s="12" t="s">
        <v>2404</v>
      </c>
      <c r="F621" s="12" t="s">
        <v>64</v>
      </c>
      <c r="G621" s="13">
        <v>1</v>
      </c>
      <c r="H621" s="13"/>
      <c r="I621" s="13">
        <v>58.73</v>
      </c>
      <c r="J621" s="14">
        <f>IFERROR(ROUND(SUM(M622,M623)/I621, 2),0)</f>
        <v>13.32</v>
      </c>
      <c r="K621" s="15">
        <v>464</v>
      </c>
      <c r="L621" s="14">
        <f>J621+ROUND(K621, 2)</f>
        <v>477.32</v>
      </c>
      <c r="M621" s="14">
        <f>ROUND(J621*I621, 2)</f>
        <v>782.28</v>
      </c>
      <c r="N621" s="14">
        <f>ROUND(I621*ROUND(K621, 2), 2)</f>
        <v>27250.720000000001</v>
      </c>
      <c r="O621" s="14">
        <f>M621+N621</f>
        <v>28033</v>
      </c>
      <c r="P621" s="14">
        <f>IFERROR(ROUND(SUM(S622,S623)/I621, 2),0)</f>
        <v>75.27</v>
      </c>
      <c r="Q621" s="15">
        <v>464</v>
      </c>
      <c r="R621" s="14">
        <f>P621+ROUND(Q621, 2)</f>
        <v>539.27</v>
      </c>
      <c r="S621" s="14">
        <f>ROUND(P621*I621, 2)</f>
        <v>4420.6099999999997</v>
      </c>
      <c r="T621" s="14">
        <f>ROUND(I621*ROUND(Q621, 2), 2)</f>
        <v>27250.720000000001</v>
      </c>
      <c r="U621" s="14">
        <f>S621+T621</f>
        <v>31671.33</v>
      </c>
      <c r="V621" s="9">
        <f>ROUND(P621 / 1.2, 2)</f>
        <v>62.73</v>
      </c>
      <c r="W621" s="9">
        <f>ROUND(Q621 / 1.2, 2)</f>
        <v>386.67</v>
      </c>
      <c r="X621" s="9">
        <f>ROUND(R621 / 1.2, 2)</f>
        <v>449.39</v>
      </c>
      <c r="Y621" s="9">
        <f t="shared" si="35"/>
        <v>3683.84</v>
      </c>
      <c r="Z621" s="9">
        <f>ROUND(T621 / 1.2, 2)</f>
        <v>22708.93</v>
      </c>
      <c r="AA621" s="9">
        <f>Y621+Z621</f>
        <v>26392.77</v>
      </c>
      <c r="AD621" s="4">
        <v>298925481</v>
      </c>
      <c r="AE621" s="4">
        <v>20003314</v>
      </c>
      <c r="AG621" s="4" t="s">
        <v>2152</v>
      </c>
      <c r="AH621" s="4" t="s">
        <v>2153</v>
      </c>
      <c r="AI621" s="4" t="s">
        <v>67</v>
      </c>
    </row>
    <row r="622" spans="1:35" ht="54" x14ac:dyDescent="0.3">
      <c r="A622" s="10" t="s">
        <v>2405</v>
      </c>
      <c r="B622" s="10"/>
      <c r="C622" s="24" t="s">
        <v>2187</v>
      </c>
      <c r="D622" s="12"/>
      <c r="E622" s="12" t="s">
        <v>2406</v>
      </c>
      <c r="F622" s="18" t="s">
        <v>70</v>
      </c>
      <c r="G622" s="19">
        <v>0.3</v>
      </c>
      <c r="H622" s="19"/>
      <c r="I622" s="19">
        <v>17.619</v>
      </c>
      <c r="J622" s="21">
        <v>0</v>
      </c>
      <c r="M622" s="22">
        <f>ROUND(ROUND(J622, 2)*I622, 2)</f>
        <v>0</v>
      </c>
      <c r="P622" s="21">
        <v>206.5</v>
      </c>
      <c r="S622" s="22">
        <f>ROUND(ROUND(P622, 2)*I622, 2)</f>
        <v>3638.32</v>
      </c>
      <c r="V622" s="9">
        <f>ROUND(ROUND(P622, 2)/1.2, 2)</f>
        <v>172.08</v>
      </c>
      <c r="Y622" s="9">
        <f t="shared" si="35"/>
        <v>3031.93</v>
      </c>
      <c r="AD622" s="4" t="s">
        <v>2407</v>
      </c>
      <c r="AE622" s="4" t="s">
        <v>2408</v>
      </c>
      <c r="AF622" s="4" t="s">
        <v>2191</v>
      </c>
    </row>
    <row r="623" spans="1:35" ht="36" x14ac:dyDescent="0.3">
      <c r="A623" s="10" t="s">
        <v>2409</v>
      </c>
      <c r="B623" s="10"/>
      <c r="C623" s="24" t="s">
        <v>433</v>
      </c>
      <c r="D623" s="12"/>
      <c r="E623" s="12"/>
      <c r="F623" s="18" t="s">
        <v>70</v>
      </c>
      <c r="G623" s="19">
        <v>0.15</v>
      </c>
      <c r="H623" s="19"/>
      <c r="I623" s="19">
        <v>8.81</v>
      </c>
      <c r="J623" s="21">
        <v>88.8</v>
      </c>
      <c r="M623" s="22">
        <f>ROUND(ROUND(J623, 2)*I623, 2)</f>
        <v>782.33</v>
      </c>
      <c r="P623" s="21">
        <v>88.8</v>
      </c>
      <c r="S623" s="22">
        <f>ROUND(ROUND(P623, 2)*I623, 2)</f>
        <v>782.33</v>
      </c>
      <c r="V623" s="9">
        <f>ROUND(ROUND(P623, 2)/1.2, 2)</f>
        <v>74</v>
      </c>
      <c r="Y623" s="9">
        <f t="shared" si="35"/>
        <v>651.94000000000005</v>
      </c>
      <c r="AD623" s="4" t="s">
        <v>2410</v>
      </c>
      <c r="AE623" s="4" t="s">
        <v>2411</v>
      </c>
      <c r="AF623" s="4" t="s">
        <v>436</v>
      </c>
    </row>
    <row r="624" spans="1:35" ht="36" x14ac:dyDescent="0.3">
      <c r="A624" s="10" t="s">
        <v>2412</v>
      </c>
      <c r="B624" s="10" t="s">
        <v>2149</v>
      </c>
      <c r="C624" s="11" t="s">
        <v>2150</v>
      </c>
      <c r="D624" s="12"/>
      <c r="E624" s="12" t="s">
        <v>2413</v>
      </c>
      <c r="F624" s="12" t="s">
        <v>64</v>
      </c>
      <c r="G624" s="13">
        <v>1</v>
      </c>
      <c r="H624" s="13"/>
      <c r="I624" s="13">
        <v>30.71</v>
      </c>
      <c r="J624" s="14">
        <f>IFERROR(ROUND(SUM(M625,M626)/I624, 2),0)</f>
        <v>13.32</v>
      </c>
      <c r="K624" s="15">
        <v>464</v>
      </c>
      <c r="L624" s="14">
        <f>J624+ROUND(K624, 2)</f>
        <v>477.32</v>
      </c>
      <c r="M624" s="14">
        <f>ROUND(J624*I624, 2)</f>
        <v>409.06</v>
      </c>
      <c r="N624" s="14">
        <f>ROUND(I624*ROUND(K624, 2), 2)</f>
        <v>14249.44</v>
      </c>
      <c r="O624" s="14">
        <f>M624+N624</f>
        <v>14658.5</v>
      </c>
      <c r="P624" s="14">
        <f>IFERROR(ROUND(SUM(S625,S626)/I624, 2),0)</f>
        <v>75.27</v>
      </c>
      <c r="Q624" s="15">
        <v>464</v>
      </c>
      <c r="R624" s="14">
        <f>P624+ROUND(Q624, 2)</f>
        <v>539.27</v>
      </c>
      <c r="S624" s="14">
        <f>ROUND(P624*I624, 2)</f>
        <v>2311.54</v>
      </c>
      <c r="T624" s="14">
        <f>ROUND(I624*ROUND(Q624, 2), 2)</f>
        <v>14249.44</v>
      </c>
      <c r="U624" s="14">
        <f>S624+T624</f>
        <v>16560.98</v>
      </c>
      <c r="V624" s="9">
        <f>ROUND(P624 / 1.2, 2)</f>
        <v>62.73</v>
      </c>
      <c r="W624" s="9">
        <f>ROUND(Q624 / 1.2, 2)</f>
        <v>386.67</v>
      </c>
      <c r="X624" s="9">
        <f>ROUND(R624 / 1.2, 2)</f>
        <v>449.39</v>
      </c>
      <c r="Y624" s="9">
        <f t="shared" si="35"/>
        <v>1926.28</v>
      </c>
      <c r="Z624" s="9">
        <f>ROUND(T624 / 1.2, 2)</f>
        <v>11874.53</v>
      </c>
      <c r="AA624" s="9">
        <f>Y624+Z624</f>
        <v>13800.810000000001</v>
      </c>
      <c r="AD624" s="4">
        <v>298925482</v>
      </c>
      <c r="AE624" s="4">
        <v>20003315</v>
      </c>
      <c r="AG624" s="4" t="s">
        <v>2152</v>
      </c>
      <c r="AH624" s="4" t="s">
        <v>2153</v>
      </c>
      <c r="AI624" s="4" t="s">
        <v>67</v>
      </c>
    </row>
    <row r="625" spans="1:35" ht="36" x14ac:dyDescent="0.3">
      <c r="A625" s="10" t="s">
        <v>2414</v>
      </c>
      <c r="B625" s="10"/>
      <c r="C625" s="24" t="s">
        <v>433</v>
      </c>
      <c r="D625" s="12"/>
      <c r="E625" s="12"/>
      <c r="F625" s="18" t="s">
        <v>70</v>
      </c>
      <c r="G625" s="19">
        <v>0.15</v>
      </c>
      <c r="H625" s="19"/>
      <c r="I625" s="19">
        <v>4.6070000000000002</v>
      </c>
      <c r="J625" s="21">
        <v>88.8</v>
      </c>
      <c r="M625" s="22">
        <f>ROUND(ROUND(J625, 2)*I625, 2)</f>
        <v>409.1</v>
      </c>
      <c r="P625" s="21">
        <v>88.8</v>
      </c>
      <c r="S625" s="22">
        <f>ROUND(ROUND(P625, 2)*I625, 2)</f>
        <v>409.1</v>
      </c>
      <c r="V625" s="9">
        <f>ROUND(ROUND(P625, 2)/1.2, 2)</f>
        <v>74</v>
      </c>
      <c r="Y625" s="9">
        <f t="shared" si="35"/>
        <v>340.92</v>
      </c>
      <c r="AD625" s="4" t="s">
        <v>2415</v>
      </c>
      <c r="AE625" s="4" t="s">
        <v>2416</v>
      </c>
      <c r="AF625" s="4" t="s">
        <v>436</v>
      </c>
    </row>
    <row r="626" spans="1:35" ht="54" x14ac:dyDescent="0.3">
      <c r="A626" s="10" t="s">
        <v>2417</v>
      </c>
      <c r="B626" s="10"/>
      <c r="C626" s="24" t="s">
        <v>2187</v>
      </c>
      <c r="D626" s="12"/>
      <c r="E626" s="12" t="s">
        <v>2268</v>
      </c>
      <c r="F626" s="18" t="s">
        <v>70</v>
      </c>
      <c r="G626" s="19">
        <v>0.3</v>
      </c>
      <c r="H626" s="19"/>
      <c r="I626" s="19">
        <v>9.2129999999999992</v>
      </c>
      <c r="J626" s="21">
        <v>0</v>
      </c>
      <c r="M626" s="22">
        <f>ROUND(ROUND(J626, 2)*I626, 2)</f>
        <v>0</v>
      </c>
      <c r="P626" s="21">
        <v>206.5</v>
      </c>
      <c r="S626" s="22">
        <f>ROUND(ROUND(P626, 2)*I626, 2)</f>
        <v>1902.48</v>
      </c>
      <c r="V626" s="9">
        <f>ROUND(ROUND(P626, 2)/1.2, 2)</f>
        <v>172.08</v>
      </c>
      <c r="Y626" s="9">
        <f t="shared" si="35"/>
        <v>1585.4</v>
      </c>
      <c r="AD626" s="4" t="s">
        <v>2418</v>
      </c>
      <c r="AE626" s="4" t="s">
        <v>2419</v>
      </c>
      <c r="AF626" s="4" t="s">
        <v>2191</v>
      </c>
    </row>
    <row r="627" spans="1:35" ht="36" x14ac:dyDescent="0.3">
      <c r="A627" s="10" t="s">
        <v>2420</v>
      </c>
      <c r="B627" s="10" t="s">
        <v>2149</v>
      </c>
      <c r="C627" s="11" t="s">
        <v>2150</v>
      </c>
      <c r="D627" s="12"/>
      <c r="E627" s="12" t="s">
        <v>2421</v>
      </c>
      <c r="F627" s="12" t="s">
        <v>64</v>
      </c>
      <c r="G627" s="13">
        <v>1</v>
      </c>
      <c r="H627" s="13"/>
      <c r="I627" s="13">
        <v>1281.17</v>
      </c>
      <c r="J627" s="14">
        <f>IFERROR(ROUND(SUM(M628,M629)/I627, 2),0)</f>
        <v>13.32</v>
      </c>
      <c r="K627" s="15">
        <v>464</v>
      </c>
      <c r="L627" s="14">
        <f>J627+ROUND(K627, 2)</f>
        <v>477.32</v>
      </c>
      <c r="M627" s="14">
        <f>ROUND(J627*I627, 2)</f>
        <v>17065.18</v>
      </c>
      <c r="N627" s="14">
        <f>ROUND(I627*ROUND(K627, 2), 2)</f>
        <v>594462.88</v>
      </c>
      <c r="O627" s="14">
        <f>M627+N627</f>
        <v>611528.06000000006</v>
      </c>
      <c r="P627" s="14">
        <f>IFERROR(ROUND(SUM(S628,S629)/I627, 2),0)</f>
        <v>68.28</v>
      </c>
      <c r="Q627" s="15">
        <v>464</v>
      </c>
      <c r="R627" s="14">
        <f>P627+ROUND(Q627, 2)</f>
        <v>532.28</v>
      </c>
      <c r="S627" s="14">
        <f>ROUND(P627*I627, 2)</f>
        <v>87478.29</v>
      </c>
      <c r="T627" s="14">
        <f>ROUND(I627*ROUND(Q627, 2), 2)</f>
        <v>594462.88</v>
      </c>
      <c r="U627" s="14">
        <f>S627+T627</f>
        <v>681941.17</v>
      </c>
      <c r="V627" s="9">
        <f>ROUND(P627 / 1.2, 2)</f>
        <v>56.9</v>
      </c>
      <c r="W627" s="9">
        <f>ROUND(Q627 / 1.2, 2)</f>
        <v>386.67</v>
      </c>
      <c r="X627" s="9">
        <f>ROUND(R627 / 1.2, 2)</f>
        <v>443.57</v>
      </c>
      <c r="Y627" s="9">
        <f t="shared" si="35"/>
        <v>72898.58</v>
      </c>
      <c r="Z627" s="9">
        <f>ROUND(T627 / 1.2, 2)</f>
        <v>495385.73</v>
      </c>
      <c r="AA627" s="9">
        <f>Y627+Z627</f>
        <v>568284.30999999994</v>
      </c>
      <c r="AD627" s="4">
        <v>298925483</v>
      </c>
      <c r="AE627" s="4">
        <v>20003316</v>
      </c>
      <c r="AG627" s="4" t="s">
        <v>2152</v>
      </c>
      <c r="AH627" s="4" t="s">
        <v>2153</v>
      </c>
      <c r="AI627" s="4" t="s">
        <v>67</v>
      </c>
    </row>
    <row r="628" spans="1:35" ht="18" x14ac:dyDescent="0.3">
      <c r="A628" s="10" t="s">
        <v>2422</v>
      </c>
      <c r="B628" s="10"/>
      <c r="C628" s="24" t="s">
        <v>2155</v>
      </c>
      <c r="D628" s="12"/>
      <c r="E628" s="12"/>
      <c r="F628" s="18" t="s">
        <v>70</v>
      </c>
      <c r="G628" s="19">
        <v>0.3</v>
      </c>
      <c r="H628" s="19"/>
      <c r="I628" s="19">
        <v>384.351</v>
      </c>
      <c r="J628" s="21">
        <v>0</v>
      </c>
      <c r="M628" s="22">
        <f>ROUND(ROUND(J628, 2)*I628, 2)</f>
        <v>0</v>
      </c>
      <c r="P628" s="21">
        <v>183.2</v>
      </c>
      <c r="S628" s="22">
        <f>ROUND(ROUND(P628, 2)*I628, 2)</f>
        <v>70413.100000000006</v>
      </c>
      <c r="V628" s="9">
        <f>ROUND(ROUND(P628, 2)/1.2, 2)</f>
        <v>152.66999999999999</v>
      </c>
      <c r="Y628" s="9">
        <f t="shared" si="35"/>
        <v>58677.58</v>
      </c>
      <c r="AD628" s="4" t="s">
        <v>2423</v>
      </c>
      <c r="AE628" s="4" t="s">
        <v>2424</v>
      </c>
      <c r="AF628" s="4" t="s">
        <v>2159</v>
      </c>
    </row>
    <row r="629" spans="1:35" ht="36" x14ac:dyDescent="0.3">
      <c r="A629" s="10" t="s">
        <v>2425</v>
      </c>
      <c r="B629" s="10"/>
      <c r="C629" s="24" t="s">
        <v>433</v>
      </c>
      <c r="D629" s="12"/>
      <c r="E629" s="12"/>
      <c r="F629" s="18" t="s">
        <v>70</v>
      </c>
      <c r="G629" s="19">
        <v>0.15</v>
      </c>
      <c r="H629" s="19"/>
      <c r="I629" s="19">
        <v>192.17599999999999</v>
      </c>
      <c r="J629" s="21">
        <v>88.8</v>
      </c>
      <c r="M629" s="22">
        <f>ROUND(ROUND(J629, 2)*I629, 2)</f>
        <v>17065.23</v>
      </c>
      <c r="P629" s="21">
        <v>88.8</v>
      </c>
      <c r="S629" s="22">
        <f>ROUND(ROUND(P629, 2)*I629, 2)</f>
        <v>17065.23</v>
      </c>
      <c r="V629" s="9">
        <f>ROUND(ROUND(P629, 2)/1.2, 2)</f>
        <v>74</v>
      </c>
      <c r="Y629" s="9">
        <f t="shared" si="35"/>
        <v>14221.03</v>
      </c>
      <c r="AD629" s="4" t="s">
        <v>2426</v>
      </c>
      <c r="AE629" s="4" t="s">
        <v>2427</v>
      </c>
      <c r="AF629" s="4" t="s">
        <v>436</v>
      </c>
    </row>
    <row r="630" spans="1:35" ht="36" x14ac:dyDescent="0.3">
      <c r="A630" s="10" t="s">
        <v>2428</v>
      </c>
      <c r="B630" s="10" t="s">
        <v>2149</v>
      </c>
      <c r="C630" s="11" t="s">
        <v>2150</v>
      </c>
      <c r="D630" s="12"/>
      <c r="E630" s="12" t="s">
        <v>2429</v>
      </c>
      <c r="F630" s="12" t="s">
        <v>64</v>
      </c>
      <c r="G630" s="13">
        <v>1</v>
      </c>
      <c r="H630" s="13"/>
      <c r="I630" s="13">
        <v>8.82</v>
      </c>
      <c r="J630" s="14">
        <f>IFERROR(ROUND(SUM(M631,M632)/I630, 2),0)</f>
        <v>13.32</v>
      </c>
      <c r="K630" s="15">
        <v>464</v>
      </c>
      <c r="L630" s="14">
        <f>J630+ROUND(K630, 2)</f>
        <v>477.32</v>
      </c>
      <c r="M630" s="14">
        <f>ROUND(J630*I630, 2)</f>
        <v>117.48</v>
      </c>
      <c r="N630" s="14">
        <f>ROUND(I630*ROUND(K630, 2), 2)</f>
        <v>4092.48</v>
      </c>
      <c r="O630" s="14">
        <f>M630+N630</f>
        <v>4209.96</v>
      </c>
      <c r="P630" s="14">
        <f>IFERROR(ROUND(SUM(S631,S632)/I630, 2),0)</f>
        <v>75.27</v>
      </c>
      <c r="Q630" s="15">
        <v>464</v>
      </c>
      <c r="R630" s="14">
        <f>P630+ROUND(Q630, 2)</f>
        <v>539.27</v>
      </c>
      <c r="S630" s="14">
        <f>ROUND(P630*I630, 2)</f>
        <v>663.88</v>
      </c>
      <c r="T630" s="14">
        <f>ROUND(I630*ROUND(Q630, 2), 2)</f>
        <v>4092.48</v>
      </c>
      <c r="U630" s="14">
        <f>S630+T630</f>
        <v>4756.3599999999997</v>
      </c>
      <c r="V630" s="9">
        <f>ROUND(P630 / 1.2, 2)</f>
        <v>62.73</v>
      </c>
      <c r="W630" s="9">
        <f>ROUND(Q630 / 1.2, 2)</f>
        <v>386.67</v>
      </c>
      <c r="X630" s="9">
        <f>ROUND(R630 / 1.2, 2)</f>
        <v>449.39</v>
      </c>
      <c r="Y630" s="9">
        <f t="shared" si="35"/>
        <v>553.23</v>
      </c>
      <c r="Z630" s="9">
        <f>ROUND(T630 / 1.2, 2)</f>
        <v>3410.4</v>
      </c>
      <c r="AA630" s="9">
        <f>Y630+Z630</f>
        <v>3963.63</v>
      </c>
      <c r="AD630" s="4">
        <v>298925484</v>
      </c>
      <c r="AE630" s="4">
        <v>20003311</v>
      </c>
      <c r="AG630" s="4" t="s">
        <v>2152</v>
      </c>
      <c r="AH630" s="4" t="s">
        <v>2153</v>
      </c>
      <c r="AI630" s="4" t="s">
        <v>67</v>
      </c>
    </row>
    <row r="631" spans="1:35" ht="36" x14ac:dyDescent="0.3">
      <c r="A631" s="10" t="s">
        <v>2430</v>
      </c>
      <c r="B631" s="10"/>
      <c r="C631" s="24" t="s">
        <v>433</v>
      </c>
      <c r="D631" s="12"/>
      <c r="E631" s="12"/>
      <c r="F631" s="18" t="s">
        <v>70</v>
      </c>
      <c r="G631" s="19">
        <v>0.15</v>
      </c>
      <c r="H631" s="19"/>
      <c r="I631" s="19">
        <v>1.323</v>
      </c>
      <c r="J631" s="21">
        <v>88.8</v>
      </c>
      <c r="M631" s="22">
        <f>ROUND(ROUND(J631, 2)*I631, 2)</f>
        <v>117.48</v>
      </c>
      <c r="P631" s="21">
        <v>88.8</v>
      </c>
      <c r="S631" s="22">
        <f>ROUND(ROUND(P631, 2)*I631, 2)</f>
        <v>117.48</v>
      </c>
      <c r="V631" s="9">
        <f>ROUND(ROUND(P631, 2)/1.2, 2)</f>
        <v>74</v>
      </c>
      <c r="Y631" s="9">
        <f t="shared" si="35"/>
        <v>97.9</v>
      </c>
      <c r="AD631" s="4" t="s">
        <v>2431</v>
      </c>
      <c r="AE631" s="4" t="s">
        <v>2432</v>
      </c>
      <c r="AF631" s="4" t="s">
        <v>436</v>
      </c>
    </row>
    <row r="632" spans="1:35" ht="54" x14ac:dyDescent="0.3">
      <c r="A632" s="10" t="s">
        <v>2433</v>
      </c>
      <c r="B632" s="10"/>
      <c r="C632" s="24" t="s">
        <v>2155</v>
      </c>
      <c r="D632" s="12"/>
      <c r="E632" s="12" t="s">
        <v>2286</v>
      </c>
      <c r="F632" s="18" t="s">
        <v>70</v>
      </c>
      <c r="G632" s="19">
        <v>0.3</v>
      </c>
      <c r="H632" s="19"/>
      <c r="I632" s="19">
        <v>2.6459999999999999</v>
      </c>
      <c r="J632" s="21">
        <v>0</v>
      </c>
      <c r="M632" s="22">
        <f>ROUND(ROUND(J632, 2)*I632, 2)</f>
        <v>0</v>
      </c>
      <c r="P632" s="21">
        <v>206.5</v>
      </c>
      <c r="S632" s="22">
        <f>ROUND(ROUND(P632, 2)*I632, 2)</f>
        <v>546.4</v>
      </c>
      <c r="V632" s="9">
        <f>ROUND(ROUND(P632, 2)/1.2, 2)</f>
        <v>172.08</v>
      </c>
      <c r="Y632" s="9">
        <f t="shared" si="35"/>
        <v>455.33</v>
      </c>
      <c r="AD632" s="4" t="s">
        <v>2434</v>
      </c>
      <c r="AE632" s="4" t="s">
        <v>2435</v>
      </c>
      <c r="AF632" s="4" t="s">
        <v>2159</v>
      </c>
    </row>
    <row r="633" spans="1:35" ht="36" x14ac:dyDescent="0.3">
      <c r="A633" s="10" t="s">
        <v>2436</v>
      </c>
      <c r="B633" s="10" t="s">
        <v>2149</v>
      </c>
      <c r="C633" s="11" t="s">
        <v>2150</v>
      </c>
      <c r="D633" s="12"/>
      <c r="E633" s="12" t="s">
        <v>2437</v>
      </c>
      <c r="F633" s="12" t="s">
        <v>64</v>
      </c>
      <c r="G633" s="13">
        <v>1</v>
      </c>
      <c r="H633" s="13"/>
      <c r="I633" s="13">
        <v>24.88</v>
      </c>
      <c r="J633" s="14">
        <f>IFERROR(ROUND(SUM(M634,M635)/I633, 2),0)</f>
        <v>13.32</v>
      </c>
      <c r="K633" s="15">
        <v>464</v>
      </c>
      <c r="L633" s="14">
        <f>J633+ROUND(K633, 2)</f>
        <v>477.32</v>
      </c>
      <c r="M633" s="14">
        <f>ROUND(J633*I633, 2)</f>
        <v>331.4</v>
      </c>
      <c r="N633" s="14">
        <f>ROUND(I633*ROUND(K633, 2), 2)</f>
        <v>11544.32</v>
      </c>
      <c r="O633" s="14">
        <f>M633+N633</f>
        <v>11875.72</v>
      </c>
      <c r="P633" s="14">
        <f>IFERROR(ROUND(SUM(S634,S635)/I633, 2),0)</f>
        <v>75.27</v>
      </c>
      <c r="Q633" s="15">
        <v>464</v>
      </c>
      <c r="R633" s="14">
        <f>P633+ROUND(Q633, 2)</f>
        <v>539.27</v>
      </c>
      <c r="S633" s="14">
        <f>ROUND(P633*I633, 2)</f>
        <v>1872.72</v>
      </c>
      <c r="T633" s="14">
        <f>ROUND(I633*ROUND(Q633, 2), 2)</f>
        <v>11544.32</v>
      </c>
      <c r="U633" s="14">
        <f>S633+T633</f>
        <v>13417.039999999999</v>
      </c>
      <c r="V633" s="9">
        <f>ROUND(P633 / 1.2, 2)</f>
        <v>62.73</v>
      </c>
      <c r="W633" s="9">
        <f>ROUND(Q633 / 1.2, 2)</f>
        <v>386.67</v>
      </c>
      <c r="X633" s="9">
        <f>ROUND(R633 / 1.2, 2)</f>
        <v>449.39</v>
      </c>
      <c r="Y633" s="9">
        <f t="shared" si="35"/>
        <v>1560.6</v>
      </c>
      <c r="Z633" s="9">
        <f>ROUND(T633 / 1.2, 2)</f>
        <v>9620.27</v>
      </c>
      <c r="AA633" s="9">
        <f>Y633+Z633</f>
        <v>11180.87</v>
      </c>
      <c r="AD633" s="4">
        <v>298925485</v>
      </c>
      <c r="AE633" s="4">
        <v>20003312</v>
      </c>
      <c r="AG633" s="4" t="s">
        <v>2152</v>
      </c>
      <c r="AH633" s="4" t="s">
        <v>2153</v>
      </c>
      <c r="AI633" s="4" t="s">
        <v>67</v>
      </c>
    </row>
    <row r="634" spans="1:35" ht="72" x14ac:dyDescent="0.3">
      <c r="A634" s="10" t="s">
        <v>2438</v>
      </c>
      <c r="B634" s="10"/>
      <c r="C634" s="24" t="s">
        <v>2155</v>
      </c>
      <c r="D634" s="12"/>
      <c r="E634" s="12" t="s">
        <v>2439</v>
      </c>
      <c r="F634" s="18" t="s">
        <v>70</v>
      </c>
      <c r="G634" s="19">
        <v>0.3</v>
      </c>
      <c r="H634" s="19"/>
      <c r="I634" s="19">
        <v>7.4640000000000004</v>
      </c>
      <c r="J634" s="21">
        <v>0</v>
      </c>
      <c r="M634" s="22">
        <f>ROUND(ROUND(J634, 2)*I634, 2)</f>
        <v>0</v>
      </c>
      <c r="P634" s="21">
        <v>206.5</v>
      </c>
      <c r="S634" s="22">
        <f>ROUND(ROUND(P634, 2)*I634, 2)</f>
        <v>1541.32</v>
      </c>
      <c r="V634" s="9">
        <f>ROUND(ROUND(P634, 2)/1.2, 2)</f>
        <v>172.08</v>
      </c>
      <c r="Y634" s="9">
        <f t="shared" si="35"/>
        <v>1284.43</v>
      </c>
      <c r="AD634" s="4" t="s">
        <v>2440</v>
      </c>
      <c r="AE634" s="4" t="s">
        <v>2441</v>
      </c>
      <c r="AF634" s="4" t="s">
        <v>2159</v>
      </c>
    </row>
    <row r="635" spans="1:35" ht="36" x14ac:dyDescent="0.3">
      <c r="A635" s="10" t="s">
        <v>2442</v>
      </c>
      <c r="B635" s="10"/>
      <c r="C635" s="24" t="s">
        <v>433</v>
      </c>
      <c r="D635" s="12"/>
      <c r="E635" s="12"/>
      <c r="F635" s="18" t="s">
        <v>70</v>
      </c>
      <c r="G635" s="19">
        <v>0.15</v>
      </c>
      <c r="H635" s="19"/>
      <c r="I635" s="19">
        <v>3.7320000000000002</v>
      </c>
      <c r="J635" s="21">
        <v>88.8</v>
      </c>
      <c r="M635" s="22">
        <f>ROUND(ROUND(J635, 2)*I635, 2)</f>
        <v>331.4</v>
      </c>
      <c r="P635" s="21">
        <v>88.8</v>
      </c>
      <c r="S635" s="22">
        <f>ROUND(ROUND(P635, 2)*I635, 2)</f>
        <v>331.4</v>
      </c>
      <c r="V635" s="9">
        <f>ROUND(ROUND(P635, 2)/1.2, 2)</f>
        <v>74</v>
      </c>
      <c r="Y635" s="9">
        <f t="shared" si="35"/>
        <v>276.17</v>
      </c>
      <c r="AD635" s="4" t="s">
        <v>2443</v>
      </c>
      <c r="AE635" s="4" t="s">
        <v>2444</v>
      </c>
      <c r="AF635" s="4" t="s">
        <v>436</v>
      </c>
    </row>
    <row r="636" spans="1:35" ht="36" x14ac:dyDescent="0.3">
      <c r="A636" s="10" t="s">
        <v>2445</v>
      </c>
      <c r="B636" s="10" t="s">
        <v>2149</v>
      </c>
      <c r="C636" s="11" t="s">
        <v>2150</v>
      </c>
      <c r="D636" s="12"/>
      <c r="E636" s="12" t="s">
        <v>2446</v>
      </c>
      <c r="F636" s="12" t="s">
        <v>64</v>
      </c>
      <c r="G636" s="13">
        <v>1</v>
      </c>
      <c r="H636" s="13"/>
      <c r="I636" s="13">
        <v>28.85</v>
      </c>
      <c r="J636" s="14">
        <f>IFERROR(ROUND(SUM(M637,M638)/I636, 2),0)</f>
        <v>13.32</v>
      </c>
      <c r="K636" s="15">
        <v>464</v>
      </c>
      <c r="L636" s="14">
        <f>J636+ROUND(K636, 2)</f>
        <v>477.32</v>
      </c>
      <c r="M636" s="14">
        <f>ROUND(J636*I636, 2)</f>
        <v>384.28</v>
      </c>
      <c r="N636" s="14">
        <f>ROUND(I636*ROUND(K636, 2), 2)</f>
        <v>13386.4</v>
      </c>
      <c r="O636" s="14">
        <f>M636+N636</f>
        <v>13770.68</v>
      </c>
      <c r="P636" s="14">
        <f>IFERROR(ROUND(SUM(S637,S638)/I636, 2),0)</f>
        <v>68.28</v>
      </c>
      <c r="Q636" s="15">
        <v>464</v>
      </c>
      <c r="R636" s="14">
        <f>P636+ROUND(Q636, 2)</f>
        <v>532.28</v>
      </c>
      <c r="S636" s="14">
        <f>ROUND(P636*I636, 2)</f>
        <v>1969.88</v>
      </c>
      <c r="T636" s="14">
        <f>ROUND(I636*ROUND(Q636, 2), 2)</f>
        <v>13386.4</v>
      </c>
      <c r="U636" s="14">
        <f>S636+T636</f>
        <v>15356.279999999999</v>
      </c>
      <c r="V636" s="9">
        <f>ROUND(P636 / 1.2, 2)</f>
        <v>56.9</v>
      </c>
      <c r="W636" s="9">
        <f>ROUND(Q636 / 1.2, 2)</f>
        <v>386.67</v>
      </c>
      <c r="X636" s="9">
        <f>ROUND(R636 / 1.2, 2)</f>
        <v>443.57</v>
      </c>
      <c r="Y636" s="9">
        <f t="shared" si="35"/>
        <v>1641.57</v>
      </c>
      <c r="Z636" s="9">
        <f>ROUND(T636 / 1.2, 2)</f>
        <v>11155.33</v>
      </c>
      <c r="AA636" s="9">
        <f>Y636+Z636</f>
        <v>12796.9</v>
      </c>
      <c r="AD636" s="4">
        <v>298925486</v>
      </c>
      <c r="AE636" s="4">
        <v>20003317</v>
      </c>
      <c r="AG636" s="4" t="s">
        <v>2152</v>
      </c>
      <c r="AH636" s="4" t="s">
        <v>2153</v>
      </c>
      <c r="AI636" s="4" t="s">
        <v>67</v>
      </c>
    </row>
    <row r="637" spans="1:35" ht="36" x14ac:dyDescent="0.3">
      <c r="A637" s="10" t="s">
        <v>2447</v>
      </c>
      <c r="B637" s="10"/>
      <c r="C637" s="24" t="s">
        <v>433</v>
      </c>
      <c r="D637" s="12"/>
      <c r="E637" s="12"/>
      <c r="F637" s="18" t="s">
        <v>70</v>
      </c>
      <c r="G637" s="19">
        <v>0.15</v>
      </c>
      <c r="H637" s="19"/>
      <c r="I637" s="19">
        <v>4.3280000000000003</v>
      </c>
      <c r="J637" s="21">
        <v>88.8</v>
      </c>
      <c r="M637" s="22">
        <f>ROUND(ROUND(J637, 2)*I637, 2)</f>
        <v>384.33</v>
      </c>
      <c r="P637" s="21">
        <v>88.8</v>
      </c>
      <c r="S637" s="22">
        <f>ROUND(ROUND(P637, 2)*I637, 2)</f>
        <v>384.33</v>
      </c>
      <c r="V637" s="9">
        <f>ROUND(ROUND(P637, 2)/1.2, 2)</f>
        <v>74</v>
      </c>
      <c r="Y637" s="9">
        <f t="shared" si="35"/>
        <v>320.27999999999997</v>
      </c>
      <c r="AD637" s="4" t="s">
        <v>2448</v>
      </c>
      <c r="AE637" s="4" t="s">
        <v>2449</v>
      </c>
      <c r="AF637" s="4" t="s">
        <v>436</v>
      </c>
    </row>
    <row r="638" spans="1:35" ht="54" x14ac:dyDescent="0.3">
      <c r="A638" s="10" t="s">
        <v>2450</v>
      </c>
      <c r="B638" s="10"/>
      <c r="C638" s="24" t="s">
        <v>2187</v>
      </c>
      <c r="D638" s="12"/>
      <c r="E638" s="12" t="s">
        <v>2451</v>
      </c>
      <c r="F638" s="18" t="s">
        <v>70</v>
      </c>
      <c r="G638" s="19">
        <v>0.3</v>
      </c>
      <c r="H638" s="19"/>
      <c r="I638" s="19">
        <v>8.6549999999999994</v>
      </c>
      <c r="J638" s="21">
        <v>0</v>
      </c>
      <c r="M638" s="22">
        <f>ROUND(ROUND(J638, 2)*I638, 2)</f>
        <v>0</v>
      </c>
      <c r="P638" s="21">
        <v>183.2</v>
      </c>
      <c r="S638" s="22">
        <f>ROUND(ROUND(P638, 2)*I638, 2)</f>
        <v>1585.6</v>
      </c>
      <c r="V638" s="9">
        <f>ROUND(ROUND(P638, 2)/1.2, 2)</f>
        <v>152.66999999999999</v>
      </c>
      <c r="Y638" s="9">
        <f t="shared" si="35"/>
        <v>1321.33</v>
      </c>
      <c r="AD638" s="4" t="s">
        <v>2452</v>
      </c>
      <c r="AE638" s="4" t="s">
        <v>2453</v>
      </c>
      <c r="AF638" s="4" t="s">
        <v>2191</v>
      </c>
    </row>
    <row r="639" spans="1:35" ht="36" x14ac:dyDescent="0.3">
      <c r="A639" s="10" t="s">
        <v>2454</v>
      </c>
      <c r="B639" s="10" t="s">
        <v>2149</v>
      </c>
      <c r="C639" s="11" t="s">
        <v>2150</v>
      </c>
      <c r="D639" s="12"/>
      <c r="E639" s="12" t="s">
        <v>2455</v>
      </c>
      <c r="F639" s="12" t="s">
        <v>64</v>
      </c>
      <c r="G639" s="13">
        <v>1</v>
      </c>
      <c r="H639" s="13"/>
      <c r="I639" s="13">
        <v>3.12</v>
      </c>
      <c r="J639" s="14">
        <f>IFERROR(ROUND(SUM(M640,M641)/I639, 2),0)</f>
        <v>13.32</v>
      </c>
      <c r="K639" s="15">
        <v>464</v>
      </c>
      <c r="L639" s="14">
        <f>J639+ROUND(K639, 2)</f>
        <v>477.32</v>
      </c>
      <c r="M639" s="14">
        <f>ROUND(J639*I639, 2)</f>
        <v>41.56</v>
      </c>
      <c r="N639" s="14">
        <f>ROUND(I639*ROUND(K639, 2), 2)</f>
        <v>1447.68</v>
      </c>
      <c r="O639" s="14">
        <f>M639+N639</f>
        <v>1489.24</v>
      </c>
      <c r="P639" s="14">
        <f>IFERROR(ROUND(SUM(S640,S641)/I639, 2),0)</f>
        <v>75.27</v>
      </c>
      <c r="Q639" s="15">
        <v>464</v>
      </c>
      <c r="R639" s="14">
        <f>P639+ROUND(Q639, 2)</f>
        <v>539.27</v>
      </c>
      <c r="S639" s="14">
        <f>ROUND(P639*I639, 2)</f>
        <v>234.84</v>
      </c>
      <c r="T639" s="14">
        <f>ROUND(I639*ROUND(Q639, 2), 2)</f>
        <v>1447.68</v>
      </c>
      <c r="U639" s="14">
        <f>S639+T639</f>
        <v>1682.52</v>
      </c>
      <c r="V639" s="9">
        <f>ROUND(P639 / 1.2, 2)</f>
        <v>62.73</v>
      </c>
      <c r="W639" s="9">
        <f>ROUND(Q639 / 1.2, 2)</f>
        <v>386.67</v>
      </c>
      <c r="X639" s="9">
        <f>ROUND(R639 / 1.2, 2)</f>
        <v>449.39</v>
      </c>
      <c r="Y639" s="9">
        <f t="shared" si="35"/>
        <v>195.7</v>
      </c>
      <c r="Z639" s="9">
        <f>ROUND(T639 / 1.2, 2)</f>
        <v>1206.4000000000001</v>
      </c>
      <c r="AA639" s="9">
        <f>Y639+Z639</f>
        <v>1402.1000000000001</v>
      </c>
      <c r="AD639" s="4">
        <v>298925487</v>
      </c>
      <c r="AE639" s="4">
        <v>20003318</v>
      </c>
      <c r="AG639" s="4" t="s">
        <v>2152</v>
      </c>
      <c r="AH639" s="4" t="s">
        <v>2153</v>
      </c>
      <c r="AI639" s="4" t="s">
        <v>67</v>
      </c>
    </row>
    <row r="640" spans="1:35" ht="54" x14ac:dyDescent="0.3">
      <c r="A640" s="10" t="s">
        <v>2456</v>
      </c>
      <c r="B640" s="10"/>
      <c r="C640" s="24" t="s">
        <v>2187</v>
      </c>
      <c r="D640" s="12"/>
      <c r="E640" s="12" t="s">
        <v>2316</v>
      </c>
      <c r="F640" s="18" t="s">
        <v>70</v>
      </c>
      <c r="G640" s="19">
        <v>0.3</v>
      </c>
      <c r="H640" s="19"/>
      <c r="I640" s="19">
        <v>0.93600000000000005</v>
      </c>
      <c r="J640" s="21">
        <v>0</v>
      </c>
      <c r="M640" s="22">
        <f>ROUND(ROUND(J640, 2)*I640, 2)</f>
        <v>0</v>
      </c>
      <c r="P640" s="21">
        <v>206.5</v>
      </c>
      <c r="S640" s="22">
        <f>ROUND(ROUND(P640, 2)*I640, 2)</f>
        <v>193.28</v>
      </c>
      <c r="V640" s="9">
        <f>ROUND(ROUND(P640, 2)/1.2, 2)</f>
        <v>172.08</v>
      </c>
      <c r="Y640" s="9">
        <f t="shared" si="35"/>
        <v>161.07</v>
      </c>
      <c r="AD640" s="4" t="s">
        <v>2457</v>
      </c>
      <c r="AE640" s="4" t="s">
        <v>2458</v>
      </c>
      <c r="AF640" s="4" t="s">
        <v>2191</v>
      </c>
    </row>
    <row r="641" spans="1:35" ht="36" x14ac:dyDescent="0.3">
      <c r="A641" s="10" t="s">
        <v>2459</v>
      </c>
      <c r="B641" s="10"/>
      <c r="C641" s="24" t="s">
        <v>433</v>
      </c>
      <c r="D641" s="12"/>
      <c r="E641" s="12"/>
      <c r="F641" s="18" t="s">
        <v>70</v>
      </c>
      <c r="G641" s="19">
        <v>0.15</v>
      </c>
      <c r="H641" s="19"/>
      <c r="I641" s="19">
        <v>0.46800000000000003</v>
      </c>
      <c r="J641" s="21">
        <v>88.8</v>
      </c>
      <c r="M641" s="22">
        <f>ROUND(ROUND(J641, 2)*I641, 2)</f>
        <v>41.56</v>
      </c>
      <c r="P641" s="21">
        <v>88.8</v>
      </c>
      <c r="S641" s="22">
        <f>ROUND(ROUND(P641, 2)*I641, 2)</f>
        <v>41.56</v>
      </c>
      <c r="V641" s="9">
        <f>ROUND(ROUND(P641, 2)/1.2, 2)</f>
        <v>74</v>
      </c>
      <c r="Y641" s="9">
        <f t="shared" si="35"/>
        <v>34.630000000000003</v>
      </c>
      <c r="AD641" s="4" t="s">
        <v>2460</v>
      </c>
      <c r="AE641" s="4" t="s">
        <v>2461</v>
      </c>
      <c r="AF641" s="4" t="s">
        <v>436</v>
      </c>
    </row>
    <row r="642" spans="1:35" ht="16.95" customHeight="1" x14ac:dyDescent="0.3">
      <c r="A642" s="10" t="s">
        <v>2462</v>
      </c>
      <c r="B642" s="10" t="s">
        <v>2463</v>
      </c>
      <c r="C642" s="352" t="s">
        <v>2464</v>
      </c>
      <c r="D642" s="353"/>
      <c r="E642" s="353"/>
      <c r="F642" s="353"/>
      <c r="G642" s="353"/>
      <c r="H642" s="353"/>
      <c r="I642" s="354"/>
      <c r="M642" s="6">
        <f>SUM(M643,M645,M647,M649,M651,M653,M655,M657,M659,M661,M663,M677,M690,M702,M714)</f>
        <v>19358677.419999998</v>
      </c>
      <c r="N642" s="6">
        <f>SUM(N643,N645,N647,N649,N651,N653,N655,N657,N659,N661,N663,N677,N690,N702,N714)</f>
        <v>4064165.0399999991</v>
      </c>
      <c r="O642" s="6">
        <f>SUM(O643,O645,O647,O649,O651,O653,O655,O657,O659,O661,O663,O677,O690,O702,O714)</f>
        <v>23422842.460000001</v>
      </c>
      <c r="S642" s="6">
        <f>SUM(S643,S645,S647,S649,S651,S653,S655,S657,S659,S661,S663,S677,S690,S702,S714)</f>
        <v>9422514.9199999999</v>
      </c>
      <c r="T642" s="6">
        <f>SUM(T643,T645,T647,T649,T651,T653,T655,T657,T659,T661,T663,T677,T690,T702,T714)</f>
        <v>4064165.0399999991</v>
      </c>
      <c r="U642" s="6">
        <f>SUM(U643,U645,U647,U649,U651,U653,U655,U657,U659,U661,U663,U677,U690,U702,U714)</f>
        <v>13486679.960000001</v>
      </c>
      <c r="Y642" s="9">
        <f>SUM(Y643,Y645,Y647,Y649,Y651,Y653,Y655,Y657,Y659,Y661,Y663,Y677,Y690,Y702,Y714)</f>
        <v>7852095.7699999996</v>
      </c>
      <c r="Z642" s="9">
        <f>SUM(Z643,Z645,Z647,Z649,Z651,Z653,Z655,Z657,Z659,Z661,Z663,Z677,Z690,Z702,Z714)</f>
        <v>3386804.23</v>
      </c>
      <c r="AA642" s="9">
        <f>SUM(AA643,AA645,AA647,AA649,AA651,AA653,AA655,AA657,AA659,AA661,AA663,AA677,AA690,AA702,AA714)</f>
        <v>11238900.000000002</v>
      </c>
      <c r="AD642" s="4">
        <v>298925352</v>
      </c>
      <c r="AE642" s="4">
        <v>16233244</v>
      </c>
    </row>
    <row r="643" spans="1:35" ht="36" x14ac:dyDescent="0.3">
      <c r="A643" s="10" t="s">
        <v>2465</v>
      </c>
      <c r="B643" s="10" t="s">
        <v>2466</v>
      </c>
      <c r="C643" s="11" t="s">
        <v>2467</v>
      </c>
      <c r="D643" s="12"/>
      <c r="E643" s="12" t="s">
        <v>2468</v>
      </c>
      <c r="F643" s="12" t="s">
        <v>64</v>
      </c>
      <c r="G643" s="13">
        <v>1</v>
      </c>
      <c r="H643" s="13"/>
      <c r="I643" s="13">
        <v>433.87</v>
      </c>
      <c r="J643" s="14">
        <f>IFERROR(ROUND(SUM(M644)/I643, 2),0)</f>
        <v>0</v>
      </c>
      <c r="K643" s="15">
        <v>837</v>
      </c>
      <c r="L643" s="14">
        <f>J643+ROUND(K643, 2)</f>
        <v>837</v>
      </c>
      <c r="M643" s="14">
        <f>ROUND(J643*I643, 2)</f>
        <v>0</v>
      </c>
      <c r="N643" s="14">
        <f>ROUND(I643*ROUND(K643, 2), 2)</f>
        <v>363149.19</v>
      </c>
      <c r="O643" s="14">
        <f>M643+N643</f>
        <v>363149.19</v>
      </c>
      <c r="P643" s="14">
        <f>IFERROR(ROUND(SUM(S644)/I643, 2),0)</f>
        <v>2300</v>
      </c>
      <c r="Q643" s="15">
        <v>837</v>
      </c>
      <c r="R643" s="14">
        <f>P643+ROUND(Q643, 2)</f>
        <v>3137</v>
      </c>
      <c r="S643" s="14">
        <f>ROUND(P643*I643, 2)</f>
        <v>997901</v>
      </c>
      <c r="T643" s="14">
        <f>ROUND(I643*ROUND(Q643, 2), 2)</f>
        <v>363149.19</v>
      </c>
      <c r="U643" s="14">
        <f>S643+T643</f>
        <v>1361050.19</v>
      </c>
      <c r="V643" s="9">
        <f>ROUND(P643 / 1.2, 2)</f>
        <v>1916.67</v>
      </c>
      <c r="W643" s="9">
        <f>ROUND(Q643 / 1.2, 2)</f>
        <v>697.5</v>
      </c>
      <c r="X643" s="9">
        <f>ROUND(R643 / 1.2, 2)</f>
        <v>2614.17</v>
      </c>
      <c r="Y643" s="9">
        <f>ROUND(S643 / 1.2, 2)</f>
        <v>831584.17</v>
      </c>
      <c r="Z643" s="9">
        <f>ROUND(T643 / 1.2, 2)</f>
        <v>302624.33</v>
      </c>
      <c r="AA643" s="9">
        <f>Y643+Z643</f>
        <v>1134208.5</v>
      </c>
      <c r="AD643" s="4">
        <v>298925354</v>
      </c>
      <c r="AE643" s="4">
        <v>16233248</v>
      </c>
      <c r="AG643" s="4" t="s">
        <v>2469</v>
      </c>
      <c r="AH643" s="4" t="s">
        <v>2470</v>
      </c>
      <c r="AI643" s="4" t="s">
        <v>67</v>
      </c>
    </row>
    <row r="644" spans="1:35" ht="108" x14ac:dyDescent="0.3">
      <c r="A644" s="10" t="s">
        <v>2471</v>
      </c>
      <c r="B644" s="10"/>
      <c r="C644" s="24" t="s">
        <v>2472</v>
      </c>
      <c r="D644" s="12"/>
      <c r="E644" s="12" t="s">
        <v>2473</v>
      </c>
      <c r="F644" s="18" t="s">
        <v>64</v>
      </c>
      <c r="G644" s="19">
        <v>1</v>
      </c>
      <c r="H644" s="20"/>
      <c r="I644" s="20">
        <v>433.87</v>
      </c>
      <c r="J644" s="21">
        <v>0</v>
      </c>
      <c r="M644" s="22">
        <f>ROUND(ROUND(J644, 2)*I644, 2)</f>
        <v>0</v>
      </c>
      <c r="P644" s="21">
        <v>2300</v>
      </c>
      <c r="S644" s="22">
        <f>ROUND(ROUND(P644, 2)*I644, 2)</f>
        <v>997901</v>
      </c>
      <c r="V644" s="9">
        <f>ROUND(ROUND(P644, 2)/1.2, 2)</f>
        <v>1916.67</v>
      </c>
      <c r="Y644" s="9">
        <f t="shared" ref="Y644:Y675" si="36">ROUND(S644 / 1.2, 2)</f>
        <v>831584.17</v>
      </c>
      <c r="AD644" s="4" t="s">
        <v>2474</v>
      </c>
      <c r="AE644" s="4" t="s">
        <v>2475</v>
      </c>
      <c r="AF644" s="4" t="s">
        <v>2476</v>
      </c>
    </row>
    <row r="645" spans="1:35" ht="36" x14ac:dyDescent="0.3">
      <c r="A645" s="10" t="s">
        <v>2477</v>
      </c>
      <c r="B645" s="10" t="s">
        <v>2466</v>
      </c>
      <c r="C645" s="11" t="s">
        <v>2467</v>
      </c>
      <c r="D645" s="12"/>
      <c r="E645" s="12" t="s">
        <v>2478</v>
      </c>
      <c r="F645" s="12" t="s">
        <v>64</v>
      </c>
      <c r="G645" s="13">
        <v>1</v>
      </c>
      <c r="H645" s="13"/>
      <c r="I645" s="13">
        <v>1422.4</v>
      </c>
      <c r="J645" s="14">
        <f>IFERROR(ROUND(SUM(M646)/I645, 2),0)</f>
        <v>7126.9</v>
      </c>
      <c r="K645" s="15">
        <v>837</v>
      </c>
      <c r="L645" s="14">
        <f>J645+ROUND(K645, 2)</f>
        <v>7963.9</v>
      </c>
      <c r="M645" s="14">
        <f>ROUND(J645*I645, 2)</f>
        <v>10137302.560000001</v>
      </c>
      <c r="N645" s="14">
        <f>ROUND(I645*ROUND(K645, 2), 2)</f>
        <v>1190548.8</v>
      </c>
      <c r="O645" s="14">
        <f>M645+N645</f>
        <v>11327851.360000001</v>
      </c>
      <c r="P645" s="14">
        <f>IFERROR(ROUND(SUM(S646)/I645, 2),0)</f>
        <v>2530</v>
      </c>
      <c r="Q645" s="15">
        <v>837</v>
      </c>
      <c r="R645" s="14">
        <f>P645+ROUND(Q645, 2)</f>
        <v>3367</v>
      </c>
      <c r="S645" s="14">
        <f>ROUND(P645*I645, 2)</f>
        <v>3598672</v>
      </c>
      <c r="T645" s="14">
        <f>ROUND(I645*ROUND(Q645, 2), 2)</f>
        <v>1190548.8</v>
      </c>
      <c r="U645" s="14">
        <f>S645+T645</f>
        <v>4789220.8</v>
      </c>
      <c r="V645" s="9">
        <f>ROUND(P645 / 1.2, 2)</f>
        <v>2108.33</v>
      </c>
      <c r="W645" s="9">
        <f>ROUND(Q645 / 1.2, 2)</f>
        <v>697.5</v>
      </c>
      <c r="X645" s="9">
        <f>ROUND(R645 / 1.2, 2)</f>
        <v>2805.83</v>
      </c>
      <c r="Y645" s="9">
        <f t="shared" si="36"/>
        <v>2998893.33</v>
      </c>
      <c r="Z645" s="9">
        <f>ROUND(T645 / 1.2, 2)</f>
        <v>992124</v>
      </c>
      <c r="AA645" s="9">
        <f>Y645+Z645</f>
        <v>3991017.33</v>
      </c>
      <c r="AD645" s="4">
        <v>298925488</v>
      </c>
      <c r="AE645" s="4">
        <v>16236255</v>
      </c>
      <c r="AG645" s="4" t="s">
        <v>2469</v>
      </c>
      <c r="AH645" s="4" t="s">
        <v>2470</v>
      </c>
      <c r="AI645" s="4" t="s">
        <v>67</v>
      </c>
    </row>
    <row r="646" spans="1:35" ht="72" x14ac:dyDescent="0.3">
      <c r="A646" s="10" t="s">
        <v>2479</v>
      </c>
      <c r="B646" s="10"/>
      <c r="C646" s="24" t="s">
        <v>2480</v>
      </c>
      <c r="D646" s="12"/>
      <c r="E646" s="12" t="s">
        <v>2481</v>
      </c>
      <c r="F646" s="18" t="s">
        <v>64</v>
      </c>
      <c r="G646" s="19">
        <v>1.1000000000000001</v>
      </c>
      <c r="H646" s="20"/>
      <c r="I646" s="20">
        <v>1564.64</v>
      </c>
      <c r="J646" s="21">
        <v>6479</v>
      </c>
      <c r="M646" s="22">
        <f>ROUND(ROUND(J646, 2)*I646, 2)</f>
        <v>10137302.560000001</v>
      </c>
      <c r="P646" s="21">
        <v>2300</v>
      </c>
      <c r="S646" s="22">
        <f>ROUND(ROUND(P646, 2)*I646, 2)</f>
        <v>3598672</v>
      </c>
      <c r="V646" s="9">
        <f>ROUND(ROUND(P646, 2)/1.2, 2)</f>
        <v>1916.67</v>
      </c>
      <c r="Y646" s="9">
        <f t="shared" si="36"/>
        <v>2998893.33</v>
      </c>
      <c r="AD646" s="4" t="s">
        <v>2482</v>
      </c>
      <c r="AE646" s="4" t="s">
        <v>2483</v>
      </c>
      <c r="AF646" s="4" t="s">
        <v>2484</v>
      </c>
    </row>
    <row r="647" spans="1:35" ht="36" x14ac:dyDescent="0.3">
      <c r="A647" s="10" t="s">
        <v>2485</v>
      </c>
      <c r="B647" s="10" t="s">
        <v>2466</v>
      </c>
      <c r="C647" s="11" t="s">
        <v>2467</v>
      </c>
      <c r="D647" s="12"/>
      <c r="E647" s="12" t="s">
        <v>2486</v>
      </c>
      <c r="F647" s="12" t="s">
        <v>64</v>
      </c>
      <c r="G647" s="13">
        <v>1</v>
      </c>
      <c r="H647" s="13"/>
      <c r="I647" s="13">
        <v>34.450000000000003</v>
      </c>
      <c r="J647" s="14">
        <f>IFERROR(ROUND(SUM(M648)/I647, 2),0)</f>
        <v>855.89</v>
      </c>
      <c r="K647" s="15">
        <v>837</v>
      </c>
      <c r="L647" s="14">
        <f>J647+ROUND(K647, 2)</f>
        <v>1692.8899999999999</v>
      </c>
      <c r="M647" s="14">
        <f>ROUND(J647*I647, 2)</f>
        <v>29485.41</v>
      </c>
      <c r="N647" s="14">
        <f>ROUND(I647*ROUND(K647, 2), 2)</f>
        <v>28834.65</v>
      </c>
      <c r="O647" s="14">
        <f>M647+N647</f>
        <v>58320.06</v>
      </c>
      <c r="P647" s="14">
        <f>IFERROR(ROUND(SUM(S648)/I647, 2),0)</f>
        <v>855.89</v>
      </c>
      <c r="Q647" s="15">
        <v>837</v>
      </c>
      <c r="R647" s="14">
        <f>P647+ROUND(Q647, 2)</f>
        <v>1692.8899999999999</v>
      </c>
      <c r="S647" s="14">
        <f>ROUND(P647*I647, 2)</f>
        <v>29485.41</v>
      </c>
      <c r="T647" s="14">
        <f>ROUND(I647*ROUND(Q647, 2), 2)</f>
        <v>28834.65</v>
      </c>
      <c r="U647" s="14">
        <f>S647+T647</f>
        <v>58320.06</v>
      </c>
      <c r="V647" s="9">
        <f>ROUND(P647 / 1.2, 2)</f>
        <v>713.24</v>
      </c>
      <c r="W647" s="9">
        <f>ROUND(Q647 / 1.2, 2)</f>
        <v>697.5</v>
      </c>
      <c r="X647" s="9">
        <f>ROUND(R647 / 1.2, 2)</f>
        <v>1410.74</v>
      </c>
      <c r="Y647" s="9">
        <f t="shared" si="36"/>
        <v>24571.18</v>
      </c>
      <c r="Z647" s="9">
        <f>ROUND(T647 / 1.2, 2)</f>
        <v>24028.880000000001</v>
      </c>
      <c r="AA647" s="9">
        <f>Y647+Z647</f>
        <v>48600.06</v>
      </c>
      <c r="AD647" s="4">
        <v>298925489</v>
      </c>
      <c r="AE647" s="4">
        <v>16236256</v>
      </c>
      <c r="AG647" s="4" t="s">
        <v>2469</v>
      </c>
      <c r="AH647" s="4" t="s">
        <v>2470</v>
      </c>
      <c r="AI647" s="4" t="s">
        <v>67</v>
      </c>
    </row>
    <row r="648" spans="1:35" ht="90" x14ac:dyDescent="0.3">
      <c r="A648" s="10" t="s">
        <v>2487</v>
      </c>
      <c r="B648" s="10"/>
      <c r="C648" s="17" t="s">
        <v>2488</v>
      </c>
      <c r="D648" s="12"/>
      <c r="E648" s="12" t="s">
        <v>2489</v>
      </c>
      <c r="F648" s="18" t="s">
        <v>64</v>
      </c>
      <c r="G648" s="19">
        <v>1.1000000000000001</v>
      </c>
      <c r="H648" s="20"/>
      <c r="I648" s="20">
        <v>37.895000000000003</v>
      </c>
      <c r="J648" s="21">
        <v>778.08</v>
      </c>
      <c r="M648" s="22">
        <f>ROUND(ROUND(J648, 2)*I648, 2)</f>
        <v>29485.34</v>
      </c>
      <c r="P648" s="21">
        <v>778.08</v>
      </c>
      <c r="S648" s="22">
        <f>ROUND(ROUND(P648, 2)*I648, 2)</f>
        <v>29485.34</v>
      </c>
      <c r="V648" s="9">
        <f>ROUND(ROUND(P648, 2)/1.2, 2)</f>
        <v>648.4</v>
      </c>
      <c r="Y648" s="9">
        <f t="shared" si="36"/>
        <v>24571.119999999999</v>
      </c>
      <c r="AD648" s="4" t="s">
        <v>2490</v>
      </c>
      <c r="AE648" s="4" t="s">
        <v>2491</v>
      </c>
      <c r="AF648" s="4" t="s">
        <v>2492</v>
      </c>
    </row>
    <row r="649" spans="1:35" ht="36" x14ac:dyDescent="0.3">
      <c r="A649" s="10" t="s">
        <v>2493</v>
      </c>
      <c r="B649" s="10" t="s">
        <v>2466</v>
      </c>
      <c r="C649" s="11" t="s">
        <v>2467</v>
      </c>
      <c r="D649" s="12"/>
      <c r="E649" s="12" t="s">
        <v>2494</v>
      </c>
      <c r="F649" s="12" t="s">
        <v>64</v>
      </c>
      <c r="G649" s="13">
        <v>1</v>
      </c>
      <c r="H649" s="13"/>
      <c r="I649" s="13">
        <v>83.7</v>
      </c>
      <c r="J649" s="14">
        <f>IFERROR(ROUND(SUM(M650)/I649, 2),0)</f>
        <v>902.98</v>
      </c>
      <c r="K649" s="15">
        <v>837</v>
      </c>
      <c r="L649" s="14">
        <f>J649+ROUND(K649, 2)</f>
        <v>1739.98</v>
      </c>
      <c r="M649" s="14">
        <f>ROUND(J649*I649, 2)</f>
        <v>75579.429999999993</v>
      </c>
      <c r="N649" s="14">
        <f>ROUND(I649*ROUND(K649, 2), 2)</f>
        <v>70056.899999999994</v>
      </c>
      <c r="O649" s="14">
        <f>M649+N649</f>
        <v>145636.32999999999</v>
      </c>
      <c r="P649" s="14">
        <f>IFERROR(ROUND(SUM(S650)/I649, 2),0)</f>
        <v>902.98</v>
      </c>
      <c r="Q649" s="15">
        <v>837</v>
      </c>
      <c r="R649" s="14">
        <f>P649+ROUND(Q649, 2)</f>
        <v>1739.98</v>
      </c>
      <c r="S649" s="14">
        <f>ROUND(P649*I649, 2)</f>
        <v>75579.429999999993</v>
      </c>
      <c r="T649" s="14">
        <f>ROUND(I649*ROUND(Q649, 2), 2)</f>
        <v>70056.899999999994</v>
      </c>
      <c r="U649" s="14">
        <f>S649+T649</f>
        <v>145636.32999999999</v>
      </c>
      <c r="V649" s="9">
        <f>ROUND(P649 / 1.2, 2)</f>
        <v>752.48</v>
      </c>
      <c r="W649" s="9">
        <f>ROUND(Q649 / 1.2, 2)</f>
        <v>697.5</v>
      </c>
      <c r="X649" s="9">
        <f>ROUND(R649 / 1.2, 2)</f>
        <v>1449.98</v>
      </c>
      <c r="Y649" s="9">
        <f t="shared" si="36"/>
        <v>62982.86</v>
      </c>
      <c r="Z649" s="9">
        <f>ROUND(T649 / 1.2, 2)</f>
        <v>58380.75</v>
      </c>
      <c r="AA649" s="9">
        <f>Y649+Z649</f>
        <v>121363.61</v>
      </c>
      <c r="AD649" s="4">
        <v>298925490</v>
      </c>
      <c r="AE649" s="4">
        <v>16238731</v>
      </c>
      <c r="AG649" s="4" t="s">
        <v>2469</v>
      </c>
      <c r="AH649" s="4" t="s">
        <v>2470</v>
      </c>
      <c r="AI649" s="4" t="s">
        <v>67</v>
      </c>
    </row>
    <row r="650" spans="1:35" ht="36" x14ac:dyDescent="0.3">
      <c r="A650" s="10" t="s">
        <v>2495</v>
      </c>
      <c r="B650" s="10"/>
      <c r="C650" s="17" t="s">
        <v>2496</v>
      </c>
      <c r="D650" s="12"/>
      <c r="E650" s="12"/>
      <c r="F650" s="18" t="s">
        <v>64</v>
      </c>
      <c r="G650" s="19">
        <v>1.1000000000000001</v>
      </c>
      <c r="H650" s="20"/>
      <c r="I650" s="20">
        <v>92.07</v>
      </c>
      <c r="J650" s="21">
        <v>820.89</v>
      </c>
      <c r="M650" s="22">
        <f>ROUND(ROUND(J650, 2)*I650, 2)</f>
        <v>75579.34</v>
      </c>
      <c r="P650" s="21">
        <v>820.89</v>
      </c>
      <c r="S650" s="22">
        <f>ROUND(ROUND(P650, 2)*I650, 2)</f>
        <v>75579.34</v>
      </c>
      <c r="V650" s="9">
        <f>ROUND(ROUND(P650, 2)/1.2, 2)</f>
        <v>684.08</v>
      </c>
      <c r="Y650" s="9">
        <f t="shared" si="36"/>
        <v>62982.78</v>
      </c>
      <c r="AD650" s="4" t="s">
        <v>2497</v>
      </c>
      <c r="AE650" s="4" t="s">
        <v>2498</v>
      </c>
      <c r="AF650" s="4" t="s">
        <v>2499</v>
      </c>
    </row>
    <row r="651" spans="1:35" ht="36" x14ac:dyDescent="0.3">
      <c r="A651" s="10" t="s">
        <v>2500</v>
      </c>
      <c r="B651" s="10" t="s">
        <v>2466</v>
      </c>
      <c r="C651" s="11" t="s">
        <v>2467</v>
      </c>
      <c r="D651" s="12"/>
      <c r="E651" s="12" t="s">
        <v>2501</v>
      </c>
      <c r="F651" s="12" t="s">
        <v>64</v>
      </c>
      <c r="G651" s="13">
        <v>1</v>
      </c>
      <c r="H651" s="13"/>
      <c r="I651" s="13">
        <v>54.99</v>
      </c>
      <c r="J651" s="14">
        <f>IFERROR(ROUND(SUM(M652)/I651, 2),0)</f>
        <v>901.26</v>
      </c>
      <c r="K651" s="15">
        <v>837</v>
      </c>
      <c r="L651" s="14">
        <f>J651+ROUND(K651, 2)</f>
        <v>1738.26</v>
      </c>
      <c r="M651" s="14">
        <f>ROUND(J651*I651, 2)</f>
        <v>49560.29</v>
      </c>
      <c r="N651" s="14">
        <f>ROUND(I651*ROUND(K651, 2), 2)</f>
        <v>46026.63</v>
      </c>
      <c r="O651" s="14">
        <f>M651+N651</f>
        <v>95586.92</v>
      </c>
      <c r="P651" s="14">
        <f>IFERROR(ROUND(SUM(S652)/I651, 2),0)</f>
        <v>901.26</v>
      </c>
      <c r="Q651" s="15">
        <v>837</v>
      </c>
      <c r="R651" s="14">
        <f>P651+ROUND(Q651, 2)</f>
        <v>1738.26</v>
      </c>
      <c r="S651" s="14">
        <f>ROUND(P651*I651, 2)</f>
        <v>49560.29</v>
      </c>
      <c r="T651" s="14">
        <f>ROUND(I651*ROUND(Q651, 2), 2)</f>
        <v>46026.63</v>
      </c>
      <c r="U651" s="14">
        <f>S651+T651</f>
        <v>95586.92</v>
      </c>
      <c r="V651" s="9">
        <f>ROUND(P651 / 1.2, 2)</f>
        <v>751.05</v>
      </c>
      <c r="W651" s="9">
        <f>ROUND(Q651 / 1.2, 2)</f>
        <v>697.5</v>
      </c>
      <c r="X651" s="9">
        <f>ROUND(R651 / 1.2, 2)</f>
        <v>1448.55</v>
      </c>
      <c r="Y651" s="9">
        <f t="shared" si="36"/>
        <v>41300.239999999998</v>
      </c>
      <c r="Z651" s="9">
        <f>ROUND(T651 / 1.2, 2)</f>
        <v>38355.53</v>
      </c>
      <c r="AA651" s="9">
        <f>Y651+Z651</f>
        <v>79655.76999999999</v>
      </c>
      <c r="AD651" s="4">
        <v>298925491</v>
      </c>
      <c r="AE651" s="4">
        <v>19825204</v>
      </c>
      <c r="AG651" s="4" t="s">
        <v>2469</v>
      </c>
      <c r="AH651" s="4" t="s">
        <v>2470</v>
      </c>
      <c r="AI651" s="4" t="s">
        <v>67</v>
      </c>
    </row>
    <row r="652" spans="1:35" ht="36" x14ac:dyDescent="0.3">
      <c r="A652" s="10" t="s">
        <v>2502</v>
      </c>
      <c r="B652" s="10"/>
      <c r="C652" s="17" t="s">
        <v>2503</v>
      </c>
      <c r="D652" s="12"/>
      <c r="E652" s="12"/>
      <c r="F652" s="18" t="s">
        <v>64</v>
      </c>
      <c r="G652" s="19">
        <v>1.1000000000000001</v>
      </c>
      <c r="H652" s="20"/>
      <c r="I652" s="20">
        <v>60.488999999999997</v>
      </c>
      <c r="J652" s="21">
        <v>819.33</v>
      </c>
      <c r="M652" s="22">
        <f>ROUND(ROUND(J652, 2)*I652, 2)</f>
        <v>49560.45</v>
      </c>
      <c r="P652" s="21">
        <v>819.33</v>
      </c>
      <c r="S652" s="22">
        <f>ROUND(ROUND(P652, 2)*I652, 2)</f>
        <v>49560.45</v>
      </c>
      <c r="V652" s="9">
        <f>ROUND(ROUND(P652, 2)/1.2, 2)</f>
        <v>682.78</v>
      </c>
      <c r="Y652" s="9">
        <f t="shared" si="36"/>
        <v>41300.379999999997</v>
      </c>
      <c r="AD652" s="4" t="s">
        <v>2504</v>
      </c>
      <c r="AE652" s="4" t="s">
        <v>2505</v>
      </c>
      <c r="AF652" s="4" t="s">
        <v>2506</v>
      </c>
    </row>
    <row r="653" spans="1:35" ht="36" x14ac:dyDescent="0.3">
      <c r="A653" s="10" t="s">
        <v>2507</v>
      </c>
      <c r="B653" s="10" t="s">
        <v>2466</v>
      </c>
      <c r="C653" s="11" t="s">
        <v>2467</v>
      </c>
      <c r="D653" s="12"/>
      <c r="E653" s="12" t="s">
        <v>2508</v>
      </c>
      <c r="F653" s="12" t="s">
        <v>64</v>
      </c>
      <c r="G653" s="13">
        <v>1</v>
      </c>
      <c r="H653" s="13"/>
      <c r="I653" s="13">
        <v>388.35</v>
      </c>
      <c r="J653" s="14">
        <f>IFERROR(ROUND(SUM(M654)/I653, 2),0)</f>
        <v>0</v>
      </c>
      <c r="K653" s="15">
        <v>837</v>
      </c>
      <c r="L653" s="14">
        <f>J653+ROUND(K653, 2)</f>
        <v>837</v>
      </c>
      <c r="M653" s="14">
        <f>ROUND(J653*I653, 2)</f>
        <v>0</v>
      </c>
      <c r="N653" s="14">
        <f>ROUND(I653*ROUND(K653, 2), 2)</f>
        <v>325048.95</v>
      </c>
      <c r="O653" s="14">
        <f>M653+N653</f>
        <v>325048.95</v>
      </c>
      <c r="P653" s="14">
        <f>IFERROR(ROUND(SUM(S654)/I653, 2),0)</f>
        <v>2300</v>
      </c>
      <c r="Q653" s="15">
        <v>837</v>
      </c>
      <c r="R653" s="14">
        <f>P653+ROUND(Q653, 2)</f>
        <v>3137</v>
      </c>
      <c r="S653" s="14">
        <f>ROUND(P653*I653, 2)</f>
        <v>893205</v>
      </c>
      <c r="T653" s="14">
        <f>ROUND(I653*ROUND(Q653, 2), 2)</f>
        <v>325048.95</v>
      </c>
      <c r="U653" s="14">
        <f>S653+T653</f>
        <v>1218253.95</v>
      </c>
      <c r="V653" s="9">
        <f>ROUND(P653 / 1.2, 2)</f>
        <v>1916.67</v>
      </c>
      <c r="W653" s="9">
        <f>ROUND(Q653 / 1.2, 2)</f>
        <v>697.5</v>
      </c>
      <c r="X653" s="9">
        <f>ROUND(R653 / 1.2, 2)</f>
        <v>2614.17</v>
      </c>
      <c r="Y653" s="9">
        <f t="shared" si="36"/>
        <v>744337.5</v>
      </c>
      <c r="Z653" s="9">
        <f>ROUND(T653 / 1.2, 2)</f>
        <v>270874.13</v>
      </c>
      <c r="AA653" s="9">
        <f>Y653+Z653</f>
        <v>1015211.63</v>
      </c>
      <c r="AD653" s="4">
        <v>298925492</v>
      </c>
      <c r="AE653" s="4">
        <v>20004793</v>
      </c>
      <c r="AG653" s="4" t="s">
        <v>2469</v>
      </c>
      <c r="AH653" s="4" t="s">
        <v>2470</v>
      </c>
      <c r="AI653" s="4" t="s">
        <v>67</v>
      </c>
    </row>
    <row r="654" spans="1:35" ht="90" x14ac:dyDescent="0.3">
      <c r="A654" s="10" t="s">
        <v>2509</v>
      </c>
      <c r="B654" s="10"/>
      <c r="C654" s="24" t="s">
        <v>2472</v>
      </c>
      <c r="D654" s="12"/>
      <c r="E654" s="12" t="s">
        <v>2510</v>
      </c>
      <c r="F654" s="18" t="s">
        <v>64</v>
      </c>
      <c r="G654" s="19">
        <v>1</v>
      </c>
      <c r="H654" s="20"/>
      <c r="I654" s="20">
        <v>388.35</v>
      </c>
      <c r="J654" s="21">
        <v>0</v>
      </c>
      <c r="M654" s="22">
        <f>ROUND(ROUND(J654, 2)*I654, 2)</f>
        <v>0</v>
      </c>
      <c r="P654" s="21">
        <v>2300</v>
      </c>
      <c r="S654" s="22">
        <f>ROUND(ROUND(P654, 2)*I654, 2)</f>
        <v>893205</v>
      </c>
      <c r="V654" s="9">
        <f>ROUND(ROUND(P654, 2)/1.2, 2)</f>
        <v>1916.67</v>
      </c>
      <c r="Y654" s="9">
        <f t="shared" si="36"/>
        <v>744337.5</v>
      </c>
      <c r="AD654" s="4" t="s">
        <v>2511</v>
      </c>
      <c r="AE654" s="4" t="s">
        <v>2512</v>
      </c>
      <c r="AF654" s="4" t="s">
        <v>2476</v>
      </c>
    </row>
    <row r="655" spans="1:35" ht="36" x14ac:dyDescent="0.3">
      <c r="A655" s="10" t="s">
        <v>2513</v>
      </c>
      <c r="B655" s="10" t="s">
        <v>2466</v>
      </c>
      <c r="C655" s="11" t="s">
        <v>2467</v>
      </c>
      <c r="D655" s="12"/>
      <c r="E655" s="12" t="s">
        <v>2514</v>
      </c>
      <c r="F655" s="12" t="s">
        <v>64</v>
      </c>
      <c r="G655" s="13">
        <v>1</v>
      </c>
      <c r="H655" s="13"/>
      <c r="I655" s="13">
        <v>1200.01</v>
      </c>
      <c r="J655" s="14">
        <f>IFERROR(ROUND(SUM(M656)/I655, 2),0)</f>
        <v>7126.9</v>
      </c>
      <c r="K655" s="15">
        <v>837</v>
      </c>
      <c r="L655" s="14">
        <f>J655+ROUND(K655, 2)</f>
        <v>7963.9</v>
      </c>
      <c r="M655" s="14">
        <f>ROUND(J655*I655, 2)</f>
        <v>8552351.2699999996</v>
      </c>
      <c r="N655" s="14">
        <f>ROUND(I655*ROUND(K655, 2), 2)</f>
        <v>1004408.37</v>
      </c>
      <c r="O655" s="14">
        <f>M655+N655</f>
        <v>9556759.6399999987</v>
      </c>
      <c r="P655" s="14">
        <f>IFERROR(ROUND(SUM(S656)/I655, 2),0)</f>
        <v>2530</v>
      </c>
      <c r="Q655" s="15">
        <v>837</v>
      </c>
      <c r="R655" s="14">
        <f>P655+ROUND(Q655, 2)</f>
        <v>3367</v>
      </c>
      <c r="S655" s="14">
        <f>ROUND(P655*I655, 2)</f>
        <v>3036025.3</v>
      </c>
      <c r="T655" s="14">
        <f>ROUND(I655*ROUND(Q655, 2), 2)</f>
        <v>1004408.37</v>
      </c>
      <c r="U655" s="14">
        <f>S655+T655</f>
        <v>4040433.67</v>
      </c>
      <c r="V655" s="9">
        <f>ROUND(P655 / 1.2, 2)</f>
        <v>2108.33</v>
      </c>
      <c r="W655" s="9">
        <f>ROUND(Q655 / 1.2, 2)</f>
        <v>697.5</v>
      </c>
      <c r="X655" s="9">
        <f>ROUND(R655 / 1.2, 2)</f>
        <v>2805.83</v>
      </c>
      <c r="Y655" s="9">
        <f t="shared" si="36"/>
        <v>2530021.08</v>
      </c>
      <c r="Z655" s="9">
        <f>ROUND(T655 / 1.2, 2)</f>
        <v>837006.98</v>
      </c>
      <c r="AA655" s="9">
        <f>Y655+Z655</f>
        <v>3367028.06</v>
      </c>
      <c r="AD655" s="4">
        <v>298925493</v>
      </c>
      <c r="AE655" s="4">
        <v>20004794</v>
      </c>
      <c r="AG655" s="4" t="s">
        <v>2469</v>
      </c>
      <c r="AH655" s="4" t="s">
        <v>2470</v>
      </c>
      <c r="AI655" s="4" t="s">
        <v>67</v>
      </c>
    </row>
    <row r="656" spans="1:35" ht="72" x14ac:dyDescent="0.3">
      <c r="A656" s="10" t="s">
        <v>2515</v>
      </c>
      <c r="B656" s="10"/>
      <c r="C656" s="24" t="s">
        <v>2480</v>
      </c>
      <c r="D656" s="12"/>
      <c r="E656" s="12" t="s">
        <v>2481</v>
      </c>
      <c r="F656" s="18" t="s">
        <v>64</v>
      </c>
      <c r="G656" s="19">
        <v>1.1000000000000001</v>
      </c>
      <c r="H656" s="20"/>
      <c r="I656" s="20">
        <v>1320.011</v>
      </c>
      <c r="J656" s="21">
        <v>6479</v>
      </c>
      <c r="M656" s="22">
        <f>ROUND(ROUND(J656, 2)*I656, 2)</f>
        <v>8552351.2699999996</v>
      </c>
      <c r="P656" s="21">
        <v>2300</v>
      </c>
      <c r="S656" s="22">
        <f>ROUND(ROUND(P656, 2)*I656, 2)</f>
        <v>3036025.3</v>
      </c>
      <c r="V656" s="9">
        <f>ROUND(ROUND(P656, 2)/1.2, 2)</f>
        <v>1916.67</v>
      </c>
      <c r="Y656" s="9">
        <f t="shared" si="36"/>
        <v>2530021.08</v>
      </c>
      <c r="AD656" s="4" t="s">
        <v>2516</v>
      </c>
      <c r="AE656" s="4" t="s">
        <v>2517</v>
      </c>
      <c r="AF656" s="4" t="s">
        <v>2484</v>
      </c>
    </row>
    <row r="657" spans="1:35" ht="36" x14ac:dyDescent="0.3">
      <c r="A657" s="10" t="s">
        <v>2518</v>
      </c>
      <c r="B657" s="10" t="s">
        <v>2466</v>
      </c>
      <c r="C657" s="11" t="s">
        <v>2467</v>
      </c>
      <c r="D657" s="12"/>
      <c r="E657" s="12" t="s">
        <v>2519</v>
      </c>
      <c r="F657" s="12" t="s">
        <v>64</v>
      </c>
      <c r="G657" s="13">
        <v>1</v>
      </c>
      <c r="H657" s="13"/>
      <c r="I657" s="13">
        <v>163.46</v>
      </c>
      <c r="J657" s="14">
        <f>IFERROR(ROUND(SUM(M658)/I657, 2),0)</f>
        <v>855.89</v>
      </c>
      <c r="K657" s="15">
        <v>837</v>
      </c>
      <c r="L657" s="14">
        <f>J657+ROUND(K657, 2)</f>
        <v>1692.8899999999999</v>
      </c>
      <c r="M657" s="14">
        <f>ROUND(J657*I657, 2)</f>
        <v>139903.78</v>
      </c>
      <c r="N657" s="14">
        <f>ROUND(I657*ROUND(K657, 2), 2)</f>
        <v>136816.01999999999</v>
      </c>
      <c r="O657" s="14">
        <f>M657+N657</f>
        <v>276719.8</v>
      </c>
      <c r="P657" s="14">
        <f>IFERROR(ROUND(SUM(S658)/I657, 2),0)</f>
        <v>855.89</v>
      </c>
      <c r="Q657" s="15">
        <v>837</v>
      </c>
      <c r="R657" s="14">
        <f>P657+ROUND(Q657, 2)</f>
        <v>1692.8899999999999</v>
      </c>
      <c r="S657" s="14">
        <f>ROUND(P657*I657, 2)</f>
        <v>139903.78</v>
      </c>
      <c r="T657" s="14">
        <f>ROUND(I657*ROUND(Q657, 2), 2)</f>
        <v>136816.01999999999</v>
      </c>
      <c r="U657" s="14">
        <f>S657+T657</f>
        <v>276719.8</v>
      </c>
      <c r="V657" s="9">
        <f>ROUND(P657 / 1.2, 2)</f>
        <v>713.24</v>
      </c>
      <c r="W657" s="9">
        <f>ROUND(Q657 / 1.2, 2)</f>
        <v>697.5</v>
      </c>
      <c r="X657" s="9">
        <f>ROUND(R657 / 1.2, 2)</f>
        <v>1410.74</v>
      </c>
      <c r="Y657" s="9">
        <f t="shared" si="36"/>
        <v>116586.48</v>
      </c>
      <c r="Z657" s="9">
        <f>ROUND(T657 / 1.2, 2)</f>
        <v>114013.35</v>
      </c>
      <c r="AA657" s="9">
        <f>Y657+Z657</f>
        <v>230599.83000000002</v>
      </c>
      <c r="AD657" s="4">
        <v>298925494</v>
      </c>
      <c r="AE657" s="4">
        <v>20004795</v>
      </c>
      <c r="AG657" s="4" t="s">
        <v>2469</v>
      </c>
      <c r="AH657" s="4" t="s">
        <v>2470</v>
      </c>
      <c r="AI657" s="4" t="s">
        <v>67</v>
      </c>
    </row>
    <row r="658" spans="1:35" ht="90" x14ac:dyDescent="0.3">
      <c r="A658" s="10" t="s">
        <v>2520</v>
      </c>
      <c r="B658" s="10"/>
      <c r="C658" s="17" t="s">
        <v>2488</v>
      </c>
      <c r="D658" s="12"/>
      <c r="E658" s="12" t="s">
        <v>2489</v>
      </c>
      <c r="F658" s="18" t="s">
        <v>64</v>
      </c>
      <c r="G658" s="19">
        <v>1.1000000000000001</v>
      </c>
      <c r="H658" s="20"/>
      <c r="I658" s="20">
        <v>179.80600000000001</v>
      </c>
      <c r="J658" s="21">
        <v>778.08</v>
      </c>
      <c r="M658" s="22">
        <f>ROUND(ROUND(J658, 2)*I658, 2)</f>
        <v>139903.45000000001</v>
      </c>
      <c r="P658" s="21">
        <v>778.08</v>
      </c>
      <c r="S658" s="22">
        <f>ROUND(ROUND(P658, 2)*I658, 2)</f>
        <v>139903.45000000001</v>
      </c>
      <c r="V658" s="9">
        <f>ROUND(ROUND(P658, 2)/1.2, 2)</f>
        <v>648.4</v>
      </c>
      <c r="Y658" s="9">
        <f t="shared" si="36"/>
        <v>116586.21</v>
      </c>
      <c r="AD658" s="4" t="s">
        <v>2521</v>
      </c>
      <c r="AE658" s="4" t="s">
        <v>2522</v>
      </c>
      <c r="AF658" s="4" t="s">
        <v>2492</v>
      </c>
    </row>
    <row r="659" spans="1:35" ht="36" x14ac:dyDescent="0.3">
      <c r="A659" s="10" t="s">
        <v>2523</v>
      </c>
      <c r="B659" s="10" t="s">
        <v>2466</v>
      </c>
      <c r="C659" s="11" t="s">
        <v>2467</v>
      </c>
      <c r="D659" s="12"/>
      <c r="E659" s="12" t="s">
        <v>2524</v>
      </c>
      <c r="F659" s="12" t="s">
        <v>64</v>
      </c>
      <c r="G659" s="13">
        <v>1</v>
      </c>
      <c r="H659" s="13"/>
      <c r="I659" s="13">
        <v>92.54</v>
      </c>
      <c r="J659" s="14">
        <f>IFERROR(ROUND(SUM(M660)/I659, 2),0)</f>
        <v>902.98</v>
      </c>
      <c r="K659" s="15">
        <v>837</v>
      </c>
      <c r="L659" s="14">
        <f>J659+ROUND(K659, 2)</f>
        <v>1739.98</v>
      </c>
      <c r="M659" s="14">
        <f>ROUND(J659*I659, 2)</f>
        <v>83561.77</v>
      </c>
      <c r="N659" s="14">
        <f>ROUND(I659*ROUND(K659, 2), 2)</f>
        <v>77455.98</v>
      </c>
      <c r="O659" s="14">
        <f>M659+N659</f>
        <v>161017.75</v>
      </c>
      <c r="P659" s="14">
        <f>IFERROR(ROUND(SUM(S660)/I659, 2),0)</f>
        <v>902.98</v>
      </c>
      <c r="Q659" s="15">
        <v>837</v>
      </c>
      <c r="R659" s="14">
        <f>P659+ROUND(Q659, 2)</f>
        <v>1739.98</v>
      </c>
      <c r="S659" s="14">
        <f>ROUND(P659*I659, 2)</f>
        <v>83561.77</v>
      </c>
      <c r="T659" s="14">
        <f>ROUND(I659*ROUND(Q659, 2), 2)</f>
        <v>77455.98</v>
      </c>
      <c r="U659" s="14">
        <f>S659+T659</f>
        <v>161017.75</v>
      </c>
      <c r="V659" s="9">
        <f>ROUND(P659 / 1.2, 2)</f>
        <v>752.48</v>
      </c>
      <c r="W659" s="9">
        <f>ROUND(Q659 / 1.2, 2)</f>
        <v>697.5</v>
      </c>
      <c r="X659" s="9">
        <f>ROUND(R659 / 1.2, 2)</f>
        <v>1449.98</v>
      </c>
      <c r="Y659" s="9">
        <f t="shared" si="36"/>
        <v>69634.81</v>
      </c>
      <c r="Z659" s="9">
        <f>ROUND(T659 / 1.2, 2)</f>
        <v>64546.65</v>
      </c>
      <c r="AA659" s="9">
        <f>Y659+Z659</f>
        <v>134181.46</v>
      </c>
      <c r="AD659" s="4">
        <v>298925495</v>
      </c>
      <c r="AE659" s="4">
        <v>20004796</v>
      </c>
      <c r="AG659" s="4" t="s">
        <v>2469</v>
      </c>
      <c r="AH659" s="4" t="s">
        <v>2470</v>
      </c>
      <c r="AI659" s="4" t="s">
        <v>67</v>
      </c>
    </row>
    <row r="660" spans="1:35" ht="36" x14ac:dyDescent="0.3">
      <c r="A660" s="10" t="s">
        <v>2525</v>
      </c>
      <c r="B660" s="10"/>
      <c r="C660" s="17" t="s">
        <v>2496</v>
      </c>
      <c r="D660" s="12"/>
      <c r="E660" s="12"/>
      <c r="F660" s="18" t="s">
        <v>64</v>
      </c>
      <c r="G660" s="19">
        <v>1.1000000000000001</v>
      </c>
      <c r="H660" s="20"/>
      <c r="I660" s="20">
        <v>101.794</v>
      </c>
      <c r="J660" s="21">
        <v>820.89</v>
      </c>
      <c r="M660" s="22">
        <f>ROUND(ROUND(J660, 2)*I660, 2)</f>
        <v>83561.679999999993</v>
      </c>
      <c r="P660" s="21">
        <v>820.89</v>
      </c>
      <c r="S660" s="22">
        <f>ROUND(ROUND(P660, 2)*I660, 2)</f>
        <v>83561.679999999993</v>
      </c>
      <c r="V660" s="9">
        <f>ROUND(ROUND(P660, 2)/1.2, 2)</f>
        <v>684.08</v>
      </c>
      <c r="Y660" s="9">
        <f t="shared" si="36"/>
        <v>69634.73</v>
      </c>
      <c r="AD660" s="4" t="s">
        <v>2526</v>
      </c>
      <c r="AE660" s="4" t="s">
        <v>2527</v>
      </c>
      <c r="AF660" s="4" t="s">
        <v>2499</v>
      </c>
    </row>
    <row r="661" spans="1:35" ht="36" x14ac:dyDescent="0.3">
      <c r="A661" s="10" t="s">
        <v>2528</v>
      </c>
      <c r="B661" s="10" t="s">
        <v>2466</v>
      </c>
      <c r="C661" s="11" t="s">
        <v>2467</v>
      </c>
      <c r="D661" s="12"/>
      <c r="E661" s="12" t="s">
        <v>2529</v>
      </c>
      <c r="F661" s="12" t="s">
        <v>64</v>
      </c>
      <c r="G661" s="13">
        <v>1</v>
      </c>
      <c r="H661" s="13"/>
      <c r="I661" s="13">
        <v>67.19</v>
      </c>
      <c r="J661" s="14">
        <f>IFERROR(ROUND(SUM(M662)/I661, 2),0)</f>
        <v>901.26</v>
      </c>
      <c r="K661" s="15">
        <v>837</v>
      </c>
      <c r="L661" s="14">
        <f>J661+ROUND(K661, 2)</f>
        <v>1738.26</v>
      </c>
      <c r="M661" s="14">
        <f>ROUND(J661*I661, 2)</f>
        <v>60555.66</v>
      </c>
      <c r="N661" s="14">
        <f>ROUND(I661*ROUND(K661, 2), 2)</f>
        <v>56238.03</v>
      </c>
      <c r="O661" s="14">
        <f>M661+N661</f>
        <v>116793.69</v>
      </c>
      <c r="P661" s="14">
        <f>IFERROR(ROUND(SUM(S662)/I661, 2),0)</f>
        <v>901.26</v>
      </c>
      <c r="Q661" s="15">
        <v>837</v>
      </c>
      <c r="R661" s="14">
        <f>P661+ROUND(Q661, 2)</f>
        <v>1738.26</v>
      </c>
      <c r="S661" s="14">
        <f>ROUND(P661*I661, 2)</f>
        <v>60555.66</v>
      </c>
      <c r="T661" s="14">
        <f>ROUND(I661*ROUND(Q661, 2), 2)</f>
        <v>56238.03</v>
      </c>
      <c r="U661" s="14">
        <f>S661+T661</f>
        <v>116793.69</v>
      </c>
      <c r="V661" s="9">
        <f>ROUND(P661 / 1.2, 2)</f>
        <v>751.05</v>
      </c>
      <c r="W661" s="9">
        <f>ROUND(Q661 / 1.2, 2)</f>
        <v>697.5</v>
      </c>
      <c r="X661" s="9">
        <f>ROUND(R661 / 1.2, 2)</f>
        <v>1448.55</v>
      </c>
      <c r="Y661" s="9">
        <f t="shared" si="36"/>
        <v>50463.05</v>
      </c>
      <c r="Z661" s="9">
        <f>ROUND(T661 / 1.2, 2)</f>
        <v>46865.03</v>
      </c>
      <c r="AA661" s="9">
        <f>Y661+Z661</f>
        <v>97328.08</v>
      </c>
      <c r="AD661" s="4">
        <v>298925496</v>
      </c>
      <c r="AE661" s="4">
        <v>20004797</v>
      </c>
      <c r="AG661" s="4" t="s">
        <v>2469</v>
      </c>
      <c r="AH661" s="4" t="s">
        <v>2470</v>
      </c>
      <c r="AI661" s="4" t="s">
        <v>67</v>
      </c>
    </row>
    <row r="662" spans="1:35" ht="36" x14ac:dyDescent="0.3">
      <c r="A662" s="10" t="s">
        <v>2530</v>
      </c>
      <c r="B662" s="10"/>
      <c r="C662" s="17" t="s">
        <v>2503</v>
      </c>
      <c r="D662" s="12"/>
      <c r="E662" s="12"/>
      <c r="F662" s="18" t="s">
        <v>64</v>
      </c>
      <c r="G662" s="19">
        <v>1.1000000000000001</v>
      </c>
      <c r="H662" s="20"/>
      <c r="I662" s="20">
        <v>73.909000000000006</v>
      </c>
      <c r="J662" s="21">
        <v>819.33</v>
      </c>
      <c r="M662" s="22">
        <f>ROUND(ROUND(J662, 2)*I662, 2)</f>
        <v>60555.86</v>
      </c>
      <c r="P662" s="21">
        <v>819.33</v>
      </c>
      <c r="S662" s="22">
        <f>ROUND(ROUND(P662, 2)*I662, 2)</f>
        <v>60555.86</v>
      </c>
      <c r="V662" s="9">
        <f>ROUND(ROUND(P662, 2)/1.2, 2)</f>
        <v>682.78</v>
      </c>
      <c r="Y662" s="9">
        <f t="shared" si="36"/>
        <v>50463.22</v>
      </c>
      <c r="AD662" s="4" t="s">
        <v>2531</v>
      </c>
      <c r="AE662" s="4" t="s">
        <v>2532</v>
      </c>
      <c r="AF662" s="4" t="s">
        <v>2506</v>
      </c>
    </row>
    <row r="663" spans="1:35" ht="36" x14ac:dyDescent="0.3">
      <c r="A663" s="10" t="s">
        <v>2533</v>
      </c>
      <c r="B663" s="10" t="s">
        <v>2534</v>
      </c>
      <c r="C663" s="11" t="s">
        <v>2535</v>
      </c>
      <c r="D663" s="12"/>
      <c r="E663" s="12" t="s">
        <v>2536</v>
      </c>
      <c r="F663" s="12" t="s">
        <v>64</v>
      </c>
      <c r="G663" s="13">
        <v>1</v>
      </c>
      <c r="H663" s="13"/>
      <c r="I663" s="13">
        <v>37.700000000000003</v>
      </c>
      <c r="J663" s="14">
        <f>IFERROR(ROUND(SUM(M664,M665,M666,M667,M668,M669,M670,M671,M672,M673,M674,M675,M676)/I663, 2),0)</f>
        <v>611.15</v>
      </c>
      <c r="K663" s="15">
        <v>1199</v>
      </c>
      <c r="L663" s="14">
        <f>J663+ROUND(K663, 2)</f>
        <v>1810.15</v>
      </c>
      <c r="M663" s="14">
        <f>ROUND(J663*I663, 2)</f>
        <v>23040.36</v>
      </c>
      <c r="N663" s="14">
        <f>ROUND(I663*ROUND(K663, 2), 2)</f>
        <v>45202.3</v>
      </c>
      <c r="O663" s="14">
        <f>M663+N663</f>
        <v>68242.66</v>
      </c>
      <c r="P663" s="14">
        <f>IFERROR(ROUND(SUM(S664,S665,S666,S667,S668,S669,S670,S671,S672,S673,S674,S675,S676)/I663, 2),0)</f>
        <v>611.15</v>
      </c>
      <c r="Q663" s="15">
        <v>1199</v>
      </c>
      <c r="R663" s="14">
        <f>P663+ROUND(Q663, 2)</f>
        <v>1810.15</v>
      </c>
      <c r="S663" s="14">
        <f>ROUND(P663*I663, 2)</f>
        <v>23040.36</v>
      </c>
      <c r="T663" s="14">
        <f>ROUND(I663*ROUND(Q663, 2), 2)</f>
        <v>45202.3</v>
      </c>
      <c r="U663" s="14">
        <f>S663+T663</f>
        <v>68242.66</v>
      </c>
      <c r="V663" s="9">
        <f>ROUND(P663 / 1.2, 2)</f>
        <v>509.29</v>
      </c>
      <c r="W663" s="9">
        <f>ROUND(Q663 / 1.2, 2)</f>
        <v>999.17</v>
      </c>
      <c r="X663" s="9">
        <f>ROUND(R663 / 1.2, 2)</f>
        <v>1508.46</v>
      </c>
      <c r="Y663" s="9">
        <f t="shared" si="36"/>
        <v>19200.3</v>
      </c>
      <c r="Z663" s="9">
        <f>ROUND(T663 / 1.2, 2)</f>
        <v>37668.58</v>
      </c>
      <c r="AA663" s="9">
        <f>Y663+Z663</f>
        <v>56868.880000000005</v>
      </c>
      <c r="AD663" s="4">
        <v>298925355</v>
      </c>
      <c r="AE663" s="4">
        <v>19825683</v>
      </c>
      <c r="AG663" s="4" t="s">
        <v>2537</v>
      </c>
      <c r="AH663" s="4" t="s">
        <v>2538</v>
      </c>
      <c r="AI663" s="4" t="s">
        <v>67</v>
      </c>
    </row>
    <row r="664" spans="1:35" ht="18" x14ac:dyDescent="0.3">
      <c r="A664" s="10" t="s">
        <v>2539</v>
      </c>
      <c r="B664" s="10"/>
      <c r="C664" s="24" t="s">
        <v>2540</v>
      </c>
      <c r="D664" s="12"/>
      <c r="E664" s="12"/>
      <c r="F664" s="18" t="s">
        <v>116</v>
      </c>
      <c r="G664" s="19">
        <v>0.3</v>
      </c>
      <c r="H664" s="19"/>
      <c r="I664" s="19">
        <v>11.31</v>
      </c>
      <c r="J664" s="21">
        <v>5.6</v>
      </c>
      <c r="M664" s="22">
        <f t="shared" ref="M664:M676" si="37">ROUND(ROUND(J664, 2)*I664, 2)</f>
        <v>63.34</v>
      </c>
      <c r="P664" s="21">
        <v>5.6</v>
      </c>
      <c r="S664" s="22">
        <f t="shared" ref="S664:S676" si="38">ROUND(ROUND(P664, 2)*I664, 2)</f>
        <v>63.34</v>
      </c>
      <c r="V664" s="9">
        <f t="shared" ref="V664:V676" si="39">ROUND(ROUND(P664, 2)/1.2, 2)</f>
        <v>4.67</v>
      </c>
      <c r="Y664" s="9">
        <f t="shared" si="36"/>
        <v>52.78</v>
      </c>
      <c r="AD664" s="4" t="s">
        <v>2541</v>
      </c>
      <c r="AE664" s="4" t="s">
        <v>2542</v>
      </c>
      <c r="AF664" s="4" t="s">
        <v>2543</v>
      </c>
    </row>
    <row r="665" spans="1:35" ht="18" x14ac:dyDescent="0.3">
      <c r="A665" s="10" t="s">
        <v>2544</v>
      </c>
      <c r="B665" s="10"/>
      <c r="C665" s="24" t="s">
        <v>2545</v>
      </c>
      <c r="D665" s="12"/>
      <c r="E665" s="12"/>
      <c r="F665" s="18" t="s">
        <v>116</v>
      </c>
      <c r="G665" s="19">
        <v>15</v>
      </c>
      <c r="H665" s="19"/>
      <c r="I665" s="19">
        <v>565.5</v>
      </c>
      <c r="J665" s="21">
        <v>0.95</v>
      </c>
      <c r="M665" s="22">
        <f t="shared" si="37"/>
        <v>537.23</v>
      </c>
      <c r="P665" s="21">
        <v>0.95</v>
      </c>
      <c r="S665" s="22">
        <f t="shared" si="38"/>
        <v>537.23</v>
      </c>
      <c r="V665" s="9">
        <f t="shared" si="39"/>
        <v>0.79</v>
      </c>
      <c r="Y665" s="9">
        <f t="shared" si="36"/>
        <v>447.69</v>
      </c>
      <c r="AD665" s="4" t="s">
        <v>2546</v>
      </c>
      <c r="AE665" s="4" t="s">
        <v>2547</v>
      </c>
      <c r="AF665" s="4" t="s">
        <v>2548</v>
      </c>
    </row>
    <row r="666" spans="1:35" ht="18" x14ac:dyDescent="0.3">
      <c r="A666" s="10" t="s">
        <v>2549</v>
      </c>
      <c r="B666" s="10"/>
      <c r="C666" s="24" t="s">
        <v>1920</v>
      </c>
      <c r="D666" s="12"/>
      <c r="E666" s="12"/>
      <c r="F666" s="18" t="s">
        <v>116</v>
      </c>
      <c r="G666" s="19">
        <v>30</v>
      </c>
      <c r="H666" s="19"/>
      <c r="I666" s="19">
        <v>1131</v>
      </c>
      <c r="J666" s="21">
        <v>0.28000000000000003</v>
      </c>
      <c r="M666" s="22">
        <f t="shared" si="37"/>
        <v>316.68</v>
      </c>
      <c r="P666" s="21">
        <v>0.28000000000000003</v>
      </c>
      <c r="S666" s="22">
        <f t="shared" si="38"/>
        <v>316.68</v>
      </c>
      <c r="V666" s="9">
        <f t="shared" si="39"/>
        <v>0.23</v>
      </c>
      <c r="Y666" s="9">
        <f t="shared" si="36"/>
        <v>263.89999999999998</v>
      </c>
      <c r="AD666" s="4" t="s">
        <v>2550</v>
      </c>
      <c r="AE666" s="4" t="s">
        <v>2551</v>
      </c>
      <c r="AF666" s="4" t="s">
        <v>1923</v>
      </c>
    </row>
    <row r="667" spans="1:35" ht="36" x14ac:dyDescent="0.3">
      <c r="A667" s="10" t="s">
        <v>2552</v>
      </c>
      <c r="B667" s="10"/>
      <c r="C667" s="17" t="s">
        <v>2553</v>
      </c>
      <c r="D667" s="12"/>
      <c r="E667" s="12"/>
      <c r="F667" s="18" t="s">
        <v>116</v>
      </c>
      <c r="G667" s="19">
        <v>3.6</v>
      </c>
      <c r="H667" s="19"/>
      <c r="I667" s="19">
        <v>135.72</v>
      </c>
      <c r="J667" s="21">
        <v>15.9</v>
      </c>
      <c r="M667" s="22">
        <f t="shared" si="37"/>
        <v>2157.9499999999998</v>
      </c>
      <c r="P667" s="21">
        <v>15.9</v>
      </c>
      <c r="S667" s="22">
        <f t="shared" si="38"/>
        <v>2157.9499999999998</v>
      </c>
      <c r="V667" s="9">
        <f t="shared" si="39"/>
        <v>13.25</v>
      </c>
      <c r="Y667" s="9">
        <f t="shared" si="36"/>
        <v>1798.29</v>
      </c>
      <c r="AD667" s="4" t="s">
        <v>2554</v>
      </c>
      <c r="AE667" s="4" t="s">
        <v>2555</v>
      </c>
      <c r="AF667" s="4" t="s">
        <v>2556</v>
      </c>
    </row>
    <row r="668" spans="1:35" ht="18" x14ac:dyDescent="0.3">
      <c r="A668" s="10" t="s">
        <v>2557</v>
      </c>
      <c r="B668" s="10"/>
      <c r="C668" s="24" t="s">
        <v>1753</v>
      </c>
      <c r="D668" s="12"/>
      <c r="E668" s="12"/>
      <c r="F668" s="18" t="s">
        <v>70</v>
      </c>
      <c r="G668" s="19">
        <v>0.35</v>
      </c>
      <c r="H668" s="19"/>
      <c r="I668" s="19">
        <v>13.195</v>
      </c>
      <c r="J668" s="21">
        <v>55</v>
      </c>
      <c r="M668" s="22">
        <f t="shared" si="37"/>
        <v>725.73</v>
      </c>
      <c r="P668" s="21">
        <v>55</v>
      </c>
      <c r="S668" s="22">
        <f t="shared" si="38"/>
        <v>725.73</v>
      </c>
      <c r="V668" s="9">
        <f t="shared" si="39"/>
        <v>45.83</v>
      </c>
      <c r="Y668" s="9">
        <f t="shared" si="36"/>
        <v>604.78</v>
      </c>
      <c r="AD668" s="4" t="s">
        <v>2558</v>
      </c>
      <c r="AE668" s="4" t="s">
        <v>2559</v>
      </c>
      <c r="AF668" s="4" t="s">
        <v>1756</v>
      </c>
    </row>
    <row r="669" spans="1:35" ht="18" x14ac:dyDescent="0.3">
      <c r="A669" s="10" t="s">
        <v>2560</v>
      </c>
      <c r="B669" s="10"/>
      <c r="C669" s="24" t="s">
        <v>2561</v>
      </c>
      <c r="D669" s="12"/>
      <c r="E669" s="12"/>
      <c r="F669" s="18" t="s">
        <v>87</v>
      </c>
      <c r="G669" s="19">
        <v>1.05</v>
      </c>
      <c r="H669" s="19"/>
      <c r="I669" s="19">
        <v>39.585000000000001</v>
      </c>
      <c r="J669" s="21">
        <v>4.5999999999999996</v>
      </c>
      <c r="M669" s="22">
        <f t="shared" si="37"/>
        <v>182.09</v>
      </c>
      <c r="P669" s="21">
        <v>4.5999999999999996</v>
      </c>
      <c r="S669" s="22">
        <f t="shared" si="38"/>
        <v>182.09</v>
      </c>
      <c r="V669" s="9">
        <f t="shared" si="39"/>
        <v>3.83</v>
      </c>
      <c r="Y669" s="9">
        <f t="shared" si="36"/>
        <v>151.74</v>
      </c>
      <c r="AD669" s="4" t="s">
        <v>2562</v>
      </c>
      <c r="AE669" s="4" t="s">
        <v>2563</v>
      </c>
      <c r="AF669" s="4" t="s">
        <v>2564</v>
      </c>
    </row>
    <row r="670" spans="1:35" ht="18" x14ac:dyDescent="0.3">
      <c r="A670" s="10" t="s">
        <v>2565</v>
      </c>
      <c r="B670" s="10"/>
      <c r="C670" s="24" t="s">
        <v>2566</v>
      </c>
      <c r="D670" s="12"/>
      <c r="E670" s="12"/>
      <c r="F670" s="18" t="s">
        <v>87</v>
      </c>
      <c r="G670" s="19">
        <v>1.25</v>
      </c>
      <c r="H670" s="19"/>
      <c r="I670" s="19">
        <v>47.125</v>
      </c>
      <c r="J670" s="21">
        <v>2.8</v>
      </c>
      <c r="M670" s="22">
        <f t="shared" si="37"/>
        <v>131.94999999999999</v>
      </c>
      <c r="P670" s="21">
        <v>2.8</v>
      </c>
      <c r="S670" s="22">
        <f t="shared" si="38"/>
        <v>131.94999999999999</v>
      </c>
      <c r="V670" s="9">
        <f t="shared" si="39"/>
        <v>2.33</v>
      </c>
      <c r="Y670" s="9">
        <f t="shared" si="36"/>
        <v>109.96</v>
      </c>
      <c r="AD670" s="4" t="s">
        <v>2567</v>
      </c>
      <c r="AE670" s="4" t="s">
        <v>2568</v>
      </c>
      <c r="AF670" s="4" t="s">
        <v>2569</v>
      </c>
    </row>
    <row r="671" spans="1:35" ht="18" x14ac:dyDescent="0.3">
      <c r="A671" s="10" t="s">
        <v>2570</v>
      </c>
      <c r="B671" s="10"/>
      <c r="C671" s="24" t="s">
        <v>2571</v>
      </c>
      <c r="D671" s="12"/>
      <c r="E671" s="12"/>
      <c r="F671" s="18" t="s">
        <v>87</v>
      </c>
      <c r="G671" s="19">
        <v>0.3</v>
      </c>
      <c r="H671" s="19"/>
      <c r="I671" s="19">
        <v>11.31</v>
      </c>
      <c r="J671" s="21">
        <v>44.13</v>
      </c>
      <c r="M671" s="22">
        <f t="shared" si="37"/>
        <v>499.11</v>
      </c>
      <c r="P671" s="21">
        <v>44.13</v>
      </c>
      <c r="S671" s="22">
        <f t="shared" si="38"/>
        <v>499.11</v>
      </c>
      <c r="V671" s="9">
        <f t="shared" si="39"/>
        <v>36.78</v>
      </c>
      <c r="Y671" s="9">
        <f t="shared" si="36"/>
        <v>415.93</v>
      </c>
      <c r="AD671" s="4" t="s">
        <v>2572</v>
      </c>
      <c r="AE671" s="4" t="s">
        <v>2573</v>
      </c>
      <c r="AF671" s="4" t="s">
        <v>2574</v>
      </c>
    </row>
    <row r="672" spans="1:35" ht="18" x14ac:dyDescent="0.3">
      <c r="A672" s="10" t="s">
        <v>2575</v>
      </c>
      <c r="B672" s="10"/>
      <c r="C672" s="24" t="s">
        <v>2576</v>
      </c>
      <c r="D672" s="12"/>
      <c r="E672" s="12"/>
      <c r="F672" s="18" t="s">
        <v>87</v>
      </c>
      <c r="G672" s="19">
        <v>4.7</v>
      </c>
      <c r="H672" s="19"/>
      <c r="I672" s="19">
        <v>177.19</v>
      </c>
      <c r="J672" s="21">
        <v>66.98</v>
      </c>
      <c r="M672" s="22">
        <f t="shared" si="37"/>
        <v>11868.19</v>
      </c>
      <c r="P672" s="21">
        <v>66.98</v>
      </c>
      <c r="S672" s="22">
        <f t="shared" si="38"/>
        <v>11868.19</v>
      </c>
      <c r="V672" s="9">
        <f t="shared" si="39"/>
        <v>55.82</v>
      </c>
      <c r="Y672" s="9">
        <f t="shared" si="36"/>
        <v>9890.16</v>
      </c>
      <c r="AD672" s="4" t="s">
        <v>2577</v>
      </c>
      <c r="AE672" s="4" t="s">
        <v>2578</v>
      </c>
      <c r="AF672" s="4" t="s">
        <v>2579</v>
      </c>
    </row>
    <row r="673" spans="1:35" ht="18" x14ac:dyDescent="0.3">
      <c r="A673" s="10" t="s">
        <v>2580</v>
      </c>
      <c r="B673" s="10"/>
      <c r="C673" s="17" t="s">
        <v>2581</v>
      </c>
      <c r="D673" s="12"/>
      <c r="E673" s="12"/>
      <c r="F673" s="18" t="s">
        <v>116</v>
      </c>
      <c r="G673" s="19">
        <v>4.2</v>
      </c>
      <c r="H673" s="19"/>
      <c r="I673" s="19">
        <v>158.34</v>
      </c>
      <c r="J673" s="21">
        <v>4.92</v>
      </c>
      <c r="M673" s="22">
        <f t="shared" si="37"/>
        <v>779.03</v>
      </c>
      <c r="P673" s="21">
        <v>4.92</v>
      </c>
      <c r="S673" s="22">
        <f t="shared" si="38"/>
        <v>779.03</v>
      </c>
      <c r="V673" s="9">
        <f t="shared" si="39"/>
        <v>4.0999999999999996</v>
      </c>
      <c r="Y673" s="9">
        <f t="shared" si="36"/>
        <v>649.19000000000005</v>
      </c>
      <c r="AD673" s="4" t="s">
        <v>2582</v>
      </c>
      <c r="AE673" s="4" t="s">
        <v>2583</v>
      </c>
      <c r="AF673" s="4" t="s">
        <v>2584</v>
      </c>
    </row>
    <row r="674" spans="1:35" ht="36" x14ac:dyDescent="0.3">
      <c r="A674" s="10" t="s">
        <v>2585</v>
      </c>
      <c r="B674" s="10"/>
      <c r="C674" s="24" t="s">
        <v>433</v>
      </c>
      <c r="D674" s="12"/>
      <c r="E674" s="12"/>
      <c r="F674" s="18" t="s">
        <v>70</v>
      </c>
      <c r="G674" s="19">
        <v>0.1</v>
      </c>
      <c r="H674" s="19"/>
      <c r="I674" s="19">
        <v>3.77</v>
      </c>
      <c r="J674" s="21">
        <v>88.8</v>
      </c>
      <c r="M674" s="22">
        <f t="shared" si="37"/>
        <v>334.78</v>
      </c>
      <c r="P674" s="21">
        <v>88.8</v>
      </c>
      <c r="S674" s="22">
        <f t="shared" si="38"/>
        <v>334.78</v>
      </c>
      <c r="V674" s="9">
        <f t="shared" si="39"/>
        <v>74</v>
      </c>
      <c r="Y674" s="9">
        <f t="shared" si="36"/>
        <v>278.98</v>
      </c>
      <c r="AD674" s="4" t="s">
        <v>2586</v>
      </c>
      <c r="AE674" s="4" t="s">
        <v>2587</v>
      </c>
      <c r="AF674" s="4" t="s">
        <v>436</v>
      </c>
    </row>
    <row r="675" spans="1:35" ht="36" x14ac:dyDescent="0.3">
      <c r="A675" s="10" t="s">
        <v>2588</v>
      </c>
      <c r="B675" s="10"/>
      <c r="C675" s="24" t="s">
        <v>1767</v>
      </c>
      <c r="D675" s="12"/>
      <c r="E675" s="12"/>
      <c r="F675" s="18" t="s">
        <v>64</v>
      </c>
      <c r="G675" s="19">
        <v>1.05</v>
      </c>
      <c r="H675" s="19"/>
      <c r="I675" s="19">
        <v>39.585000000000001</v>
      </c>
      <c r="J675" s="21">
        <v>135.53</v>
      </c>
      <c r="M675" s="22">
        <f t="shared" si="37"/>
        <v>5364.96</v>
      </c>
      <c r="P675" s="21">
        <v>135.53</v>
      </c>
      <c r="S675" s="22">
        <f t="shared" si="38"/>
        <v>5364.96</v>
      </c>
      <c r="V675" s="9">
        <f t="shared" si="39"/>
        <v>112.94</v>
      </c>
      <c r="Y675" s="9">
        <f t="shared" si="36"/>
        <v>4470.8</v>
      </c>
      <c r="AD675" s="4" t="s">
        <v>2589</v>
      </c>
      <c r="AE675" s="4" t="s">
        <v>2590</v>
      </c>
      <c r="AF675" s="4" t="s">
        <v>1770</v>
      </c>
    </row>
    <row r="676" spans="1:35" ht="18" x14ac:dyDescent="0.3">
      <c r="A676" s="10" t="s">
        <v>2591</v>
      </c>
      <c r="B676" s="10"/>
      <c r="C676" s="24" t="s">
        <v>2592</v>
      </c>
      <c r="D676" s="12"/>
      <c r="E676" s="12"/>
      <c r="F676" s="18" t="s">
        <v>116</v>
      </c>
      <c r="G676" s="19">
        <v>0.75</v>
      </c>
      <c r="H676" s="19"/>
      <c r="I676" s="19">
        <v>28.274999999999999</v>
      </c>
      <c r="J676" s="21">
        <v>2.8</v>
      </c>
      <c r="M676" s="22">
        <f t="shared" si="37"/>
        <v>79.17</v>
      </c>
      <c r="P676" s="21">
        <v>2.8</v>
      </c>
      <c r="S676" s="22">
        <f t="shared" si="38"/>
        <v>79.17</v>
      </c>
      <c r="V676" s="9">
        <f t="shared" si="39"/>
        <v>2.33</v>
      </c>
      <c r="Y676" s="9">
        <f t="shared" ref="Y676:Y707" si="40">ROUND(S676 / 1.2, 2)</f>
        <v>65.98</v>
      </c>
      <c r="AD676" s="4" t="s">
        <v>2593</v>
      </c>
      <c r="AE676" s="4" t="s">
        <v>2594</v>
      </c>
      <c r="AF676" s="4" t="s">
        <v>2595</v>
      </c>
    </row>
    <row r="677" spans="1:35" ht="36" x14ac:dyDescent="0.3">
      <c r="A677" s="10" t="s">
        <v>2596</v>
      </c>
      <c r="B677" s="10" t="s">
        <v>2534</v>
      </c>
      <c r="C677" s="11" t="s">
        <v>2535</v>
      </c>
      <c r="D677" s="12"/>
      <c r="E677" s="12" t="s">
        <v>2597</v>
      </c>
      <c r="F677" s="12" t="s">
        <v>64</v>
      </c>
      <c r="G677" s="13">
        <v>1</v>
      </c>
      <c r="H677" s="13"/>
      <c r="I677" s="13">
        <v>31.97</v>
      </c>
      <c r="J677" s="14">
        <f>IFERROR(ROUND(SUM(M678,M679,M680,M681,M682,M683,M684,M685,M686,M687,M688,M689)/I677, 2),0)</f>
        <v>467.16</v>
      </c>
      <c r="K677" s="15">
        <v>1199</v>
      </c>
      <c r="L677" s="14">
        <f>J677+ROUND(K677, 2)</f>
        <v>1666.16</v>
      </c>
      <c r="M677" s="14">
        <f>ROUND(J677*I677, 2)</f>
        <v>14935.11</v>
      </c>
      <c r="N677" s="14">
        <f>ROUND(I677*ROUND(K677, 2), 2)</f>
        <v>38332.03</v>
      </c>
      <c r="O677" s="14">
        <f>M677+N677</f>
        <v>53267.14</v>
      </c>
      <c r="P677" s="14">
        <f>IFERROR(ROUND(SUM(S678,S679,S680,S681,S682,S683,S684,S685,S686,S687,S688,S689)/I677, 2),0)</f>
        <v>2063.5300000000002</v>
      </c>
      <c r="Q677" s="15">
        <v>1199</v>
      </c>
      <c r="R677" s="14">
        <f>P677+ROUND(Q677, 2)</f>
        <v>3262.53</v>
      </c>
      <c r="S677" s="14">
        <f>ROUND(P677*I677, 2)</f>
        <v>65971.05</v>
      </c>
      <c r="T677" s="14">
        <f>ROUND(I677*ROUND(Q677, 2), 2)</f>
        <v>38332.03</v>
      </c>
      <c r="U677" s="14">
        <f>S677+T677</f>
        <v>104303.08</v>
      </c>
      <c r="V677" s="9">
        <f>ROUND(P677 / 1.2, 2)</f>
        <v>1719.61</v>
      </c>
      <c r="W677" s="9">
        <f>ROUND(Q677 / 1.2, 2)</f>
        <v>999.17</v>
      </c>
      <c r="X677" s="9">
        <f>ROUND(R677 / 1.2, 2)</f>
        <v>2718.78</v>
      </c>
      <c r="Y677" s="9">
        <f t="shared" si="40"/>
        <v>54975.88</v>
      </c>
      <c r="Z677" s="9">
        <f>ROUND(T677 / 1.2, 2)</f>
        <v>31943.360000000001</v>
      </c>
      <c r="AA677" s="9">
        <f>Y677+Z677</f>
        <v>86919.239999999991</v>
      </c>
      <c r="AD677" s="4">
        <v>298925497</v>
      </c>
      <c r="AE677" s="4">
        <v>19825684</v>
      </c>
      <c r="AG677" s="4" t="s">
        <v>2537</v>
      </c>
      <c r="AH677" s="4" t="s">
        <v>2538</v>
      </c>
      <c r="AI677" s="4" t="s">
        <v>67</v>
      </c>
    </row>
    <row r="678" spans="1:35" ht="18" x14ac:dyDescent="0.3">
      <c r="A678" s="10" t="s">
        <v>2598</v>
      </c>
      <c r="B678" s="10"/>
      <c r="C678" s="24" t="s">
        <v>2592</v>
      </c>
      <c r="D678" s="12"/>
      <c r="E678" s="12"/>
      <c r="F678" s="18" t="s">
        <v>116</v>
      </c>
      <c r="G678" s="19">
        <v>0.75</v>
      </c>
      <c r="H678" s="19"/>
      <c r="I678" s="19">
        <v>23.978000000000002</v>
      </c>
      <c r="J678" s="21">
        <v>2.8</v>
      </c>
      <c r="M678" s="22">
        <f t="shared" ref="M678:M689" si="41">ROUND(ROUND(J678, 2)*I678, 2)</f>
        <v>67.14</v>
      </c>
      <c r="P678" s="21">
        <v>2.8</v>
      </c>
      <c r="S678" s="22">
        <f t="shared" ref="S678:S689" si="42">ROUND(ROUND(P678, 2)*I678, 2)</f>
        <v>67.14</v>
      </c>
      <c r="V678" s="9">
        <f t="shared" ref="V678:V689" si="43">ROUND(ROUND(P678, 2)/1.2, 2)</f>
        <v>2.33</v>
      </c>
      <c r="Y678" s="9">
        <f t="shared" si="40"/>
        <v>55.95</v>
      </c>
      <c r="AD678" s="4" t="s">
        <v>2599</v>
      </c>
      <c r="AE678" s="4" t="s">
        <v>2600</v>
      </c>
      <c r="AF678" s="4" t="s">
        <v>2595</v>
      </c>
    </row>
    <row r="679" spans="1:35" ht="36" x14ac:dyDescent="0.3">
      <c r="A679" s="10" t="s">
        <v>2601</v>
      </c>
      <c r="B679" s="10"/>
      <c r="C679" s="24" t="s">
        <v>433</v>
      </c>
      <c r="D679" s="12"/>
      <c r="E679" s="12"/>
      <c r="F679" s="18" t="s">
        <v>70</v>
      </c>
      <c r="G679" s="19">
        <v>0.1</v>
      </c>
      <c r="H679" s="19"/>
      <c r="I679" s="19">
        <v>3.1970000000000001</v>
      </c>
      <c r="J679" s="21">
        <v>88.8</v>
      </c>
      <c r="M679" s="22">
        <f t="shared" si="41"/>
        <v>283.89</v>
      </c>
      <c r="P679" s="21">
        <v>88.8</v>
      </c>
      <c r="S679" s="22">
        <f t="shared" si="42"/>
        <v>283.89</v>
      </c>
      <c r="V679" s="9">
        <f t="shared" si="43"/>
        <v>74</v>
      </c>
      <c r="Y679" s="9">
        <f t="shared" si="40"/>
        <v>236.58</v>
      </c>
      <c r="AD679" s="4" t="s">
        <v>2602</v>
      </c>
      <c r="AE679" s="4" t="s">
        <v>2603</v>
      </c>
      <c r="AF679" s="4" t="s">
        <v>436</v>
      </c>
    </row>
    <row r="680" spans="1:35" ht="18" x14ac:dyDescent="0.3">
      <c r="A680" s="10" t="s">
        <v>2604</v>
      </c>
      <c r="B680" s="10"/>
      <c r="C680" s="17" t="s">
        <v>2581</v>
      </c>
      <c r="D680" s="12"/>
      <c r="E680" s="12"/>
      <c r="F680" s="18" t="s">
        <v>116</v>
      </c>
      <c r="G680" s="19">
        <v>4.2</v>
      </c>
      <c r="H680" s="19"/>
      <c r="I680" s="19">
        <v>134.274</v>
      </c>
      <c r="J680" s="21">
        <v>4.92</v>
      </c>
      <c r="M680" s="22">
        <f t="shared" si="41"/>
        <v>660.63</v>
      </c>
      <c r="P680" s="21">
        <v>4.92</v>
      </c>
      <c r="S680" s="22">
        <f t="shared" si="42"/>
        <v>660.63</v>
      </c>
      <c r="V680" s="9">
        <f t="shared" si="43"/>
        <v>4.0999999999999996</v>
      </c>
      <c r="Y680" s="9">
        <f t="shared" si="40"/>
        <v>550.53</v>
      </c>
      <c r="AD680" s="4" t="s">
        <v>2605</v>
      </c>
      <c r="AE680" s="4" t="s">
        <v>2606</v>
      </c>
      <c r="AF680" s="4" t="s">
        <v>2584</v>
      </c>
    </row>
    <row r="681" spans="1:35" ht="18" x14ac:dyDescent="0.3">
      <c r="A681" s="10" t="s">
        <v>2607</v>
      </c>
      <c r="B681" s="10"/>
      <c r="C681" s="24" t="s">
        <v>2571</v>
      </c>
      <c r="D681" s="12"/>
      <c r="E681" s="12"/>
      <c r="F681" s="18" t="s">
        <v>87</v>
      </c>
      <c r="G681" s="19">
        <v>0.3</v>
      </c>
      <c r="H681" s="19"/>
      <c r="I681" s="19">
        <v>9.5909999999999993</v>
      </c>
      <c r="J681" s="21">
        <v>44.13</v>
      </c>
      <c r="M681" s="22">
        <f t="shared" si="41"/>
        <v>423.25</v>
      </c>
      <c r="P681" s="21">
        <v>44.13</v>
      </c>
      <c r="S681" s="22">
        <f t="shared" si="42"/>
        <v>423.25</v>
      </c>
      <c r="V681" s="9">
        <f t="shared" si="43"/>
        <v>36.78</v>
      </c>
      <c r="Y681" s="9">
        <f t="shared" si="40"/>
        <v>352.71</v>
      </c>
      <c r="AD681" s="4" t="s">
        <v>2608</v>
      </c>
      <c r="AE681" s="4" t="s">
        <v>2609</v>
      </c>
      <c r="AF681" s="4" t="s">
        <v>2574</v>
      </c>
    </row>
    <row r="682" spans="1:35" ht="18" x14ac:dyDescent="0.3">
      <c r="A682" s="10" t="s">
        <v>2610</v>
      </c>
      <c r="B682" s="10"/>
      <c r="C682" s="24" t="s">
        <v>2576</v>
      </c>
      <c r="D682" s="12"/>
      <c r="E682" s="12"/>
      <c r="F682" s="18" t="s">
        <v>87</v>
      </c>
      <c r="G682" s="19">
        <v>4.7</v>
      </c>
      <c r="H682" s="19"/>
      <c r="I682" s="19">
        <v>150.25899999999999</v>
      </c>
      <c r="J682" s="21">
        <v>66.98</v>
      </c>
      <c r="M682" s="22">
        <f t="shared" si="41"/>
        <v>10064.35</v>
      </c>
      <c r="P682" s="21">
        <v>66.98</v>
      </c>
      <c r="S682" s="22">
        <f t="shared" si="42"/>
        <v>10064.35</v>
      </c>
      <c r="V682" s="9">
        <f t="shared" si="43"/>
        <v>55.82</v>
      </c>
      <c r="Y682" s="9">
        <f t="shared" si="40"/>
        <v>8386.9599999999991</v>
      </c>
      <c r="AD682" s="4" t="s">
        <v>2611</v>
      </c>
      <c r="AE682" s="4" t="s">
        <v>2612</v>
      </c>
      <c r="AF682" s="4" t="s">
        <v>2579</v>
      </c>
    </row>
    <row r="683" spans="1:35" ht="18" x14ac:dyDescent="0.3">
      <c r="A683" s="10" t="s">
        <v>2613</v>
      </c>
      <c r="B683" s="10"/>
      <c r="C683" s="24" t="s">
        <v>2566</v>
      </c>
      <c r="D683" s="12"/>
      <c r="E683" s="12"/>
      <c r="F683" s="18" t="s">
        <v>87</v>
      </c>
      <c r="G683" s="19">
        <v>1.25</v>
      </c>
      <c r="H683" s="19"/>
      <c r="I683" s="19">
        <v>39.963000000000001</v>
      </c>
      <c r="J683" s="21">
        <v>2.8</v>
      </c>
      <c r="M683" s="22">
        <f t="shared" si="41"/>
        <v>111.9</v>
      </c>
      <c r="P683" s="21">
        <v>2.8</v>
      </c>
      <c r="S683" s="22">
        <f t="shared" si="42"/>
        <v>111.9</v>
      </c>
      <c r="V683" s="9">
        <f t="shared" si="43"/>
        <v>2.33</v>
      </c>
      <c r="Y683" s="9">
        <f t="shared" si="40"/>
        <v>93.25</v>
      </c>
      <c r="AD683" s="4" t="s">
        <v>2614</v>
      </c>
      <c r="AE683" s="4" t="s">
        <v>2615</v>
      </c>
      <c r="AF683" s="4" t="s">
        <v>2569</v>
      </c>
    </row>
    <row r="684" spans="1:35" ht="18" x14ac:dyDescent="0.3">
      <c r="A684" s="10" t="s">
        <v>2616</v>
      </c>
      <c r="B684" s="10"/>
      <c r="C684" s="24" t="s">
        <v>2561</v>
      </c>
      <c r="D684" s="12"/>
      <c r="E684" s="12"/>
      <c r="F684" s="18" t="s">
        <v>87</v>
      </c>
      <c r="G684" s="19">
        <v>1.05</v>
      </c>
      <c r="H684" s="19"/>
      <c r="I684" s="19">
        <v>33.569000000000003</v>
      </c>
      <c r="J684" s="21">
        <v>4.5999999999999996</v>
      </c>
      <c r="M684" s="22">
        <f t="shared" si="41"/>
        <v>154.41999999999999</v>
      </c>
      <c r="P684" s="21">
        <v>4.5999999999999996</v>
      </c>
      <c r="S684" s="22">
        <f t="shared" si="42"/>
        <v>154.41999999999999</v>
      </c>
      <c r="V684" s="9">
        <f t="shared" si="43"/>
        <v>3.83</v>
      </c>
      <c r="Y684" s="9">
        <f t="shared" si="40"/>
        <v>128.68</v>
      </c>
      <c r="AD684" s="4" t="s">
        <v>2617</v>
      </c>
      <c r="AE684" s="4" t="s">
        <v>2618</v>
      </c>
      <c r="AF684" s="4" t="s">
        <v>2564</v>
      </c>
    </row>
    <row r="685" spans="1:35" ht="18" x14ac:dyDescent="0.3">
      <c r="A685" s="10" t="s">
        <v>2619</v>
      </c>
      <c r="B685" s="10"/>
      <c r="C685" s="24" t="s">
        <v>1797</v>
      </c>
      <c r="D685" s="12"/>
      <c r="E685" s="12"/>
      <c r="F685" s="18" t="s">
        <v>64</v>
      </c>
      <c r="G685" s="19">
        <v>1.05</v>
      </c>
      <c r="H685" s="19"/>
      <c r="I685" s="19">
        <v>33.569000000000003</v>
      </c>
      <c r="J685" s="21">
        <v>0</v>
      </c>
      <c r="M685" s="22">
        <f t="shared" si="41"/>
        <v>0</v>
      </c>
      <c r="P685" s="21">
        <v>1520.33</v>
      </c>
      <c r="S685" s="22">
        <f t="shared" si="42"/>
        <v>51035.96</v>
      </c>
      <c r="V685" s="9">
        <f t="shared" si="43"/>
        <v>1266.94</v>
      </c>
      <c r="Y685" s="9">
        <f t="shared" si="40"/>
        <v>42529.97</v>
      </c>
      <c r="AD685" s="4" t="s">
        <v>2620</v>
      </c>
      <c r="AE685" s="4" t="s">
        <v>2621</v>
      </c>
      <c r="AF685" s="4" t="s">
        <v>1800</v>
      </c>
    </row>
    <row r="686" spans="1:35" ht="18" x14ac:dyDescent="0.3">
      <c r="A686" s="10" t="s">
        <v>2622</v>
      </c>
      <c r="B686" s="10"/>
      <c r="C686" s="24" t="s">
        <v>1753</v>
      </c>
      <c r="D686" s="12"/>
      <c r="E686" s="12"/>
      <c r="F686" s="18" t="s">
        <v>70</v>
      </c>
      <c r="G686" s="19">
        <v>0.35</v>
      </c>
      <c r="H686" s="19"/>
      <c r="I686" s="19">
        <v>11.19</v>
      </c>
      <c r="J686" s="21">
        <v>55</v>
      </c>
      <c r="M686" s="22">
        <f t="shared" si="41"/>
        <v>615.45000000000005</v>
      </c>
      <c r="P686" s="21">
        <v>55</v>
      </c>
      <c r="S686" s="22">
        <f t="shared" si="42"/>
        <v>615.45000000000005</v>
      </c>
      <c r="V686" s="9">
        <f t="shared" si="43"/>
        <v>45.83</v>
      </c>
      <c r="Y686" s="9">
        <f t="shared" si="40"/>
        <v>512.88</v>
      </c>
      <c r="AD686" s="4" t="s">
        <v>2623</v>
      </c>
      <c r="AE686" s="4" t="s">
        <v>2624</v>
      </c>
      <c r="AF686" s="4" t="s">
        <v>1756</v>
      </c>
    </row>
    <row r="687" spans="1:35" ht="36" x14ac:dyDescent="0.3">
      <c r="A687" s="10" t="s">
        <v>2625</v>
      </c>
      <c r="B687" s="10"/>
      <c r="C687" s="17" t="s">
        <v>2553</v>
      </c>
      <c r="D687" s="12"/>
      <c r="E687" s="12"/>
      <c r="F687" s="18" t="s">
        <v>116</v>
      </c>
      <c r="G687" s="19">
        <v>3.6</v>
      </c>
      <c r="H687" s="19"/>
      <c r="I687" s="19">
        <v>115.092</v>
      </c>
      <c r="J687" s="21">
        <v>15.9</v>
      </c>
      <c r="M687" s="22">
        <f t="shared" si="41"/>
        <v>1829.96</v>
      </c>
      <c r="P687" s="21">
        <v>15.9</v>
      </c>
      <c r="S687" s="22">
        <f t="shared" si="42"/>
        <v>1829.96</v>
      </c>
      <c r="V687" s="9">
        <f t="shared" si="43"/>
        <v>13.25</v>
      </c>
      <c r="Y687" s="9">
        <f t="shared" si="40"/>
        <v>1524.97</v>
      </c>
      <c r="AD687" s="4" t="s">
        <v>2626</v>
      </c>
      <c r="AE687" s="4" t="s">
        <v>2627</v>
      </c>
      <c r="AF687" s="4" t="s">
        <v>2556</v>
      </c>
    </row>
    <row r="688" spans="1:35" ht="18" x14ac:dyDescent="0.3">
      <c r="A688" s="10" t="s">
        <v>2628</v>
      </c>
      <c r="B688" s="10"/>
      <c r="C688" s="24" t="s">
        <v>1920</v>
      </c>
      <c r="D688" s="12"/>
      <c r="E688" s="12"/>
      <c r="F688" s="18" t="s">
        <v>116</v>
      </c>
      <c r="G688" s="19">
        <v>30</v>
      </c>
      <c r="H688" s="19"/>
      <c r="I688" s="19">
        <v>959.1</v>
      </c>
      <c r="J688" s="21">
        <v>0.28000000000000003</v>
      </c>
      <c r="M688" s="22">
        <f t="shared" si="41"/>
        <v>268.55</v>
      </c>
      <c r="P688" s="21">
        <v>0.28000000000000003</v>
      </c>
      <c r="S688" s="22">
        <f t="shared" si="42"/>
        <v>268.55</v>
      </c>
      <c r="V688" s="9">
        <f t="shared" si="43"/>
        <v>0.23</v>
      </c>
      <c r="Y688" s="9">
        <f t="shared" si="40"/>
        <v>223.79</v>
      </c>
      <c r="AD688" s="4" t="s">
        <v>2629</v>
      </c>
      <c r="AE688" s="4" t="s">
        <v>2630</v>
      </c>
      <c r="AF688" s="4" t="s">
        <v>1923</v>
      </c>
    </row>
    <row r="689" spans="1:35" ht="18" x14ac:dyDescent="0.3">
      <c r="A689" s="10" t="s">
        <v>2631</v>
      </c>
      <c r="B689" s="10"/>
      <c r="C689" s="24" t="s">
        <v>2545</v>
      </c>
      <c r="D689" s="12"/>
      <c r="E689" s="12"/>
      <c r="F689" s="18" t="s">
        <v>116</v>
      </c>
      <c r="G689" s="19">
        <v>15</v>
      </c>
      <c r="H689" s="19"/>
      <c r="I689" s="19">
        <v>479.55</v>
      </c>
      <c r="J689" s="21">
        <v>0.95</v>
      </c>
      <c r="M689" s="22">
        <f t="shared" si="41"/>
        <v>455.57</v>
      </c>
      <c r="P689" s="21">
        <v>0.95</v>
      </c>
      <c r="S689" s="22">
        <f t="shared" si="42"/>
        <v>455.57</v>
      </c>
      <c r="V689" s="9">
        <f t="shared" si="43"/>
        <v>0.79</v>
      </c>
      <c r="Y689" s="9">
        <f t="shared" si="40"/>
        <v>379.64</v>
      </c>
      <c r="AD689" s="4" t="s">
        <v>2632</v>
      </c>
      <c r="AE689" s="4" t="s">
        <v>2633</v>
      </c>
      <c r="AF689" s="4" t="s">
        <v>2548</v>
      </c>
    </row>
    <row r="690" spans="1:35" ht="36" x14ac:dyDescent="0.3">
      <c r="A690" s="10" t="s">
        <v>2634</v>
      </c>
      <c r="B690" s="10" t="s">
        <v>2534</v>
      </c>
      <c r="C690" s="11" t="s">
        <v>2535</v>
      </c>
      <c r="D690" s="12"/>
      <c r="E690" s="12" t="s">
        <v>2635</v>
      </c>
      <c r="F690" s="12" t="s">
        <v>64</v>
      </c>
      <c r="G690" s="13">
        <v>1</v>
      </c>
      <c r="H690" s="13"/>
      <c r="I690" s="13">
        <v>246.36</v>
      </c>
      <c r="J690" s="14">
        <f>IFERROR(ROUND(SUM(M691,M692,M693,M694,M695,M696,M697,M698,M699,M700,M701)/I690, 2),0)</f>
        <v>583.02</v>
      </c>
      <c r="K690" s="15">
        <v>1199</v>
      </c>
      <c r="L690" s="14">
        <f>J690+ROUND(K690, 2)</f>
        <v>1782.02</v>
      </c>
      <c r="M690" s="14">
        <f>ROUND(J690*I690, 2)</f>
        <v>143632.81</v>
      </c>
      <c r="N690" s="14">
        <f>ROUND(I690*ROUND(K690, 2), 2)</f>
        <v>295385.64</v>
      </c>
      <c r="O690" s="14">
        <f>M690+N690</f>
        <v>439018.45</v>
      </c>
      <c r="P690" s="14">
        <f>IFERROR(ROUND(SUM(S691,S692,S693,S694,S695,S696,S697,S698,S699,S700,S701)/I690, 2),0)</f>
        <v>583.02</v>
      </c>
      <c r="Q690" s="15">
        <v>1199</v>
      </c>
      <c r="R690" s="14">
        <f>P690+ROUND(Q690, 2)</f>
        <v>1782.02</v>
      </c>
      <c r="S690" s="14">
        <f>ROUND(P690*I690, 2)</f>
        <v>143632.81</v>
      </c>
      <c r="T690" s="14">
        <f>ROUND(I690*ROUND(Q690, 2), 2)</f>
        <v>295385.64</v>
      </c>
      <c r="U690" s="14">
        <f>S690+T690</f>
        <v>439018.45</v>
      </c>
      <c r="V690" s="9">
        <f>ROUND(P690 / 1.2, 2)</f>
        <v>485.85</v>
      </c>
      <c r="W690" s="9">
        <f>ROUND(Q690 / 1.2, 2)</f>
        <v>999.17</v>
      </c>
      <c r="X690" s="9">
        <f>ROUND(R690 / 1.2, 2)</f>
        <v>1485.02</v>
      </c>
      <c r="Y690" s="9">
        <f t="shared" si="40"/>
        <v>119694.01</v>
      </c>
      <c r="Z690" s="9">
        <f>ROUND(T690 / 1.2, 2)</f>
        <v>246154.7</v>
      </c>
      <c r="AA690" s="9">
        <f>Y690+Z690</f>
        <v>365848.71</v>
      </c>
      <c r="AD690" s="4">
        <v>298925498</v>
      </c>
      <c r="AE690" s="4">
        <v>20004302</v>
      </c>
      <c r="AG690" s="4" t="s">
        <v>2537</v>
      </c>
      <c r="AH690" s="4" t="s">
        <v>2538</v>
      </c>
      <c r="AI690" s="4" t="s">
        <v>67</v>
      </c>
    </row>
    <row r="691" spans="1:35" ht="18" x14ac:dyDescent="0.3">
      <c r="A691" s="10" t="s">
        <v>2636</v>
      </c>
      <c r="B691" s="10"/>
      <c r="C691" s="24" t="s">
        <v>2540</v>
      </c>
      <c r="D691" s="12"/>
      <c r="E691" s="12"/>
      <c r="F691" s="18" t="s">
        <v>116</v>
      </c>
      <c r="G691" s="19">
        <v>0.3</v>
      </c>
      <c r="H691" s="19"/>
      <c r="I691" s="19">
        <v>73.908000000000001</v>
      </c>
      <c r="J691" s="21">
        <v>5.6</v>
      </c>
      <c r="M691" s="22">
        <f t="shared" ref="M691:M701" si="44">ROUND(ROUND(J691, 2)*I691, 2)</f>
        <v>413.88</v>
      </c>
      <c r="P691" s="21">
        <v>5.6</v>
      </c>
      <c r="S691" s="22">
        <f t="shared" ref="S691:S701" si="45">ROUND(ROUND(P691, 2)*I691, 2)</f>
        <v>413.88</v>
      </c>
      <c r="V691" s="9">
        <f t="shared" ref="V691:V701" si="46">ROUND(ROUND(P691, 2)/1.2, 2)</f>
        <v>4.67</v>
      </c>
      <c r="Y691" s="9">
        <f t="shared" si="40"/>
        <v>344.9</v>
      </c>
      <c r="AD691" s="4" t="s">
        <v>2637</v>
      </c>
      <c r="AE691" s="4" t="s">
        <v>2638</v>
      </c>
      <c r="AF691" s="4" t="s">
        <v>2543</v>
      </c>
    </row>
    <row r="692" spans="1:35" ht="18" x14ac:dyDescent="0.3">
      <c r="A692" s="10" t="s">
        <v>2639</v>
      </c>
      <c r="B692" s="10"/>
      <c r="C692" s="24" t="s">
        <v>2545</v>
      </c>
      <c r="D692" s="12"/>
      <c r="E692" s="12"/>
      <c r="F692" s="18" t="s">
        <v>116</v>
      </c>
      <c r="G692" s="19">
        <v>15</v>
      </c>
      <c r="H692" s="19"/>
      <c r="I692" s="19">
        <v>3695.4</v>
      </c>
      <c r="J692" s="21">
        <v>0.95</v>
      </c>
      <c r="M692" s="22">
        <f t="shared" si="44"/>
        <v>3510.63</v>
      </c>
      <c r="P692" s="21">
        <v>0.95</v>
      </c>
      <c r="S692" s="22">
        <f t="shared" si="45"/>
        <v>3510.63</v>
      </c>
      <c r="V692" s="9">
        <f t="shared" si="46"/>
        <v>0.79</v>
      </c>
      <c r="Y692" s="9">
        <f t="shared" si="40"/>
        <v>2925.53</v>
      </c>
      <c r="AD692" s="4" t="s">
        <v>2640</v>
      </c>
      <c r="AE692" s="4" t="s">
        <v>2641</v>
      </c>
      <c r="AF692" s="4" t="s">
        <v>2548</v>
      </c>
    </row>
    <row r="693" spans="1:35" ht="18" x14ac:dyDescent="0.3">
      <c r="A693" s="10" t="s">
        <v>2642</v>
      </c>
      <c r="B693" s="10"/>
      <c r="C693" s="24" t="s">
        <v>1920</v>
      </c>
      <c r="D693" s="12"/>
      <c r="E693" s="12"/>
      <c r="F693" s="18" t="s">
        <v>116</v>
      </c>
      <c r="G693" s="19">
        <v>30</v>
      </c>
      <c r="H693" s="19"/>
      <c r="I693" s="19">
        <v>7390.8</v>
      </c>
      <c r="J693" s="21">
        <v>0.28000000000000003</v>
      </c>
      <c r="M693" s="22">
        <f t="shared" si="44"/>
        <v>2069.42</v>
      </c>
      <c r="P693" s="21">
        <v>0.28000000000000003</v>
      </c>
      <c r="S693" s="22">
        <f t="shared" si="45"/>
        <v>2069.42</v>
      </c>
      <c r="V693" s="9">
        <f t="shared" si="46"/>
        <v>0.23</v>
      </c>
      <c r="Y693" s="9">
        <f t="shared" si="40"/>
        <v>1724.52</v>
      </c>
      <c r="AD693" s="4" t="s">
        <v>2643</v>
      </c>
      <c r="AE693" s="4" t="s">
        <v>2644</v>
      </c>
      <c r="AF693" s="4" t="s">
        <v>1923</v>
      </c>
    </row>
    <row r="694" spans="1:35" ht="36" x14ac:dyDescent="0.3">
      <c r="A694" s="10" t="s">
        <v>2645</v>
      </c>
      <c r="B694" s="10"/>
      <c r="C694" s="17" t="s">
        <v>2553</v>
      </c>
      <c r="D694" s="12"/>
      <c r="E694" s="12"/>
      <c r="F694" s="18" t="s">
        <v>116</v>
      </c>
      <c r="G694" s="19">
        <v>3.6</v>
      </c>
      <c r="H694" s="19"/>
      <c r="I694" s="19">
        <v>886.89599999999996</v>
      </c>
      <c r="J694" s="21">
        <v>15.9</v>
      </c>
      <c r="M694" s="22">
        <f t="shared" si="44"/>
        <v>14101.65</v>
      </c>
      <c r="P694" s="21">
        <v>15.9</v>
      </c>
      <c r="S694" s="22">
        <f t="shared" si="45"/>
        <v>14101.65</v>
      </c>
      <c r="V694" s="9">
        <f t="shared" si="46"/>
        <v>13.25</v>
      </c>
      <c r="Y694" s="9">
        <f t="shared" si="40"/>
        <v>11751.38</v>
      </c>
      <c r="AD694" s="4" t="s">
        <v>2646</v>
      </c>
      <c r="AE694" s="4" t="s">
        <v>2647</v>
      </c>
      <c r="AF694" s="4" t="s">
        <v>2556</v>
      </c>
    </row>
    <row r="695" spans="1:35" ht="18" x14ac:dyDescent="0.3">
      <c r="A695" s="10" t="s">
        <v>2648</v>
      </c>
      <c r="B695" s="10"/>
      <c r="C695" s="24" t="s">
        <v>2561</v>
      </c>
      <c r="D695" s="12"/>
      <c r="E695" s="12"/>
      <c r="F695" s="18" t="s">
        <v>87</v>
      </c>
      <c r="G695" s="19">
        <v>1.05</v>
      </c>
      <c r="H695" s="19"/>
      <c r="I695" s="19">
        <v>258.678</v>
      </c>
      <c r="J695" s="21">
        <v>4.5999999999999996</v>
      </c>
      <c r="M695" s="22">
        <f t="shared" si="44"/>
        <v>1189.92</v>
      </c>
      <c r="P695" s="21">
        <v>4.5999999999999996</v>
      </c>
      <c r="S695" s="22">
        <f t="shared" si="45"/>
        <v>1189.92</v>
      </c>
      <c r="V695" s="9">
        <f t="shared" si="46"/>
        <v>3.83</v>
      </c>
      <c r="Y695" s="9">
        <f t="shared" si="40"/>
        <v>991.6</v>
      </c>
      <c r="AD695" s="4" t="s">
        <v>2649</v>
      </c>
      <c r="AE695" s="4" t="s">
        <v>2650</v>
      </c>
      <c r="AF695" s="4" t="s">
        <v>2564</v>
      </c>
    </row>
    <row r="696" spans="1:35" ht="18" x14ac:dyDescent="0.3">
      <c r="A696" s="10" t="s">
        <v>2651</v>
      </c>
      <c r="B696" s="10"/>
      <c r="C696" s="24" t="s">
        <v>2566</v>
      </c>
      <c r="D696" s="12"/>
      <c r="E696" s="12"/>
      <c r="F696" s="18" t="s">
        <v>87</v>
      </c>
      <c r="G696" s="19">
        <v>1.25</v>
      </c>
      <c r="H696" s="19"/>
      <c r="I696" s="19">
        <v>307.95</v>
      </c>
      <c r="J696" s="21">
        <v>2.8</v>
      </c>
      <c r="M696" s="22">
        <f t="shared" si="44"/>
        <v>862.26</v>
      </c>
      <c r="P696" s="21">
        <v>2.8</v>
      </c>
      <c r="S696" s="22">
        <f t="shared" si="45"/>
        <v>862.26</v>
      </c>
      <c r="V696" s="9">
        <f t="shared" si="46"/>
        <v>2.33</v>
      </c>
      <c r="Y696" s="9">
        <f t="shared" si="40"/>
        <v>718.55</v>
      </c>
      <c r="AD696" s="4" t="s">
        <v>2652</v>
      </c>
      <c r="AE696" s="4" t="s">
        <v>2653</v>
      </c>
      <c r="AF696" s="4" t="s">
        <v>2569</v>
      </c>
    </row>
    <row r="697" spans="1:35" ht="18" x14ac:dyDescent="0.3">
      <c r="A697" s="10" t="s">
        <v>2654</v>
      </c>
      <c r="B697" s="10"/>
      <c r="C697" s="24" t="s">
        <v>2571</v>
      </c>
      <c r="D697" s="12"/>
      <c r="E697" s="12"/>
      <c r="F697" s="18" t="s">
        <v>87</v>
      </c>
      <c r="G697" s="19">
        <v>0.3</v>
      </c>
      <c r="H697" s="19"/>
      <c r="I697" s="19">
        <v>73.908000000000001</v>
      </c>
      <c r="J697" s="21">
        <v>44.13</v>
      </c>
      <c r="M697" s="22">
        <f t="shared" si="44"/>
        <v>3261.56</v>
      </c>
      <c r="P697" s="21">
        <v>44.13</v>
      </c>
      <c r="S697" s="22">
        <f t="shared" si="45"/>
        <v>3261.56</v>
      </c>
      <c r="V697" s="9">
        <f t="shared" si="46"/>
        <v>36.78</v>
      </c>
      <c r="Y697" s="9">
        <f t="shared" si="40"/>
        <v>2717.97</v>
      </c>
      <c r="AD697" s="4" t="s">
        <v>2655</v>
      </c>
      <c r="AE697" s="4" t="s">
        <v>2656</v>
      </c>
      <c r="AF697" s="4" t="s">
        <v>2574</v>
      </c>
    </row>
    <row r="698" spans="1:35" ht="18" x14ac:dyDescent="0.3">
      <c r="A698" s="10" t="s">
        <v>2657</v>
      </c>
      <c r="B698" s="10"/>
      <c r="C698" s="24" t="s">
        <v>2576</v>
      </c>
      <c r="D698" s="12"/>
      <c r="E698" s="12"/>
      <c r="F698" s="18" t="s">
        <v>87</v>
      </c>
      <c r="G698" s="19">
        <v>4.7</v>
      </c>
      <c r="H698" s="19"/>
      <c r="I698" s="19">
        <v>1157.8920000000001</v>
      </c>
      <c r="J698" s="21">
        <v>66.98</v>
      </c>
      <c r="M698" s="22">
        <f t="shared" si="44"/>
        <v>77555.61</v>
      </c>
      <c r="P698" s="21">
        <v>66.98</v>
      </c>
      <c r="S698" s="22">
        <f t="shared" si="45"/>
        <v>77555.61</v>
      </c>
      <c r="V698" s="9">
        <f t="shared" si="46"/>
        <v>55.82</v>
      </c>
      <c r="Y698" s="9">
        <f t="shared" si="40"/>
        <v>64629.68</v>
      </c>
      <c r="AD698" s="4" t="s">
        <v>2658</v>
      </c>
      <c r="AE698" s="4" t="s">
        <v>2659</v>
      </c>
      <c r="AF698" s="4" t="s">
        <v>2579</v>
      </c>
    </row>
    <row r="699" spans="1:35" ht="18" x14ac:dyDescent="0.3">
      <c r="A699" s="10" t="s">
        <v>2660</v>
      </c>
      <c r="B699" s="10"/>
      <c r="C699" s="17" t="s">
        <v>2581</v>
      </c>
      <c r="D699" s="12"/>
      <c r="E699" s="12"/>
      <c r="F699" s="18" t="s">
        <v>116</v>
      </c>
      <c r="G699" s="19">
        <v>4.2</v>
      </c>
      <c r="H699" s="19"/>
      <c r="I699" s="19">
        <v>1034.712</v>
      </c>
      <c r="J699" s="21">
        <v>4.92</v>
      </c>
      <c r="M699" s="22">
        <f t="shared" si="44"/>
        <v>5090.78</v>
      </c>
      <c r="P699" s="21">
        <v>4.92</v>
      </c>
      <c r="S699" s="22">
        <f t="shared" si="45"/>
        <v>5090.78</v>
      </c>
      <c r="V699" s="9">
        <f t="shared" si="46"/>
        <v>4.0999999999999996</v>
      </c>
      <c r="Y699" s="9">
        <f t="shared" si="40"/>
        <v>4242.32</v>
      </c>
      <c r="AD699" s="4" t="s">
        <v>2661</v>
      </c>
      <c r="AE699" s="4" t="s">
        <v>2662</v>
      </c>
      <c r="AF699" s="4" t="s">
        <v>2584</v>
      </c>
    </row>
    <row r="700" spans="1:35" ht="36" x14ac:dyDescent="0.3">
      <c r="A700" s="10" t="s">
        <v>2663</v>
      </c>
      <c r="B700" s="10"/>
      <c r="C700" s="24" t="s">
        <v>1767</v>
      </c>
      <c r="D700" s="12"/>
      <c r="E700" s="12"/>
      <c r="F700" s="18" t="s">
        <v>64</v>
      </c>
      <c r="G700" s="19">
        <v>1.05</v>
      </c>
      <c r="H700" s="19"/>
      <c r="I700" s="19">
        <v>258.678</v>
      </c>
      <c r="J700" s="21">
        <v>135.53</v>
      </c>
      <c r="M700" s="22">
        <f t="shared" si="44"/>
        <v>35058.629999999997</v>
      </c>
      <c r="P700" s="21">
        <v>135.53</v>
      </c>
      <c r="S700" s="22">
        <f t="shared" si="45"/>
        <v>35058.629999999997</v>
      </c>
      <c r="V700" s="9">
        <f t="shared" si="46"/>
        <v>112.94</v>
      </c>
      <c r="Y700" s="9">
        <f t="shared" si="40"/>
        <v>29215.53</v>
      </c>
      <c r="AD700" s="4" t="s">
        <v>2664</v>
      </c>
      <c r="AE700" s="4" t="s">
        <v>2665</v>
      </c>
      <c r="AF700" s="4" t="s">
        <v>1770</v>
      </c>
    </row>
    <row r="701" spans="1:35" ht="18" x14ac:dyDescent="0.3">
      <c r="A701" s="10" t="s">
        <v>2666</v>
      </c>
      <c r="B701" s="10"/>
      <c r="C701" s="24" t="s">
        <v>2592</v>
      </c>
      <c r="D701" s="12"/>
      <c r="E701" s="12"/>
      <c r="F701" s="18" t="s">
        <v>116</v>
      </c>
      <c r="G701" s="19">
        <v>0.75</v>
      </c>
      <c r="H701" s="19"/>
      <c r="I701" s="19">
        <v>184.77</v>
      </c>
      <c r="J701" s="21">
        <v>2.8</v>
      </c>
      <c r="M701" s="22">
        <f t="shared" si="44"/>
        <v>517.36</v>
      </c>
      <c r="P701" s="21">
        <v>2.8</v>
      </c>
      <c r="S701" s="22">
        <f t="shared" si="45"/>
        <v>517.36</v>
      </c>
      <c r="V701" s="9">
        <f t="shared" si="46"/>
        <v>2.33</v>
      </c>
      <c r="Y701" s="9">
        <f t="shared" si="40"/>
        <v>431.13</v>
      </c>
      <c r="AD701" s="4" t="s">
        <v>2667</v>
      </c>
      <c r="AE701" s="4" t="s">
        <v>2668</v>
      </c>
      <c r="AF701" s="4" t="s">
        <v>2595</v>
      </c>
    </row>
    <row r="702" spans="1:35" ht="36" x14ac:dyDescent="0.3">
      <c r="A702" s="10" t="s">
        <v>2669</v>
      </c>
      <c r="B702" s="10" t="s">
        <v>2534</v>
      </c>
      <c r="C702" s="11" t="s">
        <v>2535</v>
      </c>
      <c r="D702" s="12"/>
      <c r="E702" s="12" t="s">
        <v>2670</v>
      </c>
      <c r="F702" s="12" t="s">
        <v>64</v>
      </c>
      <c r="G702" s="13">
        <v>1</v>
      </c>
      <c r="H702" s="13"/>
      <c r="I702" s="13">
        <v>110.66</v>
      </c>
      <c r="J702" s="14">
        <f>IFERROR(ROUND(SUM(M703,M704,M705,M706,M707,M708,M709,M710,M711,M712,M713)/I702, 2),0)</f>
        <v>440.71</v>
      </c>
      <c r="K702" s="15">
        <v>1199</v>
      </c>
      <c r="L702" s="14">
        <f>J702+ROUND(K702, 2)</f>
        <v>1639.71</v>
      </c>
      <c r="M702" s="14">
        <f>ROUND(J702*I702, 2)</f>
        <v>48768.97</v>
      </c>
      <c r="N702" s="14">
        <f>ROUND(I702*ROUND(K702, 2), 2)</f>
        <v>132681.34</v>
      </c>
      <c r="O702" s="14">
        <f>M702+N702</f>
        <v>181450.31</v>
      </c>
      <c r="P702" s="14">
        <f>IFERROR(ROUND(SUM(S703,S704,S705,S706,S707,S708,S709,S710,S711,S712,S713)/I702, 2),0)</f>
        <v>2037.06</v>
      </c>
      <c r="Q702" s="15">
        <v>1199</v>
      </c>
      <c r="R702" s="14">
        <f>P702+ROUND(Q702, 2)</f>
        <v>3236.06</v>
      </c>
      <c r="S702" s="14">
        <f>ROUND(P702*I702, 2)</f>
        <v>225421.06</v>
      </c>
      <c r="T702" s="14">
        <f>ROUND(I702*ROUND(Q702, 2), 2)</f>
        <v>132681.34</v>
      </c>
      <c r="U702" s="14">
        <f>S702+T702</f>
        <v>358102.4</v>
      </c>
      <c r="V702" s="9">
        <f>ROUND(P702 / 1.2, 2)</f>
        <v>1697.55</v>
      </c>
      <c r="W702" s="9">
        <f>ROUND(Q702 / 1.2, 2)</f>
        <v>999.17</v>
      </c>
      <c r="X702" s="9">
        <f>ROUND(R702 / 1.2, 2)</f>
        <v>2696.72</v>
      </c>
      <c r="Y702" s="9">
        <f t="shared" si="40"/>
        <v>187850.88</v>
      </c>
      <c r="Z702" s="9">
        <f>ROUND(T702 / 1.2, 2)</f>
        <v>110567.78</v>
      </c>
      <c r="AA702" s="9">
        <f>Y702+Z702</f>
        <v>298418.66000000003</v>
      </c>
      <c r="AD702" s="4">
        <v>298925499</v>
      </c>
      <c r="AE702" s="4">
        <v>20004305</v>
      </c>
      <c r="AG702" s="4" t="s">
        <v>2537</v>
      </c>
      <c r="AH702" s="4" t="s">
        <v>2538</v>
      </c>
      <c r="AI702" s="4" t="s">
        <v>67</v>
      </c>
    </row>
    <row r="703" spans="1:35" ht="18" x14ac:dyDescent="0.3">
      <c r="A703" s="10" t="s">
        <v>2671</v>
      </c>
      <c r="B703" s="10"/>
      <c r="C703" s="24" t="s">
        <v>2592</v>
      </c>
      <c r="D703" s="12"/>
      <c r="E703" s="12"/>
      <c r="F703" s="18" t="s">
        <v>116</v>
      </c>
      <c r="G703" s="19">
        <v>0.75</v>
      </c>
      <c r="H703" s="19"/>
      <c r="I703" s="19">
        <v>82.995000000000005</v>
      </c>
      <c r="J703" s="21">
        <v>2.8</v>
      </c>
      <c r="M703" s="22">
        <f t="shared" ref="M703:M713" si="47">ROUND(ROUND(J703, 2)*I703, 2)</f>
        <v>232.39</v>
      </c>
      <c r="P703" s="21">
        <v>2.8</v>
      </c>
      <c r="S703" s="22">
        <f t="shared" ref="S703:S713" si="48">ROUND(ROUND(P703, 2)*I703, 2)</f>
        <v>232.39</v>
      </c>
      <c r="V703" s="9">
        <f t="shared" ref="V703:V713" si="49">ROUND(ROUND(P703, 2)/1.2, 2)</f>
        <v>2.33</v>
      </c>
      <c r="Y703" s="9">
        <f t="shared" si="40"/>
        <v>193.66</v>
      </c>
      <c r="AD703" s="4" t="s">
        <v>2672</v>
      </c>
      <c r="AE703" s="4" t="s">
        <v>2673</v>
      </c>
      <c r="AF703" s="4" t="s">
        <v>2595</v>
      </c>
    </row>
    <row r="704" spans="1:35" ht="18" x14ac:dyDescent="0.3">
      <c r="A704" s="10" t="s">
        <v>2674</v>
      </c>
      <c r="B704" s="10"/>
      <c r="C704" s="17" t="s">
        <v>2581</v>
      </c>
      <c r="D704" s="12"/>
      <c r="E704" s="12"/>
      <c r="F704" s="18" t="s">
        <v>116</v>
      </c>
      <c r="G704" s="19">
        <v>4.2</v>
      </c>
      <c r="H704" s="19"/>
      <c r="I704" s="19">
        <v>464.77199999999999</v>
      </c>
      <c r="J704" s="21">
        <v>4.92</v>
      </c>
      <c r="M704" s="22">
        <f t="shared" si="47"/>
        <v>2286.6799999999998</v>
      </c>
      <c r="P704" s="21">
        <v>4.92</v>
      </c>
      <c r="S704" s="22">
        <f t="shared" si="48"/>
        <v>2286.6799999999998</v>
      </c>
      <c r="V704" s="9">
        <f t="shared" si="49"/>
        <v>4.0999999999999996</v>
      </c>
      <c r="Y704" s="9">
        <f t="shared" si="40"/>
        <v>1905.57</v>
      </c>
      <c r="AD704" s="4" t="s">
        <v>2675</v>
      </c>
      <c r="AE704" s="4" t="s">
        <v>2676</v>
      </c>
      <c r="AF704" s="4" t="s">
        <v>2584</v>
      </c>
    </row>
    <row r="705" spans="1:35" ht="18" x14ac:dyDescent="0.3">
      <c r="A705" s="10" t="s">
        <v>2677</v>
      </c>
      <c r="B705" s="10"/>
      <c r="C705" s="24" t="s">
        <v>2571</v>
      </c>
      <c r="D705" s="12"/>
      <c r="E705" s="12"/>
      <c r="F705" s="18" t="s">
        <v>87</v>
      </c>
      <c r="G705" s="19">
        <v>0.3</v>
      </c>
      <c r="H705" s="19"/>
      <c r="I705" s="19">
        <v>33.198</v>
      </c>
      <c r="J705" s="21">
        <v>44.13</v>
      </c>
      <c r="M705" s="22">
        <f t="shared" si="47"/>
        <v>1465.03</v>
      </c>
      <c r="P705" s="21">
        <v>44.13</v>
      </c>
      <c r="S705" s="22">
        <f t="shared" si="48"/>
        <v>1465.03</v>
      </c>
      <c r="V705" s="9">
        <f t="shared" si="49"/>
        <v>36.78</v>
      </c>
      <c r="Y705" s="9">
        <f t="shared" si="40"/>
        <v>1220.8599999999999</v>
      </c>
      <c r="AD705" s="4" t="s">
        <v>2678</v>
      </c>
      <c r="AE705" s="4" t="s">
        <v>2679</v>
      </c>
      <c r="AF705" s="4" t="s">
        <v>2574</v>
      </c>
    </row>
    <row r="706" spans="1:35" ht="18" x14ac:dyDescent="0.3">
      <c r="A706" s="10" t="s">
        <v>2680</v>
      </c>
      <c r="B706" s="10"/>
      <c r="C706" s="24" t="s">
        <v>2576</v>
      </c>
      <c r="D706" s="12"/>
      <c r="E706" s="12"/>
      <c r="F706" s="18" t="s">
        <v>87</v>
      </c>
      <c r="G706" s="19">
        <v>4.7</v>
      </c>
      <c r="H706" s="19"/>
      <c r="I706" s="19">
        <v>520.10199999999998</v>
      </c>
      <c r="J706" s="21">
        <v>66.98</v>
      </c>
      <c r="M706" s="22">
        <f t="shared" si="47"/>
        <v>34836.43</v>
      </c>
      <c r="P706" s="21">
        <v>66.98</v>
      </c>
      <c r="S706" s="22">
        <f t="shared" si="48"/>
        <v>34836.43</v>
      </c>
      <c r="V706" s="9">
        <f t="shared" si="49"/>
        <v>55.82</v>
      </c>
      <c r="Y706" s="9">
        <f t="shared" si="40"/>
        <v>29030.36</v>
      </c>
      <c r="AD706" s="4" t="s">
        <v>2681</v>
      </c>
      <c r="AE706" s="4" t="s">
        <v>2682</v>
      </c>
      <c r="AF706" s="4" t="s">
        <v>2579</v>
      </c>
    </row>
    <row r="707" spans="1:35" ht="18" x14ac:dyDescent="0.3">
      <c r="A707" s="10" t="s">
        <v>2683</v>
      </c>
      <c r="B707" s="10"/>
      <c r="C707" s="24" t="s">
        <v>2566</v>
      </c>
      <c r="D707" s="12"/>
      <c r="E707" s="12"/>
      <c r="F707" s="18" t="s">
        <v>87</v>
      </c>
      <c r="G707" s="19">
        <v>1.25</v>
      </c>
      <c r="H707" s="19"/>
      <c r="I707" s="19">
        <v>138.32499999999999</v>
      </c>
      <c r="J707" s="21">
        <v>2.8</v>
      </c>
      <c r="M707" s="22">
        <f t="shared" si="47"/>
        <v>387.31</v>
      </c>
      <c r="P707" s="21">
        <v>2.8</v>
      </c>
      <c r="S707" s="22">
        <f t="shared" si="48"/>
        <v>387.31</v>
      </c>
      <c r="V707" s="9">
        <f t="shared" si="49"/>
        <v>2.33</v>
      </c>
      <c r="Y707" s="9">
        <f t="shared" si="40"/>
        <v>322.76</v>
      </c>
      <c r="AD707" s="4" t="s">
        <v>2684</v>
      </c>
      <c r="AE707" s="4" t="s">
        <v>2685</v>
      </c>
      <c r="AF707" s="4" t="s">
        <v>2569</v>
      </c>
    </row>
    <row r="708" spans="1:35" ht="18" x14ac:dyDescent="0.3">
      <c r="A708" s="10" t="s">
        <v>2686</v>
      </c>
      <c r="B708" s="10"/>
      <c r="C708" s="24" t="s">
        <v>2561</v>
      </c>
      <c r="D708" s="12"/>
      <c r="E708" s="12"/>
      <c r="F708" s="18" t="s">
        <v>87</v>
      </c>
      <c r="G708" s="19">
        <v>1.05</v>
      </c>
      <c r="H708" s="19"/>
      <c r="I708" s="19">
        <v>116.193</v>
      </c>
      <c r="J708" s="21">
        <v>4.5999999999999996</v>
      </c>
      <c r="M708" s="22">
        <f t="shared" si="47"/>
        <v>534.49</v>
      </c>
      <c r="P708" s="21">
        <v>4.5999999999999996</v>
      </c>
      <c r="S708" s="22">
        <f t="shared" si="48"/>
        <v>534.49</v>
      </c>
      <c r="V708" s="9">
        <f t="shared" si="49"/>
        <v>3.83</v>
      </c>
      <c r="Y708" s="9">
        <f t="shared" ref="Y708:Y713" si="50">ROUND(S708 / 1.2, 2)</f>
        <v>445.41</v>
      </c>
      <c r="AD708" s="4" t="s">
        <v>2687</v>
      </c>
      <c r="AE708" s="4" t="s">
        <v>2688</v>
      </c>
      <c r="AF708" s="4" t="s">
        <v>2564</v>
      </c>
    </row>
    <row r="709" spans="1:35" ht="18" x14ac:dyDescent="0.3">
      <c r="A709" s="10" t="s">
        <v>2689</v>
      </c>
      <c r="B709" s="10"/>
      <c r="C709" s="24" t="s">
        <v>1797</v>
      </c>
      <c r="D709" s="12"/>
      <c r="E709" s="12"/>
      <c r="F709" s="18" t="s">
        <v>64</v>
      </c>
      <c r="G709" s="19">
        <v>1.05</v>
      </c>
      <c r="H709" s="19"/>
      <c r="I709" s="19">
        <v>116.193</v>
      </c>
      <c r="J709" s="21">
        <v>0</v>
      </c>
      <c r="M709" s="22">
        <f t="shared" si="47"/>
        <v>0</v>
      </c>
      <c r="P709" s="21">
        <v>1520.33</v>
      </c>
      <c r="S709" s="22">
        <f t="shared" si="48"/>
        <v>176651.7</v>
      </c>
      <c r="V709" s="9">
        <f t="shared" si="49"/>
        <v>1266.94</v>
      </c>
      <c r="Y709" s="9">
        <f t="shared" si="50"/>
        <v>147209.75</v>
      </c>
      <c r="AD709" s="4" t="s">
        <v>2690</v>
      </c>
      <c r="AE709" s="4" t="s">
        <v>2691</v>
      </c>
      <c r="AF709" s="4" t="s">
        <v>1800</v>
      </c>
    </row>
    <row r="710" spans="1:35" ht="36" x14ac:dyDescent="0.3">
      <c r="A710" s="10" t="s">
        <v>2692</v>
      </c>
      <c r="B710" s="10"/>
      <c r="C710" s="17" t="s">
        <v>2553</v>
      </c>
      <c r="D710" s="12"/>
      <c r="E710" s="12"/>
      <c r="F710" s="18" t="s">
        <v>116</v>
      </c>
      <c r="G710" s="19">
        <v>3.6</v>
      </c>
      <c r="H710" s="19"/>
      <c r="I710" s="19">
        <v>398.37599999999998</v>
      </c>
      <c r="J710" s="21">
        <v>15.9</v>
      </c>
      <c r="M710" s="22">
        <f t="shared" si="47"/>
        <v>6334.18</v>
      </c>
      <c r="P710" s="21">
        <v>15.9</v>
      </c>
      <c r="S710" s="22">
        <f t="shared" si="48"/>
        <v>6334.18</v>
      </c>
      <c r="V710" s="9">
        <f t="shared" si="49"/>
        <v>13.25</v>
      </c>
      <c r="Y710" s="9">
        <f t="shared" si="50"/>
        <v>5278.48</v>
      </c>
      <c r="AD710" s="4" t="s">
        <v>2693</v>
      </c>
      <c r="AE710" s="4" t="s">
        <v>2694</v>
      </c>
      <c r="AF710" s="4" t="s">
        <v>2556</v>
      </c>
    </row>
    <row r="711" spans="1:35" ht="18" x14ac:dyDescent="0.3">
      <c r="A711" s="10" t="s">
        <v>2695</v>
      </c>
      <c r="B711" s="10"/>
      <c r="C711" s="24" t="s">
        <v>1920</v>
      </c>
      <c r="D711" s="12"/>
      <c r="E711" s="12"/>
      <c r="F711" s="18" t="s">
        <v>116</v>
      </c>
      <c r="G711" s="19">
        <v>30</v>
      </c>
      <c r="H711" s="19"/>
      <c r="I711" s="19">
        <v>3319.8</v>
      </c>
      <c r="J711" s="21">
        <v>0.28000000000000003</v>
      </c>
      <c r="M711" s="22">
        <f t="shared" si="47"/>
        <v>929.54</v>
      </c>
      <c r="P711" s="21">
        <v>0.28000000000000003</v>
      </c>
      <c r="S711" s="22">
        <f t="shared" si="48"/>
        <v>929.54</v>
      </c>
      <c r="V711" s="9">
        <f t="shared" si="49"/>
        <v>0.23</v>
      </c>
      <c r="Y711" s="9">
        <f t="shared" si="50"/>
        <v>774.62</v>
      </c>
      <c r="AD711" s="4" t="s">
        <v>2696</v>
      </c>
      <c r="AE711" s="4" t="s">
        <v>2697</v>
      </c>
      <c r="AF711" s="4" t="s">
        <v>1923</v>
      </c>
    </row>
    <row r="712" spans="1:35" ht="18" x14ac:dyDescent="0.3">
      <c r="A712" s="10" t="s">
        <v>2698</v>
      </c>
      <c r="B712" s="10"/>
      <c r="C712" s="24" t="s">
        <v>2545</v>
      </c>
      <c r="D712" s="12"/>
      <c r="E712" s="12"/>
      <c r="F712" s="18" t="s">
        <v>116</v>
      </c>
      <c r="G712" s="19">
        <v>15</v>
      </c>
      <c r="H712" s="19"/>
      <c r="I712" s="19">
        <v>1659.9</v>
      </c>
      <c r="J712" s="21">
        <v>0.95</v>
      </c>
      <c r="M712" s="22">
        <f t="shared" si="47"/>
        <v>1576.91</v>
      </c>
      <c r="P712" s="21">
        <v>0.95</v>
      </c>
      <c r="S712" s="22">
        <f t="shared" si="48"/>
        <v>1576.91</v>
      </c>
      <c r="V712" s="9">
        <f t="shared" si="49"/>
        <v>0.79</v>
      </c>
      <c r="Y712" s="9">
        <f t="shared" si="50"/>
        <v>1314.09</v>
      </c>
      <c r="AD712" s="4" t="s">
        <v>2699</v>
      </c>
      <c r="AE712" s="4" t="s">
        <v>2700</v>
      </c>
      <c r="AF712" s="4" t="s">
        <v>2548</v>
      </c>
    </row>
    <row r="713" spans="1:35" ht="18" x14ac:dyDescent="0.3">
      <c r="A713" s="10" t="s">
        <v>2701</v>
      </c>
      <c r="B713" s="10"/>
      <c r="C713" s="24" t="s">
        <v>2540</v>
      </c>
      <c r="D713" s="12"/>
      <c r="E713" s="12"/>
      <c r="F713" s="18" t="s">
        <v>116</v>
      </c>
      <c r="G713" s="19">
        <v>0.3</v>
      </c>
      <c r="H713" s="19"/>
      <c r="I713" s="19">
        <v>33.198</v>
      </c>
      <c r="J713" s="21">
        <v>5.6</v>
      </c>
      <c r="M713" s="22">
        <f t="shared" si="47"/>
        <v>185.91</v>
      </c>
      <c r="P713" s="21">
        <v>5.6</v>
      </c>
      <c r="S713" s="22">
        <f t="shared" si="48"/>
        <v>185.91</v>
      </c>
      <c r="V713" s="9">
        <f t="shared" si="49"/>
        <v>4.67</v>
      </c>
      <c r="Y713" s="9">
        <f t="shared" si="50"/>
        <v>154.93</v>
      </c>
      <c r="AD713" s="4" t="s">
        <v>2702</v>
      </c>
      <c r="AE713" s="4" t="s">
        <v>2703</v>
      </c>
      <c r="AF713" s="4" t="s">
        <v>2543</v>
      </c>
    </row>
    <row r="714" spans="1:35" ht="54" x14ac:dyDescent="0.3">
      <c r="A714" s="10" t="s">
        <v>2704</v>
      </c>
      <c r="B714" s="10" t="s">
        <v>2705</v>
      </c>
      <c r="C714" s="11" t="s">
        <v>2706</v>
      </c>
      <c r="D714" s="12"/>
      <c r="E714" s="12" t="s">
        <v>81</v>
      </c>
      <c r="F714" s="12" t="s">
        <v>64</v>
      </c>
      <c r="G714" s="13">
        <v>1</v>
      </c>
      <c r="H714" s="13"/>
      <c r="I714" s="13">
        <v>2099.0100000000002</v>
      </c>
      <c r="J714" s="14">
        <v>0</v>
      </c>
      <c r="K714" s="15">
        <v>121</v>
      </c>
      <c r="L714" s="14">
        <f>J714+ROUND(K714, 2)</f>
        <v>121</v>
      </c>
      <c r="M714" s="14">
        <v>0</v>
      </c>
      <c r="N714" s="14">
        <f>ROUND(I714*ROUND(K714, 2), 2)</f>
        <v>253980.21</v>
      </c>
      <c r="O714" s="14">
        <f>M714+N714</f>
        <v>253980.21</v>
      </c>
      <c r="P714" s="14">
        <v>0</v>
      </c>
      <c r="Q714" s="15">
        <v>121</v>
      </c>
      <c r="R714" s="14">
        <f>P714+ROUND(Q714, 2)</f>
        <v>121</v>
      </c>
      <c r="S714" s="14">
        <v>0</v>
      </c>
      <c r="T714" s="14">
        <f>ROUND(I714*ROUND(Q714, 2), 2)</f>
        <v>253980.21</v>
      </c>
      <c r="U714" s="14">
        <f>S714+T714</f>
        <v>253980.21</v>
      </c>
      <c r="V714" s="9"/>
      <c r="W714" s="9">
        <f>ROUND(Q714 / 1.2, 2)</f>
        <v>100.83</v>
      </c>
      <c r="X714" s="9">
        <f>ROUND(R714 / 1.2, 2)</f>
        <v>100.83</v>
      </c>
      <c r="Y714" s="9"/>
      <c r="Z714" s="9">
        <f>ROUND(T714 / 1.2, 2)</f>
        <v>211650.18</v>
      </c>
      <c r="AA714" s="9">
        <f>Y714+Z714</f>
        <v>211650.18</v>
      </c>
      <c r="AD714" s="4">
        <v>298925357</v>
      </c>
      <c r="AE714" s="4">
        <v>16236784</v>
      </c>
      <c r="AG714" s="4" t="s">
        <v>2707</v>
      </c>
      <c r="AH714" s="4" t="s">
        <v>2708</v>
      </c>
      <c r="AI714" s="4" t="s">
        <v>67</v>
      </c>
    </row>
    <row r="715" spans="1:35" ht="16.95" customHeight="1" x14ac:dyDescent="0.3">
      <c r="A715" s="10" t="s">
        <v>2709</v>
      </c>
      <c r="B715" s="10" t="s">
        <v>2710</v>
      </c>
      <c r="C715" s="352" t="s">
        <v>2711</v>
      </c>
      <c r="D715" s="353"/>
      <c r="E715" s="353"/>
      <c r="F715" s="353"/>
      <c r="G715" s="353"/>
      <c r="H715" s="353"/>
      <c r="I715" s="354"/>
      <c r="M715" s="6">
        <f>SUM(M716,M718,M720,M722,M724,M726,M728,M730,M732,M734,M736,M738,M740,M742,M744,M746,M748,M750,M752,M754,M756,M758,M760,M762,M764,M766)</f>
        <v>10326</v>
      </c>
      <c r="N715" s="6">
        <f>SUM(N716,N718,N720,N722,N724,N726,N728,N730,N732,N734,N736,N738,N740,N742,N744,N746,N748,N750,N752,N754,N756,N758,N760,N762,N764,N766)</f>
        <v>323829</v>
      </c>
      <c r="O715" s="6">
        <f>SUM(O716,O718,O720,O722,O724,O726,O728,O730,O732,O734,O736,O738,O740,O742,O744,O746,O748,O750,O752,O754,O756,O758,O760,O762,O764,O766)</f>
        <v>334155</v>
      </c>
      <c r="S715" s="6">
        <f>SUM(S716,S718,S720,S722,S724,S726,S728,S730,S732,S734,S736,S738,S740,S742,S744,S746,S748,S750,S752,S754,S756,S758,S760,S762,S764,S766)</f>
        <v>4787263.3199999994</v>
      </c>
      <c r="T715" s="6">
        <f>SUM(T716,T718,T720,T722,T724,T726,T728,T730,T732,T734,T736,T738,T740,T742,T744,T746,T748,T750,T752,T754,T756,T758,T760,T762,T764,T766)</f>
        <v>1013198</v>
      </c>
      <c r="U715" s="6">
        <f>SUM(U716,U718,U720,U722,U724,U726,U728,U730,U732,U734,U736,U738,U740,U742,U744,U746,U748,U750,U752,U754,U756,U758,U760,U762,U764,U766)</f>
        <v>5800461.3199999984</v>
      </c>
      <c r="Y715" s="9">
        <f>SUM(Y716,Y718,Y720,Y722,Y724,Y726,Y728,Y730,Y732,Y734,Y736,Y738,Y740,Y742,Y744,Y746,Y748,Y750,Y752,Y754,Y756,Y758,Y760,Y762,Y764,Y766)</f>
        <v>3989386.1199999996</v>
      </c>
      <c r="Z715" s="9">
        <f>SUM(Z716,Z718,Z720,Z722,Z724,Z726,Z728,Z730,Z732,Z734,Z736,Z738,Z740,Z742,Z744,Z746,Z748,Z750,Z752,Z754,Z756,Z758,Z760,Z762,Z764,Z766)</f>
        <v>844331.65999999992</v>
      </c>
      <c r="AA715" s="9">
        <f>SUM(AA716,AA718,AA720,AA722,AA724,AA726,AA728,AA730,AA732,AA734,AA736,AA738,AA740,AA742,AA744,AA746,AA748,AA750,AA752,AA754,AA756,AA758,AA760,AA762,AA764,AA766)</f>
        <v>4833717.7799999993</v>
      </c>
      <c r="AD715" s="4">
        <v>298925358</v>
      </c>
      <c r="AE715" s="4">
        <v>19827023</v>
      </c>
    </row>
    <row r="716" spans="1:35" ht="36" x14ac:dyDescent="0.3">
      <c r="A716" s="10" t="s">
        <v>2712</v>
      </c>
      <c r="B716" s="10" t="s">
        <v>2713</v>
      </c>
      <c r="C716" s="11" t="s">
        <v>2714</v>
      </c>
      <c r="D716" s="12"/>
      <c r="E716" s="12" t="s">
        <v>2715</v>
      </c>
      <c r="F716" s="12" t="s">
        <v>116</v>
      </c>
      <c r="G716" s="13">
        <v>1</v>
      </c>
      <c r="H716" s="13"/>
      <c r="I716" s="13">
        <v>10</v>
      </c>
      <c r="J716" s="14">
        <f>IFERROR(ROUND(SUM(M717)/I716, 2),0)</f>
        <v>0</v>
      </c>
      <c r="K716" s="15">
        <v>3271</v>
      </c>
      <c r="L716" s="14">
        <f>J716+ROUND(K716, 2)</f>
        <v>3271</v>
      </c>
      <c r="M716" s="14">
        <f>ROUND(J716*I716, 2)</f>
        <v>0</v>
      </c>
      <c r="N716" s="14">
        <f>ROUND(I716*ROUND(K716, 2), 2)</f>
        <v>32710</v>
      </c>
      <c r="O716" s="14">
        <f>M716+N716</f>
        <v>32710</v>
      </c>
      <c r="P716" s="14">
        <f>IFERROR(ROUND(SUM(S717)/I716, 2),0)</f>
        <v>39406.67</v>
      </c>
      <c r="Q716" s="15">
        <v>9309</v>
      </c>
      <c r="R716" s="14">
        <f>P716+ROUND(Q716, 2)</f>
        <v>48715.67</v>
      </c>
      <c r="S716" s="14">
        <f>ROUND(P716*I716, 2)</f>
        <v>394066.7</v>
      </c>
      <c r="T716" s="14">
        <f>ROUND(I716*ROUND(Q716, 2), 2)</f>
        <v>93090</v>
      </c>
      <c r="U716" s="14">
        <f>S716+T716</f>
        <v>487156.7</v>
      </c>
      <c r="V716" s="9">
        <f>ROUND(P716 / 1.2, 2)</f>
        <v>32838.89</v>
      </c>
      <c r="W716" s="9">
        <f>ROUND(Q716 / 1.2, 2)</f>
        <v>7757.5</v>
      </c>
      <c r="X716" s="9">
        <f>ROUND(R716 / 1.2, 2)</f>
        <v>40596.39</v>
      </c>
      <c r="Y716" s="9">
        <f>ROUND(S716 / 1.2, 2)</f>
        <v>328388.92</v>
      </c>
      <c r="Z716" s="9">
        <f>ROUND(T716 / 1.2, 2)</f>
        <v>77575</v>
      </c>
      <c r="AA716" s="9">
        <f>Y716+Z716</f>
        <v>405963.92</v>
      </c>
      <c r="AD716" s="4">
        <v>298925360</v>
      </c>
      <c r="AE716" s="4">
        <v>19830251</v>
      </c>
      <c r="AG716" s="4" t="s">
        <v>2716</v>
      </c>
      <c r="AH716" s="4" t="s">
        <v>2717</v>
      </c>
      <c r="AI716" s="4" t="s">
        <v>67</v>
      </c>
    </row>
    <row r="717" spans="1:35" ht="396" x14ac:dyDescent="0.3">
      <c r="A717" s="10" t="s">
        <v>2718</v>
      </c>
      <c r="B717" s="10"/>
      <c r="C717" s="24" t="s">
        <v>2719</v>
      </c>
      <c r="D717" s="12"/>
      <c r="E717" s="12" t="s">
        <v>2720</v>
      </c>
      <c r="F717" s="18" t="s">
        <v>116</v>
      </c>
      <c r="G717" s="19">
        <v>1</v>
      </c>
      <c r="H717" s="20"/>
      <c r="I717" s="20">
        <v>10</v>
      </c>
      <c r="J717" s="21">
        <v>0</v>
      </c>
      <c r="M717" s="22">
        <f>ROUND(ROUND(J717, 2)*I717, 2)</f>
        <v>0</v>
      </c>
      <c r="P717" s="21">
        <v>39406.67</v>
      </c>
      <c r="S717" s="22">
        <f>ROUND(ROUND(P717, 2)*I717, 2)</f>
        <v>394066.7</v>
      </c>
      <c r="V717" s="9">
        <f>ROUND(ROUND(P717, 2)/1.2, 2)</f>
        <v>32838.89</v>
      </c>
      <c r="Y717" s="9">
        <f t="shared" ref="Y717:Y748" si="51">ROUND(S717 / 1.2, 2)</f>
        <v>328388.92</v>
      </c>
      <c r="AD717" s="4" t="s">
        <v>2721</v>
      </c>
      <c r="AE717" s="4" t="s">
        <v>2722</v>
      </c>
      <c r="AF717" s="4" t="s">
        <v>2723</v>
      </c>
    </row>
    <row r="718" spans="1:35" ht="36" x14ac:dyDescent="0.3">
      <c r="A718" s="10" t="s">
        <v>2724</v>
      </c>
      <c r="B718" s="10" t="s">
        <v>2713</v>
      </c>
      <c r="C718" s="11" t="s">
        <v>2714</v>
      </c>
      <c r="D718" s="12"/>
      <c r="E718" s="12" t="s">
        <v>2725</v>
      </c>
      <c r="F718" s="12" t="s">
        <v>116</v>
      </c>
      <c r="G718" s="13">
        <v>1</v>
      </c>
      <c r="H718" s="13"/>
      <c r="I718" s="13">
        <v>4</v>
      </c>
      <c r="J718" s="14">
        <f>IFERROR(ROUND(SUM(M719)/I718, 2),0)</f>
        <v>0</v>
      </c>
      <c r="K718" s="15">
        <v>3271</v>
      </c>
      <c r="L718" s="14">
        <f>J718+ROUND(K718, 2)</f>
        <v>3271</v>
      </c>
      <c r="M718" s="14">
        <f>ROUND(J718*I718, 2)</f>
        <v>0</v>
      </c>
      <c r="N718" s="14">
        <f>ROUND(I718*ROUND(K718, 2), 2)</f>
        <v>13084</v>
      </c>
      <c r="O718" s="14">
        <f>M718+N718</f>
        <v>13084</v>
      </c>
      <c r="P718" s="14">
        <f>IFERROR(ROUND(SUM(S719)/I718, 2),0)</f>
        <v>39406.67</v>
      </c>
      <c r="Q718" s="15">
        <v>9309</v>
      </c>
      <c r="R718" s="14">
        <f>P718+ROUND(Q718, 2)</f>
        <v>48715.67</v>
      </c>
      <c r="S718" s="14">
        <f>ROUND(P718*I718, 2)</f>
        <v>157626.68</v>
      </c>
      <c r="T718" s="14">
        <f>ROUND(I718*ROUND(Q718, 2), 2)</f>
        <v>37236</v>
      </c>
      <c r="U718" s="14">
        <f>S718+T718</f>
        <v>194862.68</v>
      </c>
      <c r="V718" s="9">
        <f>ROUND(P718 / 1.2, 2)</f>
        <v>32838.89</v>
      </c>
      <c r="W718" s="9">
        <f>ROUND(Q718 / 1.2, 2)</f>
        <v>7757.5</v>
      </c>
      <c r="X718" s="9">
        <f>ROUND(R718 / 1.2, 2)</f>
        <v>40596.39</v>
      </c>
      <c r="Y718" s="9">
        <f t="shared" si="51"/>
        <v>131355.57</v>
      </c>
      <c r="Z718" s="9">
        <f>ROUND(T718 / 1.2, 2)</f>
        <v>31030</v>
      </c>
      <c r="AA718" s="9">
        <f>Y718+Z718</f>
        <v>162385.57</v>
      </c>
      <c r="AD718" s="4">
        <v>298925500</v>
      </c>
      <c r="AE718" s="4">
        <v>19830252</v>
      </c>
      <c r="AG718" s="4" t="s">
        <v>2716</v>
      </c>
      <c r="AH718" s="4" t="s">
        <v>2717</v>
      </c>
      <c r="AI718" s="4" t="s">
        <v>67</v>
      </c>
    </row>
    <row r="719" spans="1:35" ht="396" x14ac:dyDescent="0.3">
      <c r="A719" s="10" t="s">
        <v>2726</v>
      </c>
      <c r="B719" s="10"/>
      <c r="C719" s="24" t="s">
        <v>2719</v>
      </c>
      <c r="D719" s="12"/>
      <c r="E719" s="12" t="s">
        <v>2727</v>
      </c>
      <c r="F719" s="18" t="s">
        <v>116</v>
      </c>
      <c r="G719" s="19">
        <v>1</v>
      </c>
      <c r="H719" s="20"/>
      <c r="I719" s="20">
        <v>4</v>
      </c>
      <c r="J719" s="21">
        <v>0</v>
      </c>
      <c r="M719" s="22">
        <f>ROUND(ROUND(J719, 2)*I719, 2)</f>
        <v>0</v>
      </c>
      <c r="P719" s="21">
        <v>39406.67</v>
      </c>
      <c r="S719" s="22">
        <f>ROUND(ROUND(P719, 2)*I719, 2)</f>
        <v>157626.68</v>
      </c>
      <c r="V719" s="9">
        <f>ROUND(ROUND(P719, 2)/1.2, 2)</f>
        <v>32838.89</v>
      </c>
      <c r="Y719" s="9">
        <f t="shared" si="51"/>
        <v>131355.57</v>
      </c>
      <c r="AD719" s="4" t="s">
        <v>2728</v>
      </c>
      <c r="AE719" s="4" t="s">
        <v>2729</v>
      </c>
      <c r="AF719" s="4" t="s">
        <v>2723</v>
      </c>
    </row>
    <row r="720" spans="1:35" ht="36" x14ac:dyDescent="0.3">
      <c r="A720" s="10" t="s">
        <v>2730</v>
      </c>
      <c r="B720" s="10" t="s">
        <v>2713</v>
      </c>
      <c r="C720" s="11" t="s">
        <v>2714</v>
      </c>
      <c r="D720" s="12"/>
      <c r="E720" s="12" t="s">
        <v>2731</v>
      </c>
      <c r="F720" s="12" t="s">
        <v>116</v>
      </c>
      <c r="G720" s="13">
        <v>1</v>
      </c>
      <c r="H720" s="13"/>
      <c r="I720" s="13">
        <v>1</v>
      </c>
      <c r="J720" s="14">
        <f>IFERROR(ROUND(SUM(M721)/I720, 2),0)</f>
        <v>0</v>
      </c>
      <c r="K720" s="15">
        <v>3271</v>
      </c>
      <c r="L720" s="14">
        <f>J720+ROUND(K720, 2)</f>
        <v>3271</v>
      </c>
      <c r="M720" s="14">
        <f>ROUND(J720*I720, 2)</f>
        <v>0</v>
      </c>
      <c r="N720" s="14">
        <f>ROUND(I720*ROUND(K720, 2), 2)</f>
        <v>3271</v>
      </c>
      <c r="O720" s="14">
        <f>M720+N720</f>
        <v>3271</v>
      </c>
      <c r="P720" s="14">
        <f>IFERROR(ROUND(SUM(S721)/I720, 2),0)</f>
        <v>39406.67</v>
      </c>
      <c r="Q720" s="15">
        <v>9309</v>
      </c>
      <c r="R720" s="14">
        <f>P720+ROUND(Q720, 2)</f>
        <v>48715.67</v>
      </c>
      <c r="S720" s="14">
        <f>ROUND(P720*I720, 2)</f>
        <v>39406.67</v>
      </c>
      <c r="T720" s="14">
        <f>ROUND(I720*ROUND(Q720, 2), 2)</f>
        <v>9309</v>
      </c>
      <c r="U720" s="14">
        <f>S720+T720</f>
        <v>48715.67</v>
      </c>
      <c r="V720" s="9">
        <f>ROUND(P720 / 1.2, 2)</f>
        <v>32838.89</v>
      </c>
      <c r="W720" s="9">
        <f>ROUND(Q720 / 1.2, 2)</f>
        <v>7757.5</v>
      </c>
      <c r="X720" s="9">
        <f>ROUND(R720 / 1.2, 2)</f>
        <v>40596.39</v>
      </c>
      <c r="Y720" s="9">
        <f t="shared" si="51"/>
        <v>32838.89</v>
      </c>
      <c r="Z720" s="9">
        <f>ROUND(T720 / 1.2, 2)</f>
        <v>7757.5</v>
      </c>
      <c r="AA720" s="9">
        <f>Y720+Z720</f>
        <v>40596.39</v>
      </c>
      <c r="AD720" s="4">
        <v>298925501</v>
      </c>
      <c r="AE720" s="4">
        <v>22649881</v>
      </c>
      <c r="AG720" s="4" t="s">
        <v>2716</v>
      </c>
      <c r="AH720" s="4" t="s">
        <v>2717</v>
      </c>
      <c r="AI720" s="4" t="s">
        <v>67</v>
      </c>
    </row>
    <row r="721" spans="1:35" ht="409.6" x14ac:dyDescent="0.3">
      <c r="A721" s="10" t="s">
        <v>2732</v>
      </c>
      <c r="B721" s="10"/>
      <c r="C721" s="24" t="s">
        <v>2719</v>
      </c>
      <c r="D721" s="12"/>
      <c r="E721" s="12" t="s">
        <v>2733</v>
      </c>
      <c r="F721" s="18" t="s">
        <v>116</v>
      </c>
      <c r="G721" s="19">
        <v>1</v>
      </c>
      <c r="H721" s="20"/>
      <c r="I721" s="20">
        <v>1</v>
      </c>
      <c r="J721" s="21">
        <v>0</v>
      </c>
      <c r="M721" s="22">
        <f>ROUND(ROUND(J721, 2)*I721, 2)</f>
        <v>0</v>
      </c>
      <c r="P721" s="21">
        <v>39406.67</v>
      </c>
      <c r="S721" s="22">
        <f>ROUND(ROUND(P721, 2)*I721, 2)</f>
        <v>39406.67</v>
      </c>
      <c r="V721" s="9">
        <f>ROUND(ROUND(P721, 2)/1.2, 2)</f>
        <v>32838.89</v>
      </c>
      <c r="Y721" s="9">
        <f t="shared" si="51"/>
        <v>32838.89</v>
      </c>
      <c r="AD721" s="4" t="s">
        <v>2734</v>
      </c>
      <c r="AE721" s="4" t="s">
        <v>2735</v>
      </c>
      <c r="AF721" s="4" t="s">
        <v>2723</v>
      </c>
    </row>
    <row r="722" spans="1:35" ht="36" x14ac:dyDescent="0.3">
      <c r="A722" s="10" t="s">
        <v>2736</v>
      </c>
      <c r="B722" s="10" t="s">
        <v>2713</v>
      </c>
      <c r="C722" s="11" t="s">
        <v>2714</v>
      </c>
      <c r="D722" s="12"/>
      <c r="E722" s="12" t="s">
        <v>2737</v>
      </c>
      <c r="F722" s="12" t="s">
        <v>116</v>
      </c>
      <c r="G722" s="13">
        <v>1</v>
      </c>
      <c r="H722" s="13"/>
      <c r="I722" s="13">
        <v>1</v>
      </c>
      <c r="J722" s="14">
        <f>IFERROR(ROUND(SUM(M723)/I722, 2),0)</f>
        <v>0</v>
      </c>
      <c r="K722" s="15">
        <v>3271</v>
      </c>
      <c r="L722" s="14">
        <f>J722+ROUND(K722, 2)</f>
        <v>3271</v>
      </c>
      <c r="M722" s="14">
        <f>ROUND(J722*I722, 2)</f>
        <v>0</v>
      </c>
      <c r="N722" s="14">
        <f>ROUND(I722*ROUND(K722, 2), 2)</f>
        <v>3271</v>
      </c>
      <c r="O722" s="14">
        <f>M722+N722</f>
        <v>3271</v>
      </c>
      <c r="P722" s="14">
        <f>IFERROR(ROUND(SUM(S723)/I722, 2),0)</f>
        <v>39406.67</v>
      </c>
      <c r="Q722" s="15">
        <v>9309</v>
      </c>
      <c r="R722" s="14">
        <f>P722+ROUND(Q722, 2)</f>
        <v>48715.67</v>
      </c>
      <c r="S722" s="14">
        <f>ROUND(P722*I722, 2)</f>
        <v>39406.67</v>
      </c>
      <c r="T722" s="14">
        <f>ROUND(I722*ROUND(Q722, 2), 2)</f>
        <v>9309</v>
      </c>
      <c r="U722" s="14">
        <f>S722+T722</f>
        <v>48715.67</v>
      </c>
      <c r="V722" s="9">
        <f>ROUND(P722 / 1.2, 2)</f>
        <v>32838.89</v>
      </c>
      <c r="W722" s="9">
        <f>ROUND(Q722 / 1.2, 2)</f>
        <v>7757.5</v>
      </c>
      <c r="X722" s="9">
        <f>ROUND(R722 / 1.2, 2)</f>
        <v>40596.39</v>
      </c>
      <c r="Y722" s="9">
        <f t="shared" si="51"/>
        <v>32838.89</v>
      </c>
      <c r="Z722" s="9">
        <f>ROUND(T722 / 1.2, 2)</f>
        <v>7757.5</v>
      </c>
      <c r="AA722" s="9">
        <f>Y722+Z722</f>
        <v>40596.39</v>
      </c>
      <c r="AD722" s="4">
        <v>298925502</v>
      </c>
      <c r="AE722" s="4">
        <v>22649882</v>
      </c>
      <c r="AG722" s="4" t="s">
        <v>2716</v>
      </c>
      <c r="AH722" s="4" t="s">
        <v>2717</v>
      </c>
      <c r="AI722" s="4" t="s">
        <v>67</v>
      </c>
    </row>
    <row r="723" spans="1:35" ht="409.6" x14ac:dyDescent="0.3">
      <c r="A723" s="10" t="s">
        <v>2738</v>
      </c>
      <c r="B723" s="10"/>
      <c r="C723" s="24" t="s">
        <v>2719</v>
      </c>
      <c r="D723" s="12"/>
      <c r="E723" s="12" t="s">
        <v>2739</v>
      </c>
      <c r="F723" s="18" t="s">
        <v>116</v>
      </c>
      <c r="G723" s="19">
        <v>1</v>
      </c>
      <c r="H723" s="20"/>
      <c r="I723" s="20">
        <v>1</v>
      </c>
      <c r="J723" s="21">
        <v>0</v>
      </c>
      <c r="M723" s="22">
        <f>ROUND(ROUND(J723, 2)*I723, 2)</f>
        <v>0</v>
      </c>
      <c r="P723" s="21">
        <v>39406.67</v>
      </c>
      <c r="S723" s="22">
        <f>ROUND(ROUND(P723, 2)*I723, 2)</f>
        <v>39406.67</v>
      </c>
      <c r="V723" s="9">
        <f>ROUND(ROUND(P723, 2)/1.2, 2)</f>
        <v>32838.89</v>
      </c>
      <c r="Y723" s="9">
        <f t="shared" si="51"/>
        <v>32838.89</v>
      </c>
      <c r="AD723" s="4" t="s">
        <v>2740</v>
      </c>
      <c r="AE723" s="4" t="s">
        <v>2741</v>
      </c>
      <c r="AF723" s="4" t="s">
        <v>2723</v>
      </c>
    </row>
    <row r="724" spans="1:35" ht="36" x14ac:dyDescent="0.3">
      <c r="A724" s="10" t="s">
        <v>2742</v>
      </c>
      <c r="B724" s="10" t="s">
        <v>2713</v>
      </c>
      <c r="C724" s="11" t="s">
        <v>2714</v>
      </c>
      <c r="D724" s="12"/>
      <c r="E724" s="12" t="s">
        <v>2743</v>
      </c>
      <c r="F724" s="12" t="s">
        <v>116</v>
      </c>
      <c r="G724" s="13">
        <v>1</v>
      </c>
      <c r="H724" s="13"/>
      <c r="I724" s="13">
        <v>5</v>
      </c>
      <c r="J724" s="14">
        <f>IFERROR(ROUND(SUM(M725)/I724, 2),0)</f>
        <v>0</v>
      </c>
      <c r="K724" s="15">
        <v>3271</v>
      </c>
      <c r="L724" s="14">
        <f>J724+ROUND(K724, 2)</f>
        <v>3271</v>
      </c>
      <c r="M724" s="14">
        <f>ROUND(J724*I724, 2)</f>
        <v>0</v>
      </c>
      <c r="N724" s="14">
        <f>ROUND(I724*ROUND(K724, 2), 2)</f>
        <v>16355</v>
      </c>
      <c r="O724" s="14">
        <f>M724+N724</f>
        <v>16355</v>
      </c>
      <c r="P724" s="14">
        <f>IFERROR(ROUND(SUM(S725)/I724, 2),0)</f>
        <v>39406.67</v>
      </c>
      <c r="Q724" s="15">
        <v>9309</v>
      </c>
      <c r="R724" s="14">
        <f>P724+ROUND(Q724, 2)</f>
        <v>48715.67</v>
      </c>
      <c r="S724" s="14">
        <f>ROUND(P724*I724, 2)</f>
        <v>197033.35</v>
      </c>
      <c r="T724" s="14">
        <f>ROUND(I724*ROUND(Q724, 2), 2)</f>
        <v>46545</v>
      </c>
      <c r="U724" s="14">
        <f>S724+T724</f>
        <v>243578.35</v>
      </c>
      <c r="V724" s="9">
        <f>ROUND(P724 / 1.2, 2)</f>
        <v>32838.89</v>
      </c>
      <c r="W724" s="9">
        <f>ROUND(Q724 / 1.2, 2)</f>
        <v>7757.5</v>
      </c>
      <c r="X724" s="9">
        <f>ROUND(R724 / 1.2, 2)</f>
        <v>40596.39</v>
      </c>
      <c r="Y724" s="9">
        <f t="shared" si="51"/>
        <v>164194.46</v>
      </c>
      <c r="Z724" s="9">
        <f>ROUND(T724 / 1.2, 2)</f>
        <v>38787.5</v>
      </c>
      <c r="AA724" s="9">
        <f>Y724+Z724</f>
        <v>202981.96</v>
      </c>
      <c r="AD724" s="4">
        <v>298925503</v>
      </c>
      <c r="AE724" s="4">
        <v>22652760</v>
      </c>
      <c r="AG724" s="4" t="s">
        <v>2716</v>
      </c>
      <c r="AH724" s="4" t="s">
        <v>2717</v>
      </c>
      <c r="AI724" s="4" t="s">
        <v>67</v>
      </c>
    </row>
    <row r="725" spans="1:35" ht="396" x14ac:dyDescent="0.3">
      <c r="A725" s="10" t="s">
        <v>2744</v>
      </c>
      <c r="B725" s="10"/>
      <c r="C725" s="24" t="s">
        <v>2745</v>
      </c>
      <c r="D725" s="12"/>
      <c r="E725" s="12" t="s">
        <v>2746</v>
      </c>
      <c r="F725" s="18" t="s">
        <v>116</v>
      </c>
      <c r="G725" s="19">
        <v>1</v>
      </c>
      <c r="H725" s="20"/>
      <c r="I725" s="20">
        <v>5</v>
      </c>
      <c r="J725" s="21">
        <v>0</v>
      </c>
      <c r="M725" s="22">
        <f>ROUND(ROUND(J725, 2)*I725, 2)</f>
        <v>0</v>
      </c>
      <c r="P725" s="21">
        <v>39406.67</v>
      </c>
      <c r="S725" s="22">
        <f>ROUND(ROUND(P725, 2)*I725, 2)</f>
        <v>197033.35</v>
      </c>
      <c r="V725" s="9">
        <f>ROUND(ROUND(P725, 2)/1.2, 2)</f>
        <v>32838.89</v>
      </c>
      <c r="Y725" s="9">
        <f t="shared" si="51"/>
        <v>164194.46</v>
      </c>
      <c r="AD725" s="4" t="s">
        <v>2747</v>
      </c>
      <c r="AE725" s="4" t="s">
        <v>2748</v>
      </c>
      <c r="AF725" s="4" t="s">
        <v>2749</v>
      </c>
    </row>
    <row r="726" spans="1:35" ht="36" x14ac:dyDescent="0.3">
      <c r="A726" s="10" t="s">
        <v>2750</v>
      </c>
      <c r="B726" s="10" t="s">
        <v>2713</v>
      </c>
      <c r="C726" s="11" t="s">
        <v>2714</v>
      </c>
      <c r="D726" s="12"/>
      <c r="E726" s="12" t="s">
        <v>2751</v>
      </c>
      <c r="F726" s="12" t="s">
        <v>116</v>
      </c>
      <c r="G726" s="13">
        <v>1</v>
      </c>
      <c r="H726" s="13"/>
      <c r="I726" s="13">
        <v>3</v>
      </c>
      <c r="J726" s="14">
        <f>IFERROR(ROUND(SUM(M727)/I726, 2),0)</f>
        <v>0</v>
      </c>
      <c r="K726" s="15">
        <v>3271</v>
      </c>
      <c r="L726" s="14">
        <f>J726+ROUND(K726, 2)</f>
        <v>3271</v>
      </c>
      <c r="M726" s="14">
        <f>ROUND(J726*I726, 2)</f>
        <v>0</v>
      </c>
      <c r="N726" s="14">
        <f>ROUND(I726*ROUND(K726, 2), 2)</f>
        <v>9813</v>
      </c>
      <c r="O726" s="14">
        <f>M726+N726</f>
        <v>9813</v>
      </c>
      <c r="P726" s="14">
        <f>IFERROR(ROUND(SUM(S727)/I726, 2),0)</f>
        <v>40386.67</v>
      </c>
      <c r="Q726" s="15">
        <v>9309</v>
      </c>
      <c r="R726" s="14">
        <f>P726+ROUND(Q726, 2)</f>
        <v>49695.67</v>
      </c>
      <c r="S726" s="14">
        <f>ROUND(P726*I726, 2)</f>
        <v>121160.01</v>
      </c>
      <c r="T726" s="14">
        <f>ROUND(I726*ROUND(Q726, 2), 2)</f>
        <v>27927</v>
      </c>
      <c r="U726" s="14">
        <f>S726+T726</f>
        <v>149087.01</v>
      </c>
      <c r="V726" s="9">
        <f>ROUND(P726 / 1.2, 2)</f>
        <v>33655.56</v>
      </c>
      <c r="W726" s="9">
        <f>ROUND(Q726 / 1.2, 2)</f>
        <v>7757.5</v>
      </c>
      <c r="X726" s="9">
        <f>ROUND(R726 / 1.2, 2)</f>
        <v>41413.06</v>
      </c>
      <c r="Y726" s="9">
        <f t="shared" si="51"/>
        <v>100966.68</v>
      </c>
      <c r="Z726" s="9">
        <f>ROUND(T726 / 1.2, 2)</f>
        <v>23272.5</v>
      </c>
      <c r="AA726" s="9">
        <f>Y726+Z726</f>
        <v>124239.18</v>
      </c>
      <c r="AD726" s="4">
        <v>298925504</v>
      </c>
      <c r="AE726" s="4">
        <v>22652761</v>
      </c>
      <c r="AG726" s="4" t="s">
        <v>2716</v>
      </c>
      <c r="AH726" s="4" t="s">
        <v>2717</v>
      </c>
      <c r="AI726" s="4" t="s">
        <v>67</v>
      </c>
    </row>
    <row r="727" spans="1:35" ht="396" x14ac:dyDescent="0.3">
      <c r="A727" s="10" t="s">
        <v>2752</v>
      </c>
      <c r="B727" s="10"/>
      <c r="C727" s="24" t="s">
        <v>2719</v>
      </c>
      <c r="D727" s="12"/>
      <c r="E727" s="12" t="s">
        <v>2753</v>
      </c>
      <c r="F727" s="18" t="s">
        <v>116</v>
      </c>
      <c r="G727" s="19">
        <v>1</v>
      </c>
      <c r="H727" s="20"/>
      <c r="I727" s="20">
        <v>3</v>
      </c>
      <c r="J727" s="21">
        <v>0</v>
      </c>
      <c r="M727" s="22">
        <f>ROUND(ROUND(J727, 2)*I727, 2)</f>
        <v>0</v>
      </c>
      <c r="P727" s="21">
        <v>40386.67</v>
      </c>
      <c r="S727" s="22">
        <f>ROUND(ROUND(P727, 2)*I727, 2)</f>
        <v>121160.01</v>
      </c>
      <c r="V727" s="9">
        <f>ROUND(ROUND(P727, 2)/1.2, 2)</f>
        <v>33655.56</v>
      </c>
      <c r="Y727" s="9">
        <f t="shared" si="51"/>
        <v>100966.68</v>
      </c>
      <c r="AD727" s="4" t="s">
        <v>2754</v>
      </c>
      <c r="AE727" s="4" t="s">
        <v>2755</v>
      </c>
      <c r="AF727" s="4" t="s">
        <v>2723</v>
      </c>
    </row>
    <row r="728" spans="1:35" ht="36" x14ac:dyDescent="0.3">
      <c r="A728" s="10" t="s">
        <v>2756</v>
      </c>
      <c r="B728" s="10" t="s">
        <v>2713</v>
      </c>
      <c r="C728" s="11" t="s">
        <v>2714</v>
      </c>
      <c r="D728" s="12"/>
      <c r="E728" s="12" t="s">
        <v>2757</v>
      </c>
      <c r="F728" s="12" t="s">
        <v>116</v>
      </c>
      <c r="G728" s="13">
        <v>1</v>
      </c>
      <c r="H728" s="13"/>
      <c r="I728" s="13">
        <v>6</v>
      </c>
      <c r="J728" s="14">
        <f>IFERROR(ROUND(SUM(M729)/I728, 2),0)</f>
        <v>0</v>
      </c>
      <c r="K728" s="15">
        <v>3271</v>
      </c>
      <c r="L728" s="14">
        <f>J728+ROUND(K728, 2)</f>
        <v>3271</v>
      </c>
      <c r="M728" s="14">
        <f>ROUND(J728*I728, 2)</f>
        <v>0</v>
      </c>
      <c r="N728" s="14">
        <f>ROUND(I728*ROUND(K728, 2), 2)</f>
        <v>19626</v>
      </c>
      <c r="O728" s="14">
        <f>M728+N728</f>
        <v>19626</v>
      </c>
      <c r="P728" s="14">
        <f>IFERROR(ROUND(SUM(S729)/I728, 2),0)</f>
        <v>38496.67</v>
      </c>
      <c r="Q728" s="15">
        <v>9309</v>
      </c>
      <c r="R728" s="14">
        <f>P728+ROUND(Q728, 2)</f>
        <v>47805.67</v>
      </c>
      <c r="S728" s="14">
        <f>ROUND(P728*I728, 2)</f>
        <v>230980.02</v>
      </c>
      <c r="T728" s="14">
        <f>ROUND(I728*ROUND(Q728, 2), 2)</f>
        <v>55854</v>
      </c>
      <c r="U728" s="14">
        <f>S728+T728</f>
        <v>286834.02</v>
      </c>
      <c r="V728" s="9">
        <f>ROUND(P728 / 1.2, 2)</f>
        <v>32080.560000000001</v>
      </c>
      <c r="W728" s="9">
        <f>ROUND(Q728 / 1.2, 2)</f>
        <v>7757.5</v>
      </c>
      <c r="X728" s="9">
        <f>ROUND(R728 / 1.2, 2)</f>
        <v>39838.06</v>
      </c>
      <c r="Y728" s="9">
        <f t="shared" si="51"/>
        <v>192483.35</v>
      </c>
      <c r="Z728" s="9">
        <f>ROUND(T728 / 1.2, 2)</f>
        <v>46545</v>
      </c>
      <c r="AA728" s="9">
        <f>Y728+Z728</f>
        <v>239028.35</v>
      </c>
      <c r="AD728" s="4">
        <v>298925505</v>
      </c>
      <c r="AE728" s="4">
        <v>22652762</v>
      </c>
      <c r="AG728" s="4" t="s">
        <v>2716</v>
      </c>
      <c r="AH728" s="4" t="s">
        <v>2717</v>
      </c>
      <c r="AI728" s="4" t="s">
        <v>67</v>
      </c>
    </row>
    <row r="729" spans="1:35" ht="409.6" x14ac:dyDescent="0.3">
      <c r="A729" s="10" t="s">
        <v>2758</v>
      </c>
      <c r="B729" s="10"/>
      <c r="C729" s="24" t="s">
        <v>2719</v>
      </c>
      <c r="D729" s="12"/>
      <c r="E729" s="12" t="s">
        <v>2759</v>
      </c>
      <c r="F729" s="18" t="s">
        <v>116</v>
      </c>
      <c r="G729" s="19">
        <v>1</v>
      </c>
      <c r="H729" s="20"/>
      <c r="I729" s="20">
        <v>6</v>
      </c>
      <c r="J729" s="21">
        <v>0</v>
      </c>
      <c r="M729" s="22">
        <f>ROUND(ROUND(J729, 2)*I729, 2)</f>
        <v>0</v>
      </c>
      <c r="P729" s="21">
        <v>38496.67</v>
      </c>
      <c r="S729" s="22">
        <f>ROUND(ROUND(P729, 2)*I729, 2)</f>
        <v>230980.02</v>
      </c>
      <c r="V729" s="9">
        <f>ROUND(ROUND(P729, 2)/1.2, 2)</f>
        <v>32080.560000000001</v>
      </c>
      <c r="Y729" s="9">
        <f t="shared" si="51"/>
        <v>192483.35</v>
      </c>
      <c r="AD729" s="4" t="s">
        <v>2760</v>
      </c>
      <c r="AE729" s="4" t="s">
        <v>2761</v>
      </c>
      <c r="AF729" s="4" t="s">
        <v>2723</v>
      </c>
    </row>
    <row r="730" spans="1:35" ht="36" x14ac:dyDescent="0.3">
      <c r="A730" s="10" t="s">
        <v>2762</v>
      </c>
      <c r="B730" s="10" t="s">
        <v>2713</v>
      </c>
      <c r="C730" s="11" t="s">
        <v>2714</v>
      </c>
      <c r="D730" s="12"/>
      <c r="E730" s="12" t="s">
        <v>2763</v>
      </c>
      <c r="F730" s="12" t="s">
        <v>116</v>
      </c>
      <c r="G730" s="13">
        <v>1</v>
      </c>
      <c r="H730" s="13"/>
      <c r="I730" s="13">
        <v>4</v>
      </c>
      <c r="J730" s="14">
        <f>IFERROR(ROUND(SUM(M731)/I730, 2),0)</f>
        <v>0</v>
      </c>
      <c r="K730" s="15">
        <v>3271</v>
      </c>
      <c r="L730" s="14">
        <f>J730+ROUND(K730, 2)</f>
        <v>3271</v>
      </c>
      <c r="M730" s="14">
        <f>ROUND(J730*I730, 2)</f>
        <v>0</v>
      </c>
      <c r="N730" s="14">
        <f>ROUND(I730*ROUND(K730, 2), 2)</f>
        <v>13084</v>
      </c>
      <c r="O730" s="14">
        <f>M730+N730</f>
        <v>13084</v>
      </c>
      <c r="P730" s="14">
        <f>IFERROR(ROUND(SUM(S731)/I730, 2),0)</f>
        <v>38496.67</v>
      </c>
      <c r="Q730" s="15">
        <v>9309</v>
      </c>
      <c r="R730" s="14">
        <f>P730+ROUND(Q730, 2)</f>
        <v>47805.67</v>
      </c>
      <c r="S730" s="14">
        <f>ROUND(P730*I730, 2)</f>
        <v>153986.68</v>
      </c>
      <c r="T730" s="14">
        <f>ROUND(I730*ROUND(Q730, 2), 2)</f>
        <v>37236</v>
      </c>
      <c r="U730" s="14">
        <f>S730+T730</f>
        <v>191222.68</v>
      </c>
      <c r="V730" s="9">
        <f>ROUND(P730 / 1.2, 2)</f>
        <v>32080.560000000001</v>
      </c>
      <c r="W730" s="9">
        <f>ROUND(Q730 / 1.2, 2)</f>
        <v>7757.5</v>
      </c>
      <c r="X730" s="9">
        <f>ROUND(R730 / 1.2, 2)</f>
        <v>39838.06</v>
      </c>
      <c r="Y730" s="9">
        <f t="shared" si="51"/>
        <v>128322.23</v>
      </c>
      <c r="Z730" s="9">
        <f>ROUND(T730 / 1.2, 2)</f>
        <v>31030</v>
      </c>
      <c r="AA730" s="9">
        <f>Y730+Z730</f>
        <v>159352.22999999998</v>
      </c>
      <c r="AD730" s="4">
        <v>298925506</v>
      </c>
      <c r="AE730" s="4">
        <v>22652763</v>
      </c>
      <c r="AG730" s="4" t="s">
        <v>2716</v>
      </c>
      <c r="AH730" s="4" t="s">
        <v>2717</v>
      </c>
      <c r="AI730" s="4" t="s">
        <v>67</v>
      </c>
    </row>
    <row r="731" spans="1:35" ht="409.6" x14ac:dyDescent="0.3">
      <c r="A731" s="10" t="s">
        <v>2764</v>
      </c>
      <c r="B731" s="10"/>
      <c r="C731" s="24" t="s">
        <v>2719</v>
      </c>
      <c r="D731" s="12"/>
      <c r="E731" s="12" t="s">
        <v>2765</v>
      </c>
      <c r="F731" s="18" t="s">
        <v>116</v>
      </c>
      <c r="G731" s="19">
        <v>1</v>
      </c>
      <c r="H731" s="20"/>
      <c r="I731" s="20">
        <v>4</v>
      </c>
      <c r="J731" s="21">
        <v>0</v>
      </c>
      <c r="M731" s="22">
        <f>ROUND(ROUND(J731, 2)*I731, 2)</f>
        <v>0</v>
      </c>
      <c r="P731" s="21">
        <v>38496.67</v>
      </c>
      <c r="S731" s="22">
        <f>ROUND(ROUND(P731, 2)*I731, 2)</f>
        <v>153986.68</v>
      </c>
      <c r="V731" s="9">
        <f>ROUND(ROUND(P731, 2)/1.2, 2)</f>
        <v>32080.560000000001</v>
      </c>
      <c r="Y731" s="9">
        <f t="shared" si="51"/>
        <v>128322.23</v>
      </c>
      <c r="AD731" s="4" t="s">
        <v>2766</v>
      </c>
      <c r="AE731" s="4" t="s">
        <v>2767</v>
      </c>
      <c r="AF731" s="4" t="s">
        <v>2723</v>
      </c>
    </row>
    <row r="732" spans="1:35" ht="36" x14ac:dyDescent="0.3">
      <c r="A732" s="10" t="s">
        <v>2768</v>
      </c>
      <c r="B732" s="10" t="s">
        <v>2713</v>
      </c>
      <c r="C732" s="11" t="s">
        <v>2714</v>
      </c>
      <c r="D732" s="12"/>
      <c r="E732" s="12" t="s">
        <v>2769</v>
      </c>
      <c r="F732" s="12" t="s">
        <v>116</v>
      </c>
      <c r="G732" s="13">
        <v>1</v>
      </c>
      <c r="H732" s="13"/>
      <c r="I732" s="13">
        <v>10</v>
      </c>
      <c r="J732" s="14">
        <f>IFERROR(ROUND(SUM(M733)/I732, 2),0)</f>
        <v>0</v>
      </c>
      <c r="K732" s="15">
        <v>3271</v>
      </c>
      <c r="L732" s="14">
        <f>J732+ROUND(K732, 2)</f>
        <v>3271</v>
      </c>
      <c r="M732" s="14">
        <f>ROUND(J732*I732, 2)</f>
        <v>0</v>
      </c>
      <c r="N732" s="14">
        <f>ROUND(I732*ROUND(K732, 2), 2)</f>
        <v>32710</v>
      </c>
      <c r="O732" s="14">
        <f>M732+N732</f>
        <v>32710</v>
      </c>
      <c r="P732" s="14">
        <f>IFERROR(ROUND(SUM(S733)/I732, 2),0)</f>
        <v>37736.67</v>
      </c>
      <c r="Q732" s="15">
        <v>9309</v>
      </c>
      <c r="R732" s="14">
        <f>P732+ROUND(Q732, 2)</f>
        <v>47045.67</v>
      </c>
      <c r="S732" s="14">
        <f>ROUND(P732*I732, 2)</f>
        <v>377366.7</v>
      </c>
      <c r="T732" s="14">
        <f>ROUND(I732*ROUND(Q732, 2), 2)</f>
        <v>93090</v>
      </c>
      <c r="U732" s="14">
        <f>S732+T732</f>
        <v>470456.7</v>
      </c>
      <c r="V732" s="9">
        <f>ROUND(P732 / 1.2, 2)</f>
        <v>31447.23</v>
      </c>
      <c r="W732" s="9">
        <f>ROUND(Q732 / 1.2, 2)</f>
        <v>7757.5</v>
      </c>
      <c r="X732" s="9">
        <f>ROUND(R732 / 1.2, 2)</f>
        <v>39204.730000000003</v>
      </c>
      <c r="Y732" s="9">
        <f t="shared" si="51"/>
        <v>314472.25</v>
      </c>
      <c r="Z732" s="9">
        <f>ROUND(T732 / 1.2, 2)</f>
        <v>77575</v>
      </c>
      <c r="AA732" s="9">
        <f>Y732+Z732</f>
        <v>392047.25</v>
      </c>
      <c r="AD732" s="4">
        <v>298925507</v>
      </c>
      <c r="AE732" s="4">
        <v>22652764</v>
      </c>
      <c r="AG732" s="4" t="s">
        <v>2716</v>
      </c>
      <c r="AH732" s="4" t="s">
        <v>2717</v>
      </c>
      <c r="AI732" s="4" t="s">
        <v>67</v>
      </c>
    </row>
    <row r="733" spans="1:35" ht="396" x14ac:dyDescent="0.3">
      <c r="A733" s="10" t="s">
        <v>2770</v>
      </c>
      <c r="B733" s="10"/>
      <c r="C733" s="24" t="s">
        <v>2745</v>
      </c>
      <c r="D733" s="12"/>
      <c r="E733" s="12" t="s">
        <v>2771</v>
      </c>
      <c r="F733" s="18" t="s">
        <v>116</v>
      </c>
      <c r="G733" s="19">
        <v>1</v>
      </c>
      <c r="H733" s="20"/>
      <c r="I733" s="20">
        <v>10</v>
      </c>
      <c r="J733" s="21">
        <v>0</v>
      </c>
      <c r="M733" s="22">
        <f>ROUND(ROUND(J733, 2)*I733, 2)</f>
        <v>0</v>
      </c>
      <c r="P733" s="21">
        <v>37736.67</v>
      </c>
      <c r="S733" s="22">
        <f>ROUND(ROUND(P733, 2)*I733, 2)</f>
        <v>377366.7</v>
      </c>
      <c r="V733" s="9">
        <f>ROUND(ROUND(P733, 2)/1.2, 2)</f>
        <v>31447.23</v>
      </c>
      <c r="Y733" s="9">
        <f t="shared" si="51"/>
        <v>314472.25</v>
      </c>
      <c r="AD733" s="4" t="s">
        <v>2772</v>
      </c>
      <c r="AE733" s="4" t="s">
        <v>2773</v>
      </c>
      <c r="AF733" s="4" t="s">
        <v>2749</v>
      </c>
    </row>
    <row r="734" spans="1:35" ht="36" x14ac:dyDescent="0.3">
      <c r="A734" s="10" t="s">
        <v>2774</v>
      </c>
      <c r="B734" s="10" t="s">
        <v>2713</v>
      </c>
      <c r="C734" s="11" t="s">
        <v>2714</v>
      </c>
      <c r="D734" s="12"/>
      <c r="E734" s="12" t="s">
        <v>2775</v>
      </c>
      <c r="F734" s="12" t="s">
        <v>116</v>
      </c>
      <c r="G734" s="13">
        <v>1</v>
      </c>
      <c r="H734" s="13"/>
      <c r="I734" s="13">
        <v>4</v>
      </c>
      <c r="J734" s="14">
        <f>IFERROR(ROUND(SUM(M735)/I734, 2),0)</f>
        <v>0</v>
      </c>
      <c r="K734" s="15">
        <v>3271</v>
      </c>
      <c r="L734" s="14">
        <f>J734+ROUND(K734, 2)</f>
        <v>3271</v>
      </c>
      <c r="M734" s="14">
        <f>ROUND(J734*I734, 2)</f>
        <v>0</v>
      </c>
      <c r="N734" s="14">
        <f>ROUND(I734*ROUND(K734, 2), 2)</f>
        <v>13084</v>
      </c>
      <c r="O734" s="14">
        <f>M734+N734</f>
        <v>13084</v>
      </c>
      <c r="P734" s="14">
        <f>IFERROR(ROUND(SUM(S735)/I734, 2),0)</f>
        <v>37736.67</v>
      </c>
      <c r="Q734" s="15">
        <v>9309</v>
      </c>
      <c r="R734" s="14">
        <f>P734+ROUND(Q734, 2)</f>
        <v>47045.67</v>
      </c>
      <c r="S734" s="14">
        <f>ROUND(P734*I734, 2)</f>
        <v>150946.68</v>
      </c>
      <c r="T734" s="14">
        <f>ROUND(I734*ROUND(Q734, 2), 2)</f>
        <v>37236</v>
      </c>
      <c r="U734" s="14">
        <f>S734+T734</f>
        <v>188182.68</v>
      </c>
      <c r="V734" s="9">
        <f>ROUND(P734 / 1.2, 2)</f>
        <v>31447.23</v>
      </c>
      <c r="W734" s="9">
        <f>ROUND(Q734 / 1.2, 2)</f>
        <v>7757.5</v>
      </c>
      <c r="X734" s="9">
        <f>ROUND(R734 / 1.2, 2)</f>
        <v>39204.730000000003</v>
      </c>
      <c r="Y734" s="9">
        <f t="shared" si="51"/>
        <v>125788.9</v>
      </c>
      <c r="Z734" s="9">
        <f>ROUND(T734 / 1.2, 2)</f>
        <v>31030</v>
      </c>
      <c r="AA734" s="9">
        <f>Y734+Z734</f>
        <v>156818.9</v>
      </c>
      <c r="AD734" s="4">
        <v>298925508</v>
      </c>
      <c r="AE734" s="4">
        <v>22652765</v>
      </c>
      <c r="AG734" s="4" t="s">
        <v>2716</v>
      </c>
      <c r="AH734" s="4" t="s">
        <v>2717</v>
      </c>
      <c r="AI734" s="4" t="s">
        <v>67</v>
      </c>
    </row>
    <row r="735" spans="1:35" ht="396" x14ac:dyDescent="0.3">
      <c r="A735" s="10" t="s">
        <v>2776</v>
      </c>
      <c r="B735" s="10"/>
      <c r="C735" s="24" t="s">
        <v>2719</v>
      </c>
      <c r="D735" s="12"/>
      <c r="E735" s="12" t="s">
        <v>2777</v>
      </c>
      <c r="F735" s="18" t="s">
        <v>116</v>
      </c>
      <c r="G735" s="19">
        <v>1</v>
      </c>
      <c r="H735" s="20"/>
      <c r="I735" s="20">
        <v>4</v>
      </c>
      <c r="J735" s="21">
        <v>0</v>
      </c>
      <c r="M735" s="22">
        <f>ROUND(ROUND(J735, 2)*I735, 2)</f>
        <v>0</v>
      </c>
      <c r="P735" s="21">
        <v>37736.67</v>
      </c>
      <c r="S735" s="22">
        <f>ROUND(ROUND(P735, 2)*I735, 2)</f>
        <v>150946.68</v>
      </c>
      <c r="V735" s="9">
        <f>ROUND(ROUND(P735, 2)/1.2, 2)</f>
        <v>31447.23</v>
      </c>
      <c r="Y735" s="9">
        <f t="shared" si="51"/>
        <v>125788.9</v>
      </c>
      <c r="AD735" s="4" t="s">
        <v>2778</v>
      </c>
      <c r="AE735" s="4" t="s">
        <v>2779</v>
      </c>
      <c r="AF735" s="4" t="s">
        <v>2723</v>
      </c>
    </row>
    <row r="736" spans="1:35" ht="36" x14ac:dyDescent="0.3">
      <c r="A736" s="10" t="s">
        <v>2780</v>
      </c>
      <c r="B736" s="10" t="s">
        <v>2713</v>
      </c>
      <c r="C736" s="11" t="s">
        <v>2714</v>
      </c>
      <c r="D736" s="12"/>
      <c r="E736" s="12" t="s">
        <v>2781</v>
      </c>
      <c r="F736" s="12" t="s">
        <v>116</v>
      </c>
      <c r="G736" s="13">
        <v>1</v>
      </c>
      <c r="H736" s="13"/>
      <c r="I736" s="13">
        <v>5</v>
      </c>
      <c r="J736" s="14">
        <f>IFERROR(ROUND(SUM(M737)/I736, 2),0)</f>
        <v>0</v>
      </c>
      <c r="K736" s="15">
        <v>3271</v>
      </c>
      <c r="L736" s="14">
        <f>J736+ROUND(K736, 2)</f>
        <v>3271</v>
      </c>
      <c r="M736" s="14">
        <f>ROUND(J736*I736, 2)</f>
        <v>0</v>
      </c>
      <c r="N736" s="14">
        <f>ROUND(I736*ROUND(K736, 2), 2)</f>
        <v>16355</v>
      </c>
      <c r="O736" s="14">
        <f>M736+N736</f>
        <v>16355</v>
      </c>
      <c r="P736" s="14">
        <f>IFERROR(ROUND(SUM(S737)/I736, 2),0)</f>
        <v>56520.67</v>
      </c>
      <c r="Q736" s="15">
        <v>10751</v>
      </c>
      <c r="R736" s="14">
        <f>P736+ROUND(Q736, 2)</f>
        <v>67271.67</v>
      </c>
      <c r="S736" s="14">
        <f>ROUND(P736*I736, 2)</f>
        <v>282603.34999999998</v>
      </c>
      <c r="T736" s="14">
        <f>ROUND(I736*ROUND(Q736, 2), 2)</f>
        <v>53755</v>
      </c>
      <c r="U736" s="14">
        <f>S736+T736</f>
        <v>336358.35</v>
      </c>
      <c r="V736" s="9">
        <f>ROUND(P736 / 1.2, 2)</f>
        <v>47100.56</v>
      </c>
      <c r="W736" s="9">
        <f>ROUND(Q736 / 1.2, 2)</f>
        <v>8959.17</v>
      </c>
      <c r="X736" s="9">
        <f>ROUND(R736 / 1.2, 2)</f>
        <v>56059.73</v>
      </c>
      <c r="Y736" s="9">
        <f t="shared" si="51"/>
        <v>235502.79</v>
      </c>
      <c r="Z736" s="9">
        <f>ROUND(T736 / 1.2, 2)</f>
        <v>44795.83</v>
      </c>
      <c r="AA736" s="9">
        <f>Y736+Z736</f>
        <v>280298.62</v>
      </c>
      <c r="AD736" s="4">
        <v>298925509</v>
      </c>
      <c r="AE736" s="4">
        <v>22652766</v>
      </c>
      <c r="AG736" s="4" t="s">
        <v>2716</v>
      </c>
      <c r="AH736" s="4" t="s">
        <v>2717</v>
      </c>
      <c r="AI736" s="4" t="s">
        <v>67</v>
      </c>
    </row>
    <row r="737" spans="1:35" ht="378" x14ac:dyDescent="0.3">
      <c r="A737" s="10" t="s">
        <v>2782</v>
      </c>
      <c r="B737" s="10"/>
      <c r="C737" s="24" t="s">
        <v>2745</v>
      </c>
      <c r="D737" s="12"/>
      <c r="E737" s="12" t="s">
        <v>2783</v>
      </c>
      <c r="F737" s="18" t="s">
        <v>116</v>
      </c>
      <c r="G737" s="19">
        <v>1</v>
      </c>
      <c r="H737" s="20"/>
      <c r="I737" s="20">
        <v>5</v>
      </c>
      <c r="J737" s="21">
        <v>0</v>
      </c>
      <c r="M737" s="22">
        <f>ROUND(ROUND(J737, 2)*I737, 2)</f>
        <v>0</v>
      </c>
      <c r="P737" s="21">
        <v>56520.67</v>
      </c>
      <c r="S737" s="22">
        <f>ROUND(ROUND(P737, 2)*I737, 2)</f>
        <v>282603.34999999998</v>
      </c>
      <c r="V737" s="9">
        <f>ROUND(ROUND(P737, 2)/1.2, 2)</f>
        <v>47100.56</v>
      </c>
      <c r="Y737" s="9">
        <f t="shared" si="51"/>
        <v>235502.79</v>
      </c>
      <c r="AD737" s="4" t="s">
        <v>2784</v>
      </c>
      <c r="AE737" s="4" t="s">
        <v>2785</v>
      </c>
      <c r="AF737" s="4" t="s">
        <v>2749</v>
      </c>
    </row>
    <row r="738" spans="1:35" ht="36" x14ac:dyDescent="0.3">
      <c r="A738" s="10" t="s">
        <v>2786</v>
      </c>
      <c r="B738" s="10" t="s">
        <v>2713</v>
      </c>
      <c r="C738" s="11" t="s">
        <v>2714</v>
      </c>
      <c r="D738" s="12"/>
      <c r="E738" s="12" t="s">
        <v>2787</v>
      </c>
      <c r="F738" s="12" t="s">
        <v>116</v>
      </c>
      <c r="G738" s="13">
        <v>1</v>
      </c>
      <c r="H738" s="13"/>
      <c r="I738" s="13">
        <v>1</v>
      </c>
      <c r="J738" s="14">
        <f>IFERROR(ROUND(SUM(M739)/I738, 2),0)</f>
        <v>0</v>
      </c>
      <c r="K738" s="15">
        <v>3271</v>
      </c>
      <c r="L738" s="14">
        <f>J738+ROUND(K738, 2)</f>
        <v>3271</v>
      </c>
      <c r="M738" s="14">
        <f>ROUND(J738*I738, 2)</f>
        <v>0</v>
      </c>
      <c r="N738" s="14">
        <f>ROUND(I738*ROUND(K738, 2), 2)</f>
        <v>3271</v>
      </c>
      <c r="O738" s="14">
        <f>M738+N738</f>
        <v>3271</v>
      </c>
      <c r="P738" s="14">
        <f>IFERROR(ROUND(SUM(S739)/I738, 2),0)</f>
        <v>56520.67</v>
      </c>
      <c r="Q738" s="15">
        <v>10751</v>
      </c>
      <c r="R738" s="14">
        <f>P738+ROUND(Q738, 2)</f>
        <v>67271.67</v>
      </c>
      <c r="S738" s="14">
        <f>ROUND(P738*I738, 2)</f>
        <v>56520.67</v>
      </c>
      <c r="T738" s="14">
        <f>ROUND(I738*ROUND(Q738, 2), 2)</f>
        <v>10751</v>
      </c>
      <c r="U738" s="14">
        <f>S738+T738</f>
        <v>67271.67</v>
      </c>
      <c r="V738" s="9">
        <f>ROUND(P738 / 1.2, 2)</f>
        <v>47100.56</v>
      </c>
      <c r="W738" s="9">
        <f>ROUND(Q738 / 1.2, 2)</f>
        <v>8959.17</v>
      </c>
      <c r="X738" s="9">
        <f>ROUND(R738 / 1.2, 2)</f>
        <v>56059.73</v>
      </c>
      <c r="Y738" s="9">
        <f t="shared" si="51"/>
        <v>47100.56</v>
      </c>
      <c r="Z738" s="9">
        <f>ROUND(T738 / 1.2, 2)</f>
        <v>8959.17</v>
      </c>
      <c r="AA738" s="9">
        <f>Y738+Z738</f>
        <v>56059.729999999996</v>
      </c>
      <c r="AD738" s="4">
        <v>298925510</v>
      </c>
      <c r="AE738" s="4">
        <v>22653824</v>
      </c>
      <c r="AG738" s="4" t="s">
        <v>2716</v>
      </c>
      <c r="AH738" s="4" t="s">
        <v>2717</v>
      </c>
      <c r="AI738" s="4" t="s">
        <v>67</v>
      </c>
    </row>
    <row r="739" spans="1:35" ht="378" x14ac:dyDescent="0.3">
      <c r="A739" s="10" t="s">
        <v>2788</v>
      </c>
      <c r="B739" s="10"/>
      <c r="C739" s="24" t="s">
        <v>2719</v>
      </c>
      <c r="D739" s="12"/>
      <c r="E739" s="12" t="s">
        <v>2789</v>
      </c>
      <c r="F739" s="18" t="s">
        <v>116</v>
      </c>
      <c r="G739" s="19">
        <v>1</v>
      </c>
      <c r="H739" s="20"/>
      <c r="I739" s="20">
        <v>1</v>
      </c>
      <c r="J739" s="21">
        <v>0</v>
      </c>
      <c r="M739" s="22">
        <f>ROUND(ROUND(J739, 2)*I739, 2)</f>
        <v>0</v>
      </c>
      <c r="P739" s="21">
        <v>56520.67</v>
      </c>
      <c r="S739" s="22">
        <f>ROUND(ROUND(P739, 2)*I739, 2)</f>
        <v>56520.67</v>
      </c>
      <c r="V739" s="9">
        <f>ROUND(ROUND(P739, 2)/1.2, 2)</f>
        <v>47100.56</v>
      </c>
      <c r="Y739" s="9">
        <f t="shared" si="51"/>
        <v>47100.56</v>
      </c>
      <c r="AD739" s="4" t="s">
        <v>2790</v>
      </c>
      <c r="AE739" s="4" t="s">
        <v>2791</v>
      </c>
      <c r="AF739" s="4" t="s">
        <v>2723</v>
      </c>
    </row>
    <row r="740" spans="1:35" ht="36" x14ac:dyDescent="0.3">
      <c r="A740" s="10" t="s">
        <v>2792</v>
      </c>
      <c r="B740" s="10" t="s">
        <v>2713</v>
      </c>
      <c r="C740" s="11" t="s">
        <v>2714</v>
      </c>
      <c r="D740" s="12"/>
      <c r="E740" s="12" t="s">
        <v>2793</v>
      </c>
      <c r="F740" s="12" t="s">
        <v>116</v>
      </c>
      <c r="G740" s="13">
        <v>1</v>
      </c>
      <c r="H740" s="13"/>
      <c r="I740" s="13">
        <v>5</v>
      </c>
      <c r="J740" s="14">
        <f>IFERROR(ROUND(SUM(M741)/I740, 2),0)</f>
        <v>0</v>
      </c>
      <c r="K740" s="15">
        <v>3271</v>
      </c>
      <c r="L740" s="14">
        <f>J740+ROUND(K740, 2)</f>
        <v>3271</v>
      </c>
      <c r="M740" s="14">
        <f>ROUND(J740*I740, 2)</f>
        <v>0</v>
      </c>
      <c r="N740" s="14">
        <f>ROUND(I740*ROUND(K740, 2), 2)</f>
        <v>16355</v>
      </c>
      <c r="O740" s="14">
        <f>M740+N740</f>
        <v>16355</v>
      </c>
      <c r="P740" s="14">
        <f>IFERROR(ROUND(SUM(S741)/I740, 2),0)</f>
        <v>39406.67</v>
      </c>
      <c r="Q740" s="15">
        <v>9309</v>
      </c>
      <c r="R740" s="14">
        <f>P740+ROUND(Q740, 2)</f>
        <v>48715.67</v>
      </c>
      <c r="S740" s="14">
        <f>ROUND(P740*I740, 2)</f>
        <v>197033.35</v>
      </c>
      <c r="T740" s="14">
        <f>ROUND(I740*ROUND(Q740, 2), 2)</f>
        <v>46545</v>
      </c>
      <c r="U740" s="14">
        <f>S740+T740</f>
        <v>243578.35</v>
      </c>
      <c r="V740" s="9">
        <f>ROUND(P740 / 1.2, 2)</f>
        <v>32838.89</v>
      </c>
      <c r="W740" s="9">
        <f>ROUND(Q740 / 1.2, 2)</f>
        <v>7757.5</v>
      </c>
      <c r="X740" s="9">
        <f>ROUND(R740 / 1.2, 2)</f>
        <v>40596.39</v>
      </c>
      <c r="Y740" s="9">
        <f t="shared" si="51"/>
        <v>164194.46</v>
      </c>
      <c r="Z740" s="9">
        <f>ROUND(T740 / 1.2, 2)</f>
        <v>38787.5</v>
      </c>
      <c r="AA740" s="9">
        <f>Y740+Z740</f>
        <v>202981.96</v>
      </c>
      <c r="AD740" s="4">
        <v>298925511</v>
      </c>
      <c r="AE740" s="4">
        <v>22653825</v>
      </c>
      <c r="AG740" s="4" t="s">
        <v>2716</v>
      </c>
      <c r="AH740" s="4" t="s">
        <v>2717</v>
      </c>
      <c r="AI740" s="4" t="s">
        <v>67</v>
      </c>
    </row>
    <row r="741" spans="1:35" ht="342" x14ac:dyDescent="0.3">
      <c r="A741" s="10" t="s">
        <v>2794</v>
      </c>
      <c r="B741" s="10"/>
      <c r="C741" s="24" t="s">
        <v>2745</v>
      </c>
      <c r="D741" s="12"/>
      <c r="E741" s="12" t="s">
        <v>2795</v>
      </c>
      <c r="F741" s="18" t="s">
        <v>116</v>
      </c>
      <c r="G741" s="19">
        <v>1</v>
      </c>
      <c r="H741" s="20"/>
      <c r="I741" s="20">
        <v>5</v>
      </c>
      <c r="J741" s="21">
        <v>0</v>
      </c>
      <c r="M741" s="22">
        <f>ROUND(ROUND(J741, 2)*I741, 2)</f>
        <v>0</v>
      </c>
      <c r="P741" s="21">
        <v>39406.67</v>
      </c>
      <c r="S741" s="22">
        <f>ROUND(ROUND(P741, 2)*I741, 2)</f>
        <v>197033.35</v>
      </c>
      <c r="V741" s="9">
        <f>ROUND(ROUND(P741, 2)/1.2, 2)</f>
        <v>32838.89</v>
      </c>
      <c r="Y741" s="9">
        <f t="shared" si="51"/>
        <v>164194.46</v>
      </c>
      <c r="AD741" s="4" t="s">
        <v>2796</v>
      </c>
      <c r="AE741" s="4" t="s">
        <v>2797</v>
      </c>
      <c r="AF741" s="4" t="s">
        <v>2749</v>
      </c>
    </row>
    <row r="742" spans="1:35" ht="36" x14ac:dyDescent="0.3">
      <c r="A742" s="10" t="s">
        <v>2798</v>
      </c>
      <c r="B742" s="10" t="s">
        <v>2713</v>
      </c>
      <c r="C742" s="11" t="s">
        <v>2714</v>
      </c>
      <c r="D742" s="12"/>
      <c r="E742" s="12" t="s">
        <v>2799</v>
      </c>
      <c r="F742" s="12" t="s">
        <v>116</v>
      </c>
      <c r="G742" s="13">
        <v>1</v>
      </c>
      <c r="H742" s="13"/>
      <c r="I742" s="13">
        <v>3</v>
      </c>
      <c r="J742" s="14">
        <f>IFERROR(ROUND(SUM(M743)/I742, 2),0)</f>
        <v>3442</v>
      </c>
      <c r="K742" s="15">
        <v>3271</v>
      </c>
      <c r="L742" s="14">
        <f>J742+ROUND(K742, 2)</f>
        <v>6713</v>
      </c>
      <c r="M742" s="14">
        <f>ROUND(J742*I742, 2)</f>
        <v>10326</v>
      </c>
      <c r="N742" s="14">
        <f>ROUND(I742*ROUND(K742, 2), 2)</f>
        <v>9813</v>
      </c>
      <c r="O742" s="14">
        <f>M742+N742</f>
        <v>20139</v>
      </c>
      <c r="P742" s="14">
        <f>IFERROR(ROUND(SUM(S743)/I742, 2),0)</f>
        <v>39406.67</v>
      </c>
      <c r="Q742" s="15">
        <v>9309</v>
      </c>
      <c r="R742" s="14">
        <f>P742+ROUND(Q742, 2)</f>
        <v>48715.67</v>
      </c>
      <c r="S742" s="14">
        <f>ROUND(P742*I742, 2)</f>
        <v>118220.01</v>
      </c>
      <c r="T742" s="14">
        <f>ROUND(I742*ROUND(Q742, 2), 2)</f>
        <v>27927</v>
      </c>
      <c r="U742" s="14">
        <f>S742+T742</f>
        <v>146147.01</v>
      </c>
      <c r="V742" s="9">
        <f>ROUND(P742 / 1.2, 2)</f>
        <v>32838.89</v>
      </c>
      <c r="W742" s="9">
        <f>ROUND(Q742 / 1.2, 2)</f>
        <v>7757.5</v>
      </c>
      <c r="X742" s="9">
        <f>ROUND(R742 / 1.2, 2)</f>
        <v>40596.39</v>
      </c>
      <c r="Y742" s="9">
        <f t="shared" si="51"/>
        <v>98516.68</v>
      </c>
      <c r="Z742" s="9">
        <f>ROUND(T742 / 1.2, 2)</f>
        <v>23272.5</v>
      </c>
      <c r="AA742" s="9">
        <f>Y742+Z742</f>
        <v>121789.18</v>
      </c>
      <c r="AD742" s="4">
        <v>298925512</v>
      </c>
      <c r="AE742" s="4">
        <v>22653826</v>
      </c>
      <c r="AG742" s="4" t="s">
        <v>2716</v>
      </c>
      <c r="AH742" s="4" t="s">
        <v>2717</v>
      </c>
      <c r="AI742" s="4" t="s">
        <v>67</v>
      </c>
    </row>
    <row r="743" spans="1:35" ht="342" x14ac:dyDescent="0.3">
      <c r="A743" s="10" t="s">
        <v>2800</v>
      </c>
      <c r="B743" s="10"/>
      <c r="C743" s="24" t="s">
        <v>2801</v>
      </c>
      <c r="D743" s="12"/>
      <c r="E743" s="12" t="s">
        <v>2802</v>
      </c>
      <c r="F743" s="18" t="s">
        <v>116</v>
      </c>
      <c r="G743" s="19">
        <v>1</v>
      </c>
      <c r="H743" s="20"/>
      <c r="I743" s="20">
        <v>3</v>
      </c>
      <c r="J743" s="21">
        <v>3442</v>
      </c>
      <c r="M743" s="22">
        <f>ROUND(ROUND(J743, 2)*I743, 2)</f>
        <v>10326</v>
      </c>
      <c r="P743" s="21">
        <v>39406.67</v>
      </c>
      <c r="S743" s="22">
        <f>ROUND(ROUND(P743, 2)*I743, 2)</f>
        <v>118220.01</v>
      </c>
      <c r="V743" s="9">
        <f>ROUND(ROUND(P743, 2)/1.2, 2)</f>
        <v>32838.89</v>
      </c>
      <c r="Y743" s="9">
        <f t="shared" si="51"/>
        <v>98516.68</v>
      </c>
      <c r="AD743" s="4" t="s">
        <v>2803</v>
      </c>
      <c r="AE743" s="4" t="s">
        <v>2804</v>
      </c>
      <c r="AF743" s="4" t="s">
        <v>2805</v>
      </c>
    </row>
    <row r="744" spans="1:35" ht="36" x14ac:dyDescent="0.3">
      <c r="A744" s="10" t="s">
        <v>2806</v>
      </c>
      <c r="B744" s="10" t="s">
        <v>2713</v>
      </c>
      <c r="C744" s="11" t="s">
        <v>2714</v>
      </c>
      <c r="D744" s="12"/>
      <c r="E744" s="12" t="s">
        <v>2807</v>
      </c>
      <c r="F744" s="12" t="s">
        <v>116</v>
      </c>
      <c r="G744" s="13">
        <v>1</v>
      </c>
      <c r="H744" s="13"/>
      <c r="I744" s="13">
        <v>15</v>
      </c>
      <c r="J744" s="14">
        <f>IFERROR(ROUND(SUM(M745)/I744, 2),0)</f>
        <v>0</v>
      </c>
      <c r="K744" s="15">
        <v>3271</v>
      </c>
      <c r="L744" s="14">
        <f>J744+ROUND(K744, 2)</f>
        <v>3271</v>
      </c>
      <c r="M744" s="14">
        <f>ROUND(J744*I744, 2)</f>
        <v>0</v>
      </c>
      <c r="N744" s="14">
        <f>ROUND(I744*ROUND(K744, 2), 2)</f>
        <v>49065</v>
      </c>
      <c r="O744" s="14">
        <f>M744+N744</f>
        <v>49065</v>
      </c>
      <c r="P744" s="14">
        <f>IFERROR(ROUND(SUM(S745)/I744, 2),0)</f>
        <v>56520.67</v>
      </c>
      <c r="Q744" s="15">
        <v>10751</v>
      </c>
      <c r="R744" s="14">
        <f>P744+ROUND(Q744, 2)</f>
        <v>67271.67</v>
      </c>
      <c r="S744" s="14">
        <f>ROUND(P744*I744, 2)</f>
        <v>847810.05</v>
      </c>
      <c r="T744" s="14">
        <f>ROUND(I744*ROUND(Q744, 2), 2)</f>
        <v>161265</v>
      </c>
      <c r="U744" s="14">
        <f>S744+T744</f>
        <v>1009075.05</v>
      </c>
      <c r="V744" s="9">
        <f>ROUND(P744 / 1.2, 2)</f>
        <v>47100.56</v>
      </c>
      <c r="W744" s="9">
        <f>ROUND(Q744 / 1.2, 2)</f>
        <v>8959.17</v>
      </c>
      <c r="X744" s="9">
        <f>ROUND(R744 / 1.2, 2)</f>
        <v>56059.73</v>
      </c>
      <c r="Y744" s="9">
        <f t="shared" si="51"/>
        <v>706508.38</v>
      </c>
      <c r="Z744" s="9">
        <f>ROUND(T744 / 1.2, 2)</f>
        <v>134387.5</v>
      </c>
      <c r="AA744" s="9">
        <f>Y744+Z744</f>
        <v>840895.88</v>
      </c>
      <c r="AD744" s="4">
        <v>298925513</v>
      </c>
      <c r="AE744" s="4">
        <v>22653827</v>
      </c>
      <c r="AG744" s="4" t="s">
        <v>2716</v>
      </c>
      <c r="AH744" s="4" t="s">
        <v>2717</v>
      </c>
      <c r="AI744" s="4" t="s">
        <v>67</v>
      </c>
    </row>
    <row r="745" spans="1:35" ht="360" x14ac:dyDescent="0.3">
      <c r="A745" s="10" t="s">
        <v>2808</v>
      </c>
      <c r="B745" s="10"/>
      <c r="C745" s="24" t="s">
        <v>2745</v>
      </c>
      <c r="D745" s="12"/>
      <c r="E745" s="12" t="s">
        <v>2809</v>
      </c>
      <c r="F745" s="18" t="s">
        <v>116</v>
      </c>
      <c r="G745" s="19">
        <v>1</v>
      </c>
      <c r="H745" s="20"/>
      <c r="I745" s="20">
        <v>15</v>
      </c>
      <c r="J745" s="21">
        <v>0</v>
      </c>
      <c r="M745" s="22">
        <f>ROUND(ROUND(J745, 2)*I745, 2)</f>
        <v>0</v>
      </c>
      <c r="P745" s="21">
        <v>56520.67</v>
      </c>
      <c r="S745" s="22">
        <f>ROUND(ROUND(P745, 2)*I745, 2)</f>
        <v>847810.05</v>
      </c>
      <c r="V745" s="9">
        <f>ROUND(ROUND(P745, 2)/1.2, 2)</f>
        <v>47100.56</v>
      </c>
      <c r="Y745" s="9">
        <f t="shared" si="51"/>
        <v>706508.38</v>
      </c>
      <c r="AD745" s="4" t="s">
        <v>2810</v>
      </c>
      <c r="AE745" s="4" t="s">
        <v>2811</v>
      </c>
      <c r="AF745" s="4" t="s">
        <v>2749</v>
      </c>
    </row>
    <row r="746" spans="1:35" ht="36" x14ac:dyDescent="0.3">
      <c r="A746" s="10" t="s">
        <v>2812</v>
      </c>
      <c r="B746" s="10" t="s">
        <v>2713</v>
      </c>
      <c r="C746" s="11" t="s">
        <v>2714</v>
      </c>
      <c r="D746" s="12"/>
      <c r="E746" s="12" t="s">
        <v>2813</v>
      </c>
      <c r="F746" s="12" t="s">
        <v>116</v>
      </c>
      <c r="G746" s="13">
        <v>1</v>
      </c>
      <c r="H746" s="13"/>
      <c r="I746" s="13">
        <v>4</v>
      </c>
      <c r="J746" s="14">
        <f>IFERROR(ROUND(SUM(M747)/I746, 2),0)</f>
        <v>0</v>
      </c>
      <c r="K746" s="15">
        <v>3271</v>
      </c>
      <c r="L746" s="14">
        <f>J746+ROUND(K746, 2)</f>
        <v>3271</v>
      </c>
      <c r="M746" s="14">
        <f>ROUND(J746*I746, 2)</f>
        <v>0</v>
      </c>
      <c r="N746" s="14">
        <f>ROUND(I746*ROUND(K746, 2), 2)</f>
        <v>13084</v>
      </c>
      <c r="O746" s="14">
        <f>M746+N746</f>
        <v>13084</v>
      </c>
      <c r="P746" s="14">
        <f>IFERROR(ROUND(SUM(S747)/I746, 2),0)</f>
        <v>56520.67</v>
      </c>
      <c r="Q746" s="15">
        <v>10751</v>
      </c>
      <c r="R746" s="14">
        <f>P746+ROUND(Q746, 2)</f>
        <v>67271.67</v>
      </c>
      <c r="S746" s="14">
        <f>ROUND(P746*I746, 2)</f>
        <v>226082.68</v>
      </c>
      <c r="T746" s="14">
        <f>ROUND(I746*ROUND(Q746, 2), 2)</f>
        <v>43004</v>
      </c>
      <c r="U746" s="14">
        <f>S746+T746</f>
        <v>269086.68</v>
      </c>
      <c r="V746" s="9">
        <f>ROUND(P746 / 1.2, 2)</f>
        <v>47100.56</v>
      </c>
      <c r="W746" s="9">
        <f>ROUND(Q746 / 1.2, 2)</f>
        <v>8959.17</v>
      </c>
      <c r="X746" s="9">
        <f>ROUND(R746 / 1.2, 2)</f>
        <v>56059.73</v>
      </c>
      <c r="Y746" s="9">
        <f t="shared" si="51"/>
        <v>188402.23</v>
      </c>
      <c r="Z746" s="9">
        <f>ROUND(T746 / 1.2, 2)</f>
        <v>35836.67</v>
      </c>
      <c r="AA746" s="9">
        <f>Y746+Z746</f>
        <v>224238.90000000002</v>
      </c>
      <c r="AD746" s="4">
        <v>298925514</v>
      </c>
      <c r="AE746" s="4">
        <v>22655934</v>
      </c>
      <c r="AG746" s="4" t="s">
        <v>2716</v>
      </c>
      <c r="AH746" s="4" t="s">
        <v>2717</v>
      </c>
      <c r="AI746" s="4" t="s">
        <v>67</v>
      </c>
    </row>
    <row r="747" spans="1:35" ht="360" x14ac:dyDescent="0.3">
      <c r="A747" s="10" t="s">
        <v>2814</v>
      </c>
      <c r="B747" s="10"/>
      <c r="C747" s="24" t="s">
        <v>2719</v>
      </c>
      <c r="D747" s="12"/>
      <c r="E747" s="12" t="s">
        <v>2815</v>
      </c>
      <c r="F747" s="18" t="s">
        <v>116</v>
      </c>
      <c r="G747" s="19">
        <v>1</v>
      </c>
      <c r="H747" s="20"/>
      <c r="I747" s="20">
        <v>4</v>
      </c>
      <c r="J747" s="21">
        <v>0</v>
      </c>
      <c r="M747" s="22">
        <f>ROUND(ROUND(J747, 2)*I747, 2)</f>
        <v>0</v>
      </c>
      <c r="P747" s="21">
        <v>56520.67</v>
      </c>
      <c r="S747" s="22">
        <f>ROUND(ROUND(P747, 2)*I747, 2)</f>
        <v>226082.68</v>
      </c>
      <c r="V747" s="9">
        <f>ROUND(ROUND(P747, 2)/1.2, 2)</f>
        <v>47100.56</v>
      </c>
      <c r="Y747" s="9">
        <f t="shared" si="51"/>
        <v>188402.23</v>
      </c>
      <c r="AD747" s="4" t="s">
        <v>2816</v>
      </c>
      <c r="AE747" s="4" t="s">
        <v>2817</v>
      </c>
      <c r="AF747" s="4" t="s">
        <v>2723</v>
      </c>
    </row>
    <row r="748" spans="1:35" ht="36" x14ac:dyDescent="0.3">
      <c r="A748" s="10" t="s">
        <v>2818</v>
      </c>
      <c r="B748" s="10" t="s">
        <v>2713</v>
      </c>
      <c r="C748" s="11" t="s">
        <v>2714</v>
      </c>
      <c r="D748" s="12"/>
      <c r="E748" s="12" t="s">
        <v>2819</v>
      </c>
      <c r="F748" s="12" t="s">
        <v>116</v>
      </c>
      <c r="G748" s="13">
        <v>1</v>
      </c>
      <c r="H748" s="13"/>
      <c r="I748" s="13">
        <v>2</v>
      </c>
      <c r="J748" s="14">
        <f>IFERROR(ROUND(SUM(M749)/I748, 2),0)</f>
        <v>0</v>
      </c>
      <c r="K748" s="15">
        <v>3271</v>
      </c>
      <c r="L748" s="14">
        <f>J748+ROUND(K748, 2)</f>
        <v>3271</v>
      </c>
      <c r="M748" s="14">
        <f>ROUND(J748*I748, 2)</f>
        <v>0</v>
      </c>
      <c r="N748" s="14">
        <f>ROUND(I748*ROUND(K748, 2), 2)</f>
        <v>6542</v>
      </c>
      <c r="O748" s="14">
        <f>M748+N748</f>
        <v>6542</v>
      </c>
      <c r="P748" s="14">
        <f>IFERROR(ROUND(SUM(S749)/I748, 2),0)</f>
        <v>63045</v>
      </c>
      <c r="Q748" s="15">
        <v>10751</v>
      </c>
      <c r="R748" s="14">
        <f>P748+ROUND(Q748, 2)</f>
        <v>73796</v>
      </c>
      <c r="S748" s="14">
        <f>ROUND(P748*I748, 2)</f>
        <v>126090</v>
      </c>
      <c r="T748" s="14">
        <f>ROUND(I748*ROUND(Q748, 2), 2)</f>
        <v>21502</v>
      </c>
      <c r="U748" s="14">
        <f>S748+T748</f>
        <v>147592</v>
      </c>
      <c r="V748" s="9">
        <f>ROUND(P748 / 1.2, 2)</f>
        <v>52537.5</v>
      </c>
      <c r="W748" s="9">
        <f>ROUND(Q748 / 1.2, 2)</f>
        <v>8959.17</v>
      </c>
      <c r="X748" s="9">
        <f>ROUND(R748 / 1.2, 2)</f>
        <v>61496.67</v>
      </c>
      <c r="Y748" s="9">
        <f t="shared" si="51"/>
        <v>105075</v>
      </c>
      <c r="Z748" s="9">
        <f>ROUND(T748 / 1.2, 2)</f>
        <v>17918.330000000002</v>
      </c>
      <c r="AA748" s="9">
        <f>Y748+Z748</f>
        <v>122993.33</v>
      </c>
      <c r="AD748" s="4">
        <v>298925515</v>
      </c>
      <c r="AE748" s="4">
        <v>22655935</v>
      </c>
      <c r="AG748" s="4" t="s">
        <v>2716</v>
      </c>
      <c r="AH748" s="4" t="s">
        <v>2717</v>
      </c>
      <c r="AI748" s="4" t="s">
        <v>67</v>
      </c>
    </row>
    <row r="749" spans="1:35" ht="342" x14ac:dyDescent="0.3">
      <c r="A749" s="10" t="s">
        <v>2820</v>
      </c>
      <c r="B749" s="10"/>
      <c r="C749" s="24" t="s">
        <v>2745</v>
      </c>
      <c r="D749" s="12"/>
      <c r="E749" s="12" t="s">
        <v>2821</v>
      </c>
      <c r="F749" s="18" t="s">
        <v>116</v>
      </c>
      <c r="G749" s="19">
        <v>1</v>
      </c>
      <c r="H749" s="20"/>
      <c r="I749" s="20">
        <v>2</v>
      </c>
      <c r="J749" s="21">
        <v>0</v>
      </c>
      <c r="M749" s="22">
        <f>ROUND(ROUND(J749, 2)*I749, 2)</f>
        <v>0</v>
      </c>
      <c r="P749" s="21">
        <v>63045</v>
      </c>
      <c r="S749" s="22">
        <f>ROUND(ROUND(P749, 2)*I749, 2)</f>
        <v>126090</v>
      </c>
      <c r="V749" s="9">
        <f>ROUND(ROUND(P749, 2)/1.2, 2)</f>
        <v>52537.5</v>
      </c>
      <c r="Y749" s="9">
        <f t="shared" ref="Y749:Y767" si="52">ROUND(S749 / 1.2, 2)</f>
        <v>105075</v>
      </c>
      <c r="AD749" s="4" t="s">
        <v>2822</v>
      </c>
      <c r="AE749" s="4" t="s">
        <v>2823</v>
      </c>
      <c r="AF749" s="4" t="s">
        <v>2749</v>
      </c>
    </row>
    <row r="750" spans="1:35" ht="36" x14ac:dyDescent="0.3">
      <c r="A750" s="10" t="s">
        <v>2824</v>
      </c>
      <c r="B750" s="10" t="s">
        <v>2713</v>
      </c>
      <c r="C750" s="11" t="s">
        <v>2714</v>
      </c>
      <c r="D750" s="12"/>
      <c r="E750" s="12" t="s">
        <v>2825</v>
      </c>
      <c r="F750" s="12" t="s">
        <v>116</v>
      </c>
      <c r="G750" s="13">
        <v>1</v>
      </c>
      <c r="H750" s="13"/>
      <c r="I750" s="13">
        <v>2</v>
      </c>
      <c r="J750" s="14">
        <f>IFERROR(ROUND(SUM(M751)/I750, 2),0)</f>
        <v>0</v>
      </c>
      <c r="K750" s="15">
        <v>3271</v>
      </c>
      <c r="L750" s="14">
        <f>J750+ROUND(K750, 2)</f>
        <v>3271</v>
      </c>
      <c r="M750" s="14">
        <f>ROUND(J750*I750, 2)</f>
        <v>0</v>
      </c>
      <c r="N750" s="14">
        <f>ROUND(I750*ROUND(K750, 2), 2)</f>
        <v>6542</v>
      </c>
      <c r="O750" s="14">
        <f>M750+N750</f>
        <v>6542</v>
      </c>
      <c r="P750" s="14">
        <f>IFERROR(ROUND(SUM(S751)/I750, 2),0)</f>
        <v>39406.67</v>
      </c>
      <c r="Q750" s="15">
        <v>9309</v>
      </c>
      <c r="R750" s="14">
        <f>P750+ROUND(Q750, 2)</f>
        <v>48715.67</v>
      </c>
      <c r="S750" s="14">
        <f>ROUND(P750*I750, 2)</f>
        <v>78813.34</v>
      </c>
      <c r="T750" s="14">
        <f>ROUND(I750*ROUND(Q750, 2), 2)</f>
        <v>18618</v>
      </c>
      <c r="U750" s="14">
        <f>S750+T750</f>
        <v>97431.34</v>
      </c>
      <c r="V750" s="9">
        <f>ROUND(P750 / 1.2, 2)</f>
        <v>32838.89</v>
      </c>
      <c r="W750" s="9">
        <f>ROUND(Q750 / 1.2, 2)</f>
        <v>7757.5</v>
      </c>
      <c r="X750" s="9">
        <f>ROUND(R750 / 1.2, 2)</f>
        <v>40596.39</v>
      </c>
      <c r="Y750" s="9">
        <f t="shared" si="52"/>
        <v>65677.78</v>
      </c>
      <c r="Z750" s="9">
        <f>ROUND(T750 / 1.2, 2)</f>
        <v>15515</v>
      </c>
      <c r="AA750" s="9">
        <f>Y750+Z750</f>
        <v>81192.78</v>
      </c>
      <c r="AD750" s="4">
        <v>298925516</v>
      </c>
      <c r="AE750" s="4">
        <v>22655936</v>
      </c>
      <c r="AG750" s="4" t="s">
        <v>2716</v>
      </c>
      <c r="AH750" s="4" t="s">
        <v>2717</v>
      </c>
      <c r="AI750" s="4" t="s">
        <v>67</v>
      </c>
    </row>
    <row r="751" spans="1:35" ht="324" x14ac:dyDescent="0.3">
      <c r="A751" s="10" t="s">
        <v>2826</v>
      </c>
      <c r="B751" s="10"/>
      <c r="C751" s="24" t="s">
        <v>2745</v>
      </c>
      <c r="D751" s="12"/>
      <c r="E751" s="12" t="s">
        <v>2827</v>
      </c>
      <c r="F751" s="18" t="s">
        <v>116</v>
      </c>
      <c r="G751" s="19">
        <v>1</v>
      </c>
      <c r="H751" s="20"/>
      <c r="I751" s="20">
        <v>2</v>
      </c>
      <c r="J751" s="21">
        <v>0</v>
      </c>
      <c r="M751" s="22">
        <f>ROUND(ROUND(J751, 2)*I751, 2)</f>
        <v>0</v>
      </c>
      <c r="P751" s="21">
        <v>39406.67</v>
      </c>
      <c r="S751" s="22">
        <f>ROUND(ROUND(P751, 2)*I751, 2)</f>
        <v>78813.34</v>
      </c>
      <c r="V751" s="9">
        <f>ROUND(ROUND(P751, 2)/1.2, 2)</f>
        <v>32838.89</v>
      </c>
      <c r="Y751" s="9">
        <f t="shared" si="52"/>
        <v>65677.78</v>
      </c>
      <c r="AD751" s="4" t="s">
        <v>2828</v>
      </c>
      <c r="AE751" s="4" t="s">
        <v>2829</v>
      </c>
      <c r="AF751" s="4" t="s">
        <v>2749</v>
      </c>
    </row>
    <row r="752" spans="1:35" ht="36" x14ac:dyDescent="0.3">
      <c r="A752" s="10" t="s">
        <v>2830</v>
      </c>
      <c r="B752" s="10" t="s">
        <v>2713</v>
      </c>
      <c r="C752" s="11" t="s">
        <v>2714</v>
      </c>
      <c r="D752" s="12"/>
      <c r="E752" s="12" t="s">
        <v>2831</v>
      </c>
      <c r="F752" s="12" t="s">
        <v>116</v>
      </c>
      <c r="G752" s="13">
        <v>1</v>
      </c>
      <c r="H752" s="13"/>
      <c r="I752" s="13">
        <v>2</v>
      </c>
      <c r="J752" s="14">
        <f>IFERROR(ROUND(SUM(M753)/I752, 2),0)</f>
        <v>0</v>
      </c>
      <c r="K752" s="15">
        <v>3271</v>
      </c>
      <c r="L752" s="14">
        <f>J752+ROUND(K752, 2)</f>
        <v>3271</v>
      </c>
      <c r="M752" s="14">
        <f>ROUND(J752*I752, 2)</f>
        <v>0</v>
      </c>
      <c r="N752" s="14">
        <f>ROUND(I752*ROUND(K752, 2), 2)</f>
        <v>6542</v>
      </c>
      <c r="O752" s="14">
        <f>M752+N752</f>
        <v>6542</v>
      </c>
      <c r="P752" s="14">
        <f>IFERROR(ROUND(SUM(S753)/I752, 2),0)</f>
        <v>56520.67</v>
      </c>
      <c r="Q752" s="15">
        <v>10751</v>
      </c>
      <c r="R752" s="14">
        <f>P752+ROUND(Q752, 2)</f>
        <v>67271.67</v>
      </c>
      <c r="S752" s="14">
        <f>ROUND(P752*I752, 2)</f>
        <v>113041.34</v>
      </c>
      <c r="T752" s="14">
        <f>ROUND(I752*ROUND(Q752, 2), 2)</f>
        <v>21502</v>
      </c>
      <c r="U752" s="14">
        <f>S752+T752</f>
        <v>134543.34</v>
      </c>
      <c r="V752" s="9">
        <f>ROUND(P752 / 1.2, 2)</f>
        <v>47100.56</v>
      </c>
      <c r="W752" s="9">
        <f>ROUND(Q752 / 1.2, 2)</f>
        <v>8959.17</v>
      </c>
      <c r="X752" s="9">
        <f>ROUND(R752 / 1.2, 2)</f>
        <v>56059.73</v>
      </c>
      <c r="Y752" s="9">
        <f t="shared" si="52"/>
        <v>94201.12</v>
      </c>
      <c r="Z752" s="9">
        <f>ROUND(T752 / 1.2, 2)</f>
        <v>17918.330000000002</v>
      </c>
      <c r="AA752" s="9">
        <f>Y752+Z752</f>
        <v>112119.45</v>
      </c>
      <c r="AD752" s="4">
        <v>298925517</v>
      </c>
      <c r="AE752" s="4">
        <v>22655937</v>
      </c>
      <c r="AG752" s="4" t="s">
        <v>2716</v>
      </c>
      <c r="AH752" s="4" t="s">
        <v>2717</v>
      </c>
      <c r="AI752" s="4" t="s">
        <v>67</v>
      </c>
    </row>
    <row r="753" spans="1:35" ht="324" x14ac:dyDescent="0.3">
      <c r="A753" s="10" t="s">
        <v>2832</v>
      </c>
      <c r="B753" s="10"/>
      <c r="C753" s="24" t="s">
        <v>2745</v>
      </c>
      <c r="D753" s="12"/>
      <c r="E753" s="12" t="s">
        <v>2833</v>
      </c>
      <c r="F753" s="18" t="s">
        <v>116</v>
      </c>
      <c r="G753" s="19">
        <v>1</v>
      </c>
      <c r="H753" s="20"/>
      <c r="I753" s="20">
        <v>2</v>
      </c>
      <c r="J753" s="21">
        <v>0</v>
      </c>
      <c r="M753" s="22">
        <f>ROUND(ROUND(J753, 2)*I753, 2)</f>
        <v>0</v>
      </c>
      <c r="P753" s="21">
        <v>56520.67</v>
      </c>
      <c r="S753" s="22">
        <f>ROUND(ROUND(P753, 2)*I753, 2)</f>
        <v>113041.34</v>
      </c>
      <c r="V753" s="9">
        <f>ROUND(ROUND(P753, 2)/1.2, 2)</f>
        <v>47100.56</v>
      </c>
      <c r="Y753" s="9">
        <f t="shared" si="52"/>
        <v>94201.12</v>
      </c>
      <c r="AD753" s="4" t="s">
        <v>2834</v>
      </c>
      <c r="AE753" s="4" t="s">
        <v>2835</v>
      </c>
      <c r="AF753" s="4" t="s">
        <v>2749</v>
      </c>
    </row>
    <row r="754" spans="1:35" ht="36" x14ac:dyDescent="0.3">
      <c r="A754" s="10" t="s">
        <v>2836</v>
      </c>
      <c r="B754" s="10" t="s">
        <v>2713</v>
      </c>
      <c r="C754" s="11" t="s">
        <v>2714</v>
      </c>
      <c r="D754" s="12"/>
      <c r="E754" s="12" t="s">
        <v>2837</v>
      </c>
      <c r="F754" s="12" t="s">
        <v>116</v>
      </c>
      <c r="G754" s="13">
        <v>1</v>
      </c>
      <c r="H754" s="13"/>
      <c r="I754" s="13">
        <v>2</v>
      </c>
      <c r="J754" s="14">
        <f>IFERROR(ROUND(SUM(M755)/I754, 2),0)</f>
        <v>0</v>
      </c>
      <c r="K754" s="15">
        <v>3271</v>
      </c>
      <c r="L754" s="14">
        <f>J754+ROUND(K754, 2)</f>
        <v>3271</v>
      </c>
      <c r="M754" s="14">
        <f>ROUND(J754*I754, 2)</f>
        <v>0</v>
      </c>
      <c r="N754" s="14">
        <f>ROUND(I754*ROUND(K754, 2), 2)</f>
        <v>6542</v>
      </c>
      <c r="O754" s="14">
        <f>M754+N754</f>
        <v>6542</v>
      </c>
      <c r="P754" s="14">
        <f>IFERROR(ROUND(SUM(S755)/I754, 2),0)</f>
        <v>56520.67</v>
      </c>
      <c r="Q754" s="15">
        <v>10751</v>
      </c>
      <c r="R754" s="14">
        <f>P754+ROUND(Q754, 2)</f>
        <v>67271.67</v>
      </c>
      <c r="S754" s="14">
        <f>ROUND(P754*I754, 2)</f>
        <v>113041.34</v>
      </c>
      <c r="T754" s="14">
        <f>ROUND(I754*ROUND(Q754, 2), 2)</f>
        <v>21502</v>
      </c>
      <c r="U754" s="14">
        <f>S754+T754</f>
        <v>134543.34</v>
      </c>
      <c r="V754" s="9">
        <f>ROUND(P754 / 1.2, 2)</f>
        <v>47100.56</v>
      </c>
      <c r="W754" s="9">
        <f>ROUND(Q754 / 1.2, 2)</f>
        <v>8959.17</v>
      </c>
      <c r="X754" s="9">
        <f>ROUND(R754 / 1.2, 2)</f>
        <v>56059.73</v>
      </c>
      <c r="Y754" s="9">
        <f t="shared" si="52"/>
        <v>94201.12</v>
      </c>
      <c r="Z754" s="9">
        <f>ROUND(T754 / 1.2, 2)</f>
        <v>17918.330000000002</v>
      </c>
      <c r="AA754" s="9">
        <f>Y754+Z754</f>
        <v>112119.45</v>
      </c>
      <c r="AD754" s="4">
        <v>298925518</v>
      </c>
      <c r="AE754" s="4">
        <v>22655938</v>
      </c>
      <c r="AG754" s="4" t="s">
        <v>2716</v>
      </c>
      <c r="AH754" s="4" t="s">
        <v>2717</v>
      </c>
      <c r="AI754" s="4" t="s">
        <v>67</v>
      </c>
    </row>
    <row r="755" spans="1:35" ht="342" x14ac:dyDescent="0.3">
      <c r="A755" s="10" t="s">
        <v>2838</v>
      </c>
      <c r="B755" s="10"/>
      <c r="C755" s="24" t="s">
        <v>2719</v>
      </c>
      <c r="D755" s="12"/>
      <c r="E755" s="12" t="s">
        <v>2839</v>
      </c>
      <c r="F755" s="18" t="s">
        <v>116</v>
      </c>
      <c r="G755" s="19">
        <v>1</v>
      </c>
      <c r="H755" s="20"/>
      <c r="I755" s="20">
        <v>2</v>
      </c>
      <c r="J755" s="21">
        <v>0</v>
      </c>
      <c r="M755" s="22">
        <f>ROUND(ROUND(J755, 2)*I755, 2)</f>
        <v>0</v>
      </c>
      <c r="P755" s="21">
        <v>56520.67</v>
      </c>
      <c r="S755" s="22">
        <f>ROUND(ROUND(P755, 2)*I755, 2)</f>
        <v>113041.34</v>
      </c>
      <c r="V755" s="9">
        <f>ROUND(ROUND(P755, 2)/1.2, 2)</f>
        <v>47100.56</v>
      </c>
      <c r="Y755" s="9">
        <f t="shared" si="52"/>
        <v>94201.12</v>
      </c>
      <c r="AD755" s="4" t="s">
        <v>2840</v>
      </c>
      <c r="AE755" s="4" t="s">
        <v>2841</v>
      </c>
      <c r="AF755" s="4" t="s">
        <v>2723</v>
      </c>
    </row>
    <row r="756" spans="1:35" ht="36" x14ac:dyDescent="0.3">
      <c r="A756" s="10" t="s">
        <v>2842</v>
      </c>
      <c r="B756" s="10" t="s">
        <v>2713</v>
      </c>
      <c r="C756" s="11" t="s">
        <v>2714</v>
      </c>
      <c r="D756" s="12"/>
      <c r="E756" s="12" t="s">
        <v>2843</v>
      </c>
      <c r="F756" s="12" t="s">
        <v>116</v>
      </c>
      <c r="G756" s="13">
        <v>1</v>
      </c>
      <c r="H756" s="13"/>
      <c r="I756" s="13">
        <v>3</v>
      </c>
      <c r="J756" s="14">
        <f>IFERROR(ROUND(SUM(M757)/I756, 2),0)</f>
        <v>0</v>
      </c>
      <c r="K756" s="15">
        <v>3271</v>
      </c>
      <c r="L756" s="14">
        <f>J756+ROUND(K756, 2)</f>
        <v>3271</v>
      </c>
      <c r="M756" s="14">
        <f>ROUND(J756*I756, 2)</f>
        <v>0</v>
      </c>
      <c r="N756" s="14">
        <f>ROUND(I756*ROUND(K756, 2), 2)</f>
        <v>9813</v>
      </c>
      <c r="O756" s="14">
        <f>M756+N756</f>
        <v>9813</v>
      </c>
      <c r="P756" s="14">
        <f>IFERROR(ROUND(SUM(S757)/I756, 2),0)</f>
        <v>39406.67</v>
      </c>
      <c r="Q756" s="15">
        <v>9309</v>
      </c>
      <c r="R756" s="14">
        <f>P756+ROUND(Q756, 2)</f>
        <v>48715.67</v>
      </c>
      <c r="S756" s="14">
        <f>ROUND(P756*I756, 2)</f>
        <v>118220.01</v>
      </c>
      <c r="T756" s="14">
        <f>ROUND(I756*ROUND(Q756, 2), 2)</f>
        <v>27927</v>
      </c>
      <c r="U756" s="14">
        <f>S756+T756</f>
        <v>146147.01</v>
      </c>
      <c r="V756" s="9">
        <f>ROUND(P756 / 1.2, 2)</f>
        <v>32838.89</v>
      </c>
      <c r="W756" s="9">
        <f>ROUND(Q756 / 1.2, 2)</f>
        <v>7757.5</v>
      </c>
      <c r="X756" s="9">
        <f>ROUND(R756 / 1.2, 2)</f>
        <v>40596.39</v>
      </c>
      <c r="Y756" s="9">
        <f t="shared" si="52"/>
        <v>98516.68</v>
      </c>
      <c r="Z756" s="9">
        <f>ROUND(T756 / 1.2, 2)</f>
        <v>23272.5</v>
      </c>
      <c r="AA756" s="9">
        <f>Y756+Z756</f>
        <v>121789.18</v>
      </c>
      <c r="AD756" s="4">
        <v>298925519</v>
      </c>
      <c r="AE756" s="4">
        <v>22655939</v>
      </c>
      <c r="AG756" s="4" t="s">
        <v>2716</v>
      </c>
      <c r="AH756" s="4" t="s">
        <v>2717</v>
      </c>
      <c r="AI756" s="4" t="s">
        <v>67</v>
      </c>
    </row>
    <row r="757" spans="1:35" ht="409.6" x14ac:dyDescent="0.3">
      <c r="A757" s="10" t="s">
        <v>2844</v>
      </c>
      <c r="B757" s="10"/>
      <c r="C757" s="24" t="s">
        <v>2745</v>
      </c>
      <c r="D757" s="12"/>
      <c r="E757" s="12" t="s">
        <v>2845</v>
      </c>
      <c r="F757" s="18" t="s">
        <v>116</v>
      </c>
      <c r="G757" s="19">
        <v>1</v>
      </c>
      <c r="H757" s="20"/>
      <c r="I757" s="20">
        <v>3</v>
      </c>
      <c r="J757" s="21">
        <v>0</v>
      </c>
      <c r="M757" s="22">
        <f>ROUND(ROUND(J757, 2)*I757, 2)</f>
        <v>0</v>
      </c>
      <c r="P757" s="21">
        <v>39406.67</v>
      </c>
      <c r="S757" s="22">
        <f>ROUND(ROUND(P757, 2)*I757, 2)</f>
        <v>118220.01</v>
      </c>
      <c r="V757" s="9">
        <f>ROUND(ROUND(P757, 2)/1.2, 2)</f>
        <v>32838.89</v>
      </c>
      <c r="Y757" s="9">
        <f t="shared" si="52"/>
        <v>98516.68</v>
      </c>
      <c r="AD757" s="4" t="s">
        <v>2846</v>
      </c>
      <c r="AE757" s="4" t="s">
        <v>2847</v>
      </c>
      <c r="AF757" s="4" t="s">
        <v>2749</v>
      </c>
    </row>
    <row r="758" spans="1:35" ht="36" x14ac:dyDescent="0.3">
      <c r="A758" s="10" t="s">
        <v>2848</v>
      </c>
      <c r="B758" s="10" t="s">
        <v>2713</v>
      </c>
      <c r="C758" s="11" t="s">
        <v>2714</v>
      </c>
      <c r="D758" s="12"/>
      <c r="E758" s="12" t="s">
        <v>2849</v>
      </c>
      <c r="F758" s="12" t="s">
        <v>116</v>
      </c>
      <c r="G758" s="13">
        <v>1</v>
      </c>
      <c r="H758" s="13"/>
      <c r="I758" s="13">
        <v>2</v>
      </c>
      <c r="J758" s="14">
        <f>IFERROR(ROUND(SUM(M759)/I758, 2),0)</f>
        <v>0</v>
      </c>
      <c r="K758" s="15">
        <v>3271</v>
      </c>
      <c r="L758" s="14">
        <f>J758+ROUND(K758, 2)</f>
        <v>3271</v>
      </c>
      <c r="M758" s="14">
        <f>ROUND(J758*I758, 2)</f>
        <v>0</v>
      </c>
      <c r="N758" s="14">
        <f>ROUND(I758*ROUND(K758, 2), 2)</f>
        <v>6542</v>
      </c>
      <c r="O758" s="14">
        <f>M758+N758</f>
        <v>6542</v>
      </c>
      <c r="P758" s="14">
        <f>IFERROR(ROUND(SUM(S759)/I758, 2),0)</f>
        <v>39406.67</v>
      </c>
      <c r="Q758" s="15">
        <v>9309</v>
      </c>
      <c r="R758" s="14">
        <f>P758+ROUND(Q758, 2)</f>
        <v>48715.67</v>
      </c>
      <c r="S758" s="14">
        <f>ROUND(P758*I758, 2)</f>
        <v>78813.34</v>
      </c>
      <c r="T758" s="14">
        <f>ROUND(I758*ROUND(Q758, 2), 2)</f>
        <v>18618</v>
      </c>
      <c r="U758" s="14">
        <f>S758+T758</f>
        <v>97431.34</v>
      </c>
      <c r="V758" s="9">
        <f>ROUND(P758 / 1.2, 2)</f>
        <v>32838.89</v>
      </c>
      <c r="W758" s="9">
        <f>ROUND(Q758 / 1.2, 2)</f>
        <v>7757.5</v>
      </c>
      <c r="X758" s="9">
        <f>ROUND(R758 / 1.2, 2)</f>
        <v>40596.39</v>
      </c>
      <c r="Y758" s="9">
        <f t="shared" si="52"/>
        <v>65677.78</v>
      </c>
      <c r="Z758" s="9">
        <f>ROUND(T758 / 1.2, 2)</f>
        <v>15515</v>
      </c>
      <c r="AA758" s="9">
        <f>Y758+Z758</f>
        <v>81192.78</v>
      </c>
      <c r="AD758" s="4">
        <v>298925520</v>
      </c>
      <c r="AE758" s="4">
        <v>22657113</v>
      </c>
      <c r="AG758" s="4" t="s">
        <v>2716</v>
      </c>
      <c r="AH758" s="4" t="s">
        <v>2717</v>
      </c>
      <c r="AI758" s="4" t="s">
        <v>67</v>
      </c>
    </row>
    <row r="759" spans="1:35" ht="324" x14ac:dyDescent="0.3">
      <c r="A759" s="10" t="s">
        <v>2850</v>
      </c>
      <c r="B759" s="10"/>
      <c r="C759" s="24" t="s">
        <v>2745</v>
      </c>
      <c r="D759" s="12"/>
      <c r="E759" s="12" t="s">
        <v>2851</v>
      </c>
      <c r="F759" s="18" t="s">
        <v>116</v>
      </c>
      <c r="G759" s="19">
        <v>1</v>
      </c>
      <c r="H759" s="20"/>
      <c r="I759" s="20">
        <v>2</v>
      </c>
      <c r="J759" s="21">
        <v>0</v>
      </c>
      <c r="M759" s="22">
        <f>ROUND(ROUND(J759, 2)*I759, 2)</f>
        <v>0</v>
      </c>
      <c r="P759" s="21">
        <v>39406.67</v>
      </c>
      <c r="S759" s="22">
        <f>ROUND(ROUND(P759, 2)*I759, 2)</f>
        <v>78813.34</v>
      </c>
      <c r="V759" s="9">
        <f>ROUND(ROUND(P759, 2)/1.2, 2)</f>
        <v>32838.89</v>
      </c>
      <c r="Y759" s="9">
        <f t="shared" si="52"/>
        <v>65677.78</v>
      </c>
      <c r="AD759" s="4" t="s">
        <v>2852</v>
      </c>
      <c r="AE759" s="4" t="s">
        <v>2853</v>
      </c>
      <c r="AF759" s="4" t="s">
        <v>2749</v>
      </c>
    </row>
    <row r="760" spans="1:35" ht="36" x14ac:dyDescent="0.3">
      <c r="A760" s="10" t="s">
        <v>2854</v>
      </c>
      <c r="B760" s="10" t="s">
        <v>2713</v>
      </c>
      <c r="C760" s="11" t="s">
        <v>2714</v>
      </c>
      <c r="D760" s="12"/>
      <c r="E760" s="12" t="s">
        <v>2855</v>
      </c>
      <c r="F760" s="12" t="s">
        <v>116</v>
      </c>
      <c r="G760" s="13">
        <v>1</v>
      </c>
      <c r="H760" s="13"/>
      <c r="I760" s="13">
        <v>1</v>
      </c>
      <c r="J760" s="14">
        <f>IFERROR(ROUND(SUM(M761)/I760, 2),0)</f>
        <v>0</v>
      </c>
      <c r="K760" s="15">
        <v>3271</v>
      </c>
      <c r="L760" s="14">
        <f>J760+ROUND(K760, 2)</f>
        <v>3271</v>
      </c>
      <c r="M760" s="14">
        <f>ROUND(J760*I760, 2)</f>
        <v>0</v>
      </c>
      <c r="N760" s="14">
        <f>ROUND(I760*ROUND(K760, 2), 2)</f>
        <v>3271</v>
      </c>
      <c r="O760" s="14">
        <f>M760+N760</f>
        <v>3271</v>
      </c>
      <c r="P760" s="14">
        <f>IFERROR(ROUND(SUM(S761)/I760, 2),0)</f>
        <v>39406.67</v>
      </c>
      <c r="Q760" s="15">
        <v>9309</v>
      </c>
      <c r="R760" s="14">
        <f>P760+ROUND(Q760, 2)</f>
        <v>48715.67</v>
      </c>
      <c r="S760" s="14">
        <f>ROUND(P760*I760, 2)</f>
        <v>39406.67</v>
      </c>
      <c r="T760" s="14">
        <f>ROUND(I760*ROUND(Q760, 2), 2)</f>
        <v>9309</v>
      </c>
      <c r="U760" s="14">
        <f>S760+T760</f>
        <v>48715.67</v>
      </c>
      <c r="V760" s="9">
        <f>ROUND(P760 / 1.2, 2)</f>
        <v>32838.89</v>
      </c>
      <c r="W760" s="9">
        <f>ROUND(Q760 / 1.2, 2)</f>
        <v>7757.5</v>
      </c>
      <c r="X760" s="9">
        <f>ROUND(R760 / 1.2, 2)</f>
        <v>40596.39</v>
      </c>
      <c r="Y760" s="9">
        <f t="shared" si="52"/>
        <v>32838.89</v>
      </c>
      <c r="Z760" s="9">
        <f>ROUND(T760 / 1.2, 2)</f>
        <v>7757.5</v>
      </c>
      <c r="AA760" s="9">
        <f>Y760+Z760</f>
        <v>40596.39</v>
      </c>
      <c r="AD760" s="4">
        <v>298925521</v>
      </c>
      <c r="AE760" s="4">
        <v>22657114</v>
      </c>
      <c r="AG760" s="4" t="s">
        <v>2716</v>
      </c>
      <c r="AH760" s="4" t="s">
        <v>2717</v>
      </c>
      <c r="AI760" s="4" t="s">
        <v>67</v>
      </c>
    </row>
    <row r="761" spans="1:35" ht="324" x14ac:dyDescent="0.3">
      <c r="A761" s="10" t="s">
        <v>2856</v>
      </c>
      <c r="B761" s="10"/>
      <c r="C761" s="24" t="s">
        <v>2745</v>
      </c>
      <c r="D761" s="12"/>
      <c r="E761" s="12" t="s">
        <v>2857</v>
      </c>
      <c r="F761" s="18" t="s">
        <v>116</v>
      </c>
      <c r="G761" s="19">
        <v>1</v>
      </c>
      <c r="H761" s="20"/>
      <c r="I761" s="20">
        <v>1</v>
      </c>
      <c r="J761" s="21">
        <v>0</v>
      </c>
      <c r="M761" s="22">
        <f>ROUND(ROUND(J761, 2)*I761, 2)</f>
        <v>0</v>
      </c>
      <c r="P761" s="21">
        <v>39406.67</v>
      </c>
      <c r="S761" s="22">
        <f>ROUND(ROUND(P761, 2)*I761, 2)</f>
        <v>39406.67</v>
      </c>
      <c r="V761" s="9">
        <f>ROUND(ROUND(P761, 2)/1.2, 2)</f>
        <v>32838.89</v>
      </c>
      <c r="Y761" s="9">
        <f t="shared" si="52"/>
        <v>32838.89</v>
      </c>
      <c r="AD761" s="4" t="s">
        <v>2858</v>
      </c>
      <c r="AE761" s="4" t="s">
        <v>2859</v>
      </c>
      <c r="AF761" s="4" t="s">
        <v>2749</v>
      </c>
    </row>
    <row r="762" spans="1:35" ht="36" x14ac:dyDescent="0.3">
      <c r="A762" s="10" t="s">
        <v>2860</v>
      </c>
      <c r="B762" s="10" t="s">
        <v>2713</v>
      </c>
      <c r="C762" s="11" t="s">
        <v>2714</v>
      </c>
      <c r="D762" s="12"/>
      <c r="E762" s="12" t="s">
        <v>2861</v>
      </c>
      <c r="F762" s="12" t="s">
        <v>116</v>
      </c>
      <c r="G762" s="13">
        <v>1</v>
      </c>
      <c r="H762" s="13"/>
      <c r="I762" s="13">
        <v>1</v>
      </c>
      <c r="J762" s="14">
        <f>IFERROR(ROUND(SUM(M763)/I762, 2),0)</f>
        <v>0</v>
      </c>
      <c r="K762" s="15">
        <v>3271</v>
      </c>
      <c r="L762" s="14">
        <f>J762+ROUND(K762, 2)</f>
        <v>3271</v>
      </c>
      <c r="M762" s="14">
        <f>ROUND(J762*I762, 2)</f>
        <v>0</v>
      </c>
      <c r="N762" s="14">
        <f>ROUND(I762*ROUND(K762, 2), 2)</f>
        <v>3271</v>
      </c>
      <c r="O762" s="14">
        <f>M762+N762</f>
        <v>3271</v>
      </c>
      <c r="P762" s="14">
        <f>IFERROR(ROUND(SUM(S763)/I762, 2),0)</f>
        <v>97185</v>
      </c>
      <c r="Q762" s="15">
        <v>12606</v>
      </c>
      <c r="R762" s="14">
        <f>P762+ROUND(Q762, 2)</f>
        <v>109791</v>
      </c>
      <c r="S762" s="14">
        <f>ROUND(P762*I762, 2)</f>
        <v>97185</v>
      </c>
      <c r="T762" s="14">
        <f>ROUND(I762*ROUND(Q762, 2), 2)</f>
        <v>12606</v>
      </c>
      <c r="U762" s="14">
        <f>S762+T762</f>
        <v>109791</v>
      </c>
      <c r="V762" s="9">
        <f>ROUND(P762 / 1.2, 2)</f>
        <v>80987.5</v>
      </c>
      <c r="W762" s="9">
        <f>ROUND(Q762 / 1.2, 2)</f>
        <v>10505</v>
      </c>
      <c r="X762" s="9">
        <f>ROUND(R762 / 1.2, 2)</f>
        <v>91492.5</v>
      </c>
      <c r="Y762" s="9">
        <f t="shared" si="52"/>
        <v>80987.5</v>
      </c>
      <c r="Z762" s="9">
        <f>ROUND(T762 / 1.2, 2)</f>
        <v>10505</v>
      </c>
      <c r="AA762" s="9">
        <f>Y762+Z762</f>
        <v>91492.5</v>
      </c>
      <c r="AD762" s="4">
        <v>298925522</v>
      </c>
      <c r="AE762" s="4">
        <v>22657115</v>
      </c>
      <c r="AG762" s="4" t="s">
        <v>2716</v>
      </c>
      <c r="AH762" s="4" t="s">
        <v>2717</v>
      </c>
      <c r="AI762" s="4" t="s">
        <v>67</v>
      </c>
    </row>
    <row r="763" spans="1:35" ht="396" x14ac:dyDescent="0.3">
      <c r="A763" s="10" t="s">
        <v>2862</v>
      </c>
      <c r="B763" s="10"/>
      <c r="C763" s="24" t="s">
        <v>2719</v>
      </c>
      <c r="D763" s="12"/>
      <c r="E763" s="12" t="s">
        <v>2863</v>
      </c>
      <c r="F763" s="18" t="s">
        <v>116</v>
      </c>
      <c r="G763" s="19">
        <v>1</v>
      </c>
      <c r="H763" s="20"/>
      <c r="I763" s="20">
        <v>1</v>
      </c>
      <c r="J763" s="21">
        <v>0</v>
      </c>
      <c r="M763" s="22">
        <f>ROUND(ROUND(J763, 2)*I763, 2)</f>
        <v>0</v>
      </c>
      <c r="P763" s="21">
        <v>97185</v>
      </c>
      <c r="S763" s="22">
        <f>ROUND(ROUND(P763, 2)*I763, 2)</f>
        <v>97185</v>
      </c>
      <c r="V763" s="9">
        <f>ROUND(ROUND(P763, 2)/1.2, 2)</f>
        <v>80987.5</v>
      </c>
      <c r="Y763" s="9">
        <f t="shared" si="52"/>
        <v>80987.5</v>
      </c>
      <c r="AD763" s="4" t="s">
        <v>2864</v>
      </c>
      <c r="AE763" s="4" t="s">
        <v>2865</v>
      </c>
      <c r="AF763" s="4" t="s">
        <v>2723</v>
      </c>
    </row>
    <row r="764" spans="1:35" ht="36" x14ac:dyDescent="0.3">
      <c r="A764" s="10" t="s">
        <v>2866</v>
      </c>
      <c r="B764" s="10" t="s">
        <v>2713</v>
      </c>
      <c r="C764" s="11" t="s">
        <v>2714</v>
      </c>
      <c r="D764" s="12"/>
      <c r="E764" s="12" t="s">
        <v>2867</v>
      </c>
      <c r="F764" s="12" t="s">
        <v>116</v>
      </c>
      <c r="G764" s="13">
        <v>1</v>
      </c>
      <c r="H764" s="13"/>
      <c r="I764" s="13">
        <v>1</v>
      </c>
      <c r="J764" s="14">
        <f>IFERROR(ROUND(SUM(M765)/I764, 2),0)</f>
        <v>0</v>
      </c>
      <c r="K764" s="15">
        <v>3271</v>
      </c>
      <c r="L764" s="14">
        <f>J764+ROUND(K764, 2)</f>
        <v>3271</v>
      </c>
      <c r="M764" s="14">
        <f>ROUND(J764*I764, 2)</f>
        <v>0</v>
      </c>
      <c r="N764" s="14">
        <f>ROUND(I764*ROUND(K764, 2), 2)</f>
        <v>3271</v>
      </c>
      <c r="O764" s="14">
        <f>M764+N764</f>
        <v>3271</v>
      </c>
      <c r="P764" s="14">
        <f>IFERROR(ROUND(SUM(S765)/I764, 2),0)</f>
        <v>170750.67</v>
      </c>
      <c r="Q764" s="15">
        <v>23845</v>
      </c>
      <c r="R764" s="14">
        <f>P764+ROUND(Q764, 2)</f>
        <v>194595.67</v>
      </c>
      <c r="S764" s="14">
        <f>ROUND(P764*I764, 2)</f>
        <v>170750.67</v>
      </c>
      <c r="T764" s="14">
        <f>ROUND(I764*ROUND(Q764, 2), 2)</f>
        <v>23845</v>
      </c>
      <c r="U764" s="14">
        <f>S764+T764</f>
        <v>194595.67</v>
      </c>
      <c r="V764" s="9">
        <f>ROUND(P764 / 1.2, 2)</f>
        <v>142292.23000000001</v>
      </c>
      <c r="W764" s="9">
        <f>ROUND(Q764 / 1.2, 2)</f>
        <v>19870.830000000002</v>
      </c>
      <c r="X764" s="9">
        <f>ROUND(R764 / 1.2, 2)</f>
        <v>162163.06</v>
      </c>
      <c r="Y764" s="9">
        <f t="shared" si="52"/>
        <v>142292.23000000001</v>
      </c>
      <c r="Z764" s="9">
        <f>ROUND(T764 / 1.2, 2)</f>
        <v>19870.830000000002</v>
      </c>
      <c r="AA764" s="9">
        <f>Y764+Z764</f>
        <v>162163.06</v>
      </c>
      <c r="AD764" s="4">
        <v>298925523</v>
      </c>
      <c r="AE764" s="4">
        <v>22657116</v>
      </c>
      <c r="AG764" s="4" t="s">
        <v>2716</v>
      </c>
      <c r="AH764" s="4" t="s">
        <v>2717</v>
      </c>
      <c r="AI764" s="4" t="s">
        <v>67</v>
      </c>
    </row>
    <row r="765" spans="1:35" ht="409.6" x14ac:dyDescent="0.3">
      <c r="A765" s="10" t="s">
        <v>2868</v>
      </c>
      <c r="B765" s="10"/>
      <c r="C765" s="24" t="s">
        <v>2745</v>
      </c>
      <c r="D765" s="12"/>
      <c r="E765" s="12" t="s">
        <v>2869</v>
      </c>
      <c r="F765" s="18" t="s">
        <v>116</v>
      </c>
      <c r="G765" s="19">
        <v>1</v>
      </c>
      <c r="H765" s="20"/>
      <c r="I765" s="20">
        <v>1</v>
      </c>
      <c r="J765" s="21">
        <v>0</v>
      </c>
      <c r="M765" s="22">
        <f>ROUND(ROUND(J765, 2)*I765, 2)</f>
        <v>0</v>
      </c>
      <c r="P765" s="21">
        <v>170750.67</v>
      </c>
      <c r="S765" s="22">
        <f>ROUND(ROUND(P765, 2)*I765, 2)</f>
        <v>170750.67</v>
      </c>
      <c r="V765" s="9">
        <f>ROUND(ROUND(P765, 2)/1.2, 2)</f>
        <v>142292.23000000001</v>
      </c>
      <c r="Y765" s="9">
        <f t="shared" si="52"/>
        <v>142292.23000000001</v>
      </c>
      <c r="AD765" s="4" t="s">
        <v>2870</v>
      </c>
      <c r="AE765" s="4" t="s">
        <v>2871</v>
      </c>
      <c r="AF765" s="4" t="s">
        <v>2749</v>
      </c>
    </row>
    <row r="766" spans="1:35" ht="36" x14ac:dyDescent="0.3">
      <c r="A766" s="10" t="s">
        <v>2872</v>
      </c>
      <c r="B766" s="10" t="s">
        <v>2713</v>
      </c>
      <c r="C766" s="11" t="s">
        <v>2714</v>
      </c>
      <c r="D766" s="12"/>
      <c r="E766" s="12" t="s">
        <v>2873</v>
      </c>
      <c r="F766" s="12" t="s">
        <v>116</v>
      </c>
      <c r="G766" s="13">
        <v>1</v>
      </c>
      <c r="H766" s="13"/>
      <c r="I766" s="13">
        <v>2</v>
      </c>
      <c r="J766" s="14">
        <f>IFERROR(ROUND(SUM(M767)/I766, 2),0)</f>
        <v>0</v>
      </c>
      <c r="K766" s="15">
        <v>3271</v>
      </c>
      <c r="L766" s="14">
        <f>J766+ROUND(K766, 2)</f>
        <v>3271</v>
      </c>
      <c r="M766" s="14">
        <f>ROUND(J766*I766, 2)</f>
        <v>0</v>
      </c>
      <c r="N766" s="14">
        <f>ROUND(I766*ROUND(K766, 2), 2)</f>
        <v>6542</v>
      </c>
      <c r="O766" s="14">
        <f>M766+N766</f>
        <v>6542</v>
      </c>
      <c r="P766" s="14">
        <f>IFERROR(ROUND(SUM(S767)/I766, 2),0)</f>
        <v>130825.67</v>
      </c>
      <c r="Q766" s="15">
        <v>23845</v>
      </c>
      <c r="R766" s="14">
        <f>P766+ROUND(Q766, 2)</f>
        <v>154670.66999999998</v>
      </c>
      <c r="S766" s="14">
        <f>ROUND(P766*I766, 2)</f>
        <v>261651.34</v>
      </c>
      <c r="T766" s="14">
        <f>ROUND(I766*ROUND(Q766, 2), 2)</f>
        <v>47690</v>
      </c>
      <c r="U766" s="14">
        <f>S766+T766</f>
        <v>309341.33999999997</v>
      </c>
      <c r="V766" s="9">
        <f>ROUND(P766 / 1.2, 2)</f>
        <v>109021.39</v>
      </c>
      <c r="W766" s="9">
        <f>ROUND(Q766 / 1.2, 2)</f>
        <v>19870.830000000002</v>
      </c>
      <c r="X766" s="9">
        <f>ROUND(R766 / 1.2, 2)</f>
        <v>128892.23</v>
      </c>
      <c r="Y766" s="9">
        <f t="shared" si="52"/>
        <v>218042.78</v>
      </c>
      <c r="Z766" s="9">
        <f>ROUND(T766 / 1.2, 2)</f>
        <v>39741.67</v>
      </c>
      <c r="AA766" s="9">
        <f>Y766+Z766</f>
        <v>257784.45</v>
      </c>
      <c r="AD766" s="4">
        <v>298925524</v>
      </c>
      <c r="AE766" s="4">
        <v>22657117</v>
      </c>
      <c r="AG766" s="4" t="s">
        <v>2716</v>
      </c>
      <c r="AH766" s="4" t="s">
        <v>2717</v>
      </c>
      <c r="AI766" s="4" t="s">
        <v>67</v>
      </c>
    </row>
    <row r="767" spans="1:35" ht="409.6" x14ac:dyDescent="0.3">
      <c r="A767" s="10" t="s">
        <v>2874</v>
      </c>
      <c r="B767" s="10"/>
      <c r="C767" s="24" t="s">
        <v>2745</v>
      </c>
      <c r="D767" s="12"/>
      <c r="E767" s="12" t="s">
        <v>2875</v>
      </c>
      <c r="F767" s="18" t="s">
        <v>116</v>
      </c>
      <c r="G767" s="19">
        <v>1</v>
      </c>
      <c r="H767" s="20"/>
      <c r="I767" s="20">
        <v>2</v>
      </c>
      <c r="J767" s="21">
        <v>0</v>
      </c>
      <c r="M767" s="22">
        <f>ROUND(ROUND(J767, 2)*I767, 2)</f>
        <v>0</v>
      </c>
      <c r="P767" s="21">
        <v>130825.67</v>
      </c>
      <c r="S767" s="22">
        <f>ROUND(ROUND(P767, 2)*I767, 2)</f>
        <v>261651.34</v>
      </c>
      <c r="V767" s="9">
        <f>ROUND(ROUND(P767, 2)/1.2, 2)</f>
        <v>109021.39</v>
      </c>
      <c r="Y767" s="9">
        <f t="shared" si="52"/>
        <v>218042.78</v>
      </c>
      <c r="AD767" s="4" t="s">
        <v>2876</v>
      </c>
      <c r="AE767" s="4" t="s">
        <v>2877</v>
      </c>
      <c r="AF767" s="4" t="s">
        <v>2749</v>
      </c>
    </row>
    <row r="768" spans="1:35" ht="16.95" customHeight="1" x14ac:dyDescent="0.3">
      <c r="A768" s="10" t="s">
        <v>2878</v>
      </c>
      <c r="B768" s="10" t="s">
        <v>2879</v>
      </c>
      <c r="C768" s="352" t="s">
        <v>2880</v>
      </c>
      <c r="D768" s="353"/>
      <c r="E768" s="353"/>
      <c r="F768" s="353"/>
      <c r="G768" s="353"/>
      <c r="H768" s="353"/>
      <c r="I768" s="354"/>
      <c r="M768" s="6">
        <f t="shared" ref="M768:O770" si="53">SUM(M769)</f>
        <v>0</v>
      </c>
      <c r="N768" s="6">
        <f t="shared" si="53"/>
        <v>1057732.71</v>
      </c>
      <c r="O768" s="6">
        <f t="shared" si="53"/>
        <v>1057732.71</v>
      </c>
      <c r="S768" s="6">
        <f t="shared" ref="S768:U770" si="54">SUM(S769)</f>
        <v>0</v>
      </c>
      <c r="T768" s="6">
        <f t="shared" si="54"/>
        <v>1057732.71</v>
      </c>
      <c r="U768" s="6">
        <f t="shared" si="54"/>
        <v>1057732.71</v>
      </c>
      <c r="Y768" s="9">
        <f t="shared" ref="Y768:AA770" si="55">SUM(Y769)</f>
        <v>0</v>
      </c>
      <c r="Z768" s="9">
        <f t="shared" si="55"/>
        <v>881443.93</v>
      </c>
      <c r="AA768" s="9">
        <f t="shared" si="55"/>
        <v>881443.93</v>
      </c>
      <c r="AD768" s="4">
        <v>298925361</v>
      </c>
      <c r="AE768" s="4">
        <v>16297775</v>
      </c>
    </row>
    <row r="769" spans="1:35" ht="16.95" customHeight="1" x14ac:dyDescent="0.3">
      <c r="A769" s="10" t="s">
        <v>2881</v>
      </c>
      <c r="B769" s="10" t="s">
        <v>2882</v>
      </c>
      <c r="C769" s="352" t="s">
        <v>2883</v>
      </c>
      <c r="D769" s="353"/>
      <c r="E769" s="353"/>
      <c r="F769" s="353"/>
      <c r="G769" s="353"/>
      <c r="H769" s="353"/>
      <c r="I769" s="354"/>
      <c r="M769" s="6">
        <f t="shared" si="53"/>
        <v>0</v>
      </c>
      <c r="N769" s="6">
        <f t="shared" si="53"/>
        <v>1057732.71</v>
      </c>
      <c r="O769" s="6">
        <f t="shared" si="53"/>
        <v>1057732.71</v>
      </c>
      <c r="S769" s="6">
        <f t="shared" si="54"/>
        <v>0</v>
      </c>
      <c r="T769" s="6">
        <f t="shared" si="54"/>
        <v>1057732.71</v>
      </c>
      <c r="U769" s="6">
        <f t="shared" si="54"/>
        <v>1057732.71</v>
      </c>
      <c r="Y769" s="9">
        <f t="shared" si="55"/>
        <v>0</v>
      </c>
      <c r="Z769" s="9">
        <f t="shared" si="55"/>
        <v>881443.93</v>
      </c>
      <c r="AA769" s="9">
        <f t="shared" si="55"/>
        <v>881443.93</v>
      </c>
      <c r="AD769" s="4">
        <v>298925362</v>
      </c>
      <c r="AE769" s="4">
        <v>16297777</v>
      </c>
    </row>
    <row r="770" spans="1:35" ht="16.95" customHeight="1" x14ac:dyDescent="0.3">
      <c r="A770" s="10" t="s">
        <v>2884</v>
      </c>
      <c r="B770" s="10" t="s">
        <v>2885</v>
      </c>
      <c r="C770" s="352" t="s">
        <v>2886</v>
      </c>
      <c r="D770" s="353"/>
      <c r="E770" s="353"/>
      <c r="F770" s="353"/>
      <c r="G770" s="353"/>
      <c r="H770" s="353"/>
      <c r="I770" s="354"/>
      <c r="M770" s="6">
        <f t="shared" si="53"/>
        <v>0</v>
      </c>
      <c r="N770" s="6">
        <f t="shared" si="53"/>
        <v>1057732.71</v>
      </c>
      <c r="O770" s="6">
        <f t="shared" si="53"/>
        <v>1057732.71</v>
      </c>
      <c r="S770" s="6">
        <f t="shared" si="54"/>
        <v>0</v>
      </c>
      <c r="T770" s="6">
        <f t="shared" si="54"/>
        <v>1057732.71</v>
      </c>
      <c r="U770" s="6">
        <f t="shared" si="54"/>
        <v>1057732.71</v>
      </c>
      <c r="Y770" s="9">
        <f t="shared" si="55"/>
        <v>0</v>
      </c>
      <c r="Z770" s="9">
        <f t="shared" si="55"/>
        <v>881443.93</v>
      </c>
      <c r="AA770" s="9">
        <f t="shared" si="55"/>
        <v>881443.93</v>
      </c>
      <c r="AD770" s="4">
        <v>298925363</v>
      </c>
      <c r="AE770" s="4">
        <v>16297776</v>
      </c>
    </row>
    <row r="771" spans="1:35" ht="90" x14ac:dyDescent="0.3">
      <c r="A771" s="10" t="s">
        <v>2887</v>
      </c>
      <c r="B771" s="10" t="s">
        <v>2888</v>
      </c>
      <c r="C771" s="11" t="s">
        <v>2889</v>
      </c>
      <c r="D771" s="12"/>
      <c r="E771" s="12" t="s">
        <v>2890</v>
      </c>
      <c r="F771" s="12" t="s">
        <v>64</v>
      </c>
      <c r="G771" s="13">
        <v>1</v>
      </c>
      <c r="H771" s="13"/>
      <c r="I771" s="13">
        <v>1348.65</v>
      </c>
      <c r="J771" s="14">
        <v>0</v>
      </c>
      <c r="K771" s="15">
        <v>784.29</v>
      </c>
      <c r="L771" s="14">
        <f>J771+ROUND(K771, 2)</f>
        <v>784.29</v>
      </c>
      <c r="M771" s="14">
        <v>0</v>
      </c>
      <c r="N771" s="14">
        <f>ROUND(I771*ROUND(K771, 2), 2)</f>
        <v>1057732.71</v>
      </c>
      <c r="O771" s="14">
        <f>M771+N771</f>
        <v>1057732.71</v>
      </c>
      <c r="P771" s="14">
        <v>0</v>
      </c>
      <c r="Q771" s="15">
        <v>784.29</v>
      </c>
      <c r="R771" s="14">
        <f>P771+ROUND(Q771, 2)</f>
        <v>784.29</v>
      </c>
      <c r="S771" s="14">
        <v>0</v>
      </c>
      <c r="T771" s="14">
        <f>ROUND(I771*ROUND(Q771, 2), 2)</f>
        <v>1057732.71</v>
      </c>
      <c r="U771" s="14">
        <f>S771+T771</f>
        <v>1057732.71</v>
      </c>
      <c r="V771" s="9"/>
      <c r="W771" s="9">
        <f>ROUND(Q771 / 1.2, 2)</f>
        <v>653.58000000000004</v>
      </c>
      <c r="X771" s="9">
        <f>ROUND(R771 / 1.2, 2)</f>
        <v>653.58000000000004</v>
      </c>
      <c r="Y771" s="9"/>
      <c r="Z771" s="9">
        <f>ROUND(T771 / 1.2, 2)</f>
        <v>881443.93</v>
      </c>
      <c r="AA771" s="9">
        <f>Y771+Z771</f>
        <v>881443.93</v>
      </c>
      <c r="AD771" s="4">
        <v>298925365</v>
      </c>
      <c r="AE771" s="4">
        <v>19825979</v>
      </c>
      <c r="AG771" s="4" t="s">
        <v>2891</v>
      </c>
      <c r="AH771" s="4" t="s">
        <v>2892</v>
      </c>
      <c r="AI771" s="4" t="s">
        <v>2893</v>
      </c>
    </row>
    <row r="772" spans="1:35" ht="24" customHeight="1" x14ac:dyDescent="0.3">
      <c r="A772" s="68"/>
      <c r="B772" s="68"/>
      <c r="C772" s="68"/>
      <c r="D772" s="69" t="s">
        <v>2894</v>
      </c>
      <c r="E772" s="68"/>
      <c r="F772" s="68"/>
      <c r="G772" s="68"/>
      <c r="H772" s="68"/>
      <c r="I772" s="68"/>
      <c r="J772" s="68"/>
      <c r="K772" s="68"/>
      <c r="L772" s="68"/>
      <c r="M772" s="70">
        <f>SUM(M8)</f>
        <v>46316046.340000004</v>
      </c>
      <c r="N772" s="70">
        <f>SUM(N8)</f>
        <v>82654319.040000007</v>
      </c>
      <c r="O772" s="70">
        <f>M772+N772</f>
        <v>128970365.38000001</v>
      </c>
      <c r="P772" s="68"/>
      <c r="Q772" s="68"/>
      <c r="R772" s="68"/>
      <c r="S772" s="70">
        <f>SUM(S8)</f>
        <v>50774880.949999996</v>
      </c>
      <c r="T772" s="70">
        <f>SUM(T8)</f>
        <v>83900402.040000007</v>
      </c>
      <c r="U772" s="70">
        <f>S772+T772</f>
        <v>134675282.99000001</v>
      </c>
      <c r="Y772" s="9">
        <f>SUM(Y8)</f>
        <v>42312400.940000005</v>
      </c>
      <c r="Z772" s="9">
        <f>SUM(Z8)</f>
        <v>69917001.74000001</v>
      </c>
      <c r="AA772" s="9">
        <f>Y772+Z772</f>
        <v>112229402.68000001</v>
      </c>
    </row>
    <row r="773" spans="1:35" ht="22.8" x14ac:dyDescent="0.3">
      <c r="A773" s="349" t="s">
        <v>2903</v>
      </c>
      <c r="B773" s="350"/>
      <c r="C773" s="350"/>
      <c r="D773" s="350"/>
      <c r="E773" s="350"/>
      <c r="F773" s="350"/>
      <c r="G773" s="350"/>
      <c r="H773" s="350"/>
      <c r="I773" s="350"/>
      <c r="J773" s="350"/>
      <c r="K773" s="350"/>
      <c r="L773" s="350"/>
      <c r="M773" s="350"/>
      <c r="N773" s="350"/>
      <c r="O773" s="350"/>
      <c r="P773" s="350"/>
      <c r="Q773" s="350"/>
      <c r="R773" s="350"/>
      <c r="S773" s="350"/>
      <c r="T773" s="350"/>
      <c r="U773" s="351"/>
    </row>
    <row r="774" spans="1:35" ht="15.6" x14ac:dyDescent="0.3">
      <c r="A774" s="72"/>
      <c r="B774" s="5" t="s">
        <v>2904</v>
      </c>
      <c r="C774" s="71" t="s">
        <v>2905</v>
      </c>
      <c r="D774" s="71" t="s">
        <v>2906</v>
      </c>
      <c r="E774" s="73"/>
      <c r="F774" s="73"/>
      <c r="G774" s="73"/>
      <c r="H774" s="347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48"/>
    </row>
    <row r="775" spans="1:35" ht="15.6" x14ac:dyDescent="0.3">
      <c r="A775" s="72"/>
      <c r="B775" s="5" t="s">
        <v>2907</v>
      </c>
      <c r="C775" s="71" t="s">
        <v>2908</v>
      </c>
      <c r="D775" s="71" t="s">
        <v>2909</v>
      </c>
      <c r="E775" s="73"/>
      <c r="F775" s="73"/>
      <c r="G775" s="73"/>
      <c r="H775" s="347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48"/>
    </row>
    <row r="776" spans="1:35" ht="31.2" x14ac:dyDescent="0.3">
      <c r="A776" s="72"/>
      <c r="B776" s="5" t="s">
        <v>2910</v>
      </c>
      <c r="C776" s="71" t="s">
        <v>2911</v>
      </c>
      <c r="D776" s="71" t="s">
        <v>2912</v>
      </c>
      <c r="E776" s="73"/>
      <c r="F776" s="73"/>
      <c r="G776" s="73"/>
      <c r="H776" s="347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48"/>
    </row>
    <row r="777" spans="1:35" ht="15.6" x14ac:dyDescent="0.3">
      <c r="A777" s="72"/>
      <c r="B777" s="5" t="s">
        <v>2913</v>
      </c>
      <c r="C777" s="71" t="s">
        <v>2914</v>
      </c>
      <c r="D777" s="71" t="s">
        <v>2915</v>
      </c>
      <c r="E777" s="73"/>
      <c r="F777" s="73"/>
      <c r="G777" s="73"/>
      <c r="H777" s="347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48"/>
    </row>
    <row r="778" spans="1:35" ht="15.6" x14ac:dyDescent="0.3">
      <c r="A778" s="72"/>
      <c r="B778" s="5" t="s">
        <v>2916</v>
      </c>
      <c r="C778" s="71" t="s">
        <v>2917</v>
      </c>
      <c r="D778" s="71" t="s">
        <v>2909</v>
      </c>
      <c r="E778" s="73"/>
      <c r="F778" s="73"/>
      <c r="G778" s="73"/>
      <c r="H778" s="347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48"/>
    </row>
    <row r="779" spans="1:35" ht="31.2" x14ac:dyDescent="0.3">
      <c r="A779" s="72"/>
      <c r="B779" s="5" t="s">
        <v>2918</v>
      </c>
      <c r="C779" s="71" t="s">
        <v>2919</v>
      </c>
      <c r="D779" s="71" t="s">
        <v>2920</v>
      </c>
      <c r="E779" s="73"/>
      <c r="F779" s="73"/>
      <c r="G779" s="73"/>
      <c r="H779" s="347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48"/>
    </row>
    <row r="780" spans="1:35" ht="31.2" x14ac:dyDescent="0.3">
      <c r="A780" s="72"/>
      <c r="B780" s="5" t="s">
        <v>2921</v>
      </c>
      <c r="C780" s="71" t="s">
        <v>2922</v>
      </c>
      <c r="D780" s="71" t="s">
        <v>2923</v>
      </c>
      <c r="E780" s="73"/>
      <c r="F780" s="73"/>
      <c r="G780" s="73"/>
      <c r="H780" s="347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48"/>
    </row>
    <row r="781" spans="1:35" ht="15.6" x14ac:dyDescent="0.3">
      <c r="A781" s="72"/>
      <c r="B781" s="5" t="s">
        <v>2924</v>
      </c>
      <c r="C781" s="71" t="s">
        <v>2925</v>
      </c>
      <c r="D781" s="71" t="s">
        <v>2926</v>
      </c>
      <c r="E781" s="73"/>
      <c r="F781" s="73"/>
      <c r="G781" s="73"/>
      <c r="H781" s="347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48"/>
    </row>
    <row r="782" spans="1:35" ht="15.6" x14ac:dyDescent="0.3">
      <c r="A782" s="72"/>
      <c r="B782" s="5" t="s">
        <v>2927</v>
      </c>
      <c r="C782" s="71" t="s">
        <v>2928</v>
      </c>
      <c r="D782" s="71" t="s">
        <v>2929</v>
      </c>
      <c r="E782" s="73"/>
      <c r="F782" s="73"/>
      <c r="G782" s="73"/>
      <c r="H782" s="347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48"/>
    </row>
    <row r="783" spans="1:35" ht="31.2" x14ac:dyDescent="0.3">
      <c r="A783" s="72"/>
      <c r="B783" s="5" t="s">
        <v>2930</v>
      </c>
      <c r="C783" s="71" t="s">
        <v>2931</v>
      </c>
      <c r="D783" s="71" t="s">
        <v>2932</v>
      </c>
      <c r="E783" s="73"/>
      <c r="F783" s="73"/>
      <c r="G783" s="73"/>
      <c r="H783" s="347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48"/>
    </row>
    <row r="784" spans="1:35" ht="46.8" x14ac:dyDescent="0.3">
      <c r="A784" s="72"/>
      <c r="B784" s="5" t="s">
        <v>2933</v>
      </c>
      <c r="C784" s="71" t="s">
        <v>2934</v>
      </c>
      <c r="D784" s="71" t="s">
        <v>2935</v>
      </c>
      <c r="E784" s="73"/>
      <c r="F784" s="73"/>
      <c r="G784" s="73"/>
      <c r="H784" s="347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48"/>
    </row>
    <row r="785" spans="1:21" ht="31.2" x14ac:dyDescent="0.3">
      <c r="A785" s="72"/>
      <c r="B785" s="5" t="s">
        <v>2936</v>
      </c>
      <c r="C785" s="71" t="s">
        <v>2937</v>
      </c>
      <c r="D785" s="71" t="s">
        <v>2938</v>
      </c>
      <c r="E785" s="73"/>
      <c r="F785" s="73"/>
      <c r="G785" s="73"/>
      <c r="H785" s="347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48"/>
    </row>
    <row r="786" spans="1:21" ht="15.6" x14ac:dyDescent="0.3">
      <c r="A786" s="72"/>
      <c r="B786" s="5" t="s">
        <v>2939</v>
      </c>
      <c r="C786" s="71" t="s">
        <v>2940</v>
      </c>
      <c r="D786" s="71" t="s">
        <v>2941</v>
      </c>
      <c r="E786" s="73"/>
      <c r="F786" s="73"/>
      <c r="G786" s="73"/>
      <c r="H786" s="347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48"/>
    </row>
    <row r="787" spans="1:21" ht="48" customHeight="1" x14ac:dyDescent="0.3">
      <c r="A787" s="72"/>
      <c r="B787" s="5" t="s">
        <v>2942</v>
      </c>
      <c r="C787" s="71" t="s">
        <v>2943</v>
      </c>
      <c r="D787" s="71" t="s">
        <v>2944</v>
      </c>
      <c r="E787" s="73"/>
      <c r="F787" s="73"/>
      <c r="G787" s="73"/>
      <c r="H787" s="347" t="s">
        <v>2945</v>
      </c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48"/>
    </row>
    <row r="788" spans="1:21" ht="15.6" x14ac:dyDescent="0.3">
      <c r="A788" s="72"/>
      <c r="B788" s="5" t="s">
        <v>2946</v>
      </c>
      <c r="C788" s="71" t="s">
        <v>2947</v>
      </c>
      <c r="D788" s="71" t="s">
        <v>2948</v>
      </c>
      <c r="E788" s="73"/>
      <c r="F788" s="73"/>
      <c r="G788" s="73"/>
      <c r="H788" s="347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48"/>
    </row>
    <row r="789" spans="1:21" ht="31.2" x14ac:dyDescent="0.3">
      <c r="A789" s="72"/>
      <c r="B789" s="5" t="s">
        <v>2949</v>
      </c>
      <c r="C789" s="71" t="s">
        <v>2950</v>
      </c>
      <c r="D789" s="73"/>
      <c r="E789" s="73"/>
      <c r="F789" s="73"/>
      <c r="G789" s="73"/>
      <c r="H789" s="347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48"/>
    </row>
    <row r="790" spans="1:21" ht="15.6" x14ac:dyDescent="0.3">
      <c r="A790" s="72"/>
      <c r="B790" s="5" t="s">
        <v>2951</v>
      </c>
      <c r="C790" s="71" t="s">
        <v>2952</v>
      </c>
      <c r="D790" s="73"/>
      <c r="E790" s="73"/>
      <c r="F790" s="73"/>
      <c r="G790" s="73"/>
      <c r="H790" s="347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48"/>
    </row>
    <row r="791" spans="1:21" ht="15.6" x14ac:dyDescent="0.3">
      <c r="A791" s="72"/>
      <c r="B791" s="5" t="s">
        <v>2953</v>
      </c>
      <c r="C791" s="71" t="s">
        <v>2954</v>
      </c>
      <c r="D791" s="73"/>
      <c r="E791" s="73"/>
      <c r="F791" s="73"/>
      <c r="G791" s="73"/>
      <c r="H791" s="347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48"/>
    </row>
  </sheetData>
  <sheetProtection password="C644" sheet="1" formatColumns="0" autoFilter="0"/>
  <autoFilter ref="A7:U7"/>
  <mergeCells count="64">
    <mergeCell ref="H789:U789"/>
    <mergeCell ref="H790:U790"/>
    <mergeCell ref="H791:U791"/>
    <mergeCell ref="H784:U784"/>
    <mergeCell ref="H785:U785"/>
    <mergeCell ref="H786:U786"/>
    <mergeCell ref="H787:U787"/>
    <mergeCell ref="H788:U788"/>
    <mergeCell ref="H779:U779"/>
    <mergeCell ref="H780:U780"/>
    <mergeCell ref="H781:U781"/>
    <mergeCell ref="H782:U782"/>
    <mergeCell ref="H783:U783"/>
    <mergeCell ref="H774:U774"/>
    <mergeCell ref="H775:U775"/>
    <mergeCell ref="H776:U776"/>
    <mergeCell ref="H777:U777"/>
    <mergeCell ref="H778:U778"/>
    <mergeCell ref="C715:I715"/>
    <mergeCell ref="C768:I768"/>
    <mergeCell ref="C769:I769"/>
    <mergeCell ref="C770:I770"/>
    <mergeCell ref="A773:U773"/>
    <mergeCell ref="C490:I490"/>
    <mergeCell ref="C495:I495"/>
    <mergeCell ref="C496:I496"/>
    <mergeCell ref="C512:I512"/>
    <mergeCell ref="C642:I642"/>
    <mergeCell ref="C93:I93"/>
    <mergeCell ref="C164:I164"/>
    <mergeCell ref="C165:I165"/>
    <mergeCell ref="C234:I234"/>
    <mergeCell ref="C415:I415"/>
    <mergeCell ref="C11:I11"/>
    <mergeCell ref="C12:I12"/>
    <mergeCell ref="C13:I13"/>
    <mergeCell ref="C14:I14"/>
    <mergeCell ref="C78:I78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U773"/>
  <sheetViews>
    <sheetView view="pageBreakPreview" zoomScale="30" zoomScaleNormal="100" zoomScaleSheetLayoutView="30" workbookViewId="0">
      <selection activeCell="F704" sqref="F704:L714"/>
    </sheetView>
  </sheetViews>
  <sheetFormatPr defaultRowHeight="14.4" x14ac:dyDescent="0.3"/>
  <cols>
    <col min="1" max="1" width="18.5546875" customWidth="1"/>
    <col min="2" max="2" width="20.77734375" customWidth="1"/>
    <col min="3" max="3" width="66.33203125" customWidth="1"/>
    <col min="4" max="4" width="33.33203125" hidden="1" customWidth="1"/>
    <col min="5" max="5" width="47.21875" customWidth="1"/>
    <col min="7" max="7" width="12.21875" customWidth="1"/>
    <col min="9" max="9" width="14.77734375" customWidth="1"/>
    <col min="10" max="10" width="14.21875" customWidth="1"/>
    <col min="11" max="12" width="13.33203125" customWidth="1"/>
    <col min="13" max="13" width="21.88671875" customWidth="1"/>
    <col min="14" max="14" width="18" customWidth="1"/>
    <col min="15" max="15" width="21.88671875" customWidth="1"/>
    <col min="16" max="16" width="14.77734375" customWidth="1"/>
    <col min="17" max="17" width="16.21875" customWidth="1"/>
    <col min="18" max="18" width="15.21875" customWidth="1"/>
    <col min="19" max="19" width="15.77734375" customWidth="1"/>
    <col min="20" max="20" width="21.21875" customWidth="1"/>
    <col min="21" max="21" width="20.6640625" customWidth="1"/>
  </cols>
  <sheetData>
    <row r="2" spans="1:21" ht="15" customHeight="1" x14ac:dyDescent="0.3">
      <c r="A2" s="1" t="s">
        <v>0</v>
      </c>
      <c r="B2" s="3"/>
      <c r="C2" s="3"/>
      <c r="D2" s="2" t="s">
        <v>1</v>
      </c>
      <c r="E2" s="2"/>
      <c r="F2" s="2" t="s">
        <v>2</v>
      </c>
      <c r="G2" s="2" t="s">
        <v>2895</v>
      </c>
      <c r="H2" s="2" t="s">
        <v>2896</v>
      </c>
      <c r="I2" s="2" t="s">
        <v>2897</v>
      </c>
      <c r="J2" s="2" t="s">
        <v>2898</v>
      </c>
      <c r="K2" s="2" t="s">
        <v>2899</v>
      </c>
      <c r="L2" s="2" t="s">
        <v>2900</v>
      </c>
      <c r="M2" s="2" t="s">
        <v>2901</v>
      </c>
      <c r="N2" s="2" t="s">
        <v>2902</v>
      </c>
      <c r="O2" s="3"/>
      <c r="P2" s="3"/>
      <c r="Q2" s="3"/>
      <c r="R2" s="3"/>
      <c r="S2" s="3"/>
      <c r="T2" s="3"/>
      <c r="U2" s="3"/>
    </row>
    <row r="3" spans="1:21" ht="30.75" customHeight="1" x14ac:dyDescent="0.3">
      <c r="A3" s="335" t="s">
        <v>4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</row>
    <row r="4" spans="1:21" ht="15" customHeight="1" x14ac:dyDescent="0.3">
      <c r="A4" s="336" t="s">
        <v>5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</row>
    <row r="5" spans="1:21" ht="15" customHeight="1" x14ac:dyDescent="0.3">
      <c r="A5" s="337" t="s">
        <v>6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</row>
    <row r="6" spans="1:21" ht="40.799999999999997" customHeight="1" x14ac:dyDescent="0.3">
      <c r="A6" s="344" t="s">
        <v>25</v>
      </c>
      <c r="B6" s="344" t="s">
        <v>26</v>
      </c>
      <c r="C6" s="344" t="s">
        <v>27</v>
      </c>
      <c r="D6" s="344" t="s">
        <v>28</v>
      </c>
      <c r="E6" s="344" t="s">
        <v>29</v>
      </c>
      <c r="F6" s="344" t="s">
        <v>30</v>
      </c>
      <c r="G6" s="344" t="s">
        <v>31</v>
      </c>
      <c r="H6" s="344" t="s">
        <v>32</v>
      </c>
      <c r="I6" s="344" t="s">
        <v>33</v>
      </c>
      <c r="J6" s="338" t="s">
        <v>7</v>
      </c>
      <c r="K6" s="339"/>
      <c r="L6" s="339"/>
      <c r="M6" s="339"/>
      <c r="N6" s="339"/>
      <c r="O6" s="340"/>
      <c r="P6" s="341" t="s">
        <v>8</v>
      </c>
      <c r="Q6" s="342"/>
      <c r="R6" s="343"/>
      <c r="S6" s="341" t="s">
        <v>9</v>
      </c>
      <c r="T6" s="342"/>
      <c r="U6" s="343"/>
    </row>
    <row r="7" spans="1:21" ht="15.75" customHeight="1" x14ac:dyDescent="0.3">
      <c r="A7" s="345"/>
      <c r="B7" s="345"/>
      <c r="C7" s="345"/>
      <c r="D7" s="345"/>
      <c r="E7" s="345"/>
      <c r="F7" s="345"/>
      <c r="G7" s="345"/>
      <c r="H7" s="345"/>
      <c r="I7" s="345"/>
      <c r="J7" s="347" t="s">
        <v>34</v>
      </c>
      <c r="K7" s="348"/>
      <c r="L7" s="344" t="s">
        <v>34</v>
      </c>
      <c r="M7" s="347" t="s">
        <v>37</v>
      </c>
      <c r="N7" s="348"/>
      <c r="O7" s="344" t="s">
        <v>38</v>
      </c>
      <c r="P7" s="347" t="s">
        <v>34</v>
      </c>
      <c r="Q7" s="348"/>
      <c r="R7" s="344" t="s">
        <v>34</v>
      </c>
      <c r="S7" s="347" t="s">
        <v>37</v>
      </c>
      <c r="T7" s="348"/>
      <c r="U7" s="344" t="s">
        <v>38</v>
      </c>
    </row>
    <row r="8" spans="1:21" ht="31.2" customHeight="1" x14ac:dyDescent="0.3">
      <c r="A8" s="346"/>
      <c r="B8" s="346"/>
      <c r="C8" s="346"/>
      <c r="D8" s="346"/>
      <c r="E8" s="346"/>
      <c r="F8" s="346"/>
      <c r="G8" s="346"/>
      <c r="H8" s="346"/>
      <c r="I8" s="346"/>
      <c r="J8" s="5" t="s">
        <v>35</v>
      </c>
      <c r="K8" s="5" t="s">
        <v>36</v>
      </c>
      <c r="L8" s="346"/>
      <c r="M8" s="5" t="s">
        <v>35</v>
      </c>
      <c r="N8" s="5" t="s">
        <v>36</v>
      </c>
      <c r="O8" s="346"/>
      <c r="P8" s="5" t="s">
        <v>35</v>
      </c>
      <c r="Q8" s="5" t="s">
        <v>36</v>
      </c>
      <c r="R8" s="346"/>
      <c r="S8" s="5" t="s">
        <v>35</v>
      </c>
      <c r="T8" s="5" t="s">
        <v>36</v>
      </c>
      <c r="U8" s="346"/>
    </row>
    <row r="9" spans="1:21" ht="30" customHeight="1" x14ac:dyDescent="0.3">
      <c r="A9" s="349" t="s">
        <v>39</v>
      </c>
      <c r="B9" s="350"/>
      <c r="C9" s="350"/>
      <c r="D9" s="350"/>
      <c r="E9" s="350"/>
      <c r="F9" s="350"/>
      <c r="G9" s="350"/>
      <c r="H9" s="350"/>
      <c r="I9" s="351"/>
      <c r="J9" s="7"/>
      <c r="K9" s="7"/>
      <c r="L9" s="7"/>
      <c r="M9" s="8">
        <f>SUM(M10,M769)</f>
        <v>46316046.340000004</v>
      </c>
      <c r="N9" s="8">
        <f>SUM(N10,N769)</f>
        <v>82654319.040000007</v>
      </c>
      <c r="O9" s="8">
        <f>SUM(O10,O769)</f>
        <v>128970365.38000001</v>
      </c>
      <c r="P9" s="7"/>
      <c r="Q9" s="7"/>
      <c r="R9" s="7"/>
      <c r="S9" s="8">
        <f>SUM(S10,S769)</f>
        <v>50774880.949999996</v>
      </c>
      <c r="T9" s="8">
        <f>SUM(T10,T769)</f>
        <v>83900402.040000007</v>
      </c>
      <c r="U9" s="8">
        <f>SUM(U10,U769)</f>
        <v>134675282.99000001</v>
      </c>
    </row>
    <row r="10" spans="1:21" ht="16.95" customHeight="1" x14ac:dyDescent="0.3">
      <c r="A10" s="10" t="s">
        <v>41</v>
      </c>
      <c r="B10" s="10" t="s">
        <v>42</v>
      </c>
      <c r="C10" s="352" t="s">
        <v>43</v>
      </c>
      <c r="D10" s="353"/>
      <c r="E10" s="353"/>
      <c r="F10" s="353"/>
      <c r="G10" s="353"/>
      <c r="H10" s="353"/>
      <c r="I10" s="354"/>
      <c r="M10" s="6">
        <f t="shared" ref="M10:O12" si="0">SUM(M11)</f>
        <v>46316046.340000004</v>
      </c>
      <c r="N10" s="6">
        <f t="shared" si="0"/>
        <v>81596586.330000013</v>
      </c>
      <c r="O10" s="6">
        <f t="shared" si="0"/>
        <v>127912632.67000002</v>
      </c>
      <c r="S10" s="6">
        <f t="shared" ref="S10:U12" si="1">SUM(S11)</f>
        <v>50774880.949999996</v>
      </c>
      <c r="T10" s="6">
        <f t="shared" si="1"/>
        <v>82842669.330000013</v>
      </c>
      <c r="U10" s="6">
        <f t="shared" si="1"/>
        <v>133617550.28</v>
      </c>
    </row>
    <row r="11" spans="1:21" ht="16.95" customHeight="1" x14ac:dyDescent="0.3">
      <c r="A11" s="10" t="s">
        <v>44</v>
      </c>
      <c r="B11" s="10" t="s">
        <v>45</v>
      </c>
      <c r="C11" s="352" t="s">
        <v>46</v>
      </c>
      <c r="D11" s="353"/>
      <c r="E11" s="353"/>
      <c r="F11" s="353"/>
      <c r="G11" s="353"/>
      <c r="H11" s="353"/>
      <c r="I11" s="354"/>
      <c r="M11" s="6">
        <f t="shared" si="0"/>
        <v>46316046.340000004</v>
      </c>
      <c r="N11" s="6">
        <f t="shared" si="0"/>
        <v>81596586.330000013</v>
      </c>
      <c r="O11" s="6">
        <f t="shared" si="0"/>
        <v>127912632.67000002</v>
      </c>
      <c r="S11" s="6">
        <f t="shared" si="1"/>
        <v>50774880.949999996</v>
      </c>
      <c r="T11" s="6">
        <f t="shared" si="1"/>
        <v>82842669.330000013</v>
      </c>
      <c r="U11" s="6">
        <f t="shared" si="1"/>
        <v>133617550.28</v>
      </c>
    </row>
    <row r="12" spans="1:21" ht="16.95" customHeight="1" x14ac:dyDescent="0.3">
      <c r="A12" s="10" t="s">
        <v>47</v>
      </c>
      <c r="B12" s="10" t="s">
        <v>48</v>
      </c>
      <c r="C12" s="352" t="s">
        <v>49</v>
      </c>
      <c r="D12" s="353"/>
      <c r="E12" s="353"/>
      <c r="F12" s="353"/>
      <c r="G12" s="353"/>
      <c r="H12" s="353"/>
      <c r="I12" s="354"/>
      <c r="M12" s="6">
        <f t="shared" si="0"/>
        <v>46316046.340000004</v>
      </c>
      <c r="N12" s="6">
        <f t="shared" si="0"/>
        <v>81596586.330000013</v>
      </c>
      <c r="O12" s="6">
        <f t="shared" si="0"/>
        <v>127912632.67000002</v>
      </c>
      <c r="S12" s="6">
        <f t="shared" si="1"/>
        <v>50774880.949999996</v>
      </c>
      <c r="T12" s="6">
        <f t="shared" si="1"/>
        <v>82842669.330000013</v>
      </c>
      <c r="U12" s="6">
        <f t="shared" si="1"/>
        <v>133617550.28</v>
      </c>
    </row>
    <row r="13" spans="1:21" ht="16.95" customHeight="1" x14ac:dyDescent="0.3">
      <c r="A13" s="10" t="s">
        <v>50</v>
      </c>
      <c r="B13" s="10" t="s">
        <v>51</v>
      </c>
      <c r="C13" s="352" t="s">
        <v>52</v>
      </c>
      <c r="D13" s="353"/>
      <c r="E13" s="353"/>
      <c r="F13" s="353"/>
      <c r="G13" s="353"/>
      <c r="H13" s="353"/>
      <c r="I13" s="354"/>
      <c r="M13" s="6">
        <f>SUM(M14,M165,M496,M643,M716)</f>
        <v>46316046.340000004</v>
      </c>
      <c r="N13" s="6">
        <f>SUM(N14,N165,N496,N643,N716)</f>
        <v>81596586.330000013</v>
      </c>
      <c r="O13" s="6">
        <f>SUM(O14,O165,O496,O643,O716)</f>
        <v>127912632.67000002</v>
      </c>
      <c r="S13" s="6">
        <f>SUM(S14,S165,S496,S643,S716)</f>
        <v>50774880.949999996</v>
      </c>
      <c r="T13" s="6">
        <f>SUM(T14,T165,T496,T643,T716)</f>
        <v>82842669.330000013</v>
      </c>
      <c r="U13" s="6">
        <f>SUM(U14,U165,U496,U643,U716)</f>
        <v>133617550.28</v>
      </c>
    </row>
    <row r="14" spans="1:21" ht="16.95" customHeight="1" x14ac:dyDescent="0.3">
      <c r="A14" s="10" t="s">
        <v>53</v>
      </c>
      <c r="B14" s="10" t="s">
        <v>54</v>
      </c>
      <c r="C14" s="352" t="s">
        <v>55</v>
      </c>
      <c r="D14" s="353"/>
      <c r="E14" s="353"/>
      <c r="F14" s="353"/>
      <c r="G14" s="353"/>
      <c r="H14" s="353"/>
      <c r="I14" s="354"/>
      <c r="M14" s="6">
        <f>SUM(M15,M79,M94)</f>
        <v>14227016</v>
      </c>
      <c r="N14" s="6">
        <f>SUM(N15,N79,N94)</f>
        <v>18340083.550000001</v>
      </c>
      <c r="O14" s="6">
        <f>SUM(O15,O79,O94)</f>
        <v>32567099.550000004</v>
      </c>
      <c r="S14" s="6">
        <f>SUM(S15,S79,S94)</f>
        <v>22402275.359999999</v>
      </c>
      <c r="T14" s="6">
        <f>SUM(T15,T79,T94)</f>
        <v>18340083.550000001</v>
      </c>
      <c r="U14" s="6">
        <f>SUM(U15,U79,U94)</f>
        <v>40742358.910000004</v>
      </c>
    </row>
    <row r="15" spans="1:21" ht="16.95" customHeight="1" x14ac:dyDescent="0.3">
      <c r="A15" s="10" t="s">
        <v>56</v>
      </c>
      <c r="B15" s="10" t="s">
        <v>57</v>
      </c>
      <c r="C15" s="352" t="s">
        <v>58</v>
      </c>
      <c r="D15" s="353"/>
      <c r="E15" s="353"/>
      <c r="F15" s="353"/>
      <c r="G15" s="353"/>
      <c r="H15" s="353"/>
      <c r="I15" s="354"/>
      <c r="M15" s="6">
        <f>SUM(M16,M19,M23,M25,M33,M41,M47,M53,M59,M67,M73)</f>
        <v>9575830.9800000004</v>
      </c>
      <c r="N15" s="6">
        <f>SUM(N16,N19,N23,N25,N33,N41,N47,N53,N59,N67,N73)</f>
        <v>12124369.620000001</v>
      </c>
      <c r="O15" s="6">
        <f>SUM(O16,O19,O23,O25,O33,O41,O47,O53,O59,O67,O73)</f>
        <v>21700200.600000001</v>
      </c>
      <c r="S15" s="6">
        <f>SUM(S16,S19,S23,S25,S33,S41,S47,S53,S59,S67,S73)</f>
        <v>9575830.9800000004</v>
      </c>
      <c r="T15" s="6">
        <f>SUM(T16,T19,T23,T25,T33,T41,T47,T53,T59,T67,T73)</f>
        <v>12124369.620000001</v>
      </c>
      <c r="U15" s="6">
        <f>SUM(U16,U19,U23,U25,U33,U41,U47,U53,U59,U67,U73)</f>
        <v>21700200.600000001</v>
      </c>
    </row>
    <row r="16" spans="1:21" ht="69.599999999999994" x14ac:dyDescent="0.3">
      <c r="A16" s="74" t="s">
        <v>59</v>
      </c>
      <c r="B16" s="74" t="s">
        <v>60</v>
      </c>
      <c r="C16" s="75" t="s">
        <v>61</v>
      </c>
      <c r="D16" s="76" t="s">
        <v>62</v>
      </c>
      <c r="E16" s="76" t="s">
        <v>63</v>
      </c>
      <c r="F16" s="76" t="s">
        <v>64</v>
      </c>
      <c r="G16" s="77">
        <v>1</v>
      </c>
      <c r="H16" s="77"/>
      <c r="I16" s="77">
        <v>4263.2</v>
      </c>
      <c r="J16" s="14">
        <f>IFERROR(ROUND(SUM(M17,M18)/I16, 2),0)</f>
        <v>177.36</v>
      </c>
      <c r="K16" s="15">
        <v>388</v>
      </c>
      <c r="L16" s="14">
        <f>J16+ROUND(K16, 2)</f>
        <v>565.36</v>
      </c>
      <c r="M16" s="14">
        <f>ROUND(J16*I16, 2)</f>
        <v>756121.15</v>
      </c>
      <c r="N16" s="14">
        <f>ROUND(I16*ROUND(K16, 2), 2)</f>
        <v>1654121.6</v>
      </c>
      <c r="O16" s="14">
        <f>M16+N16</f>
        <v>2410242.75</v>
      </c>
      <c r="P16" s="14">
        <f>IFERROR(ROUND(SUM(S17,S18)/I16, 2),0)</f>
        <v>177.36</v>
      </c>
      <c r="Q16" s="15">
        <v>388</v>
      </c>
      <c r="R16" s="14">
        <f>P16+ROUND(Q16, 2)</f>
        <v>565.36</v>
      </c>
      <c r="S16" s="14">
        <f>ROUND(P16*I16, 2)</f>
        <v>756121.15</v>
      </c>
      <c r="T16" s="14">
        <f>ROUND(I16*ROUND(Q16, 2), 2)</f>
        <v>1654121.6</v>
      </c>
      <c r="U16" s="14">
        <f>S16+T16</f>
        <v>2410242.75</v>
      </c>
    </row>
    <row r="17" spans="1:21" ht="18" x14ac:dyDescent="0.3">
      <c r="A17" s="78" t="s">
        <v>68</v>
      </c>
      <c r="B17" s="79"/>
      <c r="C17" s="80" t="s">
        <v>69</v>
      </c>
      <c r="D17" s="81"/>
      <c r="E17" s="81"/>
      <c r="F17" s="82" t="s">
        <v>70</v>
      </c>
      <c r="G17" s="83">
        <v>1.6</v>
      </c>
      <c r="H17" s="83"/>
      <c r="I17" s="83">
        <v>68211.199999999997</v>
      </c>
      <c r="J17" s="84">
        <v>9.67</v>
      </c>
      <c r="M17" s="22">
        <f>ROUND(ROUND(J17, 2)*I17, 2)</f>
        <v>659602.30000000005</v>
      </c>
      <c r="P17" s="21">
        <v>9.67</v>
      </c>
      <c r="S17" s="22">
        <f>ROUND(ROUND(P17, 2)*I17, 2)</f>
        <v>659602.30000000005</v>
      </c>
    </row>
    <row r="18" spans="1:21" ht="36" x14ac:dyDescent="0.3">
      <c r="A18" s="78" t="s">
        <v>74</v>
      </c>
      <c r="B18" s="79"/>
      <c r="C18" s="85" t="s">
        <v>75</v>
      </c>
      <c r="D18" s="81"/>
      <c r="E18" s="81"/>
      <c r="F18" s="82" t="s">
        <v>70</v>
      </c>
      <c r="G18" s="83">
        <v>0.255</v>
      </c>
      <c r="H18" s="83"/>
      <c r="I18" s="83">
        <v>1087.116</v>
      </c>
      <c r="J18" s="84">
        <v>88.8</v>
      </c>
      <c r="M18" s="22">
        <f>ROUND(ROUND(J18, 2)*I18, 2)</f>
        <v>96535.9</v>
      </c>
      <c r="P18" s="21">
        <v>88.8</v>
      </c>
      <c r="S18" s="22">
        <f>ROUND(ROUND(P18, 2)*I18, 2)</f>
        <v>96535.9</v>
      </c>
    </row>
    <row r="19" spans="1:21" ht="69.599999999999994" x14ac:dyDescent="0.3">
      <c r="A19" s="74" t="s">
        <v>79</v>
      </c>
      <c r="B19" s="74" t="s">
        <v>60</v>
      </c>
      <c r="C19" s="75" t="s">
        <v>80</v>
      </c>
      <c r="D19" s="76" t="s">
        <v>62</v>
      </c>
      <c r="E19" s="76" t="s">
        <v>81</v>
      </c>
      <c r="F19" s="76" t="s">
        <v>64</v>
      </c>
      <c r="G19" s="77">
        <v>1</v>
      </c>
      <c r="H19" s="77"/>
      <c r="I19" s="77">
        <v>3740.2</v>
      </c>
      <c r="J19" s="14">
        <f>IFERROR(ROUND(SUM(M20,M21,M22)/I19, 2),0)</f>
        <v>172.99</v>
      </c>
      <c r="K19" s="15">
        <v>400</v>
      </c>
      <c r="L19" s="14">
        <f>J19+ROUND(K19, 2)</f>
        <v>572.99</v>
      </c>
      <c r="M19" s="14">
        <f>ROUND(J19*I19, 2)</f>
        <v>647017.19999999995</v>
      </c>
      <c r="N19" s="14">
        <f>ROUND(I19*ROUND(K19, 2), 2)</f>
        <v>1496080</v>
      </c>
      <c r="O19" s="14">
        <f>M19+N19</f>
        <v>2143097.2000000002</v>
      </c>
      <c r="P19" s="14">
        <f>IFERROR(ROUND(SUM(S20,S21,S22)/I19, 2),0)</f>
        <v>172.99</v>
      </c>
      <c r="Q19" s="15">
        <v>400</v>
      </c>
      <c r="R19" s="14">
        <f>P19+ROUND(Q19, 2)</f>
        <v>572.99</v>
      </c>
      <c r="S19" s="14">
        <f>ROUND(P19*I19, 2)</f>
        <v>647017.19999999995</v>
      </c>
      <c r="T19" s="14">
        <f>ROUND(I19*ROUND(Q19, 2), 2)</f>
        <v>1496080</v>
      </c>
      <c r="U19" s="14">
        <f>S19+T19</f>
        <v>2143097.2000000002</v>
      </c>
    </row>
    <row r="20" spans="1:21" ht="36" x14ac:dyDescent="0.3">
      <c r="A20" s="86" t="s">
        <v>82</v>
      </c>
      <c r="B20" s="86"/>
      <c r="C20" s="92" t="s">
        <v>75</v>
      </c>
      <c r="D20" s="87"/>
      <c r="E20" s="87"/>
      <c r="F20" s="88" t="s">
        <v>70</v>
      </c>
      <c r="G20" s="89">
        <v>0.255</v>
      </c>
      <c r="H20" s="89"/>
      <c r="I20" s="89">
        <v>953.75099999999998</v>
      </c>
      <c r="J20" s="90">
        <v>88.8</v>
      </c>
      <c r="M20" s="22">
        <f>ROUND(ROUND(J20, 2)*I20, 2)</f>
        <v>84693.09</v>
      </c>
      <c r="P20" s="21">
        <v>88.8</v>
      </c>
      <c r="S20" s="22">
        <f>ROUND(ROUND(P20, 2)*I20, 2)</f>
        <v>84693.09</v>
      </c>
    </row>
    <row r="21" spans="1:21" ht="18" x14ac:dyDescent="0.3">
      <c r="A21" s="91" t="s">
        <v>85</v>
      </c>
      <c r="B21" s="91"/>
      <c r="C21" s="92" t="s">
        <v>86</v>
      </c>
      <c r="D21" s="93"/>
      <c r="E21" s="93"/>
      <c r="F21" s="94" t="s">
        <v>87</v>
      </c>
      <c r="G21" s="95">
        <v>1</v>
      </c>
      <c r="H21" s="95"/>
      <c r="I21" s="95">
        <v>1880</v>
      </c>
      <c r="J21" s="90">
        <v>10.4</v>
      </c>
      <c r="M21" s="22">
        <f>ROUND(ROUND(J21, 2)*I21, 2)</f>
        <v>19552</v>
      </c>
      <c r="P21" s="21">
        <v>10.4</v>
      </c>
      <c r="S21" s="22">
        <f>ROUND(ROUND(P21, 2)*I21, 2)</f>
        <v>19552</v>
      </c>
    </row>
    <row r="22" spans="1:21" ht="18" x14ac:dyDescent="0.3">
      <c r="A22" s="91" t="s">
        <v>91</v>
      </c>
      <c r="B22" s="91"/>
      <c r="C22" s="96" t="s">
        <v>69</v>
      </c>
      <c r="D22" s="93"/>
      <c r="E22" s="93"/>
      <c r="F22" s="94" t="s">
        <v>70</v>
      </c>
      <c r="G22" s="95">
        <v>1.6</v>
      </c>
      <c r="H22" s="95"/>
      <c r="I22" s="95">
        <v>59843.199999999997</v>
      </c>
      <c r="J22" s="90">
        <v>9.07</v>
      </c>
      <c r="M22" s="22">
        <f>ROUND(ROUND(J22, 2)*I22, 2)</f>
        <v>542777.81999999995</v>
      </c>
      <c r="P22" s="21">
        <v>9.07</v>
      </c>
      <c r="S22" s="22">
        <f>ROUND(ROUND(P22, 2)*I22, 2)</f>
        <v>542777.81999999995</v>
      </c>
    </row>
    <row r="23" spans="1:21" ht="52.2" x14ac:dyDescent="0.3">
      <c r="A23" s="74" t="s">
        <v>94</v>
      </c>
      <c r="B23" s="74" t="s">
        <v>95</v>
      </c>
      <c r="C23" s="75" t="s">
        <v>96</v>
      </c>
      <c r="D23" s="76"/>
      <c r="E23" s="76" t="s">
        <v>97</v>
      </c>
      <c r="F23" s="76" t="s">
        <v>98</v>
      </c>
      <c r="G23" s="77">
        <v>1</v>
      </c>
      <c r="H23" s="77"/>
      <c r="I23" s="77">
        <v>2.88</v>
      </c>
      <c r="J23" s="14">
        <f>IFERROR(ROUND(SUM(M24)/I23, 2),0)</f>
        <v>12597</v>
      </c>
      <c r="K23" s="15">
        <v>54984</v>
      </c>
      <c r="L23" s="14">
        <f>J23+ROUND(K23, 2)</f>
        <v>67581</v>
      </c>
      <c r="M23" s="14">
        <f>ROUND(J23*I23, 2)</f>
        <v>36279.360000000001</v>
      </c>
      <c r="N23" s="14">
        <f>ROUND(I23*ROUND(K23, 2), 2)</f>
        <v>158353.92000000001</v>
      </c>
      <c r="O23" s="14">
        <f>M23+N23</f>
        <v>194633.28000000003</v>
      </c>
      <c r="P23" s="14">
        <f>IFERROR(ROUND(SUM(S24)/I23, 2),0)</f>
        <v>12597</v>
      </c>
      <c r="Q23" s="15">
        <v>54984</v>
      </c>
      <c r="R23" s="14">
        <f>P23+ROUND(Q23, 2)</f>
        <v>67581</v>
      </c>
      <c r="S23" s="14">
        <f>ROUND(P23*I23, 2)</f>
        <v>36279.360000000001</v>
      </c>
      <c r="T23" s="14">
        <f>ROUND(I23*ROUND(Q23, 2), 2)</f>
        <v>158353.92000000001</v>
      </c>
      <c r="U23" s="14">
        <f>S23+T23</f>
        <v>194633.28000000003</v>
      </c>
    </row>
    <row r="24" spans="1:21" ht="18" x14ac:dyDescent="0.3">
      <c r="A24" s="91" t="s">
        <v>101</v>
      </c>
      <c r="B24" s="91"/>
      <c r="C24" s="92" t="s">
        <v>102</v>
      </c>
      <c r="D24" s="93"/>
      <c r="E24" s="93"/>
      <c r="F24" s="94" t="s">
        <v>70</v>
      </c>
      <c r="G24" s="95">
        <v>1700</v>
      </c>
      <c r="H24" s="95"/>
      <c r="I24" s="95">
        <v>4896</v>
      </c>
      <c r="J24" s="90">
        <v>7.41</v>
      </c>
      <c r="M24" s="22">
        <f>ROUND(ROUND(J24, 2)*I24, 2)</f>
        <v>36279.360000000001</v>
      </c>
      <c r="P24" s="21">
        <v>7.41</v>
      </c>
      <c r="S24" s="22">
        <f>ROUND(ROUND(P24, 2)*I24, 2)</f>
        <v>36279.360000000001</v>
      </c>
    </row>
    <row r="25" spans="1:21" ht="54" x14ac:dyDescent="0.3">
      <c r="A25" s="91" t="s">
        <v>106</v>
      </c>
      <c r="B25" s="91" t="s">
        <v>107</v>
      </c>
      <c r="C25" s="97" t="s">
        <v>108</v>
      </c>
      <c r="D25" s="93"/>
      <c r="E25" s="93" t="s">
        <v>109</v>
      </c>
      <c r="F25" s="93" t="s">
        <v>64</v>
      </c>
      <c r="G25" s="98">
        <v>1</v>
      </c>
      <c r="H25" s="98"/>
      <c r="I25" s="98">
        <v>0</v>
      </c>
      <c r="J25" s="99">
        <f>IFERROR(ROUND(SUM(M26,M27,M28,M29,M30,M31,M32)/I25, 2),0)</f>
        <v>0</v>
      </c>
      <c r="K25" s="100">
        <v>941</v>
      </c>
      <c r="L25" s="99">
        <f>J25+ROUND(K25, 2)</f>
        <v>941</v>
      </c>
      <c r="M25" s="99">
        <f>ROUND(J25*I25, 2)</f>
        <v>0</v>
      </c>
      <c r="N25" s="99">
        <f>ROUND(I25*ROUND(K25, 2), 2)</f>
        <v>0</v>
      </c>
      <c r="O25" s="99">
        <f>M25+N25</f>
        <v>0</v>
      </c>
      <c r="P25" s="99">
        <f>IFERROR(ROUND(SUM(S26,S27,S28,S29,S30,S31,S32)/I25, 2),0)</f>
        <v>0</v>
      </c>
      <c r="Q25" s="100">
        <v>855</v>
      </c>
      <c r="R25" s="99">
        <f>P25+ROUND(Q25, 2)</f>
        <v>855</v>
      </c>
      <c r="S25" s="99">
        <f>ROUND(P25*I25, 2)</f>
        <v>0</v>
      </c>
      <c r="T25" s="99">
        <f>ROUND(I25*ROUND(Q25, 2), 2)</f>
        <v>0</v>
      </c>
      <c r="U25" s="99">
        <f>S25+T25</f>
        <v>0</v>
      </c>
    </row>
    <row r="26" spans="1:21" ht="18" x14ac:dyDescent="0.3">
      <c r="A26" s="91" t="s">
        <v>114</v>
      </c>
      <c r="B26" s="91"/>
      <c r="C26" s="92" t="s">
        <v>115</v>
      </c>
      <c r="D26" s="93"/>
      <c r="E26" s="93"/>
      <c r="F26" s="94" t="s">
        <v>116</v>
      </c>
      <c r="G26" s="95">
        <v>8</v>
      </c>
      <c r="H26" s="95"/>
      <c r="I26" s="95">
        <v>0</v>
      </c>
      <c r="J26" s="90">
        <v>2.5</v>
      </c>
      <c r="K26" s="101"/>
      <c r="L26" s="101"/>
      <c r="M26" s="102">
        <f t="shared" ref="M26:M32" si="2">ROUND(ROUND(J26, 2)*I26, 2)</f>
        <v>0</v>
      </c>
      <c r="N26" s="101"/>
      <c r="O26" s="101"/>
      <c r="P26" s="90">
        <v>2.5</v>
      </c>
      <c r="Q26" s="101"/>
      <c r="R26" s="101"/>
      <c r="S26" s="102">
        <f t="shared" ref="S26:S32" si="3">ROUND(ROUND(P26, 2)*I26, 2)</f>
        <v>0</v>
      </c>
      <c r="T26" s="101"/>
      <c r="U26" s="101"/>
    </row>
    <row r="27" spans="1:21" ht="18" x14ac:dyDescent="0.3">
      <c r="A27" s="91" t="s">
        <v>122</v>
      </c>
      <c r="B27" s="91"/>
      <c r="C27" s="92" t="s">
        <v>123</v>
      </c>
      <c r="D27" s="93"/>
      <c r="E27" s="93"/>
      <c r="F27" s="94" t="s">
        <v>70</v>
      </c>
      <c r="G27" s="95">
        <v>1E-3</v>
      </c>
      <c r="H27" s="95"/>
      <c r="I27" s="95">
        <v>0</v>
      </c>
      <c r="J27" s="90">
        <v>208.33</v>
      </c>
      <c r="K27" s="101"/>
      <c r="L27" s="101"/>
      <c r="M27" s="102">
        <f t="shared" si="2"/>
        <v>0</v>
      </c>
      <c r="N27" s="101"/>
      <c r="O27" s="101"/>
      <c r="P27" s="90">
        <v>208.33</v>
      </c>
      <c r="Q27" s="101"/>
      <c r="R27" s="101"/>
      <c r="S27" s="102">
        <f t="shared" si="3"/>
        <v>0</v>
      </c>
      <c r="T27" s="101"/>
      <c r="U27" s="101"/>
    </row>
    <row r="28" spans="1:21" ht="18" x14ac:dyDescent="0.3">
      <c r="A28" s="91" t="s">
        <v>129</v>
      </c>
      <c r="B28" s="91"/>
      <c r="C28" s="92" t="s">
        <v>130</v>
      </c>
      <c r="D28" s="93"/>
      <c r="E28" s="93"/>
      <c r="F28" s="94" t="s">
        <v>64</v>
      </c>
      <c r="G28" s="95">
        <v>1.1000000000000001</v>
      </c>
      <c r="H28" s="95"/>
      <c r="I28" s="95">
        <v>0</v>
      </c>
      <c r="J28" s="90">
        <v>155.01</v>
      </c>
      <c r="K28" s="101"/>
      <c r="L28" s="101"/>
      <c r="M28" s="102">
        <f t="shared" si="2"/>
        <v>0</v>
      </c>
      <c r="N28" s="101"/>
      <c r="O28" s="101"/>
      <c r="P28" s="90">
        <v>155.01</v>
      </c>
      <c r="Q28" s="101"/>
      <c r="R28" s="101"/>
      <c r="S28" s="102">
        <f t="shared" si="3"/>
        <v>0</v>
      </c>
      <c r="T28" s="101"/>
      <c r="U28" s="101"/>
    </row>
    <row r="29" spans="1:21" ht="18" x14ac:dyDescent="0.3">
      <c r="A29" s="91" t="s">
        <v>136</v>
      </c>
      <c r="B29" s="91"/>
      <c r="C29" s="92" t="s">
        <v>137</v>
      </c>
      <c r="D29" s="93"/>
      <c r="E29" s="93"/>
      <c r="F29" s="94" t="s">
        <v>70</v>
      </c>
      <c r="G29" s="95">
        <v>0.32</v>
      </c>
      <c r="H29" s="95"/>
      <c r="I29" s="95">
        <v>0</v>
      </c>
      <c r="J29" s="90">
        <v>7.5</v>
      </c>
      <c r="K29" s="101"/>
      <c r="L29" s="101"/>
      <c r="M29" s="102">
        <f t="shared" si="2"/>
        <v>0</v>
      </c>
      <c r="N29" s="101"/>
      <c r="O29" s="101"/>
      <c r="P29" s="90">
        <v>7.5</v>
      </c>
      <c r="Q29" s="101"/>
      <c r="R29" s="101"/>
      <c r="S29" s="102">
        <f t="shared" si="3"/>
        <v>0</v>
      </c>
      <c r="T29" s="101"/>
      <c r="U29" s="101"/>
    </row>
    <row r="30" spans="1:21" ht="18" x14ac:dyDescent="0.3">
      <c r="A30" s="91" t="s">
        <v>143</v>
      </c>
      <c r="B30" s="91"/>
      <c r="C30" s="92" t="s">
        <v>144</v>
      </c>
      <c r="D30" s="93"/>
      <c r="E30" s="93"/>
      <c r="F30" s="94" t="s">
        <v>98</v>
      </c>
      <c r="G30" s="95">
        <v>1E-3</v>
      </c>
      <c r="H30" s="95"/>
      <c r="I30" s="95">
        <v>0</v>
      </c>
      <c r="J30" s="90">
        <v>1600</v>
      </c>
      <c r="K30" s="101"/>
      <c r="L30" s="101"/>
      <c r="M30" s="102">
        <f t="shared" si="2"/>
        <v>0</v>
      </c>
      <c r="N30" s="101"/>
      <c r="O30" s="101"/>
      <c r="P30" s="90">
        <v>1600</v>
      </c>
      <c r="Q30" s="101"/>
      <c r="R30" s="101"/>
      <c r="S30" s="102">
        <f t="shared" si="3"/>
        <v>0</v>
      </c>
      <c r="T30" s="101"/>
      <c r="U30" s="101"/>
    </row>
    <row r="31" spans="1:21" ht="18" x14ac:dyDescent="0.3">
      <c r="A31" s="91" t="s">
        <v>150</v>
      </c>
      <c r="B31" s="91"/>
      <c r="C31" s="92" t="s">
        <v>86</v>
      </c>
      <c r="D31" s="93"/>
      <c r="E31" s="93"/>
      <c r="F31" s="94" t="s">
        <v>87</v>
      </c>
      <c r="G31" s="95">
        <v>1</v>
      </c>
      <c r="H31" s="95"/>
      <c r="I31" s="95">
        <v>0</v>
      </c>
      <c r="J31" s="90">
        <v>10.4</v>
      </c>
      <c r="K31" s="101"/>
      <c r="L31" s="101"/>
      <c r="M31" s="102">
        <f t="shared" si="2"/>
        <v>0</v>
      </c>
      <c r="N31" s="101"/>
      <c r="O31" s="101"/>
      <c r="P31" s="90">
        <v>10.4</v>
      </c>
      <c r="Q31" s="101"/>
      <c r="R31" s="101"/>
      <c r="S31" s="102">
        <f t="shared" si="3"/>
        <v>0</v>
      </c>
      <c r="T31" s="101"/>
      <c r="U31" s="101"/>
    </row>
    <row r="32" spans="1:21" ht="36" x14ac:dyDescent="0.3">
      <c r="A32" s="91" t="s">
        <v>155</v>
      </c>
      <c r="B32" s="91"/>
      <c r="C32" s="92" t="s">
        <v>75</v>
      </c>
      <c r="D32" s="93"/>
      <c r="E32" s="93"/>
      <c r="F32" s="94" t="s">
        <v>70</v>
      </c>
      <c r="G32" s="95">
        <v>0.2</v>
      </c>
      <c r="H32" s="95"/>
      <c r="I32" s="95">
        <v>0</v>
      </c>
      <c r="J32" s="90">
        <v>88.8</v>
      </c>
      <c r="K32" s="101"/>
      <c r="L32" s="101"/>
      <c r="M32" s="102">
        <f t="shared" si="2"/>
        <v>0</v>
      </c>
      <c r="N32" s="101"/>
      <c r="O32" s="101"/>
      <c r="P32" s="90">
        <v>88.8</v>
      </c>
      <c r="Q32" s="101"/>
      <c r="R32" s="101"/>
      <c r="S32" s="102">
        <f t="shared" si="3"/>
        <v>0</v>
      </c>
      <c r="T32" s="101"/>
      <c r="U32" s="101"/>
    </row>
    <row r="33" spans="1:21" ht="36" x14ac:dyDescent="0.3">
      <c r="A33" s="91" t="s">
        <v>160</v>
      </c>
      <c r="B33" s="91" t="s">
        <v>107</v>
      </c>
      <c r="C33" s="97" t="s">
        <v>108</v>
      </c>
      <c r="D33" s="93"/>
      <c r="E33" s="93" t="s">
        <v>161</v>
      </c>
      <c r="F33" s="93" t="s">
        <v>64</v>
      </c>
      <c r="G33" s="98">
        <v>1</v>
      </c>
      <c r="H33" s="98"/>
      <c r="I33" s="98">
        <v>0</v>
      </c>
      <c r="J33" s="99">
        <f>IFERROR(ROUND(SUM(M34,M35,M36,M37,M38,M39,M40)/I33, 2),0)</f>
        <v>0</v>
      </c>
      <c r="K33" s="100">
        <v>941</v>
      </c>
      <c r="L33" s="99">
        <f>J33+ROUND(K33, 2)</f>
        <v>941</v>
      </c>
      <c r="M33" s="99">
        <f>ROUND(J33*I33, 2)</f>
        <v>0</v>
      </c>
      <c r="N33" s="99">
        <f>ROUND(I33*ROUND(K33, 2), 2)</f>
        <v>0</v>
      </c>
      <c r="O33" s="99">
        <f>M33+N33</f>
        <v>0</v>
      </c>
      <c r="P33" s="99">
        <f>IFERROR(ROUND(SUM(S34,S35,S36,S37,S38,S39,S40)/I33, 2),0)</f>
        <v>0</v>
      </c>
      <c r="Q33" s="100">
        <v>855</v>
      </c>
      <c r="R33" s="99">
        <f>P33+ROUND(Q33, 2)</f>
        <v>855</v>
      </c>
      <c r="S33" s="99">
        <f>ROUND(P33*I33, 2)</f>
        <v>0</v>
      </c>
      <c r="T33" s="99">
        <f>ROUND(I33*ROUND(Q33, 2), 2)</f>
        <v>0</v>
      </c>
      <c r="U33" s="99">
        <f>S33+T33</f>
        <v>0</v>
      </c>
    </row>
    <row r="34" spans="1:21" ht="36" x14ac:dyDescent="0.3">
      <c r="A34" s="91" t="s">
        <v>164</v>
      </c>
      <c r="B34" s="91"/>
      <c r="C34" s="92" t="s">
        <v>75</v>
      </c>
      <c r="D34" s="93"/>
      <c r="E34" s="93"/>
      <c r="F34" s="94" t="s">
        <v>70</v>
      </c>
      <c r="G34" s="95">
        <v>0.2</v>
      </c>
      <c r="H34" s="95"/>
      <c r="I34" s="95">
        <v>0</v>
      </c>
      <c r="J34" s="90">
        <v>88.8</v>
      </c>
      <c r="K34" s="101"/>
      <c r="L34" s="101"/>
      <c r="M34" s="102">
        <f t="shared" ref="M34:M40" si="4">ROUND(ROUND(J34, 2)*I34, 2)</f>
        <v>0</v>
      </c>
      <c r="N34" s="101"/>
      <c r="O34" s="101"/>
      <c r="P34" s="90">
        <v>88.8</v>
      </c>
      <c r="Q34" s="101"/>
      <c r="R34" s="101"/>
      <c r="S34" s="102">
        <f t="shared" ref="S34:S40" si="5">ROUND(ROUND(P34, 2)*I34, 2)</f>
        <v>0</v>
      </c>
      <c r="T34" s="101"/>
      <c r="U34" s="101"/>
    </row>
    <row r="35" spans="1:21" ht="18" x14ac:dyDescent="0.3">
      <c r="A35" s="91" t="s">
        <v>169</v>
      </c>
      <c r="B35" s="91"/>
      <c r="C35" s="92" t="s">
        <v>86</v>
      </c>
      <c r="D35" s="93"/>
      <c r="E35" s="93"/>
      <c r="F35" s="94" t="s">
        <v>87</v>
      </c>
      <c r="G35" s="95">
        <v>1</v>
      </c>
      <c r="H35" s="95"/>
      <c r="I35" s="95">
        <v>0</v>
      </c>
      <c r="J35" s="90">
        <v>10.4</v>
      </c>
      <c r="K35" s="101"/>
      <c r="L35" s="101"/>
      <c r="M35" s="102">
        <f t="shared" si="4"/>
        <v>0</v>
      </c>
      <c r="N35" s="101"/>
      <c r="O35" s="101"/>
      <c r="P35" s="90">
        <v>10.4</v>
      </c>
      <c r="Q35" s="101"/>
      <c r="R35" s="101"/>
      <c r="S35" s="102">
        <f t="shared" si="5"/>
        <v>0</v>
      </c>
      <c r="T35" s="101"/>
      <c r="U35" s="101"/>
    </row>
    <row r="36" spans="1:21" ht="18" x14ac:dyDescent="0.3">
      <c r="A36" s="91" t="s">
        <v>174</v>
      </c>
      <c r="B36" s="91"/>
      <c r="C36" s="92" t="s">
        <v>144</v>
      </c>
      <c r="D36" s="93"/>
      <c r="E36" s="93"/>
      <c r="F36" s="94" t="s">
        <v>98</v>
      </c>
      <c r="G36" s="95">
        <v>1E-3</v>
      </c>
      <c r="H36" s="95"/>
      <c r="I36" s="95">
        <v>0</v>
      </c>
      <c r="J36" s="90">
        <v>1600</v>
      </c>
      <c r="K36" s="101"/>
      <c r="L36" s="101"/>
      <c r="M36" s="102">
        <f t="shared" si="4"/>
        <v>0</v>
      </c>
      <c r="N36" s="101"/>
      <c r="O36" s="101"/>
      <c r="P36" s="90">
        <v>1600</v>
      </c>
      <c r="Q36" s="101"/>
      <c r="R36" s="101"/>
      <c r="S36" s="102">
        <f t="shared" si="5"/>
        <v>0</v>
      </c>
      <c r="T36" s="101"/>
      <c r="U36" s="101"/>
    </row>
    <row r="37" spans="1:21" ht="18" x14ac:dyDescent="0.3">
      <c r="A37" s="91" t="s">
        <v>179</v>
      </c>
      <c r="B37" s="91"/>
      <c r="C37" s="92" t="s">
        <v>137</v>
      </c>
      <c r="D37" s="93"/>
      <c r="E37" s="93"/>
      <c r="F37" s="94" t="s">
        <v>70</v>
      </c>
      <c r="G37" s="95">
        <v>0.32</v>
      </c>
      <c r="H37" s="95"/>
      <c r="I37" s="95">
        <v>0</v>
      </c>
      <c r="J37" s="90">
        <v>7.5</v>
      </c>
      <c r="K37" s="101"/>
      <c r="L37" s="101"/>
      <c r="M37" s="102">
        <f t="shared" si="4"/>
        <v>0</v>
      </c>
      <c r="N37" s="101"/>
      <c r="O37" s="101"/>
      <c r="P37" s="90">
        <v>7.5</v>
      </c>
      <c r="Q37" s="101"/>
      <c r="R37" s="101"/>
      <c r="S37" s="102">
        <f t="shared" si="5"/>
        <v>0</v>
      </c>
      <c r="T37" s="101"/>
      <c r="U37" s="101"/>
    </row>
    <row r="38" spans="1:21" ht="18" x14ac:dyDescent="0.3">
      <c r="A38" s="91" t="s">
        <v>184</v>
      </c>
      <c r="B38" s="91"/>
      <c r="C38" s="92" t="s">
        <v>130</v>
      </c>
      <c r="D38" s="93"/>
      <c r="E38" s="93"/>
      <c r="F38" s="94" t="s">
        <v>64</v>
      </c>
      <c r="G38" s="95">
        <v>1.1000000000000001</v>
      </c>
      <c r="H38" s="95"/>
      <c r="I38" s="95">
        <v>0</v>
      </c>
      <c r="J38" s="90">
        <v>155.01</v>
      </c>
      <c r="K38" s="101"/>
      <c r="L38" s="101"/>
      <c r="M38" s="102">
        <f t="shared" si="4"/>
        <v>0</v>
      </c>
      <c r="N38" s="101"/>
      <c r="O38" s="101"/>
      <c r="P38" s="90">
        <v>155.01</v>
      </c>
      <c r="Q38" s="101"/>
      <c r="R38" s="101"/>
      <c r="S38" s="102">
        <f t="shared" si="5"/>
        <v>0</v>
      </c>
      <c r="T38" s="101"/>
      <c r="U38" s="101"/>
    </row>
    <row r="39" spans="1:21" ht="18" x14ac:dyDescent="0.3">
      <c r="A39" s="91" t="s">
        <v>189</v>
      </c>
      <c r="B39" s="91"/>
      <c r="C39" s="92" t="s">
        <v>123</v>
      </c>
      <c r="D39" s="93"/>
      <c r="E39" s="93"/>
      <c r="F39" s="94" t="s">
        <v>70</v>
      </c>
      <c r="G39" s="95">
        <v>1E-3</v>
      </c>
      <c r="H39" s="95"/>
      <c r="I39" s="95">
        <v>0</v>
      </c>
      <c r="J39" s="90">
        <v>208.33</v>
      </c>
      <c r="K39" s="101"/>
      <c r="L39" s="101"/>
      <c r="M39" s="102">
        <f t="shared" si="4"/>
        <v>0</v>
      </c>
      <c r="N39" s="101"/>
      <c r="O39" s="101"/>
      <c r="P39" s="90">
        <v>208.33</v>
      </c>
      <c r="Q39" s="101"/>
      <c r="R39" s="101"/>
      <c r="S39" s="102">
        <f t="shared" si="5"/>
        <v>0</v>
      </c>
      <c r="T39" s="101"/>
      <c r="U39" s="101"/>
    </row>
    <row r="40" spans="1:21" ht="18" x14ac:dyDescent="0.3">
      <c r="A40" s="91" t="s">
        <v>194</v>
      </c>
      <c r="B40" s="91"/>
      <c r="C40" s="92" t="s">
        <v>115</v>
      </c>
      <c r="D40" s="93"/>
      <c r="E40" s="93"/>
      <c r="F40" s="94" t="s">
        <v>116</v>
      </c>
      <c r="G40" s="95">
        <v>8</v>
      </c>
      <c r="H40" s="95"/>
      <c r="I40" s="95">
        <v>0</v>
      </c>
      <c r="J40" s="90">
        <v>2.5</v>
      </c>
      <c r="K40" s="101"/>
      <c r="L40" s="101"/>
      <c r="M40" s="102">
        <f t="shared" si="4"/>
        <v>0</v>
      </c>
      <c r="N40" s="101"/>
      <c r="O40" s="101"/>
      <c r="P40" s="90">
        <v>2.5</v>
      </c>
      <c r="Q40" s="101"/>
      <c r="R40" s="101"/>
      <c r="S40" s="102">
        <f t="shared" si="5"/>
        <v>0</v>
      </c>
      <c r="T40" s="101"/>
      <c r="U40" s="101"/>
    </row>
    <row r="41" spans="1:21" ht="34.799999999999997" x14ac:dyDescent="0.3">
      <c r="A41" s="74" t="s">
        <v>199</v>
      </c>
      <c r="B41" s="74" t="s">
        <v>107</v>
      </c>
      <c r="C41" s="75" t="s">
        <v>200</v>
      </c>
      <c r="D41" s="76"/>
      <c r="E41" s="76" t="s">
        <v>201</v>
      </c>
      <c r="F41" s="76" t="s">
        <v>64</v>
      </c>
      <c r="G41" s="77">
        <v>1</v>
      </c>
      <c r="H41" s="77"/>
      <c r="I41" s="77">
        <v>239.9</v>
      </c>
      <c r="J41" s="14">
        <f>IFERROR(ROUND(SUM(M42,M43,M44,M45,M46)/I41, 2),0)</f>
        <v>878.71</v>
      </c>
      <c r="K41" s="15">
        <v>941</v>
      </c>
      <c r="L41" s="14">
        <f>J41+ROUND(K41, 2)</f>
        <v>1819.71</v>
      </c>
      <c r="M41" s="14">
        <f>ROUND(J41*I41, 2)</f>
        <v>210802.53</v>
      </c>
      <c r="N41" s="14">
        <f>ROUND(I41*ROUND(K41, 2), 2)</f>
        <v>225745.9</v>
      </c>
      <c r="O41" s="14">
        <f>M41+N41</f>
        <v>436548.43</v>
      </c>
      <c r="P41" s="14">
        <f>IFERROR(ROUND(SUM(S42,S43,S44,S45,S46)/I41, 2),0)</f>
        <v>878.71</v>
      </c>
      <c r="Q41" s="15">
        <v>941</v>
      </c>
      <c r="R41" s="14">
        <f>P41+ROUND(Q41, 2)</f>
        <v>1819.71</v>
      </c>
      <c r="S41" s="14">
        <f>ROUND(P41*I41, 2)</f>
        <v>210802.53</v>
      </c>
      <c r="T41" s="14">
        <f>ROUND(I41*ROUND(Q41, 2), 2)</f>
        <v>225745.9</v>
      </c>
      <c r="U41" s="14">
        <f>S41+T41</f>
        <v>436548.43</v>
      </c>
    </row>
    <row r="42" spans="1:21" ht="18" x14ac:dyDescent="0.3">
      <c r="A42" s="91" t="s">
        <v>202</v>
      </c>
      <c r="B42" s="91"/>
      <c r="C42" s="92" t="s">
        <v>115</v>
      </c>
      <c r="D42" s="93"/>
      <c r="E42" s="93"/>
      <c r="F42" s="94" t="s">
        <v>116</v>
      </c>
      <c r="G42" s="95">
        <v>8</v>
      </c>
      <c r="H42" s="95"/>
      <c r="I42" s="95">
        <v>1919.2</v>
      </c>
      <c r="J42" s="90">
        <v>2.5</v>
      </c>
      <c r="M42" s="22">
        <f>ROUND(ROUND(J42, 2)*I42, 2)</f>
        <v>4798</v>
      </c>
      <c r="P42" s="21">
        <v>2.5</v>
      </c>
      <c r="S42" s="22">
        <f>ROUND(ROUND(P42, 2)*I42, 2)</f>
        <v>4798</v>
      </c>
    </row>
    <row r="43" spans="1:21" ht="18" x14ac:dyDescent="0.3">
      <c r="A43" s="91" t="s">
        <v>205</v>
      </c>
      <c r="B43" s="91"/>
      <c r="C43" s="92" t="s">
        <v>206</v>
      </c>
      <c r="D43" s="93"/>
      <c r="E43" s="93"/>
      <c r="F43" s="94" t="s">
        <v>70</v>
      </c>
      <c r="G43" s="95">
        <v>1.8</v>
      </c>
      <c r="H43" s="95"/>
      <c r="I43" s="95">
        <v>25909.200000000001</v>
      </c>
      <c r="J43" s="90">
        <v>6.17</v>
      </c>
      <c r="M43" s="22">
        <f>ROUND(ROUND(J43, 2)*I43, 2)</f>
        <v>159859.76</v>
      </c>
      <c r="P43" s="21">
        <v>6.17</v>
      </c>
      <c r="S43" s="22">
        <f>ROUND(ROUND(P43, 2)*I43, 2)</f>
        <v>159859.76</v>
      </c>
    </row>
    <row r="44" spans="1:21" ht="18" x14ac:dyDescent="0.3">
      <c r="A44" s="91" t="s">
        <v>210</v>
      </c>
      <c r="B44" s="91"/>
      <c r="C44" s="92" t="s">
        <v>130</v>
      </c>
      <c r="D44" s="93"/>
      <c r="E44" s="93"/>
      <c r="F44" s="94" t="s">
        <v>64</v>
      </c>
      <c r="G44" s="95">
        <v>1.1000000000000001</v>
      </c>
      <c r="H44" s="95"/>
      <c r="I44" s="95">
        <v>263.89</v>
      </c>
      <c r="J44" s="90">
        <v>155.01</v>
      </c>
      <c r="M44" s="22">
        <f>ROUND(ROUND(J44, 2)*I44, 2)</f>
        <v>40905.589999999997</v>
      </c>
      <c r="P44" s="21">
        <v>155.01</v>
      </c>
      <c r="S44" s="22">
        <f>ROUND(ROUND(P44, 2)*I44, 2)</f>
        <v>40905.589999999997</v>
      </c>
    </row>
    <row r="45" spans="1:21" ht="18" x14ac:dyDescent="0.3">
      <c r="A45" s="91" t="s">
        <v>213</v>
      </c>
      <c r="B45" s="91"/>
      <c r="C45" s="92" t="s">
        <v>86</v>
      </c>
      <c r="D45" s="93"/>
      <c r="E45" s="93"/>
      <c r="F45" s="94" t="s">
        <v>87</v>
      </c>
      <c r="G45" s="95">
        <v>1</v>
      </c>
      <c r="H45" s="95"/>
      <c r="I45" s="95">
        <v>94</v>
      </c>
      <c r="J45" s="90">
        <v>10.4</v>
      </c>
      <c r="M45" s="22">
        <f>ROUND(ROUND(J45, 2)*I45, 2)</f>
        <v>977.6</v>
      </c>
      <c r="P45" s="21">
        <v>10.4</v>
      </c>
      <c r="S45" s="22">
        <f>ROUND(ROUND(P45, 2)*I45, 2)</f>
        <v>977.6</v>
      </c>
    </row>
    <row r="46" spans="1:21" ht="36" x14ac:dyDescent="0.3">
      <c r="A46" s="91" t="s">
        <v>216</v>
      </c>
      <c r="B46" s="91"/>
      <c r="C46" s="92" t="s">
        <v>75</v>
      </c>
      <c r="D46" s="93"/>
      <c r="E46" s="93"/>
      <c r="F46" s="94" t="s">
        <v>70</v>
      </c>
      <c r="G46" s="95">
        <v>0.2</v>
      </c>
      <c r="H46" s="95"/>
      <c r="I46" s="95">
        <v>47.98</v>
      </c>
      <c r="J46" s="90">
        <v>88.8</v>
      </c>
      <c r="M46" s="22">
        <f>ROUND(ROUND(J46, 2)*I46, 2)</f>
        <v>4260.62</v>
      </c>
      <c r="P46" s="21">
        <v>88.8</v>
      </c>
      <c r="S46" s="22">
        <f>ROUND(ROUND(P46, 2)*I46, 2)</f>
        <v>4260.62</v>
      </c>
    </row>
    <row r="47" spans="1:21" ht="34.799999999999997" x14ac:dyDescent="0.3">
      <c r="A47" s="74" t="s">
        <v>219</v>
      </c>
      <c r="B47" s="74" t="s">
        <v>107</v>
      </c>
      <c r="C47" s="75" t="s">
        <v>200</v>
      </c>
      <c r="D47" s="76"/>
      <c r="E47" s="76" t="s">
        <v>220</v>
      </c>
      <c r="F47" s="76" t="s">
        <v>64</v>
      </c>
      <c r="G47" s="77">
        <v>1</v>
      </c>
      <c r="H47" s="77"/>
      <c r="I47" s="77">
        <v>631.29999999999995</v>
      </c>
      <c r="J47" s="14">
        <f>IFERROR(ROUND(SUM(M48,M49,M50,M51,M52)/I47, 2),0)</f>
        <v>879.19</v>
      </c>
      <c r="K47" s="15">
        <v>941</v>
      </c>
      <c r="L47" s="14">
        <f>J47+ROUND(K47, 2)</f>
        <v>1820.19</v>
      </c>
      <c r="M47" s="14">
        <f>ROUND(J47*I47, 2)</f>
        <v>555032.65</v>
      </c>
      <c r="N47" s="14">
        <f>ROUND(I47*ROUND(K47, 2), 2)</f>
        <v>594053.30000000005</v>
      </c>
      <c r="O47" s="14">
        <f>M47+N47</f>
        <v>1149085.9500000002</v>
      </c>
      <c r="P47" s="14">
        <f>IFERROR(ROUND(SUM(S48,S49,S50,S51,S52)/I47, 2),0)</f>
        <v>879.19</v>
      </c>
      <c r="Q47" s="15">
        <v>941</v>
      </c>
      <c r="R47" s="14">
        <f>P47+ROUND(Q47, 2)</f>
        <v>1820.19</v>
      </c>
      <c r="S47" s="14">
        <f>ROUND(P47*I47, 2)</f>
        <v>555032.65</v>
      </c>
      <c r="T47" s="14">
        <f>ROUND(I47*ROUND(Q47, 2), 2)</f>
        <v>594053.30000000005</v>
      </c>
      <c r="U47" s="14">
        <f>S47+T47</f>
        <v>1149085.9500000002</v>
      </c>
    </row>
    <row r="48" spans="1:21" ht="36" x14ac:dyDescent="0.3">
      <c r="A48" s="91" t="s">
        <v>221</v>
      </c>
      <c r="B48" s="91"/>
      <c r="C48" s="92" t="s">
        <v>75</v>
      </c>
      <c r="D48" s="93"/>
      <c r="E48" s="93"/>
      <c r="F48" s="94" t="s">
        <v>70</v>
      </c>
      <c r="G48" s="95">
        <v>0.2</v>
      </c>
      <c r="H48" s="95"/>
      <c r="I48" s="95">
        <v>126.26</v>
      </c>
      <c r="J48" s="90">
        <v>88.8</v>
      </c>
      <c r="M48" s="22">
        <f>ROUND(ROUND(J48, 2)*I48, 2)</f>
        <v>11211.89</v>
      </c>
      <c r="P48" s="21">
        <v>88.8</v>
      </c>
      <c r="S48" s="22">
        <f>ROUND(ROUND(P48, 2)*I48, 2)</f>
        <v>11211.89</v>
      </c>
    </row>
    <row r="49" spans="1:21" ht="18" x14ac:dyDescent="0.3">
      <c r="A49" s="91" t="s">
        <v>224</v>
      </c>
      <c r="B49" s="91"/>
      <c r="C49" s="92" t="s">
        <v>86</v>
      </c>
      <c r="D49" s="93"/>
      <c r="E49" s="93"/>
      <c r="F49" s="94" t="s">
        <v>87</v>
      </c>
      <c r="G49" s="95">
        <v>1</v>
      </c>
      <c r="H49" s="95"/>
      <c r="I49" s="95">
        <v>277</v>
      </c>
      <c r="J49" s="90">
        <v>10.4</v>
      </c>
      <c r="M49" s="22">
        <f>ROUND(ROUND(J49, 2)*I49, 2)</f>
        <v>2880.8</v>
      </c>
      <c r="P49" s="21">
        <v>10.4</v>
      </c>
      <c r="S49" s="22">
        <f>ROUND(ROUND(P49, 2)*I49, 2)</f>
        <v>2880.8</v>
      </c>
    </row>
    <row r="50" spans="1:21" ht="18" x14ac:dyDescent="0.3">
      <c r="A50" s="91" t="s">
        <v>227</v>
      </c>
      <c r="B50" s="91"/>
      <c r="C50" s="92" t="s">
        <v>130</v>
      </c>
      <c r="D50" s="93"/>
      <c r="E50" s="93"/>
      <c r="F50" s="94" t="s">
        <v>64</v>
      </c>
      <c r="G50" s="95">
        <v>1.1000000000000001</v>
      </c>
      <c r="H50" s="95"/>
      <c r="I50" s="95">
        <v>694.43</v>
      </c>
      <c r="J50" s="90">
        <v>155.01</v>
      </c>
      <c r="M50" s="22">
        <f>ROUND(ROUND(J50, 2)*I50, 2)</f>
        <v>107643.59</v>
      </c>
      <c r="P50" s="21">
        <v>155.01</v>
      </c>
      <c r="S50" s="22">
        <f>ROUND(ROUND(P50, 2)*I50, 2)</f>
        <v>107643.59</v>
      </c>
    </row>
    <row r="51" spans="1:21" ht="18" x14ac:dyDescent="0.3">
      <c r="A51" s="91" t="s">
        <v>230</v>
      </c>
      <c r="B51" s="91"/>
      <c r="C51" s="92" t="s">
        <v>206</v>
      </c>
      <c r="D51" s="93"/>
      <c r="E51" s="93"/>
      <c r="F51" s="94" t="s">
        <v>70</v>
      </c>
      <c r="G51" s="95">
        <v>1.8</v>
      </c>
      <c r="H51" s="95"/>
      <c r="I51" s="95">
        <v>68180.399999999994</v>
      </c>
      <c r="J51" s="90">
        <v>6.17</v>
      </c>
      <c r="M51" s="22">
        <f>ROUND(ROUND(J51, 2)*I51, 2)</f>
        <v>420673.07</v>
      </c>
      <c r="P51" s="21">
        <v>6.17</v>
      </c>
      <c r="S51" s="22">
        <f>ROUND(ROUND(P51, 2)*I51, 2)</f>
        <v>420673.07</v>
      </c>
    </row>
    <row r="52" spans="1:21" ht="18" x14ac:dyDescent="0.3">
      <c r="A52" s="91" t="s">
        <v>233</v>
      </c>
      <c r="B52" s="91"/>
      <c r="C52" s="92" t="s">
        <v>115</v>
      </c>
      <c r="D52" s="93"/>
      <c r="E52" s="93"/>
      <c r="F52" s="94" t="s">
        <v>116</v>
      </c>
      <c r="G52" s="95">
        <v>8</v>
      </c>
      <c r="H52" s="95"/>
      <c r="I52" s="95">
        <v>5050.3999999999996</v>
      </c>
      <c r="J52" s="90">
        <v>2.5</v>
      </c>
      <c r="M52" s="22">
        <f>ROUND(ROUND(J52, 2)*I52, 2)</f>
        <v>12626</v>
      </c>
      <c r="P52" s="21">
        <v>2.5</v>
      </c>
      <c r="S52" s="22">
        <f>ROUND(ROUND(P52, 2)*I52, 2)</f>
        <v>12626</v>
      </c>
    </row>
    <row r="53" spans="1:21" ht="34.799999999999997" x14ac:dyDescent="0.3">
      <c r="A53" s="74" t="s">
        <v>236</v>
      </c>
      <c r="B53" s="74" t="s">
        <v>107</v>
      </c>
      <c r="C53" s="75" t="s">
        <v>200</v>
      </c>
      <c r="D53" s="76"/>
      <c r="E53" s="76" t="s">
        <v>237</v>
      </c>
      <c r="F53" s="76" t="s">
        <v>64</v>
      </c>
      <c r="G53" s="77">
        <v>1</v>
      </c>
      <c r="H53" s="77"/>
      <c r="I53" s="77">
        <v>34.5</v>
      </c>
      <c r="J53" s="14">
        <f>IFERROR(ROUND(SUM(M54,M55,M56,M57,M58)/I53, 2),0)</f>
        <v>768.25</v>
      </c>
      <c r="K53" s="15">
        <v>941</v>
      </c>
      <c r="L53" s="14">
        <f>J53+ROUND(K53, 2)</f>
        <v>1709.25</v>
      </c>
      <c r="M53" s="14">
        <f>ROUND(J53*I53, 2)</f>
        <v>26504.63</v>
      </c>
      <c r="N53" s="14">
        <f>ROUND(I53*ROUND(K53, 2), 2)</f>
        <v>32464.5</v>
      </c>
      <c r="O53" s="14">
        <f>M53+N53</f>
        <v>58969.130000000005</v>
      </c>
      <c r="P53" s="14">
        <f>IFERROR(ROUND(SUM(S54,S55,S56,S57,S58)/I53, 2),0)</f>
        <v>768.25</v>
      </c>
      <c r="Q53" s="15">
        <v>941</v>
      </c>
      <c r="R53" s="14">
        <f>P53+ROUND(Q53, 2)</f>
        <v>1709.25</v>
      </c>
      <c r="S53" s="14">
        <f>ROUND(P53*I53, 2)</f>
        <v>26504.63</v>
      </c>
      <c r="T53" s="14">
        <f>ROUND(I53*ROUND(Q53, 2), 2)</f>
        <v>32464.5</v>
      </c>
      <c r="U53" s="14">
        <f>S53+T53</f>
        <v>58969.130000000005</v>
      </c>
    </row>
    <row r="54" spans="1:21" ht="18" x14ac:dyDescent="0.3">
      <c r="A54" s="91" t="s">
        <v>238</v>
      </c>
      <c r="B54" s="91"/>
      <c r="C54" s="92" t="s">
        <v>115</v>
      </c>
      <c r="D54" s="93"/>
      <c r="E54" s="93"/>
      <c r="F54" s="94" t="s">
        <v>116</v>
      </c>
      <c r="G54" s="95">
        <v>8</v>
      </c>
      <c r="H54" s="95"/>
      <c r="I54" s="95">
        <v>276</v>
      </c>
      <c r="J54" s="90">
        <v>2.5</v>
      </c>
      <c r="M54" s="22">
        <f>ROUND(ROUND(J54, 2)*I54, 2)</f>
        <v>690</v>
      </c>
      <c r="P54" s="21">
        <v>2.5</v>
      </c>
      <c r="S54" s="22">
        <f>ROUND(ROUND(P54, 2)*I54, 2)</f>
        <v>690</v>
      </c>
    </row>
    <row r="55" spans="1:21" ht="18" x14ac:dyDescent="0.3">
      <c r="A55" s="91" t="s">
        <v>241</v>
      </c>
      <c r="B55" s="91"/>
      <c r="C55" s="92" t="s">
        <v>206</v>
      </c>
      <c r="D55" s="93"/>
      <c r="E55" s="93"/>
      <c r="F55" s="94" t="s">
        <v>70</v>
      </c>
      <c r="G55" s="95">
        <v>1.8</v>
      </c>
      <c r="H55" s="95"/>
      <c r="I55" s="95">
        <v>3105</v>
      </c>
      <c r="J55" s="90">
        <v>6.17</v>
      </c>
      <c r="M55" s="22">
        <f>ROUND(ROUND(J55, 2)*I55, 2)</f>
        <v>19157.849999999999</v>
      </c>
      <c r="P55" s="21">
        <v>6.17</v>
      </c>
      <c r="S55" s="22">
        <f>ROUND(ROUND(P55, 2)*I55, 2)</f>
        <v>19157.849999999999</v>
      </c>
    </row>
    <row r="56" spans="1:21" ht="18" x14ac:dyDescent="0.3">
      <c r="A56" s="91" t="s">
        <v>244</v>
      </c>
      <c r="B56" s="91"/>
      <c r="C56" s="92" t="s">
        <v>130</v>
      </c>
      <c r="D56" s="93"/>
      <c r="E56" s="93"/>
      <c r="F56" s="94" t="s">
        <v>64</v>
      </c>
      <c r="G56" s="95">
        <v>1.1000000000000001</v>
      </c>
      <c r="H56" s="95"/>
      <c r="I56" s="95">
        <v>37.950000000000003</v>
      </c>
      <c r="J56" s="90">
        <v>155.01</v>
      </c>
      <c r="M56" s="22">
        <f>ROUND(ROUND(J56, 2)*I56, 2)</f>
        <v>5882.63</v>
      </c>
      <c r="P56" s="21">
        <v>155.01</v>
      </c>
      <c r="S56" s="22">
        <f>ROUND(ROUND(P56, 2)*I56, 2)</f>
        <v>5882.63</v>
      </c>
    </row>
    <row r="57" spans="1:21" ht="18" x14ac:dyDescent="0.3">
      <c r="A57" s="91" t="s">
        <v>247</v>
      </c>
      <c r="B57" s="91"/>
      <c r="C57" s="92" t="s">
        <v>86</v>
      </c>
      <c r="D57" s="93"/>
      <c r="E57" s="93"/>
      <c r="F57" s="94" t="s">
        <v>87</v>
      </c>
      <c r="G57" s="95">
        <v>1</v>
      </c>
      <c r="H57" s="95"/>
      <c r="I57" s="95">
        <v>15.519</v>
      </c>
      <c r="J57" s="90">
        <v>10.4</v>
      </c>
      <c r="M57" s="22">
        <f>ROUND(ROUND(J57, 2)*I57, 2)</f>
        <v>161.4</v>
      </c>
      <c r="P57" s="21">
        <v>10.4</v>
      </c>
      <c r="S57" s="22">
        <f>ROUND(ROUND(P57, 2)*I57, 2)</f>
        <v>161.4</v>
      </c>
    </row>
    <row r="58" spans="1:21" ht="36" x14ac:dyDescent="0.3">
      <c r="A58" s="91" t="s">
        <v>250</v>
      </c>
      <c r="B58" s="91"/>
      <c r="C58" s="92" t="s">
        <v>75</v>
      </c>
      <c r="D58" s="93"/>
      <c r="E58" s="93"/>
      <c r="F58" s="94" t="s">
        <v>70</v>
      </c>
      <c r="G58" s="95">
        <v>0.2</v>
      </c>
      <c r="H58" s="95"/>
      <c r="I58" s="95">
        <v>6.9</v>
      </c>
      <c r="J58" s="90">
        <v>88.8</v>
      </c>
      <c r="M58" s="22">
        <f>ROUND(ROUND(J58, 2)*I58, 2)</f>
        <v>612.72</v>
      </c>
      <c r="P58" s="21">
        <v>88.8</v>
      </c>
      <c r="S58" s="22">
        <f>ROUND(ROUND(P58, 2)*I58, 2)</f>
        <v>612.72</v>
      </c>
    </row>
    <row r="59" spans="1:21" ht="36" x14ac:dyDescent="0.3">
      <c r="A59" s="91" t="s">
        <v>253</v>
      </c>
      <c r="B59" s="91" t="s">
        <v>254</v>
      </c>
      <c r="C59" s="97" t="s">
        <v>255</v>
      </c>
      <c r="D59" s="93"/>
      <c r="E59" s="93" t="s">
        <v>256</v>
      </c>
      <c r="F59" s="93" t="s">
        <v>64</v>
      </c>
      <c r="G59" s="98">
        <v>1</v>
      </c>
      <c r="H59" s="98"/>
      <c r="I59" s="98">
        <v>0</v>
      </c>
      <c r="J59" s="99">
        <f>IFERROR(ROUND(SUM(M60,M61,M62,M63,M64,M65,M66)/I59, 2),0)</f>
        <v>0</v>
      </c>
      <c r="K59" s="100">
        <v>1014</v>
      </c>
      <c r="L59" s="99">
        <f>J59+ROUND(K59, 2)</f>
        <v>1014</v>
      </c>
      <c r="M59" s="99">
        <f>ROUND(J59*I59, 2)</f>
        <v>0</v>
      </c>
      <c r="N59" s="99">
        <f>ROUND(I59*ROUND(K59, 2), 2)</f>
        <v>0</v>
      </c>
      <c r="O59" s="99">
        <f>M59+N59</f>
        <v>0</v>
      </c>
      <c r="P59" s="99">
        <f>IFERROR(ROUND(SUM(S60,S61,S62,S63,S64,S65,S66)/I59, 2),0)</f>
        <v>0</v>
      </c>
      <c r="Q59" s="100">
        <v>922</v>
      </c>
      <c r="R59" s="99">
        <f>P59+ROUND(Q59, 2)</f>
        <v>922</v>
      </c>
      <c r="S59" s="99">
        <f>ROUND(P59*I59, 2)</f>
        <v>0</v>
      </c>
      <c r="T59" s="99">
        <f>ROUND(I59*ROUND(Q59, 2), 2)</f>
        <v>0</v>
      </c>
      <c r="U59" s="99">
        <f>S59+T59</f>
        <v>0</v>
      </c>
    </row>
    <row r="60" spans="1:21" ht="18" x14ac:dyDescent="0.3">
      <c r="A60" s="91" t="s">
        <v>261</v>
      </c>
      <c r="B60" s="91"/>
      <c r="C60" s="92" t="s">
        <v>115</v>
      </c>
      <c r="D60" s="93"/>
      <c r="E60" s="93"/>
      <c r="F60" s="94" t="s">
        <v>116</v>
      </c>
      <c r="G60" s="95">
        <v>8</v>
      </c>
      <c r="H60" s="95"/>
      <c r="I60" s="95">
        <v>0</v>
      </c>
      <c r="J60" s="90">
        <v>2.5</v>
      </c>
      <c r="K60" s="101"/>
      <c r="L60" s="101"/>
      <c r="M60" s="102">
        <f t="shared" ref="M60:M66" si="6">ROUND(ROUND(J60, 2)*I60, 2)</f>
        <v>0</v>
      </c>
      <c r="N60" s="101"/>
      <c r="O60" s="101"/>
      <c r="P60" s="90">
        <v>2.5</v>
      </c>
      <c r="Q60" s="101"/>
      <c r="R60" s="101"/>
      <c r="S60" s="102">
        <f t="shared" ref="S60:S66" si="7">ROUND(ROUND(P60, 2)*I60, 2)</f>
        <v>0</v>
      </c>
      <c r="T60" s="101"/>
      <c r="U60" s="101"/>
    </row>
    <row r="61" spans="1:21" ht="18" x14ac:dyDescent="0.3">
      <c r="A61" s="91" t="s">
        <v>266</v>
      </c>
      <c r="B61" s="91"/>
      <c r="C61" s="92" t="s">
        <v>123</v>
      </c>
      <c r="D61" s="93"/>
      <c r="E61" s="93"/>
      <c r="F61" s="94" t="s">
        <v>70</v>
      </c>
      <c r="G61" s="95">
        <v>1E-3</v>
      </c>
      <c r="H61" s="95"/>
      <c r="I61" s="95">
        <v>0</v>
      </c>
      <c r="J61" s="90">
        <v>208.33</v>
      </c>
      <c r="K61" s="101"/>
      <c r="L61" s="101"/>
      <c r="M61" s="102">
        <f t="shared" si="6"/>
        <v>0</v>
      </c>
      <c r="N61" s="101"/>
      <c r="O61" s="101"/>
      <c r="P61" s="90">
        <v>208.33</v>
      </c>
      <c r="Q61" s="101"/>
      <c r="R61" s="101"/>
      <c r="S61" s="102">
        <f t="shared" si="7"/>
        <v>0</v>
      </c>
      <c r="T61" s="101"/>
      <c r="U61" s="101"/>
    </row>
    <row r="62" spans="1:21" ht="18" x14ac:dyDescent="0.3">
      <c r="A62" s="91" t="s">
        <v>271</v>
      </c>
      <c r="B62" s="91"/>
      <c r="C62" s="92" t="s">
        <v>130</v>
      </c>
      <c r="D62" s="93"/>
      <c r="E62" s="93"/>
      <c r="F62" s="94" t="s">
        <v>64</v>
      </c>
      <c r="G62" s="95">
        <v>1.1000000000000001</v>
      </c>
      <c r="H62" s="95"/>
      <c r="I62" s="95">
        <v>0</v>
      </c>
      <c r="J62" s="90">
        <v>155.01</v>
      </c>
      <c r="K62" s="101"/>
      <c r="L62" s="101"/>
      <c r="M62" s="102">
        <f t="shared" si="6"/>
        <v>0</v>
      </c>
      <c r="N62" s="101"/>
      <c r="O62" s="101"/>
      <c r="P62" s="90">
        <v>155.01</v>
      </c>
      <c r="Q62" s="101"/>
      <c r="R62" s="101"/>
      <c r="S62" s="102">
        <f t="shared" si="7"/>
        <v>0</v>
      </c>
      <c r="T62" s="101"/>
      <c r="U62" s="101"/>
    </row>
    <row r="63" spans="1:21" ht="18" x14ac:dyDescent="0.3">
      <c r="A63" s="91" t="s">
        <v>276</v>
      </c>
      <c r="B63" s="91"/>
      <c r="C63" s="92" t="s">
        <v>137</v>
      </c>
      <c r="D63" s="93"/>
      <c r="E63" s="93"/>
      <c r="F63" s="94" t="s">
        <v>70</v>
      </c>
      <c r="G63" s="95">
        <v>0.32</v>
      </c>
      <c r="H63" s="95"/>
      <c r="I63" s="95">
        <v>0</v>
      </c>
      <c r="J63" s="90">
        <v>7.5</v>
      </c>
      <c r="K63" s="101"/>
      <c r="L63" s="101"/>
      <c r="M63" s="102">
        <f t="shared" si="6"/>
        <v>0</v>
      </c>
      <c r="N63" s="101"/>
      <c r="O63" s="101"/>
      <c r="P63" s="90">
        <v>7.5</v>
      </c>
      <c r="Q63" s="101"/>
      <c r="R63" s="101"/>
      <c r="S63" s="102">
        <f t="shared" si="7"/>
        <v>0</v>
      </c>
      <c r="T63" s="101"/>
      <c r="U63" s="101"/>
    </row>
    <row r="64" spans="1:21" ht="18" x14ac:dyDescent="0.3">
      <c r="A64" s="91" t="s">
        <v>281</v>
      </c>
      <c r="B64" s="91"/>
      <c r="C64" s="92" t="s">
        <v>144</v>
      </c>
      <c r="D64" s="93"/>
      <c r="E64" s="93"/>
      <c r="F64" s="94" t="s">
        <v>98</v>
      </c>
      <c r="G64" s="95">
        <v>1E-3</v>
      </c>
      <c r="H64" s="95"/>
      <c r="I64" s="95">
        <v>0</v>
      </c>
      <c r="J64" s="90">
        <v>1600</v>
      </c>
      <c r="K64" s="101"/>
      <c r="L64" s="101"/>
      <c r="M64" s="102">
        <f t="shared" si="6"/>
        <v>0</v>
      </c>
      <c r="N64" s="101"/>
      <c r="O64" s="101"/>
      <c r="P64" s="90">
        <v>1600</v>
      </c>
      <c r="Q64" s="101"/>
      <c r="R64" s="101"/>
      <c r="S64" s="102">
        <f t="shared" si="7"/>
        <v>0</v>
      </c>
      <c r="T64" s="101"/>
      <c r="U64" s="101"/>
    </row>
    <row r="65" spans="1:21" ht="18" x14ac:dyDescent="0.3">
      <c r="A65" s="91" t="s">
        <v>286</v>
      </c>
      <c r="B65" s="91"/>
      <c r="C65" s="92" t="s">
        <v>86</v>
      </c>
      <c r="D65" s="93"/>
      <c r="E65" s="93"/>
      <c r="F65" s="94" t="s">
        <v>87</v>
      </c>
      <c r="G65" s="95">
        <v>1</v>
      </c>
      <c r="H65" s="95"/>
      <c r="I65" s="95">
        <v>0</v>
      </c>
      <c r="J65" s="90">
        <v>10.4</v>
      </c>
      <c r="K65" s="101"/>
      <c r="L65" s="101"/>
      <c r="M65" s="102">
        <f t="shared" si="6"/>
        <v>0</v>
      </c>
      <c r="N65" s="101"/>
      <c r="O65" s="101"/>
      <c r="P65" s="90">
        <v>10.4</v>
      </c>
      <c r="Q65" s="101"/>
      <c r="R65" s="101"/>
      <c r="S65" s="102">
        <f t="shared" si="7"/>
        <v>0</v>
      </c>
      <c r="T65" s="101"/>
      <c r="U65" s="101"/>
    </row>
    <row r="66" spans="1:21" ht="36" x14ac:dyDescent="0.3">
      <c r="A66" s="91" t="s">
        <v>291</v>
      </c>
      <c r="B66" s="91"/>
      <c r="C66" s="92" t="s">
        <v>75</v>
      </c>
      <c r="D66" s="93"/>
      <c r="E66" s="93"/>
      <c r="F66" s="94" t="s">
        <v>70</v>
      </c>
      <c r="G66" s="95">
        <v>0.2</v>
      </c>
      <c r="H66" s="95"/>
      <c r="I66" s="95">
        <v>0</v>
      </c>
      <c r="J66" s="90">
        <v>88.8</v>
      </c>
      <c r="K66" s="101"/>
      <c r="L66" s="101"/>
      <c r="M66" s="102">
        <f t="shared" si="6"/>
        <v>0</v>
      </c>
      <c r="N66" s="101"/>
      <c r="O66" s="101"/>
      <c r="P66" s="90">
        <v>88.8</v>
      </c>
      <c r="Q66" s="101"/>
      <c r="R66" s="101"/>
      <c r="S66" s="102">
        <f t="shared" si="7"/>
        <v>0</v>
      </c>
      <c r="T66" s="101"/>
      <c r="U66" s="101"/>
    </row>
    <row r="67" spans="1:21" ht="34.799999999999997" x14ac:dyDescent="0.3">
      <c r="A67" s="74" t="s">
        <v>296</v>
      </c>
      <c r="B67" s="74" t="s">
        <v>254</v>
      </c>
      <c r="C67" s="75" t="s">
        <v>297</v>
      </c>
      <c r="D67" s="76"/>
      <c r="E67" s="76" t="s">
        <v>298</v>
      </c>
      <c r="F67" s="76" t="s">
        <v>64</v>
      </c>
      <c r="G67" s="77">
        <v>1</v>
      </c>
      <c r="H67" s="77"/>
      <c r="I67" s="77">
        <v>3586.9</v>
      </c>
      <c r="J67" s="14">
        <f>IFERROR(ROUND(SUM(M68,M69,M70,M71,M72)/I67, 2),0)</f>
        <v>935.6</v>
      </c>
      <c r="K67" s="15">
        <v>1014</v>
      </c>
      <c r="L67" s="14">
        <f>J67+ROUND(K67, 2)</f>
        <v>1949.6</v>
      </c>
      <c r="M67" s="14">
        <f>ROUND(J67*I67, 2)</f>
        <v>3355903.64</v>
      </c>
      <c r="N67" s="14">
        <f>ROUND(I67*ROUND(K67, 2), 2)</f>
        <v>3637116.6</v>
      </c>
      <c r="O67" s="14">
        <f>M67+N67</f>
        <v>6993020.2400000002</v>
      </c>
      <c r="P67" s="14">
        <f>IFERROR(ROUND(SUM(S68,S69,S70,S71,S72)/I67, 2),0)</f>
        <v>935.6</v>
      </c>
      <c r="Q67" s="15">
        <v>1014</v>
      </c>
      <c r="R67" s="14">
        <f>P67+ROUND(Q67, 2)</f>
        <v>1949.6</v>
      </c>
      <c r="S67" s="14">
        <f>ROUND(P67*I67, 2)</f>
        <v>3355903.64</v>
      </c>
      <c r="T67" s="14">
        <f>ROUND(I67*ROUND(Q67, 2), 2)</f>
        <v>3637116.6</v>
      </c>
      <c r="U67" s="14">
        <f>S67+T67</f>
        <v>6993020.2400000002</v>
      </c>
    </row>
    <row r="68" spans="1:21" ht="36" x14ac:dyDescent="0.3">
      <c r="A68" s="91" t="s">
        <v>299</v>
      </c>
      <c r="B68" s="91"/>
      <c r="C68" s="92" t="s">
        <v>75</v>
      </c>
      <c r="D68" s="93"/>
      <c r="E68" s="93"/>
      <c r="F68" s="94" t="s">
        <v>70</v>
      </c>
      <c r="G68" s="95">
        <v>0.2</v>
      </c>
      <c r="H68" s="95"/>
      <c r="I68" s="95">
        <v>717.38</v>
      </c>
      <c r="J68" s="90">
        <v>88.8</v>
      </c>
      <c r="M68" s="22">
        <f>ROUND(ROUND(J68, 2)*I68, 2)</f>
        <v>63703.34</v>
      </c>
      <c r="P68" s="21">
        <v>88.8</v>
      </c>
      <c r="S68" s="22">
        <f>ROUND(ROUND(P68, 2)*I68, 2)</f>
        <v>63703.34</v>
      </c>
    </row>
    <row r="69" spans="1:21" ht="18" x14ac:dyDescent="0.3">
      <c r="A69" s="91" t="s">
        <v>302</v>
      </c>
      <c r="B69" s="91"/>
      <c r="C69" s="92" t="s">
        <v>86</v>
      </c>
      <c r="D69" s="93"/>
      <c r="E69" s="93"/>
      <c r="F69" s="94" t="s">
        <v>87</v>
      </c>
      <c r="G69" s="95">
        <v>1</v>
      </c>
      <c r="H69" s="95"/>
      <c r="I69" s="95">
        <v>1876</v>
      </c>
      <c r="J69" s="90">
        <v>10.4</v>
      </c>
      <c r="M69" s="22">
        <f>ROUND(ROUND(J69, 2)*I69, 2)</f>
        <v>19510.400000000001</v>
      </c>
      <c r="P69" s="21">
        <v>10.4</v>
      </c>
      <c r="S69" s="22">
        <f>ROUND(ROUND(P69, 2)*I69, 2)</f>
        <v>19510.400000000001</v>
      </c>
    </row>
    <row r="70" spans="1:21" ht="18" x14ac:dyDescent="0.3">
      <c r="A70" s="91" t="s">
        <v>305</v>
      </c>
      <c r="B70" s="91"/>
      <c r="C70" s="92" t="s">
        <v>130</v>
      </c>
      <c r="D70" s="93"/>
      <c r="E70" s="93"/>
      <c r="F70" s="94" t="s">
        <v>64</v>
      </c>
      <c r="G70" s="95">
        <v>1.1000000000000001</v>
      </c>
      <c r="H70" s="95"/>
      <c r="I70" s="95">
        <v>3945.59</v>
      </c>
      <c r="J70" s="90">
        <v>155.01</v>
      </c>
      <c r="M70" s="22">
        <f>ROUND(ROUND(J70, 2)*I70, 2)</f>
        <v>611605.91</v>
      </c>
      <c r="P70" s="21">
        <v>155.01</v>
      </c>
      <c r="S70" s="22">
        <f>ROUND(ROUND(P70, 2)*I70, 2)</f>
        <v>611605.91</v>
      </c>
    </row>
    <row r="71" spans="1:21" ht="18" x14ac:dyDescent="0.3">
      <c r="A71" s="91" t="s">
        <v>308</v>
      </c>
      <c r="B71" s="91"/>
      <c r="C71" s="92" t="s">
        <v>206</v>
      </c>
      <c r="D71" s="93"/>
      <c r="E71" s="93"/>
      <c r="F71" s="94" t="s">
        <v>70</v>
      </c>
      <c r="G71" s="95">
        <v>1.8</v>
      </c>
      <c r="H71" s="95"/>
      <c r="I71" s="95">
        <v>419667.3</v>
      </c>
      <c r="J71" s="90">
        <v>6.17</v>
      </c>
      <c r="M71" s="22">
        <f>ROUND(ROUND(J71, 2)*I71, 2)</f>
        <v>2589347.2400000002</v>
      </c>
      <c r="P71" s="21">
        <v>6.17</v>
      </c>
      <c r="S71" s="22">
        <f>ROUND(ROUND(P71, 2)*I71, 2)</f>
        <v>2589347.2400000002</v>
      </c>
    </row>
    <row r="72" spans="1:21" ht="18" x14ac:dyDescent="0.3">
      <c r="A72" s="91" t="s">
        <v>311</v>
      </c>
      <c r="B72" s="91"/>
      <c r="C72" s="92" t="s">
        <v>115</v>
      </c>
      <c r="D72" s="93"/>
      <c r="E72" s="93"/>
      <c r="F72" s="94" t="s">
        <v>116</v>
      </c>
      <c r="G72" s="95">
        <v>8</v>
      </c>
      <c r="H72" s="95"/>
      <c r="I72" s="95">
        <v>28695.200000000001</v>
      </c>
      <c r="J72" s="90">
        <v>2.5</v>
      </c>
      <c r="M72" s="22">
        <f>ROUND(ROUND(J72, 2)*I72, 2)</f>
        <v>71738</v>
      </c>
      <c r="P72" s="21">
        <v>2.5</v>
      </c>
      <c r="S72" s="22">
        <f>ROUND(ROUND(P72, 2)*I72, 2)</f>
        <v>71738</v>
      </c>
    </row>
    <row r="73" spans="1:21" ht="34.799999999999997" x14ac:dyDescent="0.3">
      <c r="A73" s="74" t="s">
        <v>314</v>
      </c>
      <c r="B73" s="74" t="s">
        <v>254</v>
      </c>
      <c r="C73" s="75" t="s">
        <v>297</v>
      </c>
      <c r="D73" s="76"/>
      <c r="E73" s="76" t="s">
        <v>315</v>
      </c>
      <c r="F73" s="76" t="s">
        <v>64</v>
      </c>
      <c r="G73" s="77">
        <v>1</v>
      </c>
      <c r="H73" s="77"/>
      <c r="I73" s="77">
        <v>4266.7</v>
      </c>
      <c r="J73" s="14">
        <f>IFERROR(ROUND(SUM(M74,M75,M76,M77,M78)/I73, 2),0)</f>
        <v>934.72</v>
      </c>
      <c r="K73" s="15">
        <v>1014</v>
      </c>
      <c r="L73" s="14">
        <f>J73+ROUND(K73, 2)</f>
        <v>1948.72</v>
      </c>
      <c r="M73" s="14">
        <f>ROUND(J73*I73, 2)</f>
        <v>3988169.82</v>
      </c>
      <c r="N73" s="14">
        <f>ROUND(I73*ROUND(K73, 2), 2)</f>
        <v>4326433.8</v>
      </c>
      <c r="O73" s="14">
        <f>M73+N73</f>
        <v>8314603.6199999992</v>
      </c>
      <c r="P73" s="14">
        <f>IFERROR(ROUND(SUM(S74,S75,S76,S77,S78)/I73, 2),0)</f>
        <v>934.72</v>
      </c>
      <c r="Q73" s="15">
        <v>1014</v>
      </c>
      <c r="R73" s="14">
        <f>P73+ROUND(Q73, 2)</f>
        <v>1948.72</v>
      </c>
      <c r="S73" s="14">
        <f>ROUND(P73*I73, 2)</f>
        <v>3988169.82</v>
      </c>
      <c r="T73" s="14">
        <f>ROUND(I73*ROUND(Q73, 2), 2)</f>
        <v>4326433.8</v>
      </c>
      <c r="U73" s="14">
        <f>S73+T73</f>
        <v>8314603.6199999992</v>
      </c>
    </row>
    <row r="74" spans="1:21" ht="18" x14ac:dyDescent="0.3">
      <c r="A74" s="91" t="s">
        <v>316</v>
      </c>
      <c r="B74" s="91"/>
      <c r="C74" s="92" t="s">
        <v>115</v>
      </c>
      <c r="D74" s="93"/>
      <c r="E74" s="93"/>
      <c r="F74" s="94" t="s">
        <v>116</v>
      </c>
      <c r="G74" s="95">
        <v>8</v>
      </c>
      <c r="H74" s="95"/>
      <c r="I74" s="95">
        <v>34133.599999999999</v>
      </c>
      <c r="J74" s="90">
        <v>2.5</v>
      </c>
      <c r="M74" s="22">
        <f>ROUND(ROUND(J74, 2)*I74, 2)</f>
        <v>85334</v>
      </c>
      <c r="P74" s="21">
        <v>2.5</v>
      </c>
      <c r="S74" s="22">
        <f>ROUND(ROUND(P74, 2)*I74, 2)</f>
        <v>85334</v>
      </c>
    </row>
    <row r="75" spans="1:21" ht="18" x14ac:dyDescent="0.3">
      <c r="A75" s="91" t="s">
        <v>319</v>
      </c>
      <c r="B75" s="91"/>
      <c r="C75" s="92" t="s">
        <v>206</v>
      </c>
      <c r="D75" s="93"/>
      <c r="E75" s="93"/>
      <c r="F75" s="94" t="s">
        <v>70</v>
      </c>
      <c r="G75" s="95">
        <v>1.8</v>
      </c>
      <c r="H75" s="95"/>
      <c r="I75" s="95">
        <v>499203.9</v>
      </c>
      <c r="J75" s="90">
        <v>6.17</v>
      </c>
      <c r="M75" s="22">
        <f>ROUND(ROUND(J75, 2)*I75, 2)</f>
        <v>3080088.06</v>
      </c>
      <c r="P75" s="21">
        <v>6.17</v>
      </c>
      <c r="S75" s="22">
        <f>ROUND(ROUND(P75, 2)*I75, 2)</f>
        <v>3080088.06</v>
      </c>
    </row>
    <row r="76" spans="1:21" ht="18" x14ac:dyDescent="0.3">
      <c r="A76" s="91" t="s">
        <v>322</v>
      </c>
      <c r="B76" s="91"/>
      <c r="C76" s="92" t="s">
        <v>130</v>
      </c>
      <c r="D76" s="93"/>
      <c r="E76" s="93"/>
      <c r="F76" s="94" t="s">
        <v>64</v>
      </c>
      <c r="G76" s="95">
        <v>1.1000000000000001</v>
      </c>
      <c r="H76" s="95"/>
      <c r="I76" s="95">
        <v>4693.37</v>
      </c>
      <c r="J76" s="90">
        <v>155.01</v>
      </c>
      <c r="M76" s="22">
        <f>ROUND(ROUND(J76, 2)*I76, 2)</f>
        <v>727519.28</v>
      </c>
      <c r="P76" s="21">
        <v>155.01</v>
      </c>
      <c r="S76" s="22">
        <f>ROUND(ROUND(P76, 2)*I76, 2)</f>
        <v>727519.28</v>
      </c>
    </row>
    <row r="77" spans="1:21" ht="18" x14ac:dyDescent="0.3">
      <c r="A77" s="91" t="s">
        <v>325</v>
      </c>
      <c r="B77" s="91"/>
      <c r="C77" s="92" t="s">
        <v>86</v>
      </c>
      <c r="D77" s="93"/>
      <c r="E77" s="93"/>
      <c r="F77" s="94" t="s">
        <v>87</v>
      </c>
      <c r="G77" s="95">
        <v>1</v>
      </c>
      <c r="H77" s="95"/>
      <c r="I77" s="95">
        <v>1872</v>
      </c>
      <c r="J77" s="90">
        <v>10.4</v>
      </c>
      <c r="M77" s="22">
        <f>ROUND(ROUND(J77, 2)*I77, 2)</f>
        <v>19468.8</v>
      </c>
      <c r="P77" s="21">
        <v>10.4</v>
      </c>
      <c r="S77" s="22">
        <f>ROUND(ROUND(P77, 2)*I77, 2)</f>
        <v>19468.8</v>
      </c>
    </row>
    <row r="78" spans="1:21" ht="36" x14ac:dyDescent="0.3">
      <c r="A78" s="91" t="s">
        <v>328</v>
      </c>
      <c r="B78" s="91"/>
      <c r="C78" s="92" t="s">
        <v>75</v>
      </c>
      <c r="D78" s="93"/>
      <c r="E78" s="93"/>
      <c r="F78" s="94" t="s">
        <v>70</v>
      </c>
      <c r="G78" s="95">
        <v>0.2</v>
      </c>
      <c r="H78" s="95"/>
      <c r="I78" s="95">
        <v>853.34</v>
      </c>
      <c r="J78" s="90">
        <v>88.8</v>
      </c>
      <c r="M78" s="22">
        <f>ROUND(ROUND(J78, 2)*I78, 2)</f>
        <v>75776.59</v>
      </c>
      <c r="P78" s="21">
        <v>88.8</v>
      </c>
      <c r="S78" s="22">
        <f>ROUND(ROUND(P78, 2)*I78, 2)</f>
        <v>75776.59</v>
      </c>
    </row>
    <row r="79" spans="1:21" ht="16.95" customHeight="1" x14ac:dyDescent="0.3">
      <c r="A79" s="10" t="s">
        <v>331</v>
      </c>
      <c r="B79" s="10" t="s">
        <v>332</v>
      </c>
      <c r="C79" s="352" t="s">
        <v>333</v>
      </c>
      <c r="D79" s="353"/>
      <c r="E79" s="353"/>
      <c r="F79" s="353"/>
      <c r="G79" s="353"/>
      <c r="H79" s="353"/>
      <c r="I79" s="354"/>
      <c r="M79" s="6">
        <f>SUM(M80,M83,M86,M88,M90,M92)</f>
        <v>367766.24</v>
      </c>
      <c r="N79" s="6">
        <f>SUM(N80,N83,N86,N88,N90,N92)</f>
        <v>226361.93</v>
      </c>
      <c r="O79" s="6">
        <f>SUM(O80,O83,O86,O88,O90,O92)</f>
        <v>594128.17000000004</v>
      </c>
      <c r="S79" s="6">
        <f>SUM(S80,S83,S86,S88,S90,S92)</f>
        <v>367766.24</v>
      </c>
      <c r="T79" s="6">
        <f>SUM(T80,T83,T86,T88,T90,T92)</f>
        <v>226361.93</v>
      </c>
      <c r="U79" s="6">
        <f>SUM(U80,U83,U86,U88,U90,U92)</f>
        <v>594128.17000000004</v>
      </c>
    </row>
    <row r="80" spans="1:21" ht="52.2" x14ac:dyDescent="0.3">
      <c r="A80" s="74" t="s">
        <v>334</v>
      </c>
      <c r="B80" s="74" t="s">
        <v>335</v>
      </c>
      <c r="C80" s="75" t="s">
        <v>336</v>
      </c>
      <c r="D80" s="76"/>
      <c r="E80" s="76" t="s">
        <v>63</v>
      </c>
      <c r="F80" s="76" t="s">
        <v>64</v>
      </c>
      <c r="G80" s="77">
        <v>1</v>
      </c>
      <c r="H80" s="77"/>
      <c r="I80" s="77">
        <v>236.7</v>
      </c>
      <c r="J80" s="14">
        <f>IFERROR(ROUND(SUM(M81,M82)/I80, 2),0)</f>
        <v>386.83</v>
      </c>
      <c r="K80" s="15">
        <v>324</v>
      </c>
      <c r="L80" s="14">
        <f>J80+ROUND(K80, 2)</f>
        <v>710.82999999999993</v>
      </c>
      <c r="M80" s="14">
        <f>ROUND(J80*I80, 2)</f>
        <v>91562.66</v>
      </c>
      <c r="N80" s="14">
        <f>ROUND(I80*ROUND(K80, 2), 2)</f>
        <v>76690.8</v>
      </c>
      <c r="O80" s="14">
        <f>M80+N80</f>
        <v>168253.46000000002</v>
      </c>
      <c r="P80" s="14">
        <f>IFERROR(ROUND(SUM(S81,S82)/I80, 2),0)</f>
        <v>386.83</v>
      </c>
      <c r="Q80" s="15">
        <v>324</v>
      </c>
      <c r="R80" s="14">
        <f>P80+ROUND(Q80, 2)</f>
        <v>710.82999999999993</v>
      </c>
      <c r="S80" s="14">
        <f>ROUND(P80*I80, 2)</f>
        <v>91562.66</v>
      </c>
      <c r="T80" s="14">
        <f>ROUND(I80*ROUND(Q80, 2), 2)</f>
        <v>76690.8</v>
      </c>
      <c r="U80" s="14">
        <f>S80+T80</f>
        <v>168253.46000000002</v>
      </c>
    </row>
    <row r="81" spans="1:21" ht="18" x14ac:dyDescent="0.3">
      <c r="A81" s="91" t="s">
        <v>339</v>
      </c>
      <c r="B81" s="91"/>
      <c r="C81" s="92" t="s">
        <v>340</v>
      </c>
      <c r="D81" s="93"/>
      <c r="E81" s="93"/>
      <c r="F81" s="94" t="s">
        <v>70</v>
      </c>
      <c r="G81" s="95">
        <v>0.25</v>
      </c>
      <c r="H81" s="95"/>
      <c r="I81" s="95">
        <v>59.174999999999997</v>
      </c>
      <c r="J81" s="90">
        <v>210.3</v>
      </c>
      <c r="M81" s="22">
        <f>ROUND(ROUND(J81, 2)*I81, 2)</f>
        <v>12444.5</v>
      </c>
      <c r="P81" s="21">
        <v>210.3</v>
      </c>
      <c r="S81" s="22">
        <f>ROUND(ROUND(P81, 2)*I81, 2)</f>
        <v>12444.5</v>
      </c>
    </row>
    <row r="82" spans="1:21" ht="18" x14ac:dyDescent="0.3">
      <c r="A82" s="91" t="s">
        <v>344</v>
      </c>
      <c r="B82" s="91"/>
      <c r="C82" s="92" t="s">
        <v>345</v>
      </c>
      <c r="D82" s="93"/>
      <c r="E82" s="93"/>
      <c r="F82" s="94" t="s">
        <v>70</v>
      </c>
      <c r="G82" s="95">
        <v>2.5</v>
      </c>
      <c r="H82" s="95"/>
      <c r="I82" s="95">
        <v>591.75</v>
      </c>
      <c r="J82" s="90">
        <v>133.69999999999999</v>
      </c>
      <c r="M82" s="22">
        <f>ROUND(ROUND(J82, 2)*I82, 2)</f>
        <v>79116.98</v>
      </c>
      <c r="P82" s="21">
        <v>133.69999999999999</v>
      </c>
      <c r="S82" s="22">
        <f>ROUND(ROUND(P82, 2)*I82, 2)</f>
        <v>79116.98</v>
      </c>
    </row>
    <row r="83" spans="1:21" ht="54" x14ac:dyDescent="0.3">
      <c r="A83" s="91" t="s">
        <v>349</v>
      </c>
      <c r="B83" s="91" t="s">
        <v>335</v>
      </c>
      <c r="C83" s="97" t="s">
        <v>336</v>
      </c>
      <c r="D83" s="93"/>
      <c r="E83" s="93" t="s">
        <v>81</v>
      </c>
      <c r="F83" s="93" t="s">
        <v>64</v>
      </c>
      <c r="G83" s="98">
        <v>1</v>
      </c>
      <c r="H83" s="98"/>
      <c r="I83" s="98">
        <v>150.6</v>
      </c>
      <c r="J83" s="99">
        <f>IFERROR(ROUND(SUM(M84,M85)/I83, 2),0)</f>
        <v>406.08</v>
      </c>
      <c r="K83" s="15">
        <v>324</v>
      </c>
      <c r="L83" s="14">
        <f>J83+ROUND(K83, 2)</f>
        <v>730.07999999999993</v>
      </c>
      <c r="M83" s="14">
        <f>ROUND(J83*I83, 2)</f>
        <v>61155.65</v>
      </c>
      <c r="N83" s="14">
        <f>ROUND(I83*ROUND(K83, 2), 2)</f>
        <v>48794.400000000001</v>
      </c>
      <c r="O83" s="14">
        <f>M83+N83</f>
        <v>109950.05</v>
      </c>
      <c r="P83" s="14">
        <f>IFERROR(ROUND(SUM(S84,S85)/I83, 2),0)</f>
        <v>406.08</v>
      </c>
      <c r="Q83" s="15">
        <v>324</v>
      </c>
      <c r="R83" s="14">
        <f>P83+ROUND(Q83, 2)</f>
        <v>730.07999999999993</v>
      </c>
      <c r="S83" s="14">
        <f>ROUND(P83*I83, 2)</f>
        <v>61155.65</v>
      </c>
      <c r="T83" s="14">
        <f>ROUND(I83*ROUND(Q83, 2), 2)</f>
        <v>48794.400000000001</v>
      </c>
      <c r="U83" s="14">
        <f>S83+T83</f>
        <v>109950.05</v>
      </c>
    </row>
    <row r="84" spans="1:21" ht="18" x14ac:dyDescent="0.3">
      <c r="A84" s="91" t="s">
        <v>350</v>
      </c>
      <c r="B84" s="91"/>
      <c r="C84" s="92" t="s">
        <v>345</v>
      </c>
      <c r="D84" s="93"/>
      <c r="E84" s="93"/>
      <c r="F84" s="94" t="s">
        <v>70</v>
      </c>
      <c r="G84" s="95">
        <v>2.5</v>
      </c>
      <c r="H84" s="95"/>
      <c r="I84" s="95">
        <v>376.5</v>
      </c>
      <c r="J84" s="90">
        <v>141.4</v>
      </c>
      <c r="M84" s="22">
        <f>ROUND(ROUND(J84, 2)*I84, 2)</f>
        <v>53237.1</v>
      </c>
      <c r="P84" s="21">
        <v>141.4</v>
      </c>
      <c r="S84" s="22">
        <f>ROUND(ROUND(P84, 2)*I84, 2)</f>
        <v>53237.1</v>
      </c>
    </row>
    <row r="85" spans="1:21" ht="18" x14ac:dyDescent="0.3">
      <c r="A85" s="91" t="s">
        <v>353</v>
      </c>
      <c r="B85" s="91"/>
      <c r="C85" s="92" t="s">
        <v>340</v>
      </c>
      <c r="D85" s="93"/>
      <c r="E85" s="93"/>
      <c r="F85" s="94" t="s">
        <v>70</v>
      </c>
      <c r="G85" s="95">
        <v>0.25</v>
      </c>
      <c r="H85" s="95"/>
      <c r="I85" s="95">
        <v>37.65</v>
      </c>
      <c r="J85" s="90">
        <v>210.3</v>
      </c>
      <c r="M85" s="22">
        <f>ROUND(ROUND(J85, 2)*I85, 2)</f>
        <v>7917.8</v>
      </c>
      <c r="P85" s="21">
        <v>210.3</v>
      </c>
      <c r="S85" s="22">
        <f>ROUND(ROUND(P85, 2)*I85, 2)</f>
        <v>7917.8</v>
      </c>
    </row>
    <row r="86" spans="1:21" ht="34.799999999999997" x14ac:dyDescent="0.3">
      <c r="A86" s="74" t="s">
        <v>356</v>
      </c>
      <c r="B86" s="74" t="s">
        <v>357</v>
      </c>
      <c r="C86" s="75" t="s">
        <v>358</v>
      </c>
      <c r="D86" s="76"/>
      <c r="E86" s="76" t="s">
        <v>63</v>
      </c>
      <c r="F86" s="76" t="s">
        <v>64</v>
      </c>
      <c r="G86" s="77">
        <v>1</v>
      </c>
      <c r="H86" s="77"/>
      <c r="I86" s="77">
        <v>631.29999999999995</v>
      </c>
      <c r="J86" s="14">
        <f>IFERROR(ROUND(SUM(M87)/I86, 2),0)</f>
        <v>173.66</v>
      </c>
      <c r="K86" s="15">
        <v>56</v>
      </c>
      <c r="L86" s="14">
        <f>J86+ROUND(K86, 2)</f>
        <v>229.66</v>
      </c>
      <c r="M86" s="14">
        <f>ROUND(J86*I86, 2)</f>
        <v>109631.56</v>
      </c>
      <c r="N86" s="14">
        <f>ROUND(I86*ROUND(K86, 2), 2)</f>
        <v>35352.800000000003</v>
      </c>
      <c r="O86" s="14">
        <f>M86+N86</f>
        <v>144984.35999999999</v>
      </c>
      <c r="P86" s="14">
        <f>IFERROR(ROUND(SUM(S87)/I86, 2),0)</f>
        <v>173.66</v>
      </c>
      <c r="Q86" s="15">
        <v>56</v>
      </c>
      <c r="R86" s="14">
        <f>P86+ROUND(Q86, 2)</f>
        <v>229.66</v>
      </c>
      <c r="S86" s="14">
        <f>ROUND(P86*I86, 2)</f>
        <v>109631.56</v>
      </c>
      <c r="T86" s="14">
        <f>ROUND(I86*ROUND(Q86, 2), 2)</f>
        <v>35352.800000000003</v>
      </c>
      <c r="U86" s="14">
        <f>S86+T86</f>
        <v>144984.35999999999</v>
      </c>
    </row>
    <row r="87" spans="1:21" ht="18" x14ac:dyDescent="0.3">
      <c r="A87" s="91" t="s">
        <v>361</v>
      </c>
      <c r="B87" s="91"/>
      <c r="C87" s="92" t="s">
        <v>362</v>
      </c>
      <c r="D87" s="93"/>
      <c r="E87" s="93" t="s">
        <v>363</v>
      </c>
      <c r="F87" s="94" t="s">
        <v>64</v>
      </c>
      <c r="G87" s="95">
        <v>1.03</v>
      </c>
      <c r="H87" s="95"/>
      <c r="I87" s="95">
        <v>650.23900000000003</v>
      </c>
      <c r="J87" s="90">
        <v>168.6</v>
      </c>
      <c r="K87" s="101"/>
      <c r="L87" s="101"/>
      <c r="M87" s="102">
        <f>ROUND(ROUND(J87, 2)*I87, 2)</f>
        <v>109630.3</v>
      </c>
      <c r="N87" s="101"/>
      <c r="O87" s="101"/>
      <c r="P87" s="21">
        <v>168.6</v>
      </c>
      <c r="S87" s="22">
        <f>ROUND(ROUND(P87, 2)*I87, 2)</f>
        <v>109630.3</v>
      </c>
    </row>
    <row r="88" spans="1:21" ht="34.799999999999997" x14ac:dyDescent="0.3">
      <c r="A88" s="103" t="s">
        <v>367</v>
      </c>
      <c r="B88" s="103" t="s">
        <v>357</v>
      </c>
      <c r="C88" s="104" t="s">
        <v>358</v>
      </c>
      <c r="D88" s="105"/>
      <c r="E88" s="105" t="s">
        <v>81</v>
      </c>
      <c r="F88" s="105" t="s">
        <v>64</v>
      </c>
      <c r="G88" s="106">
        <v>1</v>
      </c>
      <c r="H88" s="106"/>
      <c r="I88" s="106">
        <v>248.8</v>
      </c>
      <c r="J88" s="99">
        <f>IFERROR(ROUND(SUM(M89)/I88, 2),0)</f>
        <v>173.66</v>
      </c>
      <c r="K88" s="100">
        <v>56</v>
      </c>
      <c r="L88" s="99">
        <f>J88+ROUND(K88, 2)</f>
        <v>229.66</v>
      </c>
      <c r="M88" s="99">
        <f>ROUND(J88*I88, 2)</f>
        <v>43206.61</v>
      </c>
      <c r="N88" s="99">
        <f>ROUND(I88*ROUND(K88, 2), 2)</f>
        <v>13932.8</v>
      </c>
      <c r="O88" s="99">
        <f>M88+N88</f>
        <v>57139.41</v>
      </c>
      <c r="P88" s="14">
        <f>IFERROR(ROUND(SUM(S89)/I88, 2),0)</f>
        <v>173.66</v>
      </c>
      <c r="Q88" s="15">
        <v>56</v>
      </c>
      <c r="R88" s="14">
        <f>P88+ROUND(Q88, 2)</f>
        <v>229.66</v>
      </c>
      <c r="S88" s="14">
        <f>ROUND(P88*I88, 2)</f>
        <v>43206.61</v>
      </c>
      <c r="T88" s="14">
        <f>ROUND(I88*ROUND(Q88, 2), 2)</f>
        <v>13932.8</v>
      </c>
      <c r="U88" s="14">
        <f>S88+T88</f>
        <v>57139.41</v>
      </c>
    </row>
    <row r="89" spans="1:21" ht="18" x14ac:dyDescent="0.3">
      <c r="A89" s="91" t="s">
        <v>368</v>
      </c>
      <c r="B89" s="91"/>
      <c r="C89" s="92" t="s">
        <v>362</v>
      </c>
      <c r="D89" s="93"/>
      <c r="E89" s="93" t="s">
        <v>369</v>
      </c>
      <c r="F89" s="94" t="s">
        <v>64</v>
      </c>
      <c r="G89" s="95">
        <v>1.03</v>
      </c>
      <c r="H89" s="95"/>
      <c r="I89" s="95">
        <v>256.26400000000001</v>
      </c>
      <c r="J89" s="90">
        <v>168.6</v>
      </c>
      <c r="K89" s="101"/>
      <c r="L89" s="101"/>
      <c r="M89" s="102">
        <f>ROUND(ROUND(J89, 2)*I89, 2)</f>
        <v>43206.11</v>
      </c>
      <c r="N89" s="101"/>
      <c r="O89" s="101"/>
      <c r="P89" s="21">
        <v>168.6</v>
      </c>
      <c r="S89" s="22">
        <f>ROUND(ROUND(P89, 2)*I89, 2)</f>
        <v>43206.11</v>
      </c>
    </row>
    <row r="90" spans="1:21" ht="35.549999999999997" customHeight="1" x14ac:dyDescent="0.3">
      <c r="A90" s="91" t="s">
        <v>372</v>
      </c>
      <c r="B90" s="91" t="s">
        <v>373</v>
      </c>
      <c r="C90" s="97" t="s">
        <v>374</v>
      </c>
      <c r="D90" s="93"/>
      <c r="E90" s="93" t="s">
        <v>63</v>
      </c>
      <c r="F90" s="93" t="s">
        <v>98</v>
      </c>
      <c r="G90" s="98">
        <v>1</v>
      </c>
      <c r="H90" s="98"/>
      <c r="I90" s="98">
        <v>0</v>
      </c>
      <c r="J90" s="99">
        <f>IFERROR(ROUND(SUM(M91)/I90, 2),0)</f>
        <v>0</v>
      </c>
      <c r="K90" s="100">
        <v>2157</v>
      </c>
      <c r="L90" s="99">
        <f>J90+ROUND(K90, 2)</f>
        <v>2157</v>
      </c>
      <c r="M90" s="99">
        <f>ROUND(J90*I90, 2)</f>
        <v>0</v>
      </c>
      <c r="N90" s="99">
        <f>ROUND(I90*ROUND(K90, 2), 2)</f>
        <v>0</v>
      </c>
      <c r="O90" s="99">
        <f>M90+N90</f>
        <v>0</v>
      </c>
      <c r="P90" s="14">
        <f>IFERROR(ROUND(SUM(S91)/I90, 2),0)</f>
        <v>0</v>
      </c>
      <c r="Q90" s="15">
        <v>2157</v>
      </c>
      <c r="R90" s="14">
        <f>P90+ROUND(Q90, 2)</f>
        <v>2157</v>
      </c>
      <c r="S90" s="14">
        <f>ROUND(P90*I90, 2)</f>
        <v>0</v>
      </c>
      <c r="T90" s="14">
        <f>ROUND(I90*ROUND(Q90, 2), 2)</f>
        <v>0</v>
      </c>
      <c r="U90" s="14">
        <f>S90+T90</f>
        <v>0</v>
      </c>
    </row>
    <row r="91" spans="1:21" ht="18" x14ac:dyDescent="0.3">
      <c r="A91" s="91" t="s">
        <v>378</v>
      </c>
      <c r="B91" s="91"/>
      <c r="C91" s="92" t="s">
        <v>379</v>
      </c>
      <c r="D91" s="93"/>
      <c r="E91" s="93"/>
      <c r="F91" s="94" t="s">
        <v>98</v>
      </c>
      <c r="G91" s="95">
        <v>1.02</v>
      </c>
      <c r="H91" s="95"/>
      <c r="I91" s="95">
        <v>0</v>
      </c>
      <c r="J91" s="90">
        <v>2550</v>
      </c>
      <c r="K91" s="101"/>
      <c r="L91" s="101"/>
      <c r="M91" s="102">
        <f>ROUND(ROUND(J91, 2)*I91, 2)</f>
        <v>0</v>
      </c>
      <c r="N91" s="101"/>
      <c r="O91" s="101"/>
      <c r="P91" s="21">
        <v>2550</v>
      </c>
      <c r="S91" s="22">
        <f>ROUND(ROUND(P91, 2)*I91, 2)</f>
        <v>0</v>
      </c>
    </row>
    <row r="92" spans="1:21" ht="34.799999999999997" x14ac:dyDescent="0.3">
      <c r="A92" s="74" t="s">
        <v>385</v>
      </c>
      <c r="B92" s="74" t="s">
        <v>373</v>
      </c>
      <c r="C92" s="75" t="s">
        <v>374</v>
      </c>
      <c r="D92" s="76"/>
      <c r="E92" s="76" t="s">
        <v>386</v>
      </c>
      <c r="F92" s="76" t="s">
        <v>98</v>
      </c>
      <c r="G92" s="77">
        <v>1</v>
      </c>
      <c r="H92" s="77"/>
      <c r="I92" s="77">
        <v>23.917999999999999</v>
      </c>
      <c r="J92" s="14">
        <f>IFERROR(ROUND(SUM(M93)/I92, 2),0)</f>
        <v>2600.96</v>
      </c>
      <c r="K92" s="15">
        <v>2157</v>
      </c>
      <c r="L92" s="14">
        <f>J92+ROUND(K92, 2)</f>
        <v>4757.96</v>
      </c>
      <c r="M92" s="14">
        <f>ROUND(J92*I92, 2)</f>
        <v>62209.760000000002</v>
      </c>
      <c r="N92" s="14">
        <f>ROUND(I92*ROUND(K92, 2), 2)</f>
        <v>51591.13</v>
      </c>
      <c r="O92" s="14">
        <f>M92+N92</f>
        <v>113800.89</v>
      </c>
      <c r="P92" s="14">
        <f>IFERROR(ROUND(SUM(S93)/I92, 2),0)</f>
        <v>2600.96</v>
      </c>
      <c r="Q92" s="15">
        <v>2157</v>
      </c>
      <c r="R92" s="14">
        <f>P92+ROUND(Q92, 2)</f>
        <v>4757.96</v>
      </c>
      <c r="S92" s="14">
        <f>ROUND(P92*I92, 2)</f>
        <v>62209.760000000002</v>
      </c>
      <c r="T92" s="14">
        <f>ROUND(I92*ROUND(Q92, 2), 2)</f>
        <v>51591.13</v>
      </c>
      <c r="U92" s="14">
        <f>S92+T92</f>
        <v>113800.89</v>
      </c>
    </row>
    <row r="93" spans="1:21" ht="18" x14ac:dyDescent="0.3">
      <c r="A93" s="107" t="s">
        <v>387</v>
      </c>
      <c r="B93" s="107"/>
      <c r="C93" s="108" t="s">
        <v>379</v>
      </c>
      <c r="D93" s="109"/>
      <c r="E93" s="109"/>
      <c r="F93" s="110" t="s">
        <v>98</v>
      </c>
      <c r="G93" s="111">
        <v>1.02</v>
      </c>
      <c r="H93" s="111"/>
      <c r="I93" s="111">
        <v>24.396000000000001</v>
      </c>
      <c r="J93" s="112">
        <v>2550</v>
      </c>
      <c r="M93" s="22">
        <f>ROUND(ROUND(J93, 2)*I93, 2)</f>
        <v>62209.8</v>
      </c>
      <c r="P93" s="21">
        <v>2550</v>
      </c>
      <c r="S93" s="22">
        <f>ROUND(ROUND(P93, 2)*I93, 2)</f>
        <v>62209.8</v>
      </c>
    </row>
    <row r="94" spans="1:21" ht="16.95" customHeight="1" x14ac:dyDescent="0.3">
      <c r="A94" s="10" t="s">
        <v>390</v>
      </c>
      <c r="B94" s="10" t="s">
        <v>391</v>
      </c>
      <c r="C94" s="352" t="s">
        <v>392</v>
      </c>
      <c r="D94" s="353"/>
      <c r="E94" s="353"/>
      <c r="F94" s="353"/>
      <c r="G94" s="353"/>
      <c r="H94" s="353"/>
      <c r="I94" s="354"/>
      <c r="M94" s="6">
        <f>SUM(M95,M101,M106,M109,M113,M117,M120,M123,M126,M128,M130,M135,M140,M145,M150,M155,M160)</f>
        <v>4283418.7799999993</v>
      </c>
      <c r="N94" s="6">
        <f>SUM(N95,N101,N106,N109,N113,N117,N120,N123,N126,N128,N130,N135,N140,N145,N150,N155,N160)</f>
        <v>5989352</v>
      </c>
      <c r="O94" s="6">
        <f>SUM(O95,O101,O106,O109,O113,O117,O120,O123,O126,O128,O130,O135,O140,O145,O150,O155,O160)</f>
        <v>10272770.780000001</v>
      </c>
      <c r="S94" s="6">
        <f>SUM(S95,S101,S106,S109,S113,S117,S120,S123,S126,S128,S130,S135,S140,S145,S150,S155,S160)</f>
        <v>12458678.139999997</v>
      </c>
      <c r="T94" s="6">
        <f>SUM(T95,T101,T106,T109,T113,T117,T120,T123,T126,T128,T130,T135,T140,T145,T150,T155,T160)</f>
        <v>5989352</v>
      </c>
      <c r="U94" s="6">
        <f>SUM(U95,U101,U106,U109,U113,U117,U120,U123,U126,U128,U130,U135,U140,U145,U150,U155,U160)</f>
        <v>18448030.140000001</v>
      </c>
    </row>
    <row r="95" spans="1:21" ht="54" x14ac:dyDescent="0.3">
      <c r="A95" s="107" t="s">
        <v>393</v>
      </c>
      <c r="B95" s="107" t="s">
        <v>394</v>
      </c>
      <c r="C95" s="113" t="s">
        <v>395</v>
      </c>
      <c r="D95" s="109"/>
      <c r="E95" s="109" t="s">
        <v>396</v>
      </c>
      <c r="F95" s="109" t="s">
        <v>64</v>
      </c>
      <c r="G95" s="114">
        <v>1</v>
      </c>
      <c r="H95" s="114"/>
      <c r="I95" s="114">
        <v>0</v>
      </c>
      <c r="J95" s="115">
        <f>IFERROR(ROUND(SUM(M96,M97,M98,M99,M100)/I95, 2),0)</f>
        <v>0</v>
      </c>
      <c r="K95" s="116">
        <v>1439</v>
      </c>
      <c r="L95" s="115">
        <f>J95+ROUND(K95, 2)</f>
        <v>1439</v>
      </c>
      <c r="M95" s="115">
        <f>ROUND(J95*I95, 2)</f>
        <v>0</v>
      </c>
      <c r="N95" s="14">
        <f>ROUND(I95*ROUND(K95, 2), 2)</f>
        <v>0</v>
      </c>
      <c r="O95" s="14">
        <f>M95+N95</f>
        <v>0</v>
      </c>
      <c r="P95" s="14">
        <f>IFERROR(ROUND(SUM(S96,S97,S98,S99,S100)/I95, 2),0)</f>
        <v>0</v>
      </c>
      <c r="Q95" s="15">
        <v>1251</v>
      </c>
      <c r="R95" s="14">
        <f>P95+ROUND(Q95, 2)</f>
        <v>1251</v>
      </c>
      <c r="S95" s="14">
        <f>ROUND(P95*I95, 2)</f>
        <v>0</v>
      </c>
      <c r="T95" s="14">
        <f>ROUND(I95*ROUND(Q95, 2), 2)</f>
        <v>0</v>
      </c>
      <c r="U95" s="14">
        <f>S95+T95</f>
        <v>0</v>
      </c>
    </row>
    <row r="96" spans="1:21" ht="36" x14ac:dyDescent="0.3">
      <c r="A96" s="107" t="s">
        <v>400</v>
      </c>
      <c r="B96" s="107"/>
      <c r="C96" s="117" t="s">
        <v>401</v>
      </c>
      <c r="D96" s="109"/>
      <c r="E96" s="109" t="s">
        <v>402</v>
      </c>
      <c r="F96" s="110" t="s">
        <v>70</v>
      </c>
      <c r="G96" s="111">
        <v>1.2</v>
      </c>
      <c r="H96" s="111"/>
      <c r="I96" s="111">
        <v>0</v>
      </c>
      <c r="J96" s="112">
        <v>12.33</v>
      </c>
      <c r="K96" s="118"/>
      <c r="L96" s="118"/>
      <c r="M96" s="119">
        <f>ROUND(ROUND(J96, 2)*I96, 2)</f>
        <v>0</v>
      </c>
      <c r="P96" s="21">
        <v>12.33</v>
      </c>
      <c r="S96" s="22">
        <f>ROUND(ROUND(P96, 2)*I96, 2)</f>
        <v>0</v>
      </c>
    </row>
    <row r="97" spans="1:21" ht="72" x14ac:dyDescent="0.3">
      <c r="A97" s="107" t="s">
        <v>408</v>
      </c>
      <c r="B97" s="107"/>
      <c r="C97" s="108" t="s">
        <v>409</v>
      </c>
      <c r="D97" s="109"/>
      <c r="E97" s="109" t="s">
        <v>410</v>
      </c>
      <c r="F97" s="110" t="s">
        <v>64</v>
      </c>
      <c r="G97" s="111">
        <v>1.07</v>
      </c>
      <c r="H97" s="111"/>
      <c r="I97" s="111">
        <v>0</v>
      </c>
      <c r="J97" s="112">
        <v>1193</v>
      </c>
      <c r="K97" s="118"/>
      <c r="L97" s="118"/>
      <c r="M97" s="119">
        <f>ROUND(ROUND(J97, 2)*I97, 2)</f>
        <v>0</v>
      </c>
      <c r="P97" s="21">
        <v>1193</v>
      </c>
      <c r="S97" s="22">
        <f>ROUND(ROUND(P97, 2)*I97, 2)</f>
        <v>0</v>
      </c>
    </row>
    <row r="98" spans="1:21" ht="54" x14ac:dyDescent="0.3">
      <c r="A98" s="107" t="s">
        <v>416</v>
      </c>
      <c r="B98" s="107"/>
      <c r="C98" s="108" t="s">
        <v>417</v>
      </c>
      <c r="D98" s="109"/>
      <c r="E98" s="109" t="s">
        <v>418</v>
      </c>
      <c r="F98" s="110" t="s">
        <v>64</v>
      </c>
      <c r="G98" s="111">
        <v>1.07</v>
      </c>
      <c r="H98" s="111"/>
      <c r="I98" s="111">
        <v>0</v>
      </c>
      <c r="J98" s="112">
        <v>1374.45</v>
      </c>
      <c r="K98" s="118"/>
      <c r="L98" s="118"/>
      <c r="M98" s="119">
        <f>ROUND(ROUND(J98, 2)*I98, 2)</f>
        <v>0</v>
      </c>
      <c r="P98" s="21">
        <v>1290.02</v>
      </c>
      <c r="S98" s="22">
        <f>ROUND(ROUND(P98, 2)*I98, 2)</f>
        <v>0</v>
      </c>
    </row>
    <row r="99" spans="1:21" ht="18" x14ac:dyDescent="0.3">
      <c r="A99" s="107" t="s">
        <v>425</v>
      </c>
      <c r="B99" s="107"/>
      <c r="C99" s="108" t="s">
        <v>426</v>
      </c>
      <c r="D99" s="109"/>
      <c r="E99" s="109"/>
      <c r="F99" s="110" t="s">
        <v>70</v>
      </c>
      <c r="G99" s="111">
        <v>0.25</v>
      </c>
      <c r="H99" s="111"/>
      <c r="I99" s="111">
        <v>0</v>
      </c>
      <c r="J99" s="112">
        <v>40.270000000000003</v>
      </c>
      <c r="K99" s="118"/>
      <c r="L99" s="118"/>
      <c r="M99" s="119">
        <f>ROUND(ROUND(J99, 2)*I99, 2)</f>
        <v>0</v>
      </c>
      <c r="P99" s="21">
        <v>40.270000000000003</v>
      </c>
      <c r="S99" s="22">
        <f>ROUND(ROUND(P99, 2)*I99, 2)</f>
        <v>0</v>
      </c>
    </row>
    <row r="100" spans="1:21" ht="18" x14ac:dyDescent="0.3">
      <c r="A100" s="107" t="s">
        <v>432</v>
      </c>
      <c r="B100" s="107"/>
      <c r="C100" s="108" t="s">
        <v>433</v>
      </c>
      <c r="D100" s="109"/>
      <c r="E100" s="109"/>
      <c r="F100" s="110" t="s">
        <v>70</v>
      </c>
      <c r="G100" s="111">
        <v>0.15</v>
      </c>
      <c r="H100" s="111"/>
      <c r="I100" s="111">
        <v>0</v>
      </c>
      <c r="J100" s="112">
        <v>88.8</v>
      </c>
      <c r="K100" s="118"/>
      <c r="L100" s="118"/>
      <c r="M100" s="119">
        <f>ROUND(ROUND(J100, 2)*I100, 2)</f>
        <v>0</v>
      </c>
      <c r="P100" s="21">
        <v>88.8</v>
      </c>
      <c r="S100" s="22">
        <f>ROUND(ROUND(P100, 2)*I100, 2)</f>
        <v>0</v>
      </c>
    </row>
    <row r="101" spans="1:21" ht="33" customHeight="1" x14ac:dyDescent="0.3">
      <c r="A101" s="74" t="s">
        <v>439</v>
      </c>
      <c r="B101" s="74" t="s">
        <v>440</v>
      </c>
      <c r="C101" s="75" t="s">
        <v>441</v>
      </c>
      <c r="D101" s="76" t="s">
        <v>442</v>
      </c>
      <c r="E101" s="76" t="s">
        <v>63</v>
      </c>
      <c r="F101" s="76" t="s">
        <v>64</v>
      </c>
      <c r="G101" s="77">
        <v>1</v>
      </c>
      <c r="H101" s="77"/>
      <c r="I101" s="77">
        <v>538.29999999999995</v>
      </c>
      <c r="J101" s="14">
        <f>IFERROR(ROUND(SUM(M102,M103,M104,M105)/I101, 2),0)</f>
        <v>1573.04</v>
      </c>
      <c r="K101" s="15">
        <v>412</v>
      </c>
      <c r="L101" s="14">
        <f>J101+ROUND(K101, 2)</f>
        <v>1985.04</v>
      </c>
      <c r="M101" s="14">
        <f>ROUND(J101*I101, 2)</f>
        <v>846767.43</v>
      </c>
      <c r="N101" s="14">
        <f>ROUND(I101*ROUND(K101, 2), 2)</f>
        <v>221779.6</v>
      </c>
      <c r="O101" s="14">
        <f>M101+N101</f>
        <v>1068547.03</v>
      </c>
      <c r="P101" s="14">
        <f>IFERROR(ROUND(SUM(S102,S103,S104,S105)/I101, 2),0)</f>
        <v>1573.04</v>
      </c>
      <c r="Q101" s="15">
        <v>412</v>
      </c>
      <c r="R101" s="14">
        <f>P101+ROUND(Q101, 2)</f>
        <v>1985.04</v>
      </c>
      <c r="S101" s="14">
        <f>ROUND(P101*I101, 2)</f>
        <v>846767.43</v>
      </c>
      <c r="T101" s="14">
        <f>ROUND(I101*ROUND(Q101, 2), 2)</f>
        <v>221779.6</v>
      </c>
      <c r="U101" s="14">
        <f>S101+T101</f>
        <v>1068547.03</v>
      </c>
    </row>
    <row r="102" spans="1:21" ht="64.05" customHeight="1" x14ac:dyDescent="0.3">
      <c r="A102" s="107" t="s">
        <v>445</v>
      </c>
      <c r="B102" s="107"/>
      <c r="C102" s="108" t="s">
        <v>446</v>
      </c>
      <c r="D102" s="109"/>
      <c r="E102" s="109" t="s">
        <v>447</v>
      </c>
      <c r="F102" s="110" t="s">
        <v>70</v>
      </c>
      <c r="G102" s="111">
        <v>0.3</v>
      </c>
      <c r="H102" s="111"/>
      <c r="I102" s="111">
        <v>161.49</v>
      </c>
      <c r="J102" s="112">
        <v>220</v>
      </c>
      <c r="K102" s="118"/>
      <c r="L102" s="118"/>
      <c r="M102" s="119">
        <f>ROUND(ROUND(J102, 2)*I102, 2)</f>
        <v>35527.800000000003</v>
      </c>
      <c r="P102" s="21">
        <v>220</v>
      </c>
      <c r="S102" s="22">
        <f>ROUND(ROUND(P102, 2)*I102, 2)</f>
        <v>35527.800000000003</v>
      </c>
    </row>
    <row r="103" spans="1:21" ht="36" x14ac:dyDescent="0.3">
      <c r="A103" s="107" t="s">
        <v>451</v>
      </c>
      <c r="B103" s="107"/>
      <c r="C103" s="108" t="s">
        <v>452</v>
      </c>
      <c r="D103" s="109"/>
      <c r="E103" s="109" t="s">
        <v>453</v>
      </c>
      <c r="F103" s="110" t="s">
        <v>70</v>
      </c>
      <c r="G103" s="111">
        <v>0.15</v>
      </c>
      <c r="H103" s="111"/>
      <c r="I103" s="111">
        <v>80.745000000000005</v>
      </c>
      <c r="J103" s="112">
        <v>68.400000000000006</v>
      </c>
      <c r="K103" s="118"/>
      <c r="L103" s="118"/>
      <c r="M103" s="119">
        <f>ROUND(ROUND(J103, 2)*I103, 2)</f>
        <v>5522.96</v>
      </c>
      <c r="P103" s="21">
        <v>68.400000000000006</v>
      </c>
      <c r="S103" s="22">
        <f>ROUND(ROUND(P103, 2)*I103, 2)</f>
        <v>5522.96</v>
      </c>
    </row>
    <row r="104" spans="1:21" ht="54" x14ac:dyDescent="0.3">
      <c r="A104" s="107" t="s">
        <v>457</v>
      </c>
      <c r="B104" s="107"/>
      <c r="C104" s="117" t="s">
        <v>458</v>
      </c>
      <c r="D104" s="109"/>
      <c r="E104" s="109"/>
      <c r="F104" s="110" t="s">
        <v>87</v>
      </c>
      <c r="G104" s="111">
        <v>1</v>
      </c>
      <c r="H104" s="111"/>
      <c r="I104" s="111">
        <v>252</v>
      </c>
      <c r="J104" s="112">
        <v>51</v>
      </c>
      <c r="K104" s="118"/>
      <c r="L104" s="118"/>
      <c r="M104" s="119">
        <f>ROUND(ROUND(J104, 2)*I104, 2)</f>
        <v>12852</v>
      </c>
      <c r="P104" s="21">
        <v>51</v>
      </c>
      <c r="S104" s="22">
        <f>ROUND(ROUND(P104, 2)*I104, 2)</f>
        <v>12852</v>
      </c>
    </row>
    <row r="105" spans="1:21" ht="54" x14ac:dyDescent="0.3">
      <c r="A105" s="107" t="s">
        <v>462</v>
      </c>
      <c r="B105" s="107"/>
      <c r="C105" s="117" t="s">
        <v>463</v>
      </c>
      <c r="D105" s="109"/>
      <c r="E105" s="109"/>
      <c r="F105" s="110" t="s">
        <v>64</v>
      </c>
      <c r="G105" s="111">
        <v>1.1000000000000001</v>
      </c>
      <c r="H105" s="111"/>
      <c r="I105" s="111">
        <v>592.13</v>
      </c>
      <c r="J105" s="112">
        <v>1339</v>
      </c>
      <c r="K105" s="118"/>
      <c r="L105" s="118"/>
      <c r="M105" s="119">
        <f>ROUND(ROUND(J105, 2)*I105, 2)</f>
        <v>792862.07</v>
      </c>
      <c r="P105" s="21">
        <v>1339</v>
      </c>
      <c r="S105" s="22">
        <f>ROUND(ROUND(P105, 2)*I105, 2)</f>
        <v>792862.07</v>
      </c>
    </row>
    <row r="106" spans="1:21" ht="18" x14ac:dyDescent="0.3">
      <c r="A106" s="107" t="s">
        <v>467</v>
      </c>
      <c r="B106" s="107" t="s">
        <v>468</v>
      </c>
      <c r="C106" s="113" t="s">
        <v>469</v>
      </c>
      <c r="D106" s="109"/>
      <c r="E106" s="109" t="s">
        <v>470</v>
      </c>
      <c r="F106" s="109" t="s">
        <v>87</v>
      </c>
      <c r="G106" s="114">
        <v>1</v>
      </c>
      <c r="H106" s="114"/>
      <c r="I106" s="114">
        <v>0</v>
      </c>
      <c r="J106" s="115">
        <f>IFERROR(ROUND(SUM(M107,M108)/I106, 2),0)</f>
        <v>0</v>
      </c>
      <c r="K106" s="116">
        <v>200</v>
      </c>
      <c r="L106" s="115">
        <f>J106+ROUND(K106, 2)</f>
        <v>200</v>
      </c>
      <c r="M106" s="115">
        <f>ROUND(J106*I106, 2)</f>
        <v>0</v>
      </c>
      <c r="N106" s="14">
        <f>ROUND(I106*ROUND(K106, 2), 2)</f>
        <v>0</v>
      </c>
      <c r="O106" s="14">
        <f>M106+N106</f>
        <v>0</v>
      </c>
      <c r="P106" s="14">
        <f>IFERROR(ROUND(SUM(S107,S108)/I106, 2),0)</f>
        <v>0</v>
      </c>
      <c r="Q106" s="15">
        <v>200</v>
      </c>
      <c r="R106" s="14">
        <f>P106+ROUND(Q106, 2)</f>
        <v>200</v>
      </c>
      <c r="S106" s="14">
        <f>ROUND(P106*I106, 2)</f>
        <v>0</v>
      </c>
      <c r="T106" s="14">
        <f>ROUND(I106*ROUND(Q106, 2), 2)</f>
        <v>0</v>
      </c>
      <c r="U106" s="14">
        <f>S106+T106</f>
        <v>0</v>
      </c>
    </row>
    <row r="107" spans="1:21" ht="36" x14ac:dyDescent="0.3">
      <c r="A107" s="107" t="s">
        <v>474</v>
      </c>
      <c r="B107" s="107"/>
      <c r="C107" s="108" t="s">
        <v>475</v>
      </c>
      <c r="D107" s="109"/>
      <c r="E107" s="109"/>
      <c r="F107" s="110" t="s">
        <v>87</v>
      </c>
      <c r="G107" s="111">
        <v>1.05</v>
      </c>
      <c r="H107" s="111"/>
      <c r="I107" s="111">
        <v>0</v>
      </c>
      <c r="J107" s="112">
        <v>90.97</v>
      </c>
      <c r="K107" s="118"/>
      <c r="L107" s="118"/>
      <c r="M107" s="119">
        <f>ROUND(ROUND(J107, 2)*I107, 2)</f>
        <v>0</v>
      </c>
      <c r="P107" s="21">
        <v>90.97</v>
      </c>
      <c r="S107" s="22">
        <f>ROUND(ROUND(P107, 2)*I107, 2)</f>
        <v>0</v>
      </c>
    </row>
    <row r="108" spans="1:21" ht="36" x14ac:dyDescent="0.3">
      <c r="A108" s="107" t="s">
        <v>481</v>
      </c>
      <c r="B108" s="107"/>
      <c r="C108" s="108" t="s">
        <v>482</v>
      </c>
      <c r="D108" s="109"/>
      <c r="E108" s="109" t="s">
        <v>483</v>
      </c>
      <c r="F108" s="110" t="s">
        <v>116</v>
      </c>
      <c r="G108" s="120">
        <v>0.09</v>
      </c>
      <c r="H108" s="111"/>
      <c r="I108" s="111">
        <v>0</v>
      </c>
      <c r="J108" s="112">
        <v>100</v>
      </c>
      <c r="K108" s="118"/>
      <c r="L108" s="118"/>
      <c r="M108" s="119">
        <f>ROUND(ROUND(J108, 2)*I108, 2)</f>
        <v>0</v>
      </c>
      <c r="P108" s="21">
        <v>100</v>
      </c>
      <c r="S108" s="22">
        <f>ROUND(ROUND(P108, 2)*I108, 2)</f>
        <v>0</v>
      </c>
    </row>
    <row r="109" spans="1:21" ht="18" x14ac:dyDescent="0.3">
      <c r="A109" s="74" t="s">
        <v>489</v>
      </c>
      <c r="B109" s="74" t="s">
        <v>468</v>
      </c>
      <c r="C109" s="75" t="s">
        <v>469</v>
      </c>
      <c r="D109" s="76"/>
      <c r="E109" s="76" t="s">
        <v>490</v>
      </c>
      <c r="F109" s="76" t="s">
        <v>87</v>
      </c>
      <c r="G109" s="77">
        <v>1</v>
      </c>
      <c r="H109" s="77"/>
      <c r="I109" s="77">
        <v>63.14</v>
      </c>
      <c r="J109" s="14">
        <f>IFERROR(ROUND(SUM(M110,M111,M112)/I109, 2),0)</f>
        <v>198.82</v>
      </c>
      <c r="K109" s="15">
        <v>200</v>
      </c>
      <c r="L109" s="14">
        <f>J109+ROUND(K109, 2)</f>
        <v>398.82</v>
      </c>
      <c r="M109" s="14">
        <f>ROUND(J109*I109, 2)</f>
        <v>12553.49</v>
      </c>
      <c r="N109" s="14">
        <f>ROUND(I109*ROUND(K109, 2), 2)</f>
        <v>12628</v>
      </c>
      <c r="O109" s="14">
        <f>M109+N109</f>
        <v>25181.489999999998</v>
      </c>
      <c r="P109" s="14">
        <f>IFERROR(ROUND(SUM(S110,S111,S112)/I109, 2),0)</f>
        <v>198.82</v>
      </c>
      <c r="Q109" s="15">
        <v>200</v>
      </c>
      <c r="R109" s="14">
        <f>P109+ROUND(Q109, 2)</f>
        <v>398.82</v>
      </c>
      <c r="S109" s="14">
        <f>ROUND(P109*I109, 2)</f>
        <v>12553.49</v>
      </c>
      <c r="T109" s="14">
        <f>ROUND(I109*ROUND(Q109, 2), 2)</f>
        <v>12628</v>
      </c>
      <c r="U109" s="14">
        <f>S109+T109</f>
        <v>25181.489999999998</v>
      </c>
    </row>
    <row r="110" spans="1:21" ht="36" x14ac:dyDescent="0.3">
      <c r="A110" s="121" t="s">
        <v>491</v>
      </c>
      <c r="B110" s="121"/>
      <c r="C110" s="122" t="s">
        <v>482</v>
      </c>
      <c r="D110" s="123"/>
      <c r="E110" s="123" t="s">
        <v>483</v>
      </c>
      <c r="F110" s="124" t="s">
        <v>116</v>
      </c>
      <c r="G110" s="125">
        <v>0.09</v>
      </c>
      <c r="H110" s="126"/>
      <c r="I110" s="126">
        <v>5.6829999999999998</v>
      </c>
      <c r="J110" s="127">
        <v>100</v>
      </c>
      <c r="K110" s="128"/>
      <c r="L110" s="128"/>
      <c r="M110" s="129">
        <f>ROUND(ROUND(J110, 2)*I110, 2)</f>
        <v>568.29999999999995</v>
      </c>
      <c r="P110" s="21">
        <v>100</v>
      </c>
      <c r="S110" s="22">
        <f>ROUND(ROUND(P110, 2)*I110, 2)</f>
        <v>568.29999999999995</v>
      </c>
    </row>
    <row r="111" spans="1:21" ht="36" x14ac:dyDescent="0.3">
      <c r="A111" s="121" t="s">
        <v>494</v>
      </c>
      <c r="B111" s="121"/>
      <c r="C111" s="130" t="s">
        <v>475</v>
      </c>
      <c r="D111" s="123"/>
      <c r="E111" s="123" t="s">
        <v>495</v>
      </c>
      <c r="F111" s="124" t="s">
        <v>87</v>
      </c>
      <c r="G111" s="126">
        <v>1.05</v>
      </c>
      <c r="H111" s="126"/>
      <c r="I111" s="126">
        <v>49.591999999999999</v>
      </c>
      <c r="J111" s="127">
        <v>90.21</v>
      </c>
      <c r="K111" s="128"/>
      <c r="L111" s="128"/>
      <c r="M111" s="129">
        <f>ROUND(ROUND(J111, 2)*I111, 2)</f>
        <v>4473.6899999999996</v>
      </c>
      <c r="P111" s="21">
        <v>90.21</v>
      </c>
      <c r="S111" s="22">
        <f>ROUND(ROUND(P111, 2)*I111, 2)</f>
        <v>4473.6899999999996</v>
      </c>
    </row>
    <row r="112" spans="1:21" ht="54" x14ac:dyDescent="0.3">
      <c r="A112" s="121" t="s">
        <v>498</v>
      </c>
      <c r="B112" s="121"/>
      <c r="C112" s="130" t="s">
        <v>499</v>
      </c>
      <c r="D112" s="123"/>
      <c r="E112" s="123" t="s">
        <v>500</v>
      </c>
      <c r="F112" s="124" t="s">
        <v>87</v>
      </c>
      <c r="G112" s="126">
        <v>1.1000000000000001</v>
      </c>
      <c r="H112" s="126"/>
      <c r="I112" s="126">
        <v>17.501000000000001</v>
      </c>
      <c r="J112" s="127">
        <v>429.22</v>
      </c>
      <c r="K112" s="128"/>
      <c r="L112" s="128"/>
      <c r="M112" s="129">
        <f>ROUND(ROUND(J112, 2)*I112, 2)</f>
        <v>7511.78</v>
      </c>
      <c r="P112" s="21">
        <v>429.22</v>
      </c>
      <c r="S112" s="22">
        <f>ROUND(ROUND(P112, 2)*I112, 2)</f>
        <v>7511.78</v>
      </c>
    </row>
    <row r="113" spans="1:21" ht="54" x14ac:dyDescent="0.3">
      <c r="A113" s="121" t="s">
        <v>504</v>
      </c>
      <c r="B113" s="121" t="s">
        <v>505</v>
      </c>
      <c r="C113" s="131" t="s">
        <v>506</v>
      </c>
      <c r="D113" s="123"/>
      <c r="E113" s="123" t="s">
        <v>507</v>
      </c>
      <c r="F113" s="123" t="s">
        <v>87</v>
      </c>
      <c r="G113" s="132">
        <v>1</v>
      </c>
      <c r="H113" s="132"/>
      <c r="I113" s="132">
        <v>0</v>
      </c>
      <c r="J113" s="133">
        <f>IFERROR(ROUND(SUM(M114,M115,M116)/I113, 2),0)</f>
        <v>0</v>
      </c>
      <c r="K113" s="134">
        <v>411</v>
      </c>
      <c r="L113" s="133">
        <f>J113+ROUND(K113, 2)</f>
        <v>411</v>
      </c>
      <c r="M113" s="133">
        <f>ROUND(J113*I113, 2)</f>
        <v>0</v>
      </c>
      <c r="N113" s="14">
        <f>ROUND(I113*ROUND(K113, 2), 2)</f>
        <v>0</v>
      </c>
      <c r="O113" s="14">
        <f>M113+N113</f>
        <v>0</v>
      </c>
      <c r="P113" s="14">
        <f>IFERROR(ROUND(SUM(S114,S115,S116)/I113, 2),0)</f>
        <v>0</v>
      </c>
      <c r="Q113" s="15">
        <v>374</v>
      </c>
      <c r="R113" s="14">
        <f>P113+ROUND(Q113, 2)</f>
        <v>374</v>
      </c>
      <c r="S113" s="14">
        <f>ROUND(P113*I113, 2)</f>
        <v>0</v>
      </c>
      <c r="T113" s="14">
        <f>ROUND(I113*ROUND(Q113, 2), 2)</f>
        <v>0</v>
      </c>
      <c r="U113" s="14">
        <f>S113+T113</f>
        <v>0</v>
      </c>
    </row>
    <row r="114" spans="1:21" ht="72" x14ac:dyDescent="0.3">
      <c r="A114" s="121" t="s">
        <v>511</v>
      </c>
      <c r="B114" s="121"/>
      <c r="C114" s="130" t="s">
        <v>512</v>
      </c>
      <c r="D114" s="123"/>
      <c r="E114" s="123" t="s">
        <v>513</v>
      </c>
      <c r="F114" s="124" t="s">
        <v>64</v>
      </c>
      <c r="G114" s="126">
        <v>0.11</v>
      </c>
      <c r="H114" s="126"/>
      <c r="I114" s="126">
        <v>0</v>
      </c>
      <c r="J114" s="127">
        <v>850</v>
      </c>
      <c r="K114" s="128"/>
      <c r="L114" s="128"/>
      <c r="M114" s="129">
        <f>ROUND(ROUND(J114, 2)*I114, 2)</f>
        <v>0</v>
      </c>
      <c r="P114" s="21">
        <v>850</v>
      </c>
      <c r="S114" s="22">
        <f>ROUND(ROUND(P114, 2)*I114, 2)</f>
        <v>0</v>
      </c>
    </row>
    <row r="115" spans="1:21" ht="18" x14ac:dyDescent="0.3">
      <c r="A115" s="121" t="s">
        <v>520</v>
      </c>
      <c r="B115" s="121"/>
      <c r="C115" s="122" t="s">
        <v>426</v>
      </c>
      <c r="D115" s="123"/>
      <c r="E115" s="123"/>
      <c r="F115" s="124" t="s">
        <v>70</v>
      </c>
      <c r="G115" s="126">
        <v>0.04</v>
      </c>
      <c r="H115" s="126"/>
      <c r="I115" s="126">
        <v>0</v>
      </c>
      <c r="J115" s="127">
        <v>40.270000000000003</v>
      </c>
      <c r="K115" s="128"/>
      <c r="L115" s="128"/>
      <c r="M115" s="129">
        <f>ROUND(ROUND(J115, 2)*I115, 2)</f>
        <v>0</v>
      </c>
      <c r="P115" s="21">
        <v>40.270000000000003</v>
      </c>
      <c r="S115" s="22">
        <f>ROUND(ROUND(P115, 2)*I115, 2)</f>
        <v>0</v>
      </c>
    </row>
    <row r="116" spans="1:21" ht="18" x14ac:dyDescent="0.3">
      <c r="A116" s="121" t="s">
        <v>525</v>
      </c>
      <c r="B116" s="121"/>
      <c r="C116" s="122" t="s">
        <v>433</v>
      </c>
      <c r="D116" s="123"/>
      <c r="E116" s="123"/>
      <c r="F116" s="124" t="s">
        <v>70</v>
      </c>
      <c r="G116" s="126">
        <v>1.4999999999999999E-2</v>
      </c>
      <c r="H116" s="126"/>
      <c r="I116" s="126">
        <v>0</v>
      </c>
      <c r="J116" s="127">
        <v>88.8</v>
      </c>
      <c r="K116" s="128"/>
      <c r="L116" s="128"/>
      <c r="M116" s="129">
        <f>ROUND(ROUND(J116, 2)*I116, 2)</f>
        <v>0</v>
      </c>
      <c r="P116" s="21">
        <v>88.8</v>
      </c>
      <c r="S116" s="22">
        <f>ROUND(ROUND(P116, 2)*I116, 2)</f>
        <v>0</v>
      </c>
    </row>
    <row r="117" spans="1:21" ht="36" x14ac:dyDescent="0.3">
      <c r="A117" s="121" t="s">
        <v>530</v>
      </c>
      <c r="B117" s="121" t="s">
        <v>531</v>
      </c>
      <c r="C117" s="131" t="s">
        <v>532</v>
      </c>
      <c r="D117" s="123"/>
      <c r="E117" s="123" t="s">
        <v>533</v>
      </c>
      <c r="F117" s="123" t="s">
        <v>87</v>
      </c>
      <c r="G117" s="132">
        <v>1</v>
      </c>
      <c r="H117" s="132"/>
      <c r="I117" s="132">
        <v>0</v>
      </c>
      <c r="J117" s="133">
        <f>IFERROR(ROUND(SUM(M118,M119)/I117, 2),0)</f>
        <v>0</v>
      </c>
      <c r="K117" s="134">
        <v>164</v>
      </c>
      <c r="L117" s="133">
        <f>J117+ROUND(K117, 2)</f>
        <v>164</v>
      </c>
      <c r="M117" s="133">
        <f>ROUND(J117*I117, 2)</f>
        <v>0</v>
      </c>
      <c r="N117" s="14">
        <f>ROUND(I117*ROUND(K117, 2), 2)</f>
        <v>0</v>
      </c>
      <c r="O117" s="14">
        <f>M117+N117</f>
        <v>0</v>
      </c>
      <c r="P117" s="14">
        <f>IFERROR(ROUND(SUM(S118,S119)/I117, 2),0)</f>
        <v>0</v>
      </c>
      <c r="Q117" s="15">
        <v>156</v>
      </c>
      <c r="R117" s="14">
        <f>P117+ROUND(Q117, 2)</f>
        <v>156</v>
      </c>
      <c r="S117" s="14">
        <f>ROUND(P117*I117, 2)</f>
        <v>0</v>
      </c>
      <c r="T117" s="14">
        <f>ROUND(I117*ROUND(Q117, 2), 2)</f>
        <v>0</v>
      </c>
      <c r="U117" s="14">
        <f>S117+T117</f>
        <v>0</v>
      </c>
    </row>
    <row r="118" spans="1:21" ht="36" x14ac:dyDescent="0.3">
      <c r="A118" s="121" t="s">
        <v>537</v>
      </c>
      <c r="B118" s="121"/>
      <c r="C118" s="122" t="s">
        <v>538</v>
      </c>
      <c r="D118" s="123"/>
      <c r="E118" s="123" t="s">
        <v>539</v>
      </c>
      <c r="F118" s="124" t="s">
        <v>87</v>
      </c>
      <c r="G118" s="126">
        <v>1</v>
      </c>
      <c r="H118" s="126"/>
      <c r="I118" s="126">
        <v>0</v>
      </c>
      <c r="J118" s="127">
        <v>172.74</v>
      </c>
      <c r="K118" s="128"/>
      <c r="L118" s="128"/>
      <c r="M118" s="129">
        <f>ROUND(ROUND(J118, 2)*I118, 2)</f>
        <v>0</v>
      </c>
      <c r="P118" s="21">
        <v>172.74</v>
      </c>
      <c r="S118" s="22">
        <f>ROUND(ROUND(P118, 2)*I118, 2)</f>
        <v>0</v>
      </c>
    </row>
    <row r="119" spans="1:21" ht="36" x14ac:dyDescent="0.3">
      <c r="A119" s="121" t="s">
        <v>545</v>
      </c>
      <c r="B119" s="121"/>
      <c r="C119" s="122" t="s">
        <v>482</v>
      </c>
      <c r="D119" s="123"/>
      <c r="E119" s="123" t="s">
        <v>483</v>
      </c>
      <c r="F119" s="124" t="s">
        <v>116</v>
      </c>
      <c r="G119" s="126">
        <v>0.09</v>
      </c>
      <c r="H119" s="126"/>
      <c r="I119" s="126">
        <v>0</v>
      </c>
      <c r="J119" s="127">
        <v>100</v>
      </c>
      <c r="K119" s="128"/>
      <c r="L119" s="128"/>
      <c r="M119" s="129">
        <f>ROUND(ROUND(J119, 2)*I119, 2)</f>
        <v>0</v>
      </c>
      <c r="P119" s="21">
        <v>100</v>
      </c>
      <c r="S119" s="22">
        <f>ROUND(ROUND(P119, 2)*I119, 2)</f>
        <v>0</v>
      </c>
    </row>
    <row r="120" spans="1:21" ht="18" x14ac:dyDescent="0.3">
      <c r="A120" s="121" t="s">
        <v>550</v>
      </c>
      <c r="B120" s="121" t="s">
        <v>551</v>
      </c>
      <c r="C120" s="131" t="s">
        <v>552</v>
      </c>
      <c r="D120" s="123"/>
      <c r="E120" s="123" t="s">
        <v>63</v>
      </c>
      <c r="F120" s="123" t="s">
        <v>64</v>
      </c>
      <c r="G120" s="132">
        <v>1</v>
      </c>
      <c r="H120" s="132"/>
      <c r="I120" s="132">
        <v>0</v>
      </c>
      <c r="J120" s="133">
        <f>IFERROR(ROUND(SUM(M121,M122)/I120, 2),0)</f>
        <v>0</v>
      </c>
      <c r="K120" s="134">
        <v>661</v>
      </c>
      <c r="L120" s="133">
        <f>J120+ROUND(K120, 2)</f>
        <v>661</v>
      </c>
      <c r="M120" s="133">
        <f>ROUND(J120*I120, 2)</f>
        <v>0</v>
      </c>
      <c r="N120" s="14">
        <f>ROUND(I120*ROUND(K120, 2), 2)</f>
        <v>0</v>
      </c>
      <c r="O120" s="14">
        <f>M120+N120</f>
        <v>0</v>
      </c>
      <c r="P120" s="14">
        <f>IFERROR(ROUND(SUM(S121,S122)/I120, 2),0)</f>
        <v>0</v>
      </c>
      <c r="Q120" s="15">
        <v>661</v>
      </c>
      <c r="R120" s="14">
        <f>P120+ROUND(Q120, 2)</f>
        <v>661</v>
      </c>
      <c r="S120" s="14">
        <f>ROUND(P120*I120, 2)</f>
        <v>0</v>
      </c>
      <c r="T120" s="14">
        <f>ROUND(I120*ROUND(Q120, 2), 2)</f>
        <v>0</v>
      </c>
      <c r="U120" s="14">
        <f>S120+T120</f>
        <v>0</v>
      </c>
    </row>
    <row r="121" spans="1:21" ht="72" x14ac:dyDescent="0.3">
      <c r="A121" s="121" t="s">
        <v>556</v>
      </c>
      <c r="B121" s="121"/>
      <c r="C121" s="122" t="s">
        <v>557</v>
      </c>
      <c r="D121" s="123"/>
      <c r="E121" s="123" t="s">
        <v>558</v>
      </c>
      <c r="F121" s="124" t="s">
        <v>116</v>
      </c>
      <c r="G121" s="126">
        <v>1</v>
      </c>
      <c r="H121" s="126"/>
      <c r="I121" s="126">
        <v>0</v>
      </c>
      <c r="J121" s="127">
        <v>0</v>
      </c>
      <c r="K121" s="128"/>
      <c r="L121" s="128"/>
      <c r="M121" s="129">
        <f>ROUND(ROUND(J121, 2)*I121, 2)</f>
        <v>0</v>
      </c>
      <c r="P121" s="21">
        <v>4456</v>
      </c>
      <c r="S121" s="22">
        <f>ROUND(ROUND(P121, 2)*I121, 2)</f>
        <v>0</v>
      </c>
    </row>
    <row r="122" spans="1:21" ht="72" x14ac:dyDescent="0.3">
      <c r="A122" s="121" t="s">
        <v>564</v>
      </c>
      <c r="B122" s="121"/>
      <c r="C122" s="122" t="s">
        <v>565</v>
      </c>
      <c r="D122" s="123"/>
      <c r="E122" s="123" t="s">
        <v>566</v>
      </c>
      <c r="F122" s="124" t="s">
        <v>64</v>
      </c>
      <c r="G122" s="126">
        <v>1.03</v>
      </c>
      <c r="H122" s="126"/>
      <c r="I122" s="126">
        <v>0</v>
      </c>
      <c r="J122" s="127">
        <v>0</v>
      </c>
      <c r="K122" s="128"/>
      <c r="L122" s="128"/>
      <c r="M122" s="129">
        <f>ROUND(ROUND(J122, 2)*I122, 2)</f>
        <v>0</v>
      </c>
      <c r="P122" s="21">
        <v>1500</v>
      </c>
      <c r="S122" s="22">
        <f>ROUND(ROUND(P122, 2)*I122, 2)</f>
        <v>0</v>
      </c>
    </row>
    <row r="123" spans="1:21" ht="18" x14ac:dyDescent="0.3">
      <c r="A123" s="121" t="s">
        <v>572</v>
      </c>
      <c r="B123" s="121" t="s">
        <v>551</v>
      </c>
      <c r="C123" s="131" t="s">
        <v>552</v>
      </c>
      <c r="D123" s="123"/>
      <c r="E123" s="123" t="s">
        <v>81</v>
      </c>
      <c r="F123" s="123" t="s">
        <v>64</v>
      </c>
      <c r="G123" s="132">
        <v>1</v>
      </c>
      <c r="H123" s="132"/>
      <c r="I123" s="132">
        <v>3457.16</v>
      </c>
      <c r="J123" s="133">
        <f>IFERROR(ROUND(SUM(M124,M125)/I123, 2),0)</f>
        <v>0</v>
      </c>
      <c r="K123" s="134">
        <v>661</v>
      </c>
      <c r="L123" s="133">
        <f>J123+ROUND(K123, 2)</f>
        <v>661</v>
      </c>
      <c r="M123" s="133">
        <f>ROUND(J123*I123, 2)</f>
        <v>0</v>
      </c>
      <c r="N123" s="14">
        <f>ROUND(I123*ROUND(K123, 2), 2)</f>
        <v>2285182.7599999998</v>
      </c>
      <c r="O123" s="14">
        <f>M123+N123</f>
        <v>2285182.7599999998</v>
      </c>
      <c r="P123" s="14">
        <f>IFERROR(ROUND(SUM(S124,S125)/I123, 2),0)</f>
        <v>2545</v>
      </c>
      <c r="Q123" s="15">
        <v>661</v>
      </c>
      <c r="R123" s="14">
        <f>P123+ROUND(Q123, 2)</f>
        <v>3206</v>
      </c>
      <c r="S123" s="14">
        <f>ROUND(P123*I123, 2)</f>
        <v>8798472.1999999993</v>
      </c>
      <c r="T123" s="14">
        <f>ROUND(I123*ROUND(Q123, 2), 2)</f>
        <v>2285182.7599999998</v>
      </c>
      <c r="U123" s="14">
        <f>S123+T123</f>
        <v>11083654.959999999</v>
      </c>
    </row>
    <row r="124" spans="1:21" ht="72" x14ac:dyDescent="0.3">
      <c r="A124" s="121" t="s">
        <v>573</v>
      </c>
      <c r="B124" s="121"/>
      <c r="C124" s="122" t="s">
        <v>565</v>
      </c>
      <c r="D124" s="123"/>
      <c r="E124" s="123" t="s">
        <v>574</v>
      </c>
      <c r="F124" s="124" t="s">
        <v>64</v>
      </c>
      <c r="G124" s="126">
        <v>1.03</v>
      </c>
      <c r="H124" s="126"/>
      <c r="I124" s="126">
        <v>3560.875</v>
      </c>
      <c r="J124" s="127">
        <v>0</v>
      </c>
      <c r="K124" s="128"/>
      <c r="L124" s="128"/>
      <c r="M124" s="129">
        <f>ROUND(ROUND(J124, 2)*I124, 2)</f>
        <v>0</v>
      </c>
      <c r="P124" s="21">
        <v>1950</v>
      </c>
      <c r="S124" s="22">
        <f>ROUND(ROUND(P124, 2)*I124, 2)</f>
        <v>6943706.25</v>
      </c>
    </row>
    <row r="125" spans="1:21" ht="72" x14ac:dyDescent="0.3">
      <c r="A125" s="121" t="s">
        <v>577</v>
      </c>
      <c r="B125" s="121"/>
      <c r="C125" s="122" t="s">
        <v>557</v>
      </c>
      <c r="D125" s="123"/>
      <c r="E125" s="123" t="s">
        <v>558</v>
      </c>
      <c r="F125" s="124" t="s">
        <v>116</v>
      </c>
      <c r="G125" s="126">
        <v>1</v>
      </c>
      <c r="H125" s="126"/>
      <c r="I125" s="126">
        <v>408</v>
      </c>
      <c r="J125" s="127">
        <v>0</v>
      </c>
      <c r="K125" s="128"/>
      <c r="L125" s="128"/>
      <c r="M125" s="129">
        <f>ROUND(ROUND(J125, 2)*I125, 2)</f>
        <v>0</v>
      </c>
      <c r="P125" s="21">
        <v>4546</v>
      </c>
      <c r="S125" s="22">
        <f>ROUND(ROUND(P125, 2)*I125, 2)</f>
        <v>1854768</v>
      </c>
    </row>
    <row r="126" spans="1:21" ht="34.799999999999997" x14ac:dyDescent="0.3">
      <c r="A126" s="74" t="s">
        <v>580</v>
      </c>
      <c r="B126" s="74" t="s">
        <v>581</v>
      </c>
      <c r="C126" s="75" t="s">
        <v>582</v>
      </c>
      <c r="D126" s="76"/>
      <c r="E126" s="76" t="s">
        <v>583</v>
      </c>
      <c r="F126" s="76" t="s">
        <v>87</v>
      </c>
      <c r="G126" s="77">
        <v>1</v>
      </c>
      <c r="H126" s="77"/>
      <c r="I126" s="77">
        <v>1560.93</v>
      </c>
      <c r="J126" s="136">
        <f>IFERROR(ROUND(SUM(M127)/I126, 2),0)</f>
        <v>379.23</v>
      </c>
      <c r="K126" s="15">
        <v>210</v>
      </c>
      <c r="L126" s="14">
        <f>J126+ROUND(K126, 2)</f>
        <v>589.23</v>
      </c>
      <c r="M126" s="14">
        <f>ROUND(J126*I126, 2)</f>
        <v>591951.48</v>
      </c>
      <c r="N126" s="14">
        <f>ROUND(I126*ROUND(K126, 2), 2)</f>
        <v>327795.3</v>
      </c>
      <c r="O126" s="14">
        <f>M126+N126</f>
        <v>919746.78</v>
      </c>
      <c r="P126" s="14">
        <f>IFERROR(ROUND(SUM(S127)/I126, 2),0)</f>
        <v>379.23</v>
      </c>
      <c r="Q126" s="15">
        <v>210</v>
      </c>
      <c r="R126" s="14">
        <f>P126+ROUND(Q126, 2)</f>
        <v>589.23</v>
      </c>
      <c r="S126" s="14">
        <f>ROUND(P126*I126, 2)</f>
        <v>591951.48</v>
      </c>
      <c r="T126" s="14">
        <f>ROUND(I126*ROUND(Q126, 2), 2)</f>
        <v>327795.3</v>
      </c>
      <c r="U126" s="14">
        <f>S126+T126</f>
        <v>919746.78</v>
      </c>
    </row>
    <row r="127" spans="1:21" ht="54" x14ac:dyDescent="0.3">
      <c r="A127" s="121" t="s">
        <v>586</v>
      </c>
      <c r="B127" s="121"/>
      <c r="C127" s="122" t="s">
        <v>587</v>
      </c>
      <c r="D127" s="123"/>
      <c r="E127" s="123"/>
      <c r="F127" s="124" t="s">
        <v>87</v>
      </c>
      <c r="G127" s="126">
        <v>1.1000000000000001</v>
      </c>
      <c r="H127" s="126"/>
      <c r="I127" s="126">
        <v>1717.0229999999999</v>
      </c>
      <c r="J127" s="127">
        <v>344.75</v>
      </c>
      <c r="M127" s="22">
        <f>ROUND(ROUND(J127, 2)*I127, 2)</f>
        <v>591943.68000000005</v>
      </c>
      <c r="P127" s="21">
        <v>344.75</v>
      </c>
      <c r="S127" s="22">
        <f>ROUND(ROUND(P127, 2)*I127, 2)</f>
        <v>591943.68000000005</v>
      </c>
    </row>
    <row r="128" spans="1:21" ht="18" x14ac:dyDescent="0.3">
      <c r="A128" s="121" t="s">
        <v>591</v>
      </c>
      <c r="B128" s="121" t="s">
        <v>581</v>
      </c>
      <c r="C128" s="131" t="s">
        <v>582</v>
      </c>
      <c r="D128" s="123"/>
      <c r="E128" s="123" t="s">
        <v>533</v>
      </c>
      <c r="F128" s="123" t="s">
        <v>87</v>
      </c>
      <c r="G128" s="132">
        <v>1</v>
      </c>
      <c r="H128" s="132"/>
      <c r="I128" s="132">
        <v>1769.72</v>
      </c>
      <c r="J128" s="133">
        <f>IFERROR(ROUND(SUM(M129)/I128, 2),0)</f>
        <v>379.23</v>
      </c>
      <c r="K128" s="15">
        <v>210</v>
      </c>
      <c r="L128" s="14">
        <f>J128+ROUND(K128, 2)</f>
        <v>589.23</v>
      </c>
      <c r="M128" s="14">
        <f>ROUND(J128*I128, 2)</f>
        <v>671130.92</v>
      </c>
      <c r="N128" s="14">
        <f>ROUND(I128*ROUND(K128, 2), 2)</f>
        <v>371641.2</v>
      </c>
      <c r="O128" s="14">
        <f>M128+N128</f>
        <v>1042772.1200000001</v>
      </c>
      <c r="P128" s="14">
        <f>IFERROR(ROUND(SUM(S129)/I128, 2),0)</f>
        <v>379.23</v>
      </c>
      <c r="Q128" s="15">
        <v>210</v>
      </c>
      <c r="R128" s="14">
        <f>P128+ROUND(Q128, 2)</f>
        <v>589.23</v>
      </c>
      <c r="S128" s="14">
        <f>ROUND(P128*I128, 2)</f>
        <v>671130.92</v>
      </c>
      <c r="T128" s="14">
        <f>ROUND(I128*ROUND(Q128, 2), 2)</f>
        <v>371641.2</v>
      </c>
      <c r="U128" s="14">
        <f>S128+T128</f>
        <v>1042772.1200000001</v>
      </c>
    </row>
    <row r="129" spans="1:21" ht="54" x14ac:dyDescent="0.3">
      <c r="A129" s="121" t="s">
        <v>592</v>
      </c>
      <c r="B129" s="121"/>
      <c r="C129" s="122" t="s">
        <v>587</v>
      </c>
      <c r="D129" s="123"/>
      <c r="E129" s="123"/>
      <c r="F129" s="124" t="s">
        <v>87</v>
      </c>
      <c r="G129" s="126">
        <v>1.1000000000000001</v>
      </c>
      <c r="H129" s="126"/>
      <c r="I129" s="126">
        <v>1946.692</v>
      </c>
      <c r="J129" s="127">
        <v>344.75</v>
      </c>
      <c r="M129" s="22">
        <f>ROUND(ROUND(J129, 2)*I129, 2)</f>
        <v>671122.07</v>
      </c>
      <c r="P129" s="21">
        <v>344.75</v>
      </c>
      <c r="S129" s="22">
        <f>ROUND(ROUND(P129, 2)*I129, 2)</f>
        <v>671122.07</v>
      </c>
    </row>
    <row r="130" spans="1:21" ht="34.799999999999997" x14ac:dyDescent="0.3">
      <c r="A130" s="74" t="s">
        <v>595</v>
      </c>
      <c r="B130" s="74" t="s">
        <v>596</v>
      </c>
      <c r="C130" s="75" t="s">
        <v>597</v>
      </c>
      <c r="D130" s="76"/>
      <c r="E130" s="76" t="s">
        <v>81</v>
      </c>
      <c r="F130" s="76" t="s">
        <v>87</v>
      </c>
      <c r="G130" s="77">
        <v>1</v>
      </c>
      <c r="H130" s="77"/>
      <c r="I130" s="77">
        <v>137.82</v>
      </c>
      <c r="J130" s="14">
        <f>IFERROR(ROUND(SUM(M131,M132,M133,M134)/I130, 2),0)</f>
        <v>375.15</v>
      </c>
      <c r="K130" s="15">
        <v>473</v>
      </c>
      <c r="L130" s="14">
        <f>J130+ROUND(K130, 2)</f>
        <v>848.15</v>
      </c>
      <c r="M130" s="14">
        <f>ROUND(J130*I130, 2)</f>
        <v>51703.17</v>
      </c>
      <c r="N130" s="14">
        <f>ROUND(I130*ROUND(K130, 2), 2)</f>
        <v>65188.86</v>
      </c>
      <c r="O130" s="14">
        <f>M130+N130</f>
        <v>116892.03</v>
      </c>
      <c r="P130" s="14">
        <f>IFERROR(ROUND(SUM(S131,S132,S133,S134)/I130, 2),0)</f>
        <v>375.15</v>
      </c>
      <c r="Q130" s="15">
        <v>473</v>
      </c>
      <c r="R130" s="14">
        <f>P130+ROUND(Q130, 2)</f>
        <v>848.15</v>
      </c>
      <c r="S130" s="14">
        <f>ROUND(P130*I130, 2)</f>
        <v>51703.17</v>
      </c>
      <c r="T130" s="14">
        <f>ROUND(I130*ROUND(Q130, 2), 2)</f>
        <v>65188.86</v>
      </c>
      <c r="U130" s="14">
        <f>S130+T130</f>
        <v>116892.03</v>
      </c>
    </row>
    <row r="131" spans="1:21" ht="36" x14ac:dyDescent="0.3">
      <c r="A131" s="121" t="s">
        <v>600</v>
      </c>
      <c r="B131" s="121"/>
      <c r="C131" s="130" t="s">
        <v>601</v>
      </c>
      <c r="D131" s="123"/>
      <c r="E131" s="123" t="s">
        <v>402</v>
      </c>
      <c r="F131" s="124" t="s">
        <v>70</v>
      </c>
      <c r="G131" s="126">
        <v>0.7</v>
      </c>
      <c r="H131" s="126"/>
      <c r="I131" s="126">
        <v>96.474000000000004</v>
      </c>
      <c r="J131" s="21">
        <v>16.11</v>
      </c>
      <c r="M131" s="22">
        <f>ROUND(ROUND(J131, 2)*I131, 2)</f>
        <v>1554.2</v>
      </c>
      <c r="P131" s="21">
        <v>16.11</v>
      </c>
      <c r="S131" s="22">
        <f>ROUND(ROUND(P131, 2)*I131, 2)</f>
        <v>1554.2</v>
      </c>
    </row>
    <row r="132" spans="1:21" ht="89.55" customHeight="1" x14ac:dyDescent="0.3">
      <c r="A132" s="121" t="s">
        <v>605</v>
      </c>
      <c r="B132" s="121"/>
      <c r="C132" s="122" t="s">
        <v>606</v>
      </c>
      <c r="D132" s="123"/>
      <c r="E132" s="123" t="s">
        <v>607</v>
      </c>
      <c r="F132" s="124" t="s">
        <v>116</v>
      </c>
      <c r="G132" s="126">
        <v>1.84</v>
      </c>
      <c r="H132" s="126"/>
      <c r="I132" s="126">
        <v>253.589</v>
      </c>
      <c r="J132" s="21">
        <v>196</v>
      </c>
      <c r="M132" s="22">
        <f>ROUND(ROUND(J132, 2)*I132, 2)</f>
        <v>49703.44</v>
      </c>
      <c r="P132" s="21">
        <v>196</v>
      </c>
      <c r="S132" s="22">
        <f>ROUND(ROUND(P132, 2)*I132, 2)</f>
        <v>49703.44</v>
      </c>
    </row>
    <row r="133" spans="1:21" ht="36" x14ac:dyDescent="0.3">
      <c r="A133" s="121" t="s">
        <v>611</v>
      </c>
      <c r="B133" s="121"/>
      <c r="C133" s="122" t="s">
        <v>612</v>
      </c>
      <c r="D133" s="123"/>
      <c r="E133" s="123" t="s">
        <v>613</v>
      </c>
      <c r="F133" s="124" t="s">
        <v>70</v>
      </c>
      <c r="G133" s="126">
        <v>0.04</v>
      </c>
      <c r="H133" s="126"/>
      <c r="I133" s="126">
        <v>5.5129999999999999</v>
      </c>
      <c r="J133" s="21">
        <v>47.44</v>
      </c>
      <c r="M133" s="22">
        <f>ROUND(ROUND(J133, 2)*I133, 2)</f>
        <v>261.54000000000002</v>
      </c>
      <c r="P133" s="21">
        <v>47.44</v>
      </c>
      <c r="S133" s="22">
        <f>ROUND(ROUND(P133, 2)*I133, 2)</f>
        <v>261.54000000000002</v>
      </c>
    </row>
    <row r="134" spans="1:21" ht="18" x14ac:dyDescent="0.3">
      <c r="A134" s="121" t="s">
        <v>617</v>
      </c>
      <c r="B134" s="121"/>
      <c r="C134" s="122" t="s">
        <v>433</v>
      </c>
      <c r="D134" s="123"/>
      <c r="E134" s="123"/>
      <c r="F134" s="124" t="s">
        <v>70</v>
      </c>
      <c r="G134" s="126">
        <v>1.4999999999999999E-2</v>
      </c>
      <c r="H134" s="126"/>
      <c r="I134" s="126">
        <v>2.0670000000000002</v>
      </c>
      <c r="J134" s="21">
        <v>88.8</v>
      </c>
      <c r="M134" s="22">
        <f>ROUND(ROUND(J134, 2)*I134, 2)</f>
        <v>183.55</v>
      </c>
      <c r="P134" s="21">
        <v>88.8</v>
      </c>
      <c r="S134" s="22">
        <f>ROUND(ROUND(P134, 2)*I134, 2)</f>
        <v>183.55</v>
      </c>
    </row>
    <row r="135" spans="1:21" ht="34.799999999999997" x14ac:dyDescent="0.3">
      <c r="A135" s="74" t="s">
        <v>620</v>
      </c>
      <c r="B135" s="74" t="s">
        <v>596</v>
      </c>
      <c r="C135" s="75" t="s">
        <v>597</v>
      </c>
      <c r="D135" s="76"/>
      <c r="E135" s="76" t="s">
        <v>81</v>
      </c>
      <c r="F135" s="76" t="s">
        <v>87</v>
      </c>
      <c r="G135" s="77">
        <v>1</v>
      </c>
      <c r="H135" s="77"/>
      <c r="I135" s="77">
        <v>23.84</v>
      </c>
      <c r="J135" s="14">
        <f>IFERROR(ROUND(SUM(M136,M137,M138,M139)/I135, 2),0)</f>
        <v>63.72</v>
      </c>
      <c r="K135" s="15">
        <v>473</v>
      </c>
      <c r="L135" s="14">
        <f>J135+ROUND(K135, 2)</f>
        <v>536.72</v>
      </c>
      <c r="M135" s="14">
        <f>ROUND(J135*I135, 2)</f>
        <v>1519.08</v>
      </c>
      <c r="N135" s="14">
        <f>ROUND(I135*ROUND(K135, 2), 2)</f>
        <v>11276.32</v>
      </c>
      <c r="O135" s="14">
        <f>M135+N135</f>
        <v>12795.4</v>
      </c>
      <c r="P135" s="14">
        <f>IFERROR(ROUND(SUM(S136,S137,S138,S139)/I135, 2),0)</f>
        <v>63.72</v>
      </c>
      <c r="Q135" s="15">
        <v>473</v>
      </c>
      <c r="R135" s="14">
        <f>P135+ROUND(Q135, 2)</f>
        <v>536.72</v>
      </c>
      <c r="S135" s="14">
        <f>ROUND(P135*I135, 2)</f>
        <v>1519.08</v>
      </c>
      <c r="T135" s="14">
        <f>ROUND(I135*ROUND(Q135, 2), 2)</f>
        <v>11276.32</v>
      </c>
      <c r="U135" s="14">
        <f>S135+T135</f>
        <v>12795.4</v>
      </c>
    </row>
    <row r="136" spans="1:21" ht="18" x14ac:dyDescent="0.3">
      <c r="A136" s="121" t="s">
        <v>621</v>
      </c>
      <c r="B136" s="121"/>
      <c r="C136" s="122" t="s">
        <v>433</v>
      </c>
      <c r="D136" s="123"/>
      <c r="E136" s="123"/>
      <c r="F136" s="124" t="s">
        <v>70</v>
      </c>
      <c r="G136" s="126">
        <v>1.4999999999999999E-2</v>
      </c>
      <c r="H136" s="126"/>
      <c r="I136" s="126">
        <v>0.35799999999999998</v>
      </c>
      <c r="J136" s="21">
        <v>88.8</v>
      </c>
      <c r="M136" s="22">
        <f>ROUND(ROUND(J136, 2)*I136, 2)</f>
        <v>31.79</v>
      </c>
      <c r="P136" s="21">
        <v>88.8</v>
      </c>
      <c r="S136" s="22">
        <f>ROUND(ROUND(P136, 2)*I136, 2)</f>
        <v>31.79</v>
      </c>
    </row>
    <row r="137" spans="1:21" ht="18" x14ac:dyDescent="0.3">
      <c r="A137" s="121" t="s">
        <v>624</v>
      </c>
      <c r="B137" s="121"/>
      <c r="C137" s="122" t="s">
        <v>612</v>
      </c>
      <c r="D137" s="123"/>
      <c r="E137" s="123"/>
      <c r="F137" s="124" t="s">
        <v>70</v>
      </c>
      <c r="G137" s="126">
        <v>0.04</v>
      </c>
      <c r="H137" s="126"/>
      <c r="I137" s="126">
        <v>0.95399999999999996</v>
      </c>
      <c r="J137" s="21">
        <v>47.44</v>
      </c>
      <c r="M137" s="22">
        <f>ROUND(ROUND(J137, 2)*I137, 2)</f>
        <v>45.26</v>
      </c>
      <c r="P137" s="21">
        <v>47.44</v>
      </c>
      <c r="S137" s="22">
        <f>ROUND(ROUND(P137, 2)*I137, 2)</f>
        <v>45.26</v>
      </c>
    </row>
    <row r="138" spans="1:21" ht="70.05" customHeight="1" x14ac:dyDescent="0.3">
      <c r="A138" s="121" t="s">
        <v>627</v>
      </c>
      <c r="B138" s="121"/>
      <c r="C138" s="130" t="s">
        <v>628</v>
      </c>
      <c r="D138" s="123"/>
      <c r="E138" s="123" t="s">
        <v>629</v>
      </c>
      <c r="F138" s="124" t="s">
        <v>64</v>
      </c>
      <c r="G138" s="126">
        <v>0.11</v>
      </c>
      <c r="H138" s="126"/>
      <c r="I138" s="126">
        <v>2.6219999999999999</v>
      </c>
      <c r="J138" s="21">
        <v>447.41</v>
      </c>
      <c r="M138" s="22">
        <f>ROUND(ROUND(J138, 2)*I138, 2)</f>
        <v>1173.1099999999999</v>
      </c>
      <c r="P138" s="21">
        <v>447.41</v>
      </c>
      <c r="S138" s="22">
        <f>ROUND(ROUND(P138, 2)*I138, 2)</f>
        <v>1173.1099999999999</v>
      </c>
    </row>
    <row r="139" spans="1:21" ht="76.05" customHeight="1" x14ac:dyDescent="0.3">
      <c r="A139" s="121" t="s">
        <v>633</v>
      </c>
      <c r="B139" s="121"/>
      <c r="C139" s="130" t="s">
        <v>601</v>
      </c>
      <c r="D139" s="123"/>
      <c r="E139" s="123" t="s">
        <v>402</v>
      </c>
      <c r="F139" s="124" t="s">
        <v>70</v>
      </c>
      <c r="G139" s="126">
        <v>0.7</v>
      </c>
      <c r="H139" s="126"/>
      <c r="I139" s="126">
        <v>16.687999999999999</v>
      </c>
      <c r="J139" s="21">
        <v>16.11</v>
      </c>
      <c r="M139" s="22">
        <f>ROUND(ROUND(J139, 2)*I139, 2)</f>
        <v>268.83999999999997</v>
      </c>
      <c r="P139" s="21">
        <v>16.11</v>
      </c>
      <c r="S139" s="22">
        <f>ROUND(ROUND(P139, 2)*I139, 2)</f>
        <v>268.83999999999997</v>
      </c>
    </row>
    <row r="140" spans="1:21" ht="34.799999999999997" x14ac:dyDescent="0.3">
      <c r="A140" s="74" t="s">
        <v>636</v>
      </c>
      <c r="B140" s="74" t="s">
        <v>596</v>
      </c>
      <c r="C140" s="75" t="s">
        <v>597</v>
      </c>
      <c r="D140" s="76"/>
      <c r="E140" s="76" t="s">
        <v>507</v>
      </c>
      <c r="F140" s="76" t="s">
        <v>87</v>
      </c>
      <c r="G140" s="77">
        <v>1</v>
      </c>
      <c r="H140" s="77"/>
      <c r="I140" s="77">
        <v>216.92</v>
      </c>
      <c r="J140" s="14">
        <f>IFERROR(ROUND(SUM(M141,M142,M143,M144)/I140, 2),0)</f>
        <v>375.15</v>
      </c>
      <c r="K140" s="15">
        <v>473</v>
      </c>
      <c r="L140" s="14">
        <f>J140+ROUND(K140, 2)</f>
        <v>848.15</v>
      </c>
      <c r="M140" s="14">
        <f>ROUND(J140*I140, 2)</f>
        <v>81377.539999999994</v>
      </c>
      <c r="N140" s="14">
        <f>ROUND(I140*ROUND(K140, 2), 2)</f>
        <v>102603.16</v>
      </c>
      <c r="O140" s="14">
        <f>M140+N140</f>
        <v>183980.7</v>
      </c>
      <c r="P140" s="14">
        <f>IFERROR(ROUND(SUM(S141,S142,S143,S144)/I140, 2),0)</f>
        <v>375.15</v>
      </c>
      <c r="Q140" s="15">
        <v>473</v>
      </c>
      <c r="R140" s="14">
        <f>P140+ROUND(Q140, 2)</f>
        <v>848.15</v>
      </c>
      <c r="S140" s="14">
        <f>ROUND(P140*I140, 2)</f>
        <v>81377.539999999994</v>
      </c>
      <c r="T140" s="14">
        <f>ROUND(I140*ROUND(Q140, 2), 2)</f>
        <v>102603.16</v>
      </c>
      <c r="U140" s="14">
        <f>S140+T140</f>
        <v>183980.7</v>
      </c>
    </row>
    <row r="141" spans="1:21" ht="69" customHeight="1" x14ac:dyDescent="0.3">
      <c r="A141" s="121" t="s">
        <v>637</v>
      </c>
      <c r="B141" s="121"/>
      <c r="C141" s="130" t="s">
        <v>601</v>
      </c>
      <c r="D141" s="123"/>
      <c r="E141" s="123" t="s">
        <v>638</v>
      </c>
      <c r="F141" s="124" t="s">
        <v>70</v>
      </c>
      <c r="G141" s="126">
        <v>0.7</v>
      </c>
      <c r="H141" s="126"/>
      <c r="I141" s="126">
        <v>151.84399999999999</v>
      </c>
      <c r="J141" s="21">
        <v>16.11</v>
      </c>
      <c r="M141" s="22">
        <f>ROUND(ROUND(J141, 2)*I141, 2)</f>
        <v>2446.21</v>
      </c>
      <c r="P141" s="21">
        <v>16.11</v>
      </c>
      <c r="S141" s="22">
        <f>ROUND(ROUND(P141, 2)*I141, 2)</f>
        <v>2446.21</v>
      </c>
    </row>
    <row r="142" spans="1:21" ht="58.05" customHeight="1" x14ac:dyDescent="0.3">
      <c r="A142" s="121" t="s">
        <v>641</v>
      </c>
      <c r="B142" s="121"/>
      <c r="C142" s="122" t="s">
        <v>606</v>
      </c>
      <c r="D142" s="123"/>
      <c r="E142" s="123" t="s">
        <v>642</v>
      </c>
      <c r="F142" s="124" t="s">
        <v>116</v>
      </c>
      <c r="G142" s="126">
        <v>1.84</v>
      </c>
      <c r="H142" s="126"/>
      <c r="I142" s="126">
        <v>399.13299999999998</v>
      </c>
      <c r="J142" s="21">
        <v>196</v>
      </c>
      <c r="M142" s="22">
        <f>ROUND(ROUND(J142, 2)*I142, 2)</f>
        <v>78230.070000000007</v>
      </c>
      <c r="P142" s="21">
        <v>196</v>
      </c>
      <c r="S142" s="22">
        <f>ROUND(ROUND(P142, 2)*I142, 2)</f>
        <v>78230.070000000007</v>
      </c>
    </row>
    <row r="143" spans="1:21" ht="40.049999999999997" customHeight="1" x14ac:dyDescent="0.3">
      <c r="A143" s="121" t="s">
        <v>645</v>
      </c>
      <c r="B143" s="121"/>
      <c r="C143" s="122" t="s">
        <v>612</v>
      </c>
      <c r="D143" s="123"/>
      <c r="E143" s="123" t="s">
        <v>646</v>
      </c>
      <c r="F143" s="124" t="s">
        <v>70</v>
      </c>
      <c r="G143" s="126">
        <v>0.04</v>
      </c>
      <c r="H143" s="126"/>
      <c r="I143" s="126">
        <v>8.6769999999999996</v>
      </c>
      <c r="J143" s="21">
        <v>47.44</v>
      </c>
      <c r="M143" s="22">
        <f>ROUND(ROUND(J143, 2)*I143, 2)</f>
        <v>411.64</v>
      </c>
      <c r="P143" s="21">
        <v>47.44</v>
      </c>
      <c r="S143" s="22">
        <f>ROUND(ROUND(P143, 2)*I143, 2)</f>
        <v>411.64</v>
      </c>
    </row>
    <row r="144" spans="1:21" ht="18" x14ac:dyDescent="0.3">
      <c r="A144" s="121" t="s">
        <v>649</v>
      </c>
      <c r="B144" s="121"/>
      <c r="C144" s="122" t="s">
        <v>433</v>
      </c>
      <c r="D144" s="123"/>
      <c r="E144" s="123"/>
      <c r="F144" s="124" t="s">
        <v>70</v>
      </c>
      <c r="G144" s="126">
        <v>1.4999999999999999E-2</v>
      </c>
      <c r="H144" s="126"/>
      <c r="I144" s="126">
        <v>3.254</v>
      </c>
      <c r="J144" s="21">
        <v>88.8</v>
      </c>
      <c r="M144" s="22">
        <f>ROUND(ROUND(J144, 2)*I144, 2)</f>
        <v>288.95999999999998</v>
      </c>
      <c r="P144" s="21">
        <v>88.8</v>
      </c>
      <c r="S144" s="22">
        <f>ROUND(ROUND(P144, 2)*I144, 2)</f>
        <v>288.95999999999998</v>
      </c>
    </row>
    <row r="145" spans="1:21" ht="52.2" x14ac:dyDescent="0.3">
      <c r="A145" s="74" t="s">
        <v>652</v>
      </c>
      <c r="B145" s="74" t="s">
        <v>653</v>
      </c>
      <c r="C145" s="75" t="s">
        <v>654</v>
      </c>
      <c r="D145" s="76"/>
      <c r="E145" s="76" t="s">
        <v>655</v>
      </c>
      <c r="F145" s="76" t="s">
        <v>64</v>
      </c>
      <c r="G145" s="77">
        <v>1</v>
      </c>
      <c r="H145" s="77"/>
      <c r="I145" s="77">
        <v>25.81</v>
      </c>
      <c r="J145" s="14">
        <f>IFERROR(ROUND(SUM(M146,M147,M148,M149)/I145, 2),0)</f>
        <v>616.69000000000005</v>
      </c>
      <c r="K145" s="15">
        <v>1655</v>
      </c>
      <c r="L145" s="14">
        <f>J145+ROUND(K145, 2)</f>
        <v>2271.69</v>
      </c>
      <c r="M145" s="14">
        <f>ROUND(J145*I145, 2)</f>
        <v>15916.77</v>
      </c>
      <c r="N145" s="14">
        <f>ROUND(I145*ROUND(K145, 2), 2)</f>
        <v>42715.55</v>
      </c>
      <c r="O145" s="14">
        <f>M145+N145</f>
        <v>58632.320000000007</v>
      </c>
      <c r="P145" s="14">
        <f>IFERROR(ROUND(SUM(S146,S147,S148,S149)/I145, 2),0)</f>
        <v>616.69000000000005</v>
      </c>
      <c r="Q145" s="15">
        <v>1655</v>
      </c>
      <c r="R145" s="14">
        <f>P145+ROUND(Q145, 2)</f>
        <v>2271.69</v>
      </c>
      <c r="S145" s="14">
        <f>ROUND(P145*I145, 2)</f>
        <v>15916.77</v>
      </c>
      <c r="T145" s="14">
        <f>ROUND(I145*ROUND(Q145, 2), 2)</f>
        <v>42715.55</v>
      </c>
      <c r="U145" s="14">
        <f>S145+T145</f>
        <v>58632.320000000007</v>
      </c>
    </row>
    <row r="146" spans="1:21" ht="60" customHeight="1" x14ac:dyDescent="0.3">
      <c r="A146" s="107" t="s">
        <v>658</v>
      </c>
      <c r="B146" s="107"/>
      <c r="C146" s="117" t="s">
        <v>401</v>
      </c>
      <c r="D146" s="109"/>
      <c r="E146" s="109" t="s">
        <v>402</v>
      </c>
      <c r="F146" s="110" t="s">
        <v>70</v>
      </c>
      <c r="G146" s="111">
        <v>7</v>
      </c>
      <c r="H146" s="111"/>
      <c r="I146" s="111">
        <v>180.67</v>
      </c>
      <c r="J146" s="21">
        <v>16.11</v>
      </c>
      <c r="M146" s="22">
        <f>ROUND(ROUND(J146, 2)*I146, 2)</f>
        <v>2910.59</v>
      </c>
      <c r="P146" s="21">
        <v>16.11</v>
      </c>
      <c r="S146" s="22">
        <f>ROUND(ROUND(P146, 2)*I146, 2)</f>
        <v>2910.59</v>
      </c>
    </row>
    <row r="147" spans="1:21" ht="55.95" customHeight="1" x14ac:dyDescent="0.3">
      <c r="A147" s="107" t="s">
        <v>661</v>
      </c>
      <c r="B147" s="107"/>
      <c r="C147" s="117" t="s">
        <v>628</v>
      </c>
      <c r="D147" s="109"/>
      <c r="E147" s="109" t="s">
        <v>662</v>
      </c>
      <c r="F147" s="110" t="s">
        <v>64</v>
      </c>
      <c r="G147" s="111">
        <v>1.07</v>
      </c>
      <c r="H147" s="111"/>
      <c r="I147" s="111">
        <v>27.617000000000001</v>
      </c>
      <c r="J147" s="21">
        <v>447.41</v>
      </c>
      <c r="M147" s="22">
        <f>ROUND(ROUND(J147, 2)*I147, 2)</f>
        <v>12356.12</v>
      </c>
      <c r="P147" s="21">
        <v>447.41</v>
      </c>
      <c r="S147" s="22">
        <f>ROUND(ROUND(P147, 2)*I147, 2)</f>
        <v>12356.12</v>
      </c>
    </row>
    <row r="148" spans="1:21" ht="18" x14ac:dyDescent="0.3">
      <c r="A148" s="107" t="s">
        <v>665</v>
      </c>
      <c r="B148" s="107"/>
      <c r="C148" s="108" t="s">
        <v>612</v>
      </c>
      <c r="D148" s="109"/>
      <c r="E148" s="109"/>
      <c r="F148" s="110" t="s">
        <v>70</v>
      </c>
      <c r="G148" s="111">
        <v>0.25</v>
      </c>
      <c r="H148" s="111"/>
      <c r="I148" s="111">
        <v>6.4530000000000003</v>
      </c>
      <c r="J148" s="21">
        <v>47.44</v>
      </c>
      <c r="M148" s="22">
        <f>ROUND(ROUND(J148, 2)*I148, 2)</f>
        <v>306.13</v>
      </c>
      <c r="P148" s="21">
        <v>47.44</v>
      </c>
      <c r="S148" s="22">
        <f>ROUND(ROUND(P148, 2)*I148, 2)</f>
        <v>306.13</v>
      </c>
    </row>
    <row r="149" spans="1:21" ht="18" x14ac:dyDescent="0.3">
      <c r="A149" s="107" t="s">
        <v>668</v>
      </c>
      <c r="B149" s="107"/>
      <c r="C149" s="108" t="s">
        <v>433</v>
      </c>
      <c r="D149" s="109"/>
      <c r="E149" s="109"/>
      <c r="F149" s="110" t="s">
        <v>70</v>
      </c>
      <c r="G149" s="111">
        <v>0.15</v>
      </c>
      <c r="H149" s="111"/>
      <c r="I149" s="111">
        <v>3.8719999999999999</v>
      </c>
      <c r="J149" s="21">
        <v>88.8</v>
      </c>
      <c r="M149" s="22">
        <f>ROUND(ROUND(J149, 2)*I149, 2)</f>
        <v>343.83</v>
      </c>
      <c r="P149" s="21">
        <v>88.8</v>
      </c>
      <c r="S149" s="22">
        <f>ROUND(ROUND(P149, 2)*I149, 2)</f>
        <v>343.83</v>
      </c>
    </row>
    <row r="150" spans="1:21" ht="52.2" x14ac:dyDescent="0.3">
      <c r="A150" s="103" t="s">
        <v>671</v>
      </c>
      <c r="B150" s="103" t="s">
        <v>653</v>
      </c>
      <c r="C150" s="104" t="s">
        <v>654</v>
      </c>
      <c r="D150" s="105"/>
      <c r="E150" s="105" t="s">
        <v>672</v>
      </c>
      <c r="F150" s="105" t="s">
        <v>64</v>
      </c>
      <c r="G150" s="106">
        <v>1</v>
      </c>
      <c r="H150" s="106"/>
      <c r="I150" s="106">
        <v>46.37</v>
      </c>
      <c r="J150" s="14">
        <f>IFERROR(ROUND(SUM(M151,M152,M153,M154)/I150, 2),0)</f>
        <v>616.67999999999995</v>
      </c>
      <c r="K150" s="15">
        <v>1655</v>
      </c>
      <c r="L150" s="14">
        <f>J150+ROUND(K150, 2)</f>
        <v>2271.6799999999998</v>
      </c>
      <c r="M150" s="14">
        <f>ROUND(J150*I150, 2)</f>
        <v>28595.45</v>
      </c>
      <c r="N150" s="14">
        <f>ROUND(I150*ROUND(K150, 2), 2)</f>
        <v>76742.350000000006</v>
      </c>
      <c r="O150" s="14">
        <f>M150+N150</f>
        <v>105337.8</v>
      </c>
      <c r="P150" s="14">
        <f>IFERROR(ROUND(SUM(S151,S152,S153,S154)/I150, 2),0)</f>
        <v>616.67999999999995</v>
      </c>
      <c r="Q150" s="15">
        <v>1655</v>
      </c>
      <c r="R150" s="14">
        <f>P150+ROUND(Q150, 2)</f>
        <v>2271.6799999999998</v>
      </c>
      <c r="S150" s="14">
        <f>ROUND(P150*I150, 2)</f>
        <v>28595.45</v>
      </c>
      <c r="T150" s="14">
        <f>ROUND(I150*ROUND(Q150, 2), 2)</f>
        <v>76742.350000000006</v>
      </c>
      <c r="U150" s="14">
        <f>S150+T150</f>
        <v>105337.8</v>
      </c>
    </row>
    <row r="151" spans="1:21" ht="18" x14ac:dyDescent="0.3">
      <c r="A151" s="91" t="s">
        <v>673</v>
      </c>
      <c r="B151" s="91"/>
      <c r="C151" s="92" t="s">
        <v>433</v>
      </c>
      <c r="D151" s="93"/>
      <c r="E151" s="93"/>
      <c r="F151" s="94" t="s">
        <v>70</v>
      </c>
      <c r="G151" s="95">
        <v>0.15</v>
      </c>
      <c r="H151" s="95"/>
      <c r="I151" s="95">
        <v>6.9560000000000004</v>
      </c>
      <c r="J151" s="21">
        <v>88.8</v>
      </c>
      <c r="M151" s="22">
        <f>ROUND(ROUND(J151, 2)*I151, 2)</f>
        <v>617.69000000000005</v>
      </c>
      <c r="P151" s="21">
        <v>88.8</v>
      </c>
      <c r="S151" s="22">
        <f>ROUND(ROUND(P151, 2)*I151, 2)</f>
        <v>617.69000000000005</v>
      </c>
    </row>
    <row r="152" spans="1:21" ht="18" x14ac:dyDescent="0.3">
      <c r="A152" s="91" t="s">
        <v>676</v>
      </c>
      <c r="B152" s="91"/>
      <c r="C152" s="92" t="s">
        <v>612</v>
      </c>
      <c r="D152" s="93"/>
      <c r="E152" s="93"/>
      <c r="F152" s="94" t="s">
        <v>70</v>
      </c>
      <c r="G152" s="95">
        <v>0.25</v>
      </c>
      <c r="H152" s="95"/>
      <c r="I152" s="95">
        <v>11.593</v>
      </c>
      <c r="J152" s="21">
        <v>47.44</v>
      </c>
      <c r="M152" s="22">
        <f>ROUND(ROUND(J152, 2)*I152, 2)</f>
        <v>549.97</v>
      </c>
      <c r="P152" s="21">
        <v>47.44</v>
      </c>
      <c r="S152" s="22">
        <f>ROUND(ROUND(P152, 2)*I152, 2)</f>
        <v>549.97</v>
      </c>
    </row>
    <row r="153" spans="1:21" ht="36" x14ac:dyDescent="0.3">
      <c r="A153" s="91" t="s">
        <v>679</v>
      </c>
      <c r="B153" s="91"/>
      <c r="C153" s="96" t="s">
        <v>628</v>
      </c>
      <c r="D153" s="93"/>
      <c r="E153" s="93" t="s">
        <v>680</v>
      </c>
      <c r="F153" s="94" t="s">
        <v>64</v>
      </c>
      <c r="G153" s="95">
        <v>1.07</v>
      </c>
      <c r="H153" s="95"/>
      <c r="I153" s="95">
        <v>49.616</v>
      </c>
      <c r="J153" s="21">
        <v>447.41</v>
      </c>
      <c r="M153" s="22">
        <f>ROUND(ROUND(J153, 2)*I153, 2)</f>
        <v>22198.69</v>
      </c>
      <c r="P153" s="21">
        <v>447.41</v>
      </c>
      <c r="S153" s="22">
        <f>ROUND(ROUND(P153, 2)*I153, 2)</f>
        <v>22198.69</v>
      </c>
    </row>
    <row r="154" spans="1:21" ht="36" x14ac:dyDescent="0.3">
      <c r="A154" s="91" t="s">
        <v>683</v>
      </c>
      <c r="B154" s="91"/>
      <c r="C154" s="96" t="s">
        <v>401</v>
      </c>
      <c r="D154" s="93"/>
      <c r="E154" s="93" t="s">
        <v>402</v>
      </c>
      <c r="F154" s="94" t="s">
        <v>70</v>
      </c>
      <c r="G154" s="95">
        <v>7</v>
      </c>
      <c r="H154" s="95"/>
      <c r="I154" s="95">
        <v>324.58999999999997</v>
      </c>
      <c r="J154" s="21">
        <v>16.11</v>
      </c>
      <c r="M154" s="22">
        <f>ROUND(ROUND(J154, 2)*I154, 2)</f>
        <v>5229.1400000000003</v>
      </c>
      <c r="P154" s="21">
        <v>16.11</v>
      </c>
      <c r="S154" s="22">
        <f>ROUND(ROUND(P154, 2)*I154, 2)</f>
        <v>5229.1400000000003</v>
      </c>
    </row>
    <row r="155" spans="1:21" ht="52.2" x14ac:dyDescent="0.3">
      <c r="A155" s="74" t="s">
        <v>686</v>
      </c>
      <c r="B155" s="74" t="s">
        <v>687</v>
      </c>
      <c r="C155" s="75" t="s">
        <v>688</v>
      </c>
      <c r="D155" s="76"/>
      <c r="E155" s="76" t="s">
        <v>689</v>
      </c>
      <c r="F155" s="76" t="s">
        <v>64</v>
      </c>
      <c r="G155" s="77">
        <v>1</v>
      </c>
      <c r="H155" s="77"/>
      <c r="I155" s="77">
        <v>335.84</v>
      </c>
      <c r="J155" s="14">
        <f>IFERROR(ROUND(SUM(M156,M157,M158,M159)/I155, 2),0)</f>
        <v>2233.0300000000002</v>
      </c>
      <c r="K155" s="15">
        <v>2785</v>
      </c>
      <c r="L155" s="14">
        <f>J155+ROUND(K155, 2)</f>
        <v>5018.0300000000007</v>
      </c>
      <c r="M155" s="14">
        <f>ROUND(J155*I155, 2)</f>
        <v>749940.8</v>
      </c>
      <c r="N155" s="14">
        <f>ROUND(I155*ROUND(K155, 2), 2)</f>
        <v>935314.4</v>
      </c>
      <c r="O155" s="14">
        <f>M155+N155</f>
        <v>1685255.2000000002</v>
      </c>
      <c r="P155" s="14">
        <f>IFERROR(ROUND(SUM(S156,S157,S158,S159)/I155, 2),0)</f>
        <v>1530.85</v>
      </c>
      <c r="Q155" s="15">
        <v>2785</v>
      </c>
      <c r="R155" s="14">
        <f>P155+ROUND(Q155, 2)</f>
        <v>4315.8500000000004</v>
      </c>
      <c r="S155" s="14">
        <f>ROUND(P155*I155, 2)</f>
        <v>514120.66</v>
      </c>
      <c r="T155" s="14">
        <f>ROUND(I155*ROUND(Q155, 2), 2)</f>
        <v>935314.4</v>
      </c>
      <c r="U155" s="14">
        <f>S155+T155</f>
        <v>1449435.06</v>
      </c>
    </row>
    <row r="156" spans="1:21" ht="62.55" customHeight="1" x14ac:dyDescent="0.3">
      <c r="A156" s="91" t="s">
        <v>692</v>
      </c>
      <c r="B156" s="91"/>
      <c r="C156" s="96" t="s">
        <v>693</v>
      </c>
      <c r="D156" s="93"/>
      <c r="E156" s="93" t="s">
        <v>402</v>
      </c>
      <c r="F156" s="94" t="s">
        <v>70</v>
      </c>
      <c r="G156" s="95">
        <v>1.2</v>
      </c>
      <c r="H156" s="95"/>
      <c r="I156" s="95">
        <v>806.01599999999996</v>
      </c>
      <c r="J156" s="21">
        <v>16.11</v>
      </c>
      <c r="M156" s="22">
        <f>ROUND(ROUND(J156, 2)*I156, 2)</f>
        <v>12984.92</v>
      </c>
      <c r="P156" s="21">
        <v>16.11</v>
      </c>
      <c r="S156" s="22">
        <f>ROUND(ROUND(P156, 2)*I156, 2)</f>
        <v>12984.92</v>
      </c>
    </row>
    <row r="157" spans="1:21" ht="79.05" customHeight="1" x14ac:dyDescent="0.3">
      <c r="A157" s="91" t="s">
        <v>697</v>
      </c>
      <c r="B157" s="91"/>
      <c r="C157" s="92" t="s">
        <v>698</v>
      </c>
      <c r="D157" s="93"/>
      <c r="E157" s="93" t="s">
        <v>699</v>
      </c>
      <c r="F157" s="94" t="s">
        <v>64</v>
      </c>
      <c r="G157" s="95">
        <v>1.2</v>
      </c>
      <c r="H157" s="95"/>
      <c r="I157" s="95">
        <v>403.00799999999998</v>
      </c>
      <c r="J157" s="21">
        <v>1809.15</v>
      </c>
      <c r="M157" s="22">
        <f>ROUND(ROUND(J157, 2)*I157, 2)</f>
        <v>729101.92</v>
      </c>
      <c r="P157" s="21">
        <v>1224</v>
      </c>
      <c r="S157" s="22">
        <f>ROUND(ROUND(P157, 2)*I157, 2)</f>
        <v>493281.79</v>
      </c>
    </row>
    <row r="158" spans="1:21" ht="18" x14ac:dyDescent="0.3">
      <c r="A158" s="91" t="s">
        <v>703</v>
      </c>
      <c r="B158" s="91"/>
      <c r="C158" s="92" t="s">
        <v>426</v>
      </c>
      <c r="D158" s="93"/>
      <c r="E158" s="93"/>
      <c r="F158" s="94" t="s">
        <v>70</v>
      </c>
      <c r="G158" s="95">
        <v>0.25</v>
      </c>
      <c r="H158" s="95"/>
      <c r="I158" s="95">
        <v>83.96</v>
      </c>
      <c r="J158" s="21">
        <v>40.270000000000003</v>
      </c>
      <c r="M158" s="22">
        <f>ROUND(ROUND(J158, 2)*I158, 2)</f>
        <v>3381.07</v>
      </c>
      <c r="P158" s="21">
        <v>40.270000000000003</v>
      </c>
      <c r="S158" s="22">
        <f>ROUND(ROUND(P158, 2)*I158, 2)</f>
        <v>3381.07</v>
      </c>
    </row>
    <row r="159" spans="1:21" ht="18" x14ac:dyDescent="0.3">
      <c r="A159" s="91" t="s">
        <v>706</v>
      </c>
      <c r="B159" s="91"/>
      <c r="C159" s="92" t="s">
        <v>433</v>
      </c>
      <c r="D159" s="93"/>
      <c r="E159" s="93"/>
      <c r="F159" s="94" t="s">
        <v>70</v>
      </c>
      <c r="G159" s="95">
        <v>0.15</v>
      </c>
      <c r="H159" s="95"/>
      <c r="I159" s="95">
        <v>50.375999999999998</v>
      </c>
      <c r="J159" s="21">
        <v>88.8</v>
      </c>
      <c r="M159" s="22">
        <f>ROUND(ROUND(J159, 2)*I159, 2)</f>
        <v>4473.3900000000003</v>
      </c>
      <c r="P159" s="21">
        <v>88.8</v>
      </c>
      <c r="S159" s="22">
        <f>ROUND(ROUND(P159, 2)*I159, 2)</f>
        <v>4473.3900000000003</v>
      </c>
    </row>
    <row r="160" spans="1:21" ht="52.2" x14ac:dyDescent="0.3">
      <c r="A160" s="74" t="s">
        <v>709</v>
      </c>
      <c r="B160" s="74" t="s">
        <v>687</v>
      </c>
      <c r="C160" s="75" t="s">
        <v>688</v>
      </c>
      <c r="D160" s="76"/>
      <c r="E160" s="76" t="s">
        <v>710</v>
      </c>
      <c r="F160" s="76" t="s">
        <v>64</v>
      </c>
      <c r="G160" s="77">
        <v>1</v>
      </c>
      <c r="H160" s="77"/>
      <c r="I160" s="77">
        <v>551.70000000000005</v>
      </c>
      <c r="J160" s="14">
        <f>IFERROR(ROUND(SUM(M161,M162,M163,M164)/I160, 2),0)</f>
        <v>2233.0300000000002</v>
      </c>
      <c r="K160" s="15">
        <v>2785</v>
      </c>
      <c r="L160" s="14">
        <f>J160+ROUND(K160, 2)</f>
        <v>5018.0300000000007</v>
      </c>
      <c r="M160" s="14">
        <f>ROUND(J160*I160, 2)</f>
        <v>1231962.6499999999</v>
      </c>
      <c r="N160" s="14">
        <f>ROUND(I160*ROUND(K160, 2), 2)</f>
        <v>1536484.5</v>
      </c>
      <c r="O160" s="14">
        <f>M160+N160</f>
        <v>2768447.15</v>
      </c>
      <c r="P160" s="14">
        <f>IFERROR(ROUND(SUM(S161,S162,S163,S164)/I160, 2),0)</f>
        <v>1530.85</v>
      </c>
      <c r="Q160" s="15">
        <v>2785</v>
      </c>
      <c r="R160" s="14">
        <f>P160+ROUND(Q160, 2)</f>
        <v>4315.8500000000004</v>
      </c>
      <c r="S160" s="14">
        <f>ROUND(P160*I160, 2)</f>
        <v>844569.95</v>
      </c>
      <c r="T160" s="14">
        <f>ROUND(I160*ROUND(Q160, 2), 2)</f>
        <v>1536484.5</v>
      </c>
      <c r="U160" s="14">
        <f>S160+T160</f>
        <v>2381054.4500000002</v>
      </c>
    </row>
    <row r="161" spans="1:21" ht="18" x14ac:dyDescent="0.3">
      <c r="A161" s="91" t="s">
        <v>711</v>
      </c>
      <c r="B161" s="91"/>
      <c r="C161" s="92" t="s">
        <v>433</v>
      </c>
      <c r="D161" s="93"/>
      <c r="E161" s="93"/>
      <c r="F161" s="94" t="s">
        <v>70</v>
      </c>
      <c r="G161" s="95">
        <v>0.15</v>
      </c>
      <c r="H161" s="95"/>
      <c r="I161" s="95">
        <v>82.754999999999995</v>
      </c>
      <c r="J161" s="21">
        <v>88.8</v>
      </c>
      <c r="M161" s="22">
        <f>ROUND(ROUND(J161, 2)*I161, 2)</f>
        <v>7348.64</v>
      </c>
      <c r="P161" s="21">
        <v>88.8</v>
      </c>
      <c r="S161" s="22">
        <f>ROUND(ROUND(P161, 2)*I161, 2)</f>
        <v>7348.64</v>
      </c>
    </row>
    <row r="162" spans="1:21" ht="18" x14ac:dyDescent="0.3">
      <c r="A162" s="91" t="s">
        <v>714</v>
      </c>
      <c r="B162" s="91"/>
      <c r="C162" s="92" t="s">
        <v>426</v>
      </c>
      <c r="D162" s="93"/>
      <c r="E162" s="93"/>
      <c r="F162" s="94" t="s">
        <v>70</v>
      </c>
      <c r="G162" s="95">
        <v>0.25</v>
      </c>
      <c r="H162" s="95"/>
      <c r="I162" s="95">
        <v>137.92500000000001</v>
      </c>
      <c r="J162" s="21">
        <v>40.270000000000003</v>
      </c>
      <c r="M162" s="22">
        <f>ROUND(ROUND(J162, 2)*I162, 2)</f>
        <v>5554.24</v>
      </c>
      <c r="P162" s="21">
        <v>40.270000000000003</v>
      </c>
      <c r="S162" s="22">
        <f>ROUND(ROUND(P162, 2)*I162, 2)</f>
        <v>5554.24</v>
      </c>
    </row>
    <row r="163" spans="1:21" ht="73.95" customHeight="1" x14ac:dyDescent="0.3">
      <c r="A163" s="91" t="s">
        <v>717</v>
      </c>
      <c r="B163" s="91"/>
      <c r="C163" s="92" t="s">
        <v>698</v>
      </c>
      <c r="D163" s="93"/>
      <c r="E163" s="93" t="s">
        <v>699</v>
      </c>
      <c r="F163" s="94" t="s">
        <v>64</v>
      </c>
      <c r="G163" s="95">
        <v>1.2</v>
      </c>
      <c r="H163" s="95"/>
      <c r="I163" s="95">
        <v>662.04</v>
      </c>
      <c r="J163" s="21">
        <v>1809.15</v>
      </c>
      <c r="M163" s="22">
        <f>ROUND(ROUND(J163, 2)*I163, 2)</f>
        <v>1197729.67</v>
      </c>
      <c r="P163" s="21">
        <v>1224</v>
      </c>
      <c r="S163" s="22">
        <f>ROUND(ROUND(P163, 2)*I163, 2)</f>
        <v>810336.96</v>
      </c>
    </row>
    <row r="164" spans="1:21" ht="66.45" customHeight="1" x14ac:dyDescent="0.3">
      <c r="A164" s="91" t="s">
        <v>720</v>
      </c>
      <c r="B164" s="91"/>
      <c r="C164" s="96" t="s">
        <v>693</v>
      </c>
      <c r="D164" s="93"/>
      <c r="E164" s="93" t="s">
        <v>402</v>
      </c>
      <c r="F164" s="94" t="s">
        <v>70</v>
      </c>
      <c r="G164" s="95">
        <v>1.2</v>
      </c>
      <c r="H164" s="95"/>
      <c r="I164" s="95">
        <v>1324.08</v>
      </c>
      <c r="J164" s="21">
        <v>16.11</v>
      </c>
      <c r="M164" s="22">
        <f>ROUND(ROUND(J164, 2)*I164, 2)</f>
        <v>21330.93</v>
      </c>
      <c r="P164" s="21">
        <v>16.11</v>
      </c>
      <c r="S164" s="22">
        <f>ROUND(ROUND(P164, 2)*I164, 2)</f>
        <v>21330.93</v>
      </c>
    </row>
    <row r="165" spans="1:21" ht="16.95" customHeight="1" x14ac:dyDescent="0.3">
      <c r="A165" s="10" t="s">
        <v>723</v>
      </c>
      <c r="B165" s="10" t="s">
        <v>724</v>
      </c>
      <c r="C165" s="352" t="s">
        <v>725</v>
      </c>
      <c r="D165" s="353"/>
      <c r="E165" s="353"/>
      <c r="F165" s="353"/>
      <c r="G165" s="353"/>
      <c r="H165" s="353"/>
      <c r="I165" s="354"/>
      <c r="M165" s="6">
        <f>SUM(M166,M235,M416,M491)</f>
        <v>11993477.709999999</v>
      </c>
      <c r="N165" s="6">
        <f>SUM(N166,N235,N416,N491)</f>
        <v>47833385.619999997</v>
      </c>
      <c r="O165" s="6">
        <f>SUM(O166,O235,O416,O491)</f>
        <v>59826863.330000006</v>
      </c>
      <c r="S165" s="6">
        <f>SUM(S166,S235,S416,S491)</f>
        <v>13087191.26</v>
      </c>
      <c r="T165" s="6">
        <f>SUM(T166,T235,T416,T491)</f>
        <v>48390099.619999997</v>
      </c>
      <c r="U165" s="6">
        <f>SUM(U166,U235,U416,U491)</f>
        <v>61477290.880000003</v>
      </c>
    </row>
    <row r="166" spans="1:21" ht="16.95" customHeight="1" x14ac:dyDescent="0.3">
      <c r="A166" s="10" t="s">
        <v>726</v>
      </c>
      <c r="B166" s="10" t="s">
        <v>727</v>
      </c>
      <c r="C166" s="352" t="s">
        <v>728</v>
      </c>
      <c r="D166" s="353"/>
      <c r="E166" s="353"/>
      <c r="F166" s="353"/>
      <c r="G166" s="353"/>
      <c r="H166" s="353"/>
      <c r="I166" s="354"/>
      <c r="M166" s="6">
        <f>SUM(M167,M170,M174,M179,M182,M185,M188,M191,M194,M199,M204,M209,M214,M219,M223,M227,M231)</f>
        <v>7216828.5499999989</v>
      </c>
      <c r="N166" s="6">
        <f>SUM(N167,N170,N174,N179,N182,N185,N188,N191,N194,N199,N204,N209,N214,N219,N223,N227,N231)</f>
        <v>34198555.399999999</v>
      </c>
      <c r="O166" s="6">
        <f>SUM(O167,O170,O174,O179,O182,O185,O188,O191,O194,O199,O204,O209,O214,O219,O223,O227,O231)</f>
        <v>41415383.950000003</v>
      </c>
      <c r="S166" s="6">
        <f>SUM(S167,S170,S174,S179,S182,S185,S188,S191,S194,S199,S204,S209,S214,S219,S223,S227,S231)</f>
        <v>6483565.0299999993</v>
      </c>
      <c r="T166" s="6">
        <f>SUM(T167,T170,T174,T179,T182,T185,T188,T191,T194,T199,T204,T209,T214,T219,T223,T227,T231)</f>
        <v>34198555.399999999</v>
      </c>
      <c r="U166" s="6">
        <f>SUM(U167,U170,U174,U179,U182,U185,U188,U191,U194,U199,U204,U209,U214,U219,U223,U227,U231)</f>
        <v>40682120.43</v>
      </c>
    </row>
    <row r="167" spans="1:21" ht="52.2" x14ac:dyDescent="0.3">
      <c r="A167" s="74" t="s">
        <v>729</v>
      </c>
      <c r="B167" s="74" t="s">
        <v>730</v>
      </c>
      <c r="C167" s="75" t="s">
        <v>731</v>
      </c>
      <c r="D167" s="76"/>
      <c r="E167" s="76" t="s">
        <v>732</v>
      </c>
      <c r="F167" s="76" t="s">
        <v>87</v>
      </c>
      <c r="G167" s="77">
        <v>1</v>
      </c>
      <c r="H167" s="77"/>
      <c r="I167" s="77">
        <v>3479</v>
      </c>
      <c r="J167" s="14">
        <f>IFERROR(ROUND(SUM(M168,M169)/I167, 2),0)</f>
        <v>11.32</v>
      </c>
      <c r="K167" s="15">
        <v>28</v>
      </c>
      <c r="L167" s="14">
        <f>J167+ROUND(K167, 2)</f>
        <v>39.32</v>
      </c>
      <c r="M167" s="14">
        <f>ROUND(J167*I167, 2)</f>
        <v>39382.28</v>
      </c>
      <c r="N167" s="14">
        <f>ROUND(I167*ROUND(K167, 2), 2)</f>
        <v>97412</v>
      </c>
      <c r="O167" s="14">
        <f>M167+N167</f>
        <v>136794.28</v>
      </c>
      <c r="P167" s="14">
        <f>IFERROR(ROUND(SUM(S168,S169)/I167, 2),0)</f>
        <v>11.32</v>
      </c>
      <c r="Q167" s="15">
        <v>28</v>
      </c>
      <c r="R167" s="14">
        <f>P167+ROUND(Q167, 2)</f>
        <v>39.32</v>
      </c>
      <c r="S167" s="14">
        <f>ROUND(P167*I167, 2)</f>
        <v>39382.28</v>
      </c>
      <c r="T167" s="14">
        <f>ROUND(I167*ROUND(Q167, 2), 2)</f>
        <v>97412</v>
      </c>
      <c r="U167" s="14">
        <f>S167+T167</f>
        <v>136794.28</v>
      </c>
    </row>
    <row r="168" spans="1:21" ht="36" x14ac:dyDescent="0.3">
      <c r="A168" s="91" t="s">
        <v>735</v>
      </c>
      <c r="B168" s="91"/>
      <c r="C168" s="96" t="s">
        <v>736</v>
      </c>
      <c r="D168" s="93"/>
      <c r="E168" s="93"/>
      <c r="F168" s="94" t="s">
        <v>70</v>
      </c>
      <c r="G168" s="95">
        <v>0.3</v>
      </c>
      <c r="H168" s="95"/>
      <c r="I168" s="95">
        <v>1043.7</v>
      </c>
      <c r="J168" s="21">
        <v>12.07</v>
      </c>
      <c r="M168" s="22">
        <f>ROUND(ROUND(J168, 2)*I168, 2)</f>
        <v>12597.46</v>
      </c>
      <c r="P168" s="21">
        <v>12.07</v>
      </c>
      <c r="S168" s="22">
        <f>ROUND(ROUND(P168, 2)*I168, 2)</f>
        <v>12597.46</v>
      </c>
    </row>
    <row r="169" spans="1:21" ht="18" x14ac:dyDescent="0.3">
      <c r="A169" s="91" t="s">
        <v>740</v>
      </c>
      <c r="B169" s="91"/>
      <c r="C169" s="92" t="s">
        <v>741</v>
      </c>
      <c r="D169" s="93"/>
      <c r="E169" s="93"/>
      <c r="F169" s="94" t="s">
        <v>87</v>
      </c>
      <c r="G169" s="95">
        <v>1.1000000000000001</v>
      </c>
      <c r="H169" s="95"/>
      <c r="I169" s="95">
        <v>3826.9</v>
      </c>
      <c r="J169" s="21">
        <v>7</v>
      </c>
      <c r="M169" s="22">
        <f>ROUND(ROUND(J169, 2)*I169, 2)</f>
        <v>26788.3</v>
      </c>
      <c r="P169" s="21">
        <v>7</v>
      </c>
      <c r="S169" s="22">
        <f>ROUND(ROUND(P169, 2)*I169, 2)</f>
        <v>26788.3</v>
      </c>
    </row>
    <row r="170" spans="1:21" ht="54" x14ac:dyDescent="0.3">
      <c r="A170" s="91" t="s">
        <v>745</v>
      </c>
      <c r="B170" s="91" t="s">
        <v>746</v>
      </c>
      <c r="C170" s="97" t="s">
        <v>747</v>
      </c>
      <c r="D170" s="93"/>
      <c r="E170" s="93" t="s">
        <v>63</v>
      </c>
      <c r="F170" s="93" t="s">
        <v>64</v>
      </c>
      <c r="G170" s="98">
        <v>1</v>
      </c>
      <c r="H170" s="98"/>
      <c r="I170" s="98">
        <v>0</v>
      </c>
      <c r="J170" s="14">
        <f>IFERROR(ROUND(SUM(M171,M172,M173)/I170, 2),0)</f>
        <v>0</v>
      </c>
      <c r="K170" s="15">
        <v>826</v>
      </c>
      <c r="L170" s="14">
        <f>J170+ROUND(K170, 2)</f>
        <v>826</v>
      </c>
      <c r="M170" s="14">
        <f>ROUND(J170*I170, 2)</f>
        <v>0</v>
      </c>
      <c r="N170" s="14">
        <f>ROUND(I170*ROUND(K170, 2), 2)</f>
        <v>0</v>
      </c>
      <c r="O170" s="14">
        <f>M170+N170</f>
        <v>0</v>
      </c>
      <c r="P170" s="14">
        <f>IFERROR(ROUND(SUM(S171,S172,S173)/I170, 2),0)</f>
        <v>0</v>
      </c>
      <c r="Q170" s="15">
        <v>826</v>
      </c>
      <c r="R170" s="14">
        <f>P170+ROUND(Q170, 2)</f>
        <v>826</v>
      </c>
      <c r="S170" s="14">
        <f>ROUND(P170*I170, 2)</f>
        <v>0</v>
      </c>
      <c r="T170" s="14">
        <f>ROUND(I170*ROUND(Q170, 2), 2)</f>
        <v>0</v>
      </c>
      <c r="U170" s="14">
        <f>S170+T170</f>
        <v>0</v>
      </c>
    </row>
    <row r="171" spans="1:21" ht="36" x14ac:dyDescent="0.3">
      <c r="A171" s="91" t="s">
        <v>751</v>
      </c>
      <c r="B171" s="91"/>
      <c r="C171" s="96" t="s">
        <v>752</v>
      </c>
      <c r="D171" s="93"/>
      <c r="E171" s="93" t="s">
        <v>753</v>
      </c>
      <c r="F171" s="94" t="s">
        <v>70</v>
      </c>
      <c r="G171" s="95">
        <v>1</v>
      </c>
      <c r="H171" s="95"/>
      <c r="I171" s="95">
        <v>0</v>
      </c>
      <c r="J171" s="21">
        <v>7.59</v>
      </c>
      <c r="M171" s="22">
        <f>ROUND(ROUND(J171, 2)*I171, 2)</f>
        <v>0</v>
      </c>
      <c r="P171" s="21">
        <v>7.59</v>
      </c>
      <c r="S171" s="22">
        <f>ROUND(ROUND(P171, 2)*I171, 2)</f>
        <v>0</v>
      </c>
    </row>
    <row r="172" spans="1:21" ht="18" x14ac:dyDescent="0.3">
      <c r="A172" s="91" t="s">
        <v>759</v>
      </c>
      <c r="B172" s="91"/>
      <c r="C172" s="92" t="s">
        <v>760</v>
      </c>
      <c r="D172" s="93"/>
      <c r="E172" s="93"/>
      <c r="F172" s="94" t="s">
        <v>70</v>
      </c>
      <c r="G172" s="95">
        <v>0.25</v>
      </c>
      <c r="H172" s="95"/>
      <c r="I172" s="95">
        <v>0</v>
      </c>
      <c r="J172" s="21">
        <v>100</v>
      </c>
      <c r="M172" s="22">
        <f>ROUND(ROUND(J172, 2)*I172, 2)</f>
        <v>0</v>
      </c>
      <c r="P172" s="21">
        <v>100</v>
      </c>
      <c r="S172" s="22">
        <f>ROUND(ROUND(P172, 2)*I172, 2)</f>
        <v>0</v>
      </c>
    </row>
    <row r="173" spans="1:21" ht="18" x14ac:dyDescent="0.3">
      <c r="A173" s="91" t="s">
        <v>766</v>
      </c>
      <c r="B173" s="91"/>
      <c r="C173" s="92" t="s">
        <v>767</v>
      </c>
      <c r="D173" s="93"/>
      <c r="E173" s="93"/>
      <c r="F173" s="94" t="s">
        <v>87</v>
      </c>
      <c r="G173" s="95">
        <v>1.05</v>
      </c>
      <c r="H173" s="95"/>
      <c r="I173" s="95">
        <v>0</v>
      </c>
      <c r="J173" s="21">
        <v>15.76</v>
      </c>
      <c r="M173" s="22">
        <f>ROUND(ROUND(J173, 2)*I173, 2)</f>
        <v>0</v>
      </c>
      <c r="P173" s="21">
        <v>15.76</v>
      </c>
      <c r="S173" s="22">
        <f>ROUND(ROUND(P173, 2)*I173, 2)</f>
        <v>0</v>
      </c>
    </row>
    <row r="174" spans="1:21" ht="36" x14ac:dyDescent="0.3">
      <c r="A174" s="91" t="s">
        <v>773</v>
      </c>
      <c r="B174" s="91" t="s">
        <v>774</v>
      </c>
      <c r="C174" s="97" t="s">
        <v>775</v>
      </c>
      <c r="D174" s="93"/>
      <c r="E174" s="93" t="s">
        <v>776</v>
      </c>
      <c r="F174" s="93" t="s">
        <v>64</v>
      </c>
      <c r="G174" s="98">
        <v>1</v>
      </c>
      <c r="H174" s="98"/>
      <c r="I174" s="98">
        <v>0</v>
      </c>
      <c r="J174" s="14">
        <f>IFERROR(ROUND(SUM(M175,M176,M177,M178)/I174, 2),0)</f>
        <v>0</v>
      </c>
      <c r="K174" s="15">
        <v>329</v>
      </c>
      <c r="L174" s="14">
        <f>J174+ROUND(K174, 2)</f>
        <v>329</v>
      </c>
      <c r="M174" s="14">
        <f>ROUND(J174*I174, 2)</f>
        <v>0</v>
      </c>
      <c r="N174" s="14">
        <f>ROUND(I174*ROUND(K174, 2), 2)</f>
        <v>0</v>
      </c>
      <c r="O174" s="14">
        <f>M174+N174</f>
        <v>0</v>
      </c>
      <c r="P174" s="14">
        <f>IFERROR(ROUND(SUM(S175,S176,S177,S178)/I174, 2),0)</f>
        <v>0</v>
      </c>
      <c r="Q174" s="15">
        <v>329</v>
      </c>
      <c r="R174" s="14">
        <f>P174+ROUND(Q174, 2)</f>
        <v>329</v>
      </c>
      <c r="S174" s="14">
        <f>ROUND(P174*I174, 2)</f>
        <v>0</v>
      </c>
      <c r="T174" s="14">
        <f>ROUND(I174*ROUND(Q174, 2), 2)</f>
        <v>0</v>
      </c>
      <c r="U174" s="14">
        <f>S174+T174</f>
        <v>0</v>
      </c>
    </row>
    <row r="175" spans="1:21" ht="36" x14ac:dyDescent="0.3">
      <c r="A175" s="91" t="s">
        <v>781</v>
      </c>
      <c r="B175" s="91"/>
      <c r="C175" s="96" t="s">
        <v>736</v>
      </c>
      <c r="D175" s="93"/>
      <c r="E175" s="93" t="s">
        <v>782</v>
      </c>
      <c r="F175" s="94" t="s">
        <v>70</v>
      </c>
      <c r="G175" s="95">
        <v>1.8</v>
      </c>
      <c r="H175" s="95"/>
      <c r="I175" s="95">
        <v>0</v>
      </c>
      <c r="J175" s="21">
        <v>12.58</v>
      </c>
      <c r="M175" s="22">
        <f>ROUND(ROUND(J175, 2)*I175, 2)</f>
        <v>0</v>
      </c>
      <c r="P175" s="21">
        <v>12.58</v>
      </c>
      <c r="S175" s="22">
        <f>ROUND(ROUND(P175, 2)*I175, 2)</f>
        <v>0</v>
      </c>
    </row>
    <row r="176" spans="1:21" ht="18" x14ac:dyDescent="0.3">
      <c r="A176" s="91" t="s">
        <v>788</v>
      </c>
      <c r="B176" s="91"/>
      <c r="C176" s="92" t="s">
        <v>789</v>
      </c>
      <c r="D176" s="93"/>
      <c r="E176" s="93"/>
      <c r="F176" s="94" t="s">
        <v>116</v>
      </c>
      <c r="G176" s="95">
        <v>0.3</v>
      </c>
      <c r="H176" s="95"/>
      <c r="I176" s="95">
        <v>0</v>
      </c>
      <c r="J176" s="21">
        <v>73.099999999999994</v>
      </c>
      <c r="M176" s="22">
        <f>ROUND(ROUND(J176, 2)*I176, 2)</f>
        <v>0</v>
      </c>
      <c r="P176" s="21">
        <v>73.099999999999994</v>
      </c>
      <c r="S176" s="22">
        <f>ROUND(ROUND(P176, 2)*I176, 2)</f>
        <v>0</v>
      </c>
    </row>
    <row r="177" spans="1:21" ht="18" x14ac:dyDescent="0.3">
      <c r="A177" s="91" t="s">
        <v>795</v>
      </c>
      <c r="B177" s="91"/>
      <c r="C177" s="92" t="s">
        <v>796</v>
      </c>
      <c r="D177" s="93"/>
      <c r="E177" s="93"/>
      <c r="F177" s="94" t="s">
        <v>87</v>
      </c>
      <c r="G177" s="95">
        <v>1</v>
      </c>
      <c r="H177" s="95"/>
      <c r="I177" s="95">
        <v>0</v>
      </c>
      <c r="J177" s="21">
        <v>7</v>
      </c>
      <c r="M177" s="22">
        <f>ROUND(ROUND(J177, 2)*I177, 2)</f>
        <v>0</v>
      </c>
      <c r="P177" s="21">
        <v>7</v>
      </c>
      <c r="S177" s="22">
        <f>ROUND(ROUND(P177, 2)*I177, 2)</f>
        <v>0</v>
      </c>
    </row>
    <row r="178" spans="1:21" ht="18" x14ac:dyDescent="0.3">
      <c r="A178" s="91" t="s">
        <v>802</v>
      </c>
      <c r="B178" s="91"/>
      <c r="C178" s="92" t="s">
        <v>433</v>
      </c>
      <c r="D178" s="93"/>
      <c r="E178" s="93"/>
      <c r="F178" s="94" t="s">
        <v>70</v>
      </c>
      <c r="G178" s="95">
        <v>0.15</v>
      </c>
      <c r="H178" s="95"/>
      <c r="I178" s="95">
        <v>0</v>
      </c>
      <c r="J178" s="21">
        <v>88.8</v>
      </c>
      <c r="M178" s="22">
        <f>ROUND(ROUND(J178, 2)*I178, 2)</f>
        <v>0</v>
      </c>
      <c r="P178" s="21">
        <v>88.8</v>
      </c>
      <c r="S178" s="22">
        <f>ROUND(ROUND(P178, 2)*I178, 2)</f>
        <v>0</v>
      </c>
    </row>
    <row r="179" spans="1:21" ht="36" x14ac:dyDescent="0.3">
      <c r="A179" s="91" t="s">
        <v>807</v>
      </c>
      <c r="B179" s="91" t="s">
        <v>774</v>
      </c>
      <c r="C179" s="97" t="s">
        <v>775</v>
      </c>
      <c r="D179" s="93"/>
      <c r="E179" s="93" t="s">
        <v>808</v>
      </c>
      <c r="F179" s="93" t="s">
        <v>64</v>
      </c>
      <c r="G179" s="98">
        <v>1</v>
      </c>
      <c r="H179" s="98"/>
      <c r="I179" s="98">
        <v>0</v>
      </c>
      <c r="J179" s="14">
        <f>IFERROR(ROUND(SUM(M180,M181)/I179, 2),0)</f>
        <v>0</v>
      </c>
      <c r="K179" s="15">
        <v>329</v>
      </c>
      <c r="L179" s="14">
        <f>J179+ROUND(K179, 2)</f>
        <v>329</v>
      </c>
      <c r="M179" s="14">
        <f>ROUND(J179*I179, 2)</f>
        <v>0</v>
      </c>
      <c r="N179" s="14">
        <f>ROUND(I179*ROUND(K179, 2), 2)</f>
        <v>0</v>
      </c>
      <c r="O179" s="14">
        <f>M179+N179</f>
        <v>0</v>
      </c>
      <c r="P179" s="14">
        <f>IFERROR(ROUND(SUM(S180,S181)/I179, 2),0)</f>
        <v>0</v>
      </c>
      <c r="Q179" s="15">
        <v>329</v>
      </c>
      <c r="R179" s="14">
        <f>P179+ROUND(Q179, 2)</f>
        <v>329</v>
      </c>
      <c r="S179" s="14">
        <f>ROUND(P179*I179, 2)</f>
        <v>0</v>
      </c>
      <c r="T179" s="14">
        <f>ROUND(I179*ROUND(Q179, 2), 2)</f>
        <v>0</v>
      </c>
      <c r="U179" s="14">
        <f>S179+T179</f>
        <v>0</v>
      </c>
    </row>
    <row r="180" spans="1:21" ht="18" x14ac:dyDescent="0.3">
      <c r="A180" s="91" t="s">
        <v>811</v>
      </c>
      <c r="B180" s="91"/>
      <c r="C180" s="92" t="s">
        <v>433</v>
      </c>
      <c r="D180" s="93"/>
      <c r="E180" s="93"/>
      <c r="F180" s="94" t="s">
        <v>70</v>
      </c>
      <c r="G180" s="95">
        <v>0.15</v>
      </c>
      <c r="H180" s="95"/>
      <c r="I180" s="95">
        <v>0</v>
      </c>
      <c r="J180" s="21">
        <v>88.8</v>
      </c>
      <c r="M180" s="22">
        <f>ROUND(ROUND(J180, 2)*I180, 2)</f>
        <v>0</v>
      </c>
      <c r="P180" s="21">
        <v>88.8</v>
      </c>
      <c r="S180" s="22">
        <f>ROUND(ROUND(P180, 2)*I180, 2)</f>
        <v>0</v>
      </c>
    </row>
    <row r="181" spans="1:21" ht="36" x14ac:dyDescent="0.3">
      <c r="A181" s="91" t="s">
        <v>816</v>
      </c>
      <c r="B181" s="91"/>
      <c r="C181" s="96" t="s">
        <v>736</v>
      </c>
      <c r="D181" s="93"/>
      <c r="E181" s="93" t="s">
        <v>817</v>
      </c>
      <c r="F181" s="94" t="s">
        <v>70</v>
      </c>
      <c r="G181" s="95">
        <v>1.8</v>
      </c>
      <c r="H181" s="95"/>
      <c r="I181" s="95">
        <v>0</v>
      </c>
      <c r="J181" s="21">
        <v>12.58</v>
      </c>
      <c r="M181" s="22">
        <f>ROUND(ROUND(J181, 2)*I181, 2)</f>
        <v>0</v>
      </c>
      <c r="P181" s="21">
        <v>12.58</v>
      </c>
      <c r="S181" s="22">
        <f>ROUND(ROUND(P181, 2)*I181, 2)</f>
        <v>0</v>
      </c>
    </row>
    <row r="182" spans="1:21" ht="34.799999999999997" x14ac:dyDescent="0.3">
      <c r="A182" s="74" t="s">
        <v>822</v>
      </c>
      <c r="B182" s="74" t="s">
        <v>823</v>
      </c>
      <c r="C182" s="75" t="s">
        <v>824</v>
      </c>
      <c r="D182" s="76"/>
      <c r="E182" s="76" t="s">
        <v>825</v>
      </c>
      <c r="F182" s="76" t="s">
        <v>64</v>
      </c>
      <c r="G182" s="77">
        <v>1</v>
      </c>
      <c r="H182" s="77"/>
      <c r="I182" s="77">
        <v>8128.4</v>
      </c>
      <c r="J182" s="14">
        <f>IFERROR(ROUND(SUM(M183,M184)/I182, 2),0)</f>
        <v>73.319999999999993</v>
      </c>
      <c r="K182" s="15">
        <v>508</v>
      </c>
      <c r="L182" s="14">
        <f>J182+ROUND(K182, 2)</f>
        <v>581.31999999999994</v>
      </c>
      <c r="M182" s="14">
        <f>ROUND(J182*I182, 2)</f>
        <v>595974.29</v>
      </c>
      <c r="N182" s="14">
        <f>ROUND(I182*ROUND(K182, 2), 2)</f>
        <v>4129227.2</v>
      </c>
      <c r="O182" s="14">
        <f>M182+N182</f>
        <v>4725201.49</v>
      </c>
      <c r="P182" s="14">
        <f>IFERROR(ROUND(SUM(S183,S184)/I182, 2),0)</f>
        <v>26.02</v>
      </c>
      <c r="Q182" s="15">
        <v>508</v>
      </c>
      <c r="R182" s="14">
        <f>P182+ROUND(Q182, 2)</f>
        <v>534.02</v>
      </c>
      <c r="S182" s="14">
        <f>ROUND(P182*I182, 2)</f>
        <v>211500.97</v>
      </c>
      <c r="T182" s="14">
        <f>ROUND(I182*ROUND(Q182, 2), 2)</f>
        <v>4129227.2</v>
      </c>
      <c r="U182" s="14">
        <f>S182+T182</f>
        <v>4340728.17</v>
      </c>
    </row>
    <row r="183" spans="1:21" ht="36" x14ac:dyDescent="0.3">
      <c r="A183" s="91" t="s">
        <v>828</v>
      </c>
      <c r="B183" s="91"/>
      <c r="C183" s="92" t="s">
        <v>829</v>
      </c>
      <c r="D183" s="93"/>
      <c r="E183" s="93"/>
      <c r="F183" s="94" t="s">
        <v>70</v>
      </c>
      <c r="G183" s="95">
        <v>1</v>
      </c>
      <c r="H183" s="95"/>
      <c r="I183" s="95">
        <v>8128.4</v>
      </c>
      <c r="J183" s="90">
        <v>60</v>
      </c>
      <c r="M183" s="22">
        <f>ROUND(ROUND(J183, 2)*I183, 2)</f>
        <v>487704</v>
      </c>
      <c r="P183" s="21">
        <v>12.7</v>
      </c>
      <c r="S183" s="22">
        <f>ROUND(ROUND(P183, 2)*I183, 2)</f>
        <v>103230.68</v>
      </c>
    </row>
    <row r="184" spans="1:21" ht="18" x14ac:dyDescent="0.3">
      <c r="A184" s="91" t="s">
        <v>833</v>
      </c>
      <c r="B184" s="91"/>
      <c r="C184" s="92" t="s">
        <v>433</v>
      </c>
      <c r="D184" s="93"/>
      <c r="E184" s="93"/>
      <c r="F184" s="94" t="s">
        <v>70</v>
      </c>
      <c r="G184" s="95">
        <v>0.15</v>
      </c>
      <c r="H184" s="95"/>
      <c r="I184" s="95">
        <v>1219.26</v>
      </c>
      <c r="J184" s="90">
        <v>88.8</v>
      </c>
      <c r="M184" s="22">
        <f>ROUND(ROUND(J184, 2)*I184, 2)</f>
        <v>108270.29</v>
      </c>
      <c r="P184" s="21">
        <v>88.8</v>
      </c>
      <c r="S184" s="22">
        <f>ROUND(ROUND(P184, 2)*I184, 2)</f>
        <v>108270.29</v>
      </c>
    </row>
    <row r="185" spans="1:21" ht="34.799999999999997" x14ac:dyDescent="0.3">
      <c r="A185" s="74" t="s">
        <v>836</v>
      </c>
      <c r="B185" s="74" t="s">
        <v>823</v>
      </c>
      <c r="C185" s="75" t="s">
        <v>824</v>
      </c>
      <c r="D185" s="76"/>
      <c r="E185" s="76" t="s">
        <v>837</v>
      </c>
      <c r="F185" s="76" t="s">
        <v>64</v>
      </c>
      <c r="G185" s="77">
        <v>1</v>
      </c>
      <c r="H185" s="77"/>
      <c r="I185" s="77">
        <v>7374</v>
      </c>
      <c r="J185" s="14">
        <f>IFERROR(ROUND(SUM(M186,M187)/I185, 2),0)</f>
        <v>73.319999999999993</v>
      </c>
      <c r="K185" s="15">
        <v>508</v>
      </c>
      <c r="L185" s="14">
        <f>J185+ROUND(K185, 2)</f>
        <v>581.31999999999994</v>
      </c>
      <c r="M185" s="14">
        <f>ROUND(J185*I185, 2)</f>
        <v>540661.68000000005</v>
      </c>
      <c r="N185" s="14">
        <f>ROUND(I185*ROUND(K185, 2), 2)</f>
        <v>3745992</v>
      </c>
      <c r="O185" s="14">
        <f>M185+N185</f>
        <v>4286653.68</v>
      </c>
      <c r="P185" s="14">
        <f>IFERROR(ROUND(SUM(S186,S187)/I185, 2),0)</f>
        <v>26.02</v>
      </c>
      <c r="Q185" s="15">
        <v>508</v>
      </c>
      <c r="R185" s="14">
        <f>P185+ROUND(Q185, 2)</f>
        <v>534.02</v>
      </c>
      <c r="S185" s="14">
        <f>ROUND(P185*I185, 2)</f>
        <v>191871.48</v>
      </c>
      <c r="T185" s="14">
        <f>ROUND(I185*ROUND(Q185, 2), 2)</f>
        <v>3745992</v>
      </c>
      <c r="U185" s="14">
        <f>S185+T185</f>
        <v>3937863.48</v>
      </c>
    </row>
    <row r="186" spans="1:21" ht="18" x14ac:dyDescent="0.3">
      <c r="A186" s="91" t="s">
        <v>838</v>
      </c>
      <c r="B186" s="91"/>
      <c r="C186" s="92" t="s">
        <v>433</v>
      </c>
      <c r="D186" s="93"/>
      <c r="E186" s="93"/>
      <c r="F186" s="94" t="s">
        <v>70</v>
      </c>
      <c r="G186" s="95">
        <v>0.15</v>
      </c>
      <c r="H186" s="95"/>
      <c r="I186" s="95">
        <v>1106.0999999999999</v>
      </c>
      <c r="J186" s="90">
        <v>88.8</v>
      </c>
      <c r="M186" s="22">
        <f>ROUND(ROUND(J186, 2)*I186, 2)</f>
        <v>98221.68</v>
      </c>
      <c r="P186" s="21">
        <v>88.8</v>
      </c>
      <c r="S186" s="22">
        <f>ROUND(ROUND(P186, 2)*I186, 2)</f>
        <v>98221.68</v>
      </c>
    </row>
    <row r="187" spans="1:21" ht="36" x14ac:dyDescent="0.3">
      <c r="A187" s="91" t="s">
        <v>841</v>
      </c>
      <c r="B187" s="91"/>
      <c r="C187" s="92" t="s">
        <v>829</v>
      </c>
      <c r="D187" s="93"/>
      <c r="E187" s="93"/>
      <c r="F187" s="94" t="s">
        <v>70</v>
      </c>
      <c r="G187" s="95">
        <v>1</v>
      </c>
      <c r="H187" s="95"/>
      <c r="I187" s="95">
        <v>7374</v>
      </c>
      <c r="J187" s="90">
        <v>60</v>
      </c>
      <c r="M187" s="22">
        <f>ROUND(ROUND(J187, 2)*I187, 2)</f>
        <v>442440</v>
      </c>
      <c r="P187" s="21">
        <v>12.7</v>
      </c>
      <c r="S187" s="22">
        <f>ROUND(ROUND(P187, 2)*I187, 2)</f>
        <v>93649.8</v>
      </c>
    </row>
    <row r="188" spans="1:21" ht="34.799999999999997" x14ac:dyDescent="0.3">
      <c r="A188" s="74" t="s">
        <v>844</v>
      </c>
      <c r="B188" s="74" t="s">
        <v>823</v>
      </c>
      <c r="C188" s="75" t="s">
        <v>824</v>
      </c>
      <c r="D188" s="76"/>
      <c r="E188" s="76" t="s">
        <v>845</v>
      </c>
      <c r="F188" s="76" t="s">
        <v>64</v>
      </c>
      <c r="G188" s="77">
        <v>1</v>
      </c>
      <c r="H188" s="77"/>
      <c r="I188" s="77">
        <v>8128.4</v>
      </c>
      <c r="J188" s="14">
        <f>IFERROR(ROUND(SUM(M189,M190)/I188, 2),0)</f>
        <v>35.049999999999997</v>
      </c>
      <c r="K188" s="15">
        <v>508</v>
      </c>
      <c r="L188" s="14">
        <f>J188+ROUND(K188, 2)</f>
        <v>543.04999999999995</v>
      </c>
      <c r="M188" s="14">
        <f>ROUND(J188*I188, 2)</f>
        <v>284900.42</v>
      </c>
      <c r="N188" s="14">
        <f>ROUND(I188*ROUND(K188, 2), 2)</f>
        <v>4129227.2</v>
      </c>
      <c r="O188" s="14">
        <f>M188+N188</f>
        <v>4414127.62</v>
      </c>
      <c r="P188" s="14">
        <f>IFERROR(ROUND(SUM(S189,S190)/I188, 2),0)</f>
        <v>35.049999999999997</v>
      </c>
      <c r="Q188" s="15">
        <v>508</v>
      </c>
      <c r="R188" s="14">
        <f>P188+ROUND(Q188, 2)</f>
        <v>543.04999999999995</v>
      </c>
      <c r="S188" s="14">
        <f>ROUND(P188*I188, 2)</f>
        <v>284900.42</v>
      </c>
      <c r="T188" s="14">
        <f>ROUND(I188*ROUND(Q188, 2), 2)</f>
        <v>4129227.2</v>
      </c>
      <c r="U188" s="14">
        <f>S188+T188</f>
        <v>4414127.62</v>
      </c>
    </row>
    <row r="189" spans="1:21" ht="36" x14ac:dyDescent="0.3">
      <c r="A189" s="10" t="s">
        <v>846</v>
      </c>
      <c r="B189" s="10"/>
      <c r="C189" s="17" t="s">
        <v>736</v>
      </c>
      <c r="D189" s="12"/>
      <c r="E189" s="12"/>
      <c r="F189" s="18" t="s">
        <v>70</v>
      </c>
      <c r="G189" s="19">
        <v>1.8</v>
      </c>
      <c r="H189" s="19"/>
      <c r="I189" s="19">
        <v>14631.12</v>
      </c>
      <c r="J189" s="21">
        <v>12.07</v>
      </c>
      <c r="M189" s="22">
        <f>ROUND(ROUND(J189, 2)*I189, 2)</f>
        <v>176597.62</v>
      </c>
      <c r="P189" s="21">
        <v>12.07</v>
      </c>
      <c r="S189" s="22">
        <f>ROUND(ROUND(P189, 2)*I189, 2)</f>
        <v>176597.62</v>
      </c>
    </row>
    <row r="190" spans="1:21" ht="18" x14ac:dyDescent="0.3">
      <c r="A190" s="10" t="s">
        <v>849</v>
      </c>
      <c r="B190" s="10"/>
      <c r="C190" s="24" t="s">
        <v>433</v>
      </c>
      <c r="D190" s="12"/>
      <c r="E190" s="12"/>
      <c r="F190" s="18" t="s">
        <v>70</v>
      </c>
      <c r="G190" s="19">
        <v>0.15</v>
      </c>
      <c r="H190" s="19"/>
      <c r="I190" s="19">
        <v>1219.26</v>
      </c>
      <c r="J190" s="21">
        <v>88.8</v>
      </c>
      <c r="M190" s="22">
        <f>ROUND(ROUND(J190, 2)*I190, 2)</f>
        <v>108270.29</v>
      </c>
      <c r="P190" s="21">
        <v>88.8</v>
      </c>
      <c r="S190" s="22">
        <f>ROUND(ROUND(P190, 2)*I190, 2)</f>
        <v>108270.29</v>
      </c>
    </row>
    <row r="191" spans="1:21" ht="34.799999999999997" x14ac:dyDescent="0.3">
      <c r="A191" s="74" t="s">
        <v>852</v>
      </c>
      <c r="B191" s="74" t="s">
        <v>823</v>
      </c>
      <c r="C191" s="75" t="s">
        <v>824</v>
      </c>
      <c r="D191" s="76"/>
      <c r="E191" s="76" t="s">
        <v>853</v>
      </c>
      <c r="F191" s="76" t="s">
        <v>64</v>
      </c>
      <c r="G191" s="77">
        <v>1</v>
      </c>
      <c r="H191" s="77"/>
      <c r="I191" s="77">
        <v>7374</v>
      </c>
      <c r="J191" s="14">
        <f>IFERROR(ROUND(SUM(M192,M193)/I191, 2),0)</f>
        <v>35.049999999999997</v>
      </c>
      <c r="K191" s="15">
        <v>508</v>
      </c>
      <c r="L191" s="14">
        <f>J191+ROUND(K191, 2)</f>
        <v>543.04999999999995</v>
      </c>
      <c r="M191" s="14">
        <f>ROUND(J191*I191, 2)</f>
        <v>258458.7</v>
      </c>
      <c r="N191" s="14">
        <f>ROUND(I191*ROUND(K191, 2), 2)</f>
        <v>3745992</v>
      </c>
      <c r="O191" s="14">
        <f>M191+N191</f>
        <v>4004450.7</v>
      </c>
      <c r="P191" s="14">
        <f>IFERROR(ROUND(SUM(S192,S193)/I191, 2),0)</f>
        <v>35.049999999999997</v>
      </c>
      <c r="Q191" s="15">
        <v>508</v>
      </c>
      <c r="R191" s="14">
        <f>P191+ROUND(Q191, 2)</f>
        <v>543.04999999999995</v>
      </c>
      <c r="S191" s="14">
        <f>ROUND(P191*I191, 2)</f>
        <v>258458.7</v>
      </c>
      <c r="T191" s="14">
        <f>ROUND(I191*ROUND(Q191, 2), 2)</f>
        <v>3745992</v>
      </c>
      <c r="U191" s="14">
        <f>S191+T191</f>
        <v>4004450.7</v>
      </c>
    </row>
    <row r="192" spans="1:21" ht="18" x14ac:dyDescent="0.3">
      <c r="A192" s="91" t="s">
        <v>854</v>
      </c>
      <c r="B192" s="91"/>
      <c r="C192" s="92" t="s">
        <v>433</v>
      </c>
      <c r="D192" s="93"/>
      <c r="E192" s="93"/>
      <c r="F192" s="94" t="s">
        <v>70</v>
      </c>
      <c r="G192" s="95">
        <v>0.15</v>
      </c>
      <c r="H192" s="95"/>
      <c r="I192" s="95">
        <v>1106.0999999999999</v>
      </c>
      <c r="J192" s="90">
        <v>88.8</v>
      </c>
      <c r="K192" s="101"/>
      <c r="L192" s="101"/>
      <c r="M192" s="102">
        <f>ROUND(ROUND(J192, 2)*I192, 2)</f>
        <v>98221.68</v>
      </c>
      <c r="N192" s="101"/>
      <c r="O192" s="101"/>
      <c r="P192" s="21">
        <v>88.8</v>
      </c>
      <c r="S192" s="22">
        <f>ROUND(ROUND(P192, 2)*I192, 2)</f>
        <v>98221.68</v>
      </c>
    </row>
    <row r="193" spans="1:21" ht="36" x14ac:dyDescent="0.3">
      <c r="A193" s="91" t="s">
        <v>857</v>
      </c>
      <c r="B193" s="91"/>
      <c r="C193" s="96" t="s">
        <v>736</v>
      </c>
      <c r="D193" s="93"/>
      <c r="E193" s="93"/>
      <c r="F193" s="94" t="s">
        <v>70</v>
      </c>
      <c r="G193" s="95">
        <v>1.8</v>
      </c>
      <c r="H193" s="95"/>
      <c r="I193" s="95">
        <v>13273.2</v>
      </c>
      <c r="J193" s="90">
        <v>12.07</v>
      </c>
      <c r="K193" s="101"/>
      <c r="L193" s="101"/>
      <c r="M193" s="102">
        <f>ROUND(ROUND(J193, 2)*I193, 2)</f>
        <v>160207.51999999999</v>
      </c>
      <c r="N193" s="101"/>
      <c r="O193" s="101"/>
      <c r="P193" s="21">
        <v>12.07</v>
      </c>
      <c r="S193" s="22">
        <f>ROUND(ROUND(P193, 2)*I193, 2)</f>
        <v>160207.51999999999</v>
      </c>
    </row>
    <row r="194" spans="1:21" ht="54" x14ac:dyDescent="0.3">
      <c r="A194" s="91" t="s">
        <v>860</v>
      </c>
      <c r="B194" s="91" t="s">
        <v>861</v>
      </c>
      <c r="C194" s="97" t="s">
        <v>862</v>
      </c>
      <c r="D194" s="93"/>
      <c r="E194" s="93" t="s">
        <v>63</v>
      </c>
      <c r="F194" s="93" t="s">
        <v>64</v>
      </c>
      <c r="G194" s="98">
        <v>1</v>
      </c>
      <c r="H194" s="98"/>
      <c r="I194" s="98">
        <v>0</v>
      </c>
      <c r="J194" s="99">
        <f>IFERROR(ROUND(SUM(M195,M196,M197,M198)/I194, 2),0)</f>
        <v>0</v>
      </c>
      <c r="K194" s="100">
        <v>873</v>
      </c>
      <c r="L194" s="99">
        <f>J194+ROUND(K194, 2)</f>
        <v>873</v>
      </c>
      <c r="M194" s="99">
        <f>ROUND(J194*I194, 2)</f>
        <v>0</v>
      </c>
      <c r="N194" s="99">
        <f>ROUND(I194*ROUND(K194, 2), 2)</f>
        <v>0</v>
      </c>
      <c r="O194" s="99">
        <f>M194+N194</f>
        <v>0</v>
      </c>
      <c r="P194" s="14">
        <f>IFERROR(ROUND(SUM(S195,S196,S197,S198)/I194, 2),0)</f>
        <v>0</v>
      </c>
      <c r="Q194" s="15">
        <v>873</v>
      </c>
      <c r="R194" s="14">
        <f>P194+ROUND(Q194, 2)</f>
        <v>873</v>
      </c>
      <c r="S194" s="14">
        <f>ROUND(P194*I194, 2)</f>
        <v>0</v>
      </c>
      <c r="T194" s="14">
        <f>ROUND(I194*ROUND(Q194, 2), 2)</f>
        <v>0</v>
      </c>
      <c r="U194" s="14">
        <f>S194+T194</f>
        <v>0</v>
      </c>
    </row>
    <row r="195" spans="1:21" ht="36" x14ac:dyDescent="0.3">
      <c r="A195" s="91" t="s">
        <v>866</v>
      </c>
      <c r="B195" s="91"/>
      <c r="C195" s="92" t="s">
        <v>867</v>
      </c>
      <c r="D195" s="93"/>
      <c r="E195" s="93" t="s">
        <v>868</v>
      </c>
      <c r="F195" s="94" t="s">
        <v>70</v>
      </c>
      <c r="G195" s="95">
        <v>1.3</v>
      </c>
      <c r="H195" s="95"/>
      <c r="I195" s="95">
        <v>0</v>
      </c>
      <c r="J195" s="90">
        <v>8.6</v>
      </c>
      <c r="K195" s="101"/>
      <c r="L195" s="101"/>
      <c r="M195" s="102">
        <f>ROUND(ROUND(J195, 2)*I195, 2)</f>
        <v>0</v>
      </c>
      <c r="N195" s="101"/>
      <c r="O195" s="101"/>
      <c r="P195" s="21">
        <v>8.6</v>
      </c>
      <c r="S195" s="22">
        <f>ROUND(ROUND(P195, 2)*I195, 2)</f>
        <v>0</v>
      </c>
    </row>
    <row r="196" spans="1:21" ht="18" x14ac:dyDescent="0.3">
      <c r="A196" s="91" t="s">
        <v>874</v>
      </c>
      <c r="B196" s="91"/>
      <c r="C196" s="92" t="s">
        <v>875</v>
      </c>
      <c r="D196" s="93"/>
      <c r="E196" s="93"/>
      <c r="F196" s="94" t="s">
        <v>64</v>
      </c>
      <c r="G196" s="95">
        <v>1.1000000000000001</v>
      </c>
      <c r="H196" s="95"/>
      <c r="I196" s="95">
        <v>0</v>
      </c>
      <c r="J196" s="90">
        <v>26</v>
      </c>
      <c r="K196" s="101"/>
      <c r="L196" s="101"/>
      <c r="M196" s="102">
        <f>ROUND(ROUND(J196, 2)*I196, 2)</f>
        <v>0</v>
      </c>
      <c r="N196" s="101"/>
      <c r="O196" s="101"/>
      <c r="P196" s="21">
        <v>26</v>
      </c>
      <c r="S196" s="22">
        <f>ROUND(ROUND(P196, 2)*I196, 2)</f>
        <v>0</v>
      </c>
    </row>
    <row r="197" spans="1:21" ht="18" x14ac:dyDescent="0.3">
      <c r="A197" s="91" t="s">
        <v>881</v>
      </c>
      <c r="B197" s="91"/>
      <c r="C197" s="92" t="s">
        <v>767</v>
      </c>
      <c r="D197" s="93"/>
      <c r="E197" s="93"/>
      <c r="F197" s="94" t="s">
        <v>87</v>
      </c>
      <c r="G197" s="95">
        <v>1</v>
      </c>
      <c r="H197" s="95"/>
      <c r="I197" s="95">
        <v>0</v>
      </c>
      <c r="J197" s="90">
        <v>15.76</v>
      </c>
      <c r="K197" s="101"/>
      <c r="L197" s="101"/>
      <c r="M197" s="102">
        <f>ROUND(ROUND(J197, 2)*I197, 2)</f>
        <v>0</v>
      </c>
      <c r="N197" s="101"/>
      <c r="O197" s="101"/>
      <c r="P197" s="21">
        <v>15.76</v>
      </c>
      <c r="S197" s="22">
        <f>ROUND(ROUND(P197, 2)*I197, 2)</f>
        <v>0</v>
      </c>
    </row>
    <row r="198" spans="1:21" ht="18" x14ac:dyDescent="0.3">
      <c r="A198" s="91" t="s">
        <v>886</v>
      </c>
      <c r="B198" s="91"/>
      <c r="C198" s="92" t="s">
        <v>760</v>
      </c>
      <c r="D198" s="93"/>
      <c r="E198" s="93"/>
      <c r="F198" s="94" t="s">
        <v>70</v>
      </c>
      <c r="G198" s="95">
        <v>0.25</v>
      </c>
      <c r="H198" s="95"/>
      <c r="I198" s="95">
        <v>0</v>
      </c>
      <c r="J198" s="90">
        <v>100</v>
      </c>
      <c r="K198" s="101"/>
      <c r="L198" s="101"/>
      <c r="M198" s="102">
        <f>ROUND(ROUND(J198, 2)*I198, 2)</f>
        <v>0</v>
      </c>
      <c r="N198" s="101"/>
      <c r="O198" s="101"/>
      <c r="P198" s="21">
        <v>100</v>
      </c>
      <c r="S198" s="22">
        <f>ROUND(ROUND(P198, 2)*I198, 2)</f>
        <v>0</v>
      </c>
    </row>
    <row r="199" spans="1:21" ht="94.5" customHeight="1" x14ac:dyDescent="0.3">
      <c r="A199" s="74" t="s">
        <v>891</v>
      </c>
      <c r="B199" s="74" t="s">
        <v>892</v>
      </c>
      <c r="C199" s="75" t="s">
        <v>893</v>
      </c>
      <c r="D199" s="76"/>
      <c r="E199" s="76" t="s">
        <v>894</v>
      </c>
      <c r="F199" s="76" t="s">
        <v>64</v>
      </c>
      <c r="G199" s="77">
        <v>1</v>
      </c>
      <c r="H199" s="77"/>
      <c r="I199" s="77">
        <v>174.8</v>
      </c>
      <c r="J199" s="14">
        <f>IFERROR(ROUND(SUM(M200,M201,M202,M203)/I199, 2),0)</f>
        <v>460.66</v>
      </c>
      <c r="K199" s="15">
        <v>1067</v>
      </c>
      <c r="L199" s="14">
        <f>J199+ROUND(K199, 2)</f>
        <v>1527.66</v>
      </c>
      <c r="M199" s="14">
        <f>ROUND(J199*I199, 2)</f>
        <v>80523.37</v>
      </c>
      <c r="N199" s="14">
        <f>ROUND(I199*ROUND(K199, 2), 2)</f>
        <v>186511.6</v>
      </c>
      <c r="O199" s="14">
        <f>M199+N199</f>
        <v>267034.96999999997</v>
      </c>
      <c r="P199" s="14">
        <f>IFERROR(ROUND(SUM(S200,S201,S202,S203)/I199, 2),0)</f>
        <v>460.66</v>
      </c>
      <c r="Q199" s="15">
        <v>1067</v>
      </c>
      <c r="R199" s="14">
        <f>P199+ROUND(Q199, 2)</f>
        <v>1527.66</v>
      </c>
      <c r="S199" s="14">
        <f>ROUND(P199*I199, 2)</f>
        <v>80523.37</v>
      </c>
      <c r="T199" s="14">
        <f>ROUND(I199*ROUND(Q199, 2), 2)</f>
        <v>186511.6</v>
      </c>
      <c r="U199" s="14">
        <f>S199+T199</f>
        <v>267034.96999999997</v>
      </c>
    </row>
    <row r="200" spans="1:21" ht="18" x14ac:dyDescent="0.3">
      <c r="A200" s="91" t="s">
        <v>897</v>
      </c>
      <c r="B200" s="91"/>
      <c r="C200" s="92" t="s">
        <v>867</v>
      </c>
      <c r="D200" s="93"/>
      <c r="E200" s="93"/>
      <c r="F200" s="94" t="s">
        <v>70</v>
      </c>
      <c r="G200" s="95">
        <v>1.3</v>
      </c>
      <c r="H200" s="95"/>
      <c r="I200" s="95">
        <v>7953.4</v>
      </c>
      <c r="J200" s="90">
        <v>8.6</v>
      </c>
      <c r="M200" s="22">
        <f>ROUND(ROUND(J200, 2)*I200, 2)</f>
        <v>68399.240000000005</v>
      </c>
      <c r="P200" s="21">
        <v>8.6</v>
      </c>
      <c r="S200" s="22">
        <f>ROUND(ROUND(P200, 2)*I200, 2)</f>
        <v>68399.240000000005</v>
      </c>
    </row>
    <row r="201" spans="1:21" ht="18" x14ac:dyDescent="0.3">
      <c r="A201" s="91" t="s">
        <v>900</v>
      </c>
      <c r="B201" s="91"/>
      <c r="C201" s="92" t="s">
        <v>875</v>
      </c>
      <c r="D201" s="93"/>
      <c r="E201" s="93"/>
      <c r="F201" s="94" t="s">
        <v>64</v>
      </c>
      <c r="G201" s="95">
        <v>1.1000000000000001</v>
      </c>
      <c r="H201" s="95"/>
      <c r="I201" s="95">
        <v>192.28</v>
      </c>
      <c r="J201" s="90">
        <v>26</v>
      </c>
      <c r="M201" s="22">
        <f>ROUND(ROUND(J201, 2)*I201, 2)</f>
        <v>4999.28</v>
      </c>
      <c r="P201" s="21">
        <v>26</v>
      </c>
      <c r="S201" s="22">
        <f>ROUND(ROUND(P201, 2)*I201, 2)</f>
        <v>4999.28</v>
      </c>
    </row>
    <row r="202" spans="1:21" ht="18" x14ac:dyDescent="0.3">
      <c r="A202" s="91" t="s">
        <v>903</v>
      </c>
      <c r="B202" s="91"/>
      <c r="C202" s="92" t="s">
        <v>767</v>
      </c>
      <c r="D202" s="93"/>
      <c r="E202" s="93"/>
      <c r="F202" s="94" t="s">
        <v>87</v>
      </c>
      <c r="G202" s="95">
        <v>1</v>
      </c>
      <c r="H202" s="95"/>
      <c r="I202" s="95">
        <v>174.8</v>
      </c>
      <c r="J202" s="90">
        <v>15.76</v>
      </c>
      <c r="M202" s="22">
        <f>ROUND(ROUND(J202, 2)*I202, 2)</f>
        <v>2754.85</v>
      </c>
      <c r="P202" s="21">
        <v>15.76</v>
      </c>
      <c r="S202" s="22">
        <f>ROUND(ROUND(P202, 2)*I202, 2)</f>
        <v>2754.85</v>
      </c>
    </row>
    <row r="203" spans="1:21" ht="18" x14ac:dyDescent="0.3">
      <c r="A203" s="91" t="s">
        <v>906</v>
      </c>
      <c r="B203" s="91"/>
      <c r="C203" s="92" t="s">
        <v>760</v>
      </c>
      <c r="D203" s="93"/>
      <c r="E203" s="93"/>
      <c r="F203" s="94" t="s">
        <v>70</v>
      </c>
      <c r="G203" s="95">
        <v>0.25</v>
      </c>
      <c r="H203" s="95"/>
      <c r="I203" s="95">
        <v>43.7</v>
      </c>
      <c r="J203" s="90">
        <v>100</v>
      </c>
      <c r="M203" s="22">
        <f>ROUND(ROUND(J203, 2)*I203, 2)</f>
        <v>4370</v>
      </c>
      <c r="P203" s="21">
        <v>100</v>
      </c>
      <c r="S203" s="22">
        <f>ROUND(ROUND(P203, 2)*I203, 2)</f>
        <v>4370</v>
      </c>
    </row>
    <row r="204" spans="1:21" ht="85.05" customHeight="1" x14ac:dyDescent="0.3">
      <c r="A204" s="74" t="s">
        <v>909</v>
      </c>
      <c r="B204" s="74" t="s">
        <v>892</v>
      </c>
      <c r="C204" s="75" t="s">
        <v>893</v>
      </c>
      <c r="D204" s="76"/>
      <c r="E204" s="76" t="s">
        <v>910</v>
      </c>
      <c r="F204" s="76" t="s">
        <v>64</v>
      </c>
      <c r="G204" s="77">
        <v>1</v>
      </c>
      <c r="H204" s="77"/>
      <c r="I204" s="77">
        <v>808</v>
      </c>
      <c r="J204" s="14">
        <f>IFERROR(ROUND(SUM(M205,M206,M207,M208)/I204, 2),0)</f>
        <v>448.98</v>
      </c>
      <c r="K204" s="15">
        <v>1067</v>
      </c>
      <c r="L204" s="14">
        <f>J204+ROUND(K204, 2)</f>
        <v>1515.98</v>
      </c>
      <c r="M204" s="14">
        <f>ROUND(J204*I204, 2)</f>
        <v>362775.84</v>
      </c>
      <c r="N204" s="14">
        <f>ROUND(I204*ROUND(K204, 2), 2)</f>
        <v>862136</v>
      </c>
      <c r="O204" s="14">
        <f>M204+N204</f>
        <v>1224911.8400000001</v>
      </c>
      <c r="P204" s="14">
        <f>IFERROR(ROUND(SUM(S205,S206,S207,S208)/I204, 2),0)</f>
        <v>448.98</v>
      </c>
      <c r="Q204" s="15">
        <v>1067</v>
      </c>
      <c r="R204" s="14">
        <f>P204+ROUND(Q204, 2)</f>
        <v>1515.98</v>
      </c>
      <c r="S204" s="14">
        <f>ROUND(P204*I204, 2)</f>
        <v>362775.84</v>
      </c>
      <c r="T204" s="14">
        <f>ROUND(I204*ROUND(Q204, 2), 2)</f>
        <v>862136</v>
      </c>
      <c r="U204" s="14">
        <f>S204+T204</f>
        <v>1224911.8400000001</v>
      </c>
    </row>
    <row r="205" spans="1:21" ht="18" x14ac:dyDescent="0.3">
      <c r="A205" s="91" t="s">
        <v>911</v>
      </c>
      <c r="B205" s="91"/>
      <c r="C205" s="92" t="s">
        <v>433</v>
      </c>
      <c r="D205" s="93"/>
      <c r="E205" s="93"/>
      <c r="F205" s="94" t="s">
        <v>70</v>
      </c>
      <c r="G205" s="95">
        <v>0.15</v>
      </c>
      <c r="H205" s="95"/>
      <c r="I205" s="95">
        <v>121.2</v>
      </c>
      <c r="J205" s="90">
        <v>88.8</v>
      </c>
      <c r="M205" s="22">
        <f>ROUND(ROUND(J205, 2)*I205, 2)</f>
        <v>10762.56</v>
      </c>
      <c r="P205" s="21">
        <v>88.8</v>
      </c>
      <c r="S205" s="22">
        <f>ROUND(ROUND(P205, 2)*I205, 2)</f>
        <v>10762.56</v>
      </c>
    </row>
    <row r="206" spans="1:21" ht="18" x14ac:dyDescent="0.3">
      <c r="A206" s="91" t="s">
        <v>914</v>
      </c>
      <c r="B206" s="91"/>
      <c r="C206" s="92" t="s">
        <v>767</v>
      </c>
      <c r="D206" s="93"/>
      <c r="E206" s="93"/>
      <c r="F206" s="94" t="s">
        <v>87</v>
      </c>
      <c r="G206" s="95">
        <v>1</v>
      </c>
      <c r="H206" s="95"/>
      <c r="I206" s="95">
        <v>808</v>
      </c>
      <c r="J206" s="90">
        <v>15.76</v>
      </c>
      <c r="M206" s="22">
        <f>ROUND(ROUND(J206, 2)*I206, 2)</f>
        <v>12734.08</v>
      </c>
      <c r="P206" s="21">
        <v>15.76</v>
      </c>
      <c r="S206" s="22">
        <f>ROUND(ROUND(P206, 2)*I206, 2)</f>
        <v>12734.08</v>
      </c>
    </row>
    <row r="207" spans="1:21" ht="18" x14ac:dyDescent="0.3">
      <c r="A207" s="91" t="s">
        <v>917</v>
      </c>
      <c r="B207" s="91"/>
      <c r="C207" s="92" t="s">
        <v>875</v>
      </c>
      <c r="D207" s="93"/>
      <c r="E207" s="93"/>
      <c r="F207" s="94" t="s">
        <v>64</v>
      </c>
      <c r="G207" s="95">
        <v>1.1000000000000001</v>
      </c>
      <c r="H207" s="95"/>
      <c r="I207" s="95">
        <v>888.8</v>
      </c>
      <c r="J207" s="90">
        <v>26</v>
      </c>
      <c r="M207" s="22">
        <f>ROUND(ROUND(J207, 2)*I207, 2)</f>
        <v>23108.799999999999</v>
      </c>
      <c r="P207" s="21">
        <v>26</v>
      </c>
      <c r="S207" s="22">
        <f>ROUND(ROUND(P207, 2)*I207, 2)</f>
        <v>23108.799999999999</v>
      </c>
    </row>
    <row r="208" spans="1:21" ht="18" x14ac:dyDescent="0.3">
      <c r="A208" s="91" t="s">
        <v>920</v>
      </c>
      <c r="B208" s="91"/>
      <c r="C208" s="92" t="s">
        <v>867</v>
      </c>
      <c r="D208" s="93"/>
      <c r="E208" s="93"/>
      <c r="F208" s="94" t="s">
        <v>70</v>
      </c>
      <c r="G208" s="95">
        <v>1.3</v>
      </c>
      <c r="H208" s="95"/>
      <c r="I208" s="95">
        <v>36764</v>
      </c>
      <c r="J208" s="90">
        <v>8.6</v>
      </c>
      <c r="M208" s="22">
        <f>ROUND(ROUND(J208, 2)*I208, 2)</f>
        <v>316170.40000000002</v>
      </c>
      <c r="P208" s="21">
        <v>8.6</v>
      </c>
      <c r="S208" s="22">
        <f>ROUND(ROUND(P208, 2)*I208, 2)</f>
        <v>316170.40000000002</v>
      </c>
    </row>
    <row r="209" spans="1:21" ht="52.2" x14ac:dyDescent="0.3">
      <c r="A209" s="74" t="s">
        <v>923</v>
      </c>
      <c r="B209" s="74" t="s">
        <v>892</v>
      </c>
      <c r="C209" s="75" t="s">
        <v>893</v>
      </c>
      <c r="D209" s="76"/>
      <c r="E209" s="76" t="s">
        <v>924</v>
      </c>
      <c r="F209" s="76" t="s">
        <v>64</v>
      </c>
      <c r="G209" s="77">
        <v>1</v>
      </c>
      <c r="H209" s="77"/>
      <c r="I209" s="77">
        <v>154.19999999999999</v>
      </c>
      <c r="J209" s="14">
        <f>IFERROR(ROUND(SUM(M210,M211,M212,M213)/I209, 2),0)</f>
        <v>460.66</v>
      </c>
      <c r="K209" s="15">
        <v>1067</v>
      </c>
      <c r="L209" s="14">
        <f>J209+ROUND(K209, 2)</f>
        <v>1527.66</v>
      </c>
      <c r="M209" s="14">
        <f>ROUND(J209*I209, 2)</f>
        <v>71033.77</v>
      </c>
      <c r="N209" s="14">
        <f>ROUND(I209*ROUND(K209, 2), 2)</f>
        <v>164531.4</v>
      </c>
      <c r="O209" s="14">
        <f>M209+N209</f>
        <v>235565.16999999998</v>
      </c>
      <c r="P209" s="14">
        <f>IFERROR(ROUND(SUM(S210,S211,S212,S213)/I209, 2),0)</f>
        <v>460.66</v>
      </c>
      <c r="Q209" s="15">
        <v>1067</v>
      </c>
      <c r="R209" s="14">
        <f>P209+ROUND(Q209, 2)</f>
        <v>1527.66</v>
      </c>
      <c r="S209" s="14">
        <f>ROUND(P209*I209, 2)</f>
        <v>71033.77</v>
      </c>
      <c r="T209" s="14">
        <f>ROUND(I209*ROUND(Q209, 2), 2)</f>
        <v>164531.4</v>
      </c>
      <c r="U209" s="14">
        <f>S209+T209</f>
        <v>235565.16999999998</v>
      </c>
    </row>
    <row r="210" spans="1:21" ht="18" x14ac:dyDescent="0.3">
      <c r="A210" s="91" t="s">
        <v>925</v>
      </c>
      <c r="B210" s="91"/>
      <c r="C210" s="92" t="s">
        <v>867</v>
      </c>
      <c r="D210" s="93"/>
      <c r="E210" s="93"/>
      <c r="F210" s="94" t="s">
        <v>70</v>
      </c>
      <c r="G210" s="95">
        <v>1.3</v>
      </c>
      <c r="H210" s="95"/>
      <c r="I210" s="95">
        <v>7016.1</v>
      </c>
      <c r="J210" s="90">
        <v>8.6</v>
      </c>
      <c r="M210" s="22">
        <f>ROUND(ROUND(J210, 2)*I210, 2)</f>
        <v>60338.46</v>
      </c>
      <c r="P210" s="21">
        <v>8.6</v>
      </c>
      <c r="S210" s="22">
        <f>ROUND(ROUND(P210, 2)*I210, 2)</f>
        <v>60338.46</v>
      </c>
    </row>
    <row r="211" spans="1:21" ht="18" x14ac:dyDescent="0.3">
      <c r="A211" s="91" t="s">
        <v>928</v>
      </c>
      <c r="B211" s="91"/>
      <c r="C211" s="92" t="s">
        <v>875</v>
      </c>
      <c r="D211" s="93"/>
      <c r="E211" s="93"/>
      <c r="F211" s="94" t="s">
        <v>64</v>
      </c>
      <c r="G211" s="95">
        <v>1.1000000000000001</v>
      </c>
      <c r="H211" s="95"/>
      <c r="I211" s="95">
        <v>169.62</v>
      </c>
      <c r="J211" s="90">
        <v>26</v>
      </c>
      <c r="M211" s="22">
        <f>ROUND(ROUND(J211, 2)*I211, 2)</f>
        <v>4410.12</v>
      </c>
      <c r="P211" s="21">
        <v>26</v>
      </c>
      <c r="S211" s="22">
        <f>ROUND(ROUND(P211, 2)*I211, 2)</f>
        <v>4410.12</v>
      </c>
    </row>
    <row r="212" spans="1:21" ht="18" x14ac:dyDescent="0.3">
      <c r="A212" s="91" t="s">
        <v>931</v>
      </c>
      <c r="B212" s="91"/>
      <c r="C212" s="92" t="s">
        <v>767</v>
      </c>
      <c r="D212" s="93"/>
      <c r="E212" s="93"/>
      <c r="F212" s="94" t="s">
        <v>87</v>
      </c>
      <c r="G212" s="95">
        <v>1</v>
      </c>
      <c r="H212" s="95"/>
      <c r="I212" s="95">
        <v>154.19999999999999</v>
      </c>
      <c r="J212" s="90">
        <v>15.76</v>
      </c>
      <c r="M212" s="22">
        <f>ROUND(ROUND(J212, 2)*I212, 2)</f>
        <v>2430.19</v>
      </c>
      <c r="P212" s="21">
        <v>15.76</v>
      </c>
      <c r="S212" s="22">
        <f>ROUND(ROUND(P212, 2)*I212, 2)</f>
        <v>2430.19</v>
      </c>
    </row>
    <row r="213" spans="1:21" ht="18" x14ac:dyDescent="0.3">
      <c r="A213" s="91" t="s">
        <v>934</v>
      </c>
      <c r="B213" s="91"/>
      <c r="C213" s="92" t="s">
        <v>760</v>
      </c>
      <c r="D213" s="93"/>
      <c r="E213" s="93"/>
      <c r="F213" s="94" t="s">
        <v>70</v>
      </c>
      <c r="G213" s="95">
        <v>0.25</v>
      </c>
      <c r="H213" s="95"/>
      <c r="I213" s="95">
        <v>38.549999999999997</v>
      </c>
      <c r="J213" s="90">
        <v>100</v>
      </c>
      <c r="M213" s="22">
        <f>ROUND(ROUND(J213, 2)*I213, 2)</f>
        <v>3855</v>
      </c>
      <c r="P213" s="21">
        <v>100</v>
      </c>
      <c r="S213" s="22">
        <f>ROUND(ROUND(P213, 2)*I213, 2)</f>
        <v>3855</v>
      </c>
    </row>
    <row r="214" spans="1:21" ht="52.2" x14ac:dyDescent="0.3">
      <c r="A214" s="74" t="s">
        <v>937</v>
      </c>
      <c r="B214" s="74" t="s">
        <v>892</v>
      </c>
      <c r="C214" s="75" t="s">
        <v>893</v>
      </c>
      <c r="D214" s="76"/>
      <c r="E214" s="76" t="s">
        <v>938</v>
      </c>
      <c r="F214" s="76" t="s">
        <v>64</v>
      </c>
      <c r="G214" s="77">
        <v>1</v>
      </c>
      <c r="H214" s="77"/>
      <c r="I214" s="77">
        <v>572.4</v>
      </c>
      <c r="J214" s="14">
        <f>IFERROR(ROUND(SUM(M215,M216,M217,M218)/I214, 2),0)</f>
        <v>448.98</v>
      </c>
      <c r="K214" s="15">
        <v>1067</v>
      </c>
      <c r="L214" s="14">
        <f>J214+ROUND(K214, 2)</f>
        <v>1515.98</v>
      </c>
      <c r="M214" s="14">
        <f>ROUND(J214*I214, 2)</f>
        <v>256996.15</v>
      </c>
      <c r="N214" s="14">
        <f>ROUND(I214*ROUND(K214, 2), 2)</f>
        <v>610750.80000000005</v>
      </c>
      <c r="O214" s="14">
        <f>M214+N214</f>
        <v>867746.95000000007</v>
      </c>
      <c r="P214" s="14">
        <f>IFERROR(ROUND(SUM(S215,S216,S217,S218)/I214, 2),0)</f>
        <v>448.98</v>
      </c>
      <c r="Q214" s="15">
        <v>1067</v>
      </c>
      <c r="R214" s="14">
        <f>P214+ROUND(Q214, 2)</f>
        <v>1515.98</v>
      </c>
      <c r="S214" s="14">
        <f>ROUND(P214*I214, 2)</f>
        <v>256996.15</v>
      </c>
      <c r="T214" s="14">
        <f>ROUND(I214*ROUND(Q214, 2), 2)</f>
        <v>610750.80000000005</v>
      </c>
      <c r="U214" s="14">
        <f>S214+T214</f>
        <v>867746.95000000007</v>
      </c>
    </row>
    <row r="215" spans="1:21" ht="18" x14ac:dyDescent="0.3">
      <c r="A215" s="91" t="s">
        <v>939</v>
      </c>
      <c r="B215" s="91"/>
      <c r="C215" s="92" t="s">
        <v>433</v>
      </c>
      <c r="D215" s="93"/>
      <c r="E215" s="93"/>
      <c r="F215" s="94" t="s">
        <v>70</v>
      </c>
      <c r="G215" s="95">
        <v>0.15</v>
      </c>
      <c r="H215" s="95"/>
      <c r="I215" s="95">
        <v>85.86</v>
      </c>
      <c r="J215" s="90">
        <v>88.8</v>
      </c>
      <c r="M215" s="22">
        <f>ROUND(ROUND(J215, 2)*I215, 2)</f>
        <v>7624.37</v>
      </c>
      <c r="P215" s="21">
        <v>88.8</v>
      </c>
      <c r="S215" s="22">
        <f>ROUND(ROUND(P215, 2)*I215, 2)</f>
        <v>7624.37</v>
      </c>
    </row>
    <row r="216" spans="1:21" ht="18" x14ac:dyDescent="0.3">
      <c r="A216" s="91" t="s">
        <v>942</v>
      </c>
      <c r="B216" s="91"/>
      <c r="C216" s="92" t="s">
        <v>767</v>
      </c>
      <c r="D216" s="93"/>
      <c r="E216" s="93"/>
      <c r="F216" s="94" t="s">
        <v>87</v>
      </c>
      <c r="G216" s="95">
        <v>1</v>
      </c>
      <c r="H216" s="95"/>
      <c r="I216" s="95">
        <v>572.4</v>
      </c>
      <c r="J216" s="90">
        <v>15.76</v>
      </c>
      <c r="M216" s="22">
        <f>ROUND(ROUND(J216, 2)*I216, 2)</f>
        <v>9021.02</v>
      </c>
      <c r="P216" s="21">
        <v>15.76</v>
      </c>
      <c r="S216" s="22">
        <f>ROUND(ROUND(P216, 2)*I216, 2)</f>
        <v>9021.02</v>
      </c>
    </row>
    <row r="217" spans="1:21" ht="18" x14ac:dyDescent="0.3">
      <c r="A217" s="91" t="s">
        <v>945</v>
      </c>
      <c r="B217" s="91"/>
      <c r="C217" s="92" t="s">
        <v>875</v>
      </c>
      <c r="D217" s="93"/>
      <c r="E217" s="93"/>
      <c r="F217" s="94" t="s">
        <v>64</v>
      </c>
      <c r="G217" s="95">
        <v>1.1000000000000001</v>
      </c>
      <c r="H217" s="95"/>
      <c r="I217" s="95">
        <v>629.64</v>
      </c>
      <c r="J217" s="90">
        <v>26</v>
      </c>
      <c r="M217" s="22">
        <f>ROUND(ROUND(J217, 2)*I217, 2)</f>
        <v>16370.64</v>
      </c>
      <c r="P217" s="21">
        <v>26</v>
      </c>
      <c r="S217" s="22">
        <f>ROUND(ROUND(P217, 2)*I217, 2)</f>
        <v>16370.64</v>
      </c>
    </row>
    <row r="218" spans="1:21" ht="18" x14ac:dyDescent="0.3">
      <c r="A218" s="91" t="s">
        <v>948</v>
      </c>
      <c r="B218" s="91"/>
      <c r="C218" s="92" t="s">
        <v>867</v>
      </c>
      <c r="D218" s="93"/>
      <c r="E218" s="93"/>
      <c r="F218" s="94" t="s">
        <v>70</v>
      </c>
      <c r="G218" s="95">
        <v>1.3</v>
      </c>
      <c r="H218" s="95"/>
      <c r="I218" s="95">
        <v>26044.2</v>
      </c>
      <c r="J218" s="90">
        <v>8.6</v>
      </c>
      <c r="M218" s="22">
        <f>ROUND(ROUND(J218, 2)*I218, 2)</f>
        <v>223980.12</v>
      </c>
      <c r="P218" s="21">
        <v>8.6</v>
      </c>
      <c r="S218" s="22">
        <f>ROUND(ROUND(P218, 2)*I218, 2)</f>
        <v>223980.12</v>
      </c>
    </row>
    <row r="219" spans="1:21" ht="52.2" x14ac:dyDescent="0.3">
      <c r="A219" s="74" t="s">
        <v>951</v>
      </c>
      <c r="B219" s="74" t="s">
        <v>952</v>
      </c>
      <c r="C219" s="75" t="s">
        <v>953</v>
      </c>
      <c r="D219" s="76"/>
      <c r="E219" s="76" t="s">
        <v>894</v>
      </c>
      <c r="F219" s="76" t="s">
        <v>64</v>
      </c>
      <c r="G219" s="77">
        <v>1</v>
      </c>
      <c r="H219" s="77"/>
      <c r="I219" s="77">
        <v>3617.6</v>
      </c>
      <c r="J219" s="14">
        <f>IFERROR(ROUND(SUM(M220,M221,M222)/I219, 2),0)</f>
        <v>313.41000000000003</v>
      </c>
      <c r="K219" s="15">
        <v>1073</v>
      </c>
      <c r="L219" s="14">
        <f>J219+ROUND(K219, 2)</f>
        <v>1386.41</v>
      </c>
      <c r="M219" s="14">
        <f>ROUND(J219*I219, 2)</f>
        <v>1133792.02</v>
      </c>
      <c r="N219" s="14">
        <f>ROUND(I219*ROUND(K219, 2), 2)</f>
        <v>3881684.8</v>
      </c>
      <c r="O219" s="14">
        <f>M219+N219</f>
        <v>5015476.82</v>
      </c>
      <c r="P219" s="14">
        <f>IFERROR(ROUND(SUM(S220,S221,S222)/I219, 2),0)</f>
        <v>313.41000000000003</v>
      </c>
      <c r="Q219" s="15">
        <v>1073</v>
      </c>
      <c r="R219" s="14">
        <f>P219+ROUND(Q219, 2)</f>
        <v>1386.41</v>
      </c>
      <c r="S219" s="14">
        <f>ROUND(P219*I219, 2)</f>
        <v>1133792.02</v>
      </c>
      <c r="T219" s="14">
        <f>ROUND(I219*ROUND(Q219, 2), 2)</f>
        <v>3881684.8</v>
      </c>
      <c r="U219" s="14">
        <f>S219+T219</f>
        <v>5015476.82</v>
      </c>
    </row>
    <row r="220" spans="1:21" ht="36" x14ac:dyDescent="0.3">
      <c r="A220" s="91" t="s">
        <v>956</v>
      </c>
      <c r="B220" s="91"/>
      <c r="C220" s="96" t="s">
        <v>752</v>
      </c>
      <c r="D220" s="93"/>
      <c r="E220" s="93"/>
      <c r="F220" s="94" t="s">
        <v>70</v>
      </c>
      <c r="G220" s="95">
        <v>1</v>
      </c>
      <c r="H220" s="95"/>
      <c r="I220" s="95">
        <v>126616</v>
      </c>
      <c r="J220" s="90">
        <v>7.79</v>
      </c>
      <c r="M220" s="22">
        <f>ROUND(ROUND(J220, 2)*I220, 2)</f>
        <v>986338.64</v>
      </c>
      <c r="P220" s="21">
        <v>7.79</v>
      </c>
      <c r="S220" s="22">
        <f>ROUND(ROUND(P220, 2)*I220, 2)</f>
        <v>986338.64</v>
      </c>
    </row>
    <row r="221" spans="1:21" ht="18" x14ac:dyDescent="0.3">
      <c r="A221" s="91" t="s">
        <v>959</v>
      </c>
      <c r="B221" s="91"/>
      <c r="C221" s="92" t="s">
        <v>767</v>
      </c>
      <c r="D221" s="93"/>
      <c r="E221" s="93"/>
      <c r="F221" s="94" t="s">
        <v>87</v>
      </c>
      <c r="G221" s="95">
        <v>1</v>
      </c>
      <c r="H221" s="95"/>
      <c r="I221" s="95">
        <v>3617.6</v>
      </c>
      <c r="J221" s="90">
        <v>15.76</v>
      </c>
      <c r="M221" s="22">
        <f>ROUND(ROUND(J221, 2)*I221, 2)</f>
        <v>57013.38</v>
      </c>
      <c r="P221" s="21">
        <v>15.76</v>
      </c>
      <c r="S221" s="22">
        <f>ROUND(ROUND(P221, 2)*I221, 2)</f>
        <v>57013.38</v>
      </c>
    </row>
    <row r="222" spans="1:21" ht="18" x14ac:dyDescent="0.3">
      <c r="A222" s="91" t="s">
        <v>962</v>
      </c>
      <c r="B222" s="91"/>
      <c r="C222" s="92" t="s">
        <v>760</v>
      </c>
      <c r="D222" s="93"/>
      <c r="E222" s="93"/>
      <c r="F222" s="94" t="s">
        <v>70</v>
      </c>
      <c r="G222" s="95">
        <v>0.25</v>
      </c>
      <c r="H222" s="95"/>
      <c r="I222" s="95">
        <v>904.4</v>
      </c>
      <c r="J222" s="90">
        <v>100</v>
      </c>
      <c r="M222" s="22">
        <f>ROUND(ROUND(J222, 2)*I222, 2)</f>
        <v>90440</v>
      </c>
      <c r="P222" s="21">
        <v>100</v>
      </c>
      <c r="S222" s="22">
        <f>ROUND(ROUND(P222, 2)*I222, 2)</f>
        <v>90440</v>
      </c>
    </row>
    <row r="223" spans="1:21" ht="52.2" x14ac:dyDescent="0.3">
      <c r="A223" s="74" t="s">
        <v>965</v>
      </c>
      <c r="B223" s="74" t="s">
        <v>952</v>
      </c>
      <c r="C223" s="75" t="s">
        <v>953</v>
      </c>
      <c r="D223" s="76"/>
      <c r="E223" s="76" t="s">
        <v>966</v>
      </c>
      <c r="F223" s="76" t="s">
        <v>64</v>
      </c>
      <c r="G223" s="77">
        <v>1</v>
      </c>
      <c r="H223" s="77"/>
      <c r="I223" s="77">
        <v>4460.8</v>
      </c>
      <c r="J223" s="14">
        <f>IFERROR(ROUND(SUM(M224,M225,M226)/I223, 2),0)</f>
        <v>301.73</v>
      </c>
      <c r="K223" s="15">
        <v>1073</v>
      </c>
      <c r="L223" s="14">
        <f>J223+ROUND(K223, 2)</f>
        <v>1374.73</v>
      </c>
      <c r="M223" s="14">
        <f>ROUND(J223*I223, 2)</f>
        <v>1345957.18</v>
      </c>
      <c r="N223" s="14">
        <f>ROUND(I223*ROUND(K223, 2), 2)</f>
        <v>4786438.4000000004</v>
      </c>
      <c r="O223" s="14">
        <f>M223+N223</f>
        <v>6132395.5800000001</v>
      </c>
      <c r="P223" s="14">
        <f>IFERROR(ROUND(SUM(S224,S225,S226)/I223, 2),0)</f>
        <v>301.73</v>
      </c>
      <c r="Q223" s="15">
        <v>1073</v>
      </c>
      <c r="R223" s="14">
        <f>P223+ROUND(Q223, 2)</f>
        <v>1374.73</v>
      </c>
      <c r="S223" s="14">
        <f>ROUND(P223*I223, 2)</f>
        <v>1345957.18</v>
      </c>
      <c r="T223" s="14">
        <f>ROUND(I223*ROUND(Q223, 2), 2)</f>
        <v>4786438.4000000004</v>
      </c>
      <c r="U223" s="14">
        <f>S223+T223</f>
        <v>6132395.5800000001</v>
      </c>
    </row>
    <row r="224" spans="1:21" ht="18" x14ac:dyDescent="0.3">
      <c r="A224" s="91" t="s">
        <v>967</v>
      </c>
      <c r="B224" s="91"/>
      <c r="C224" s="92" t="s">
        <v>433</v>
      </c>
      <c r="D224" s="93"/>
      <c r="E224" s="93"/>
      <c r="F224" s="94" t="s">
        <v>70</v>
      </c>
      <c r="G224" s="95">
        <v>0.15</v>
      </c>
      <c r="H224" s="95"/>
      <c r="I224" s="95">
        <v>669.12</v>
      </c>
      <c r="J224" s="90">
        <v>88.8</v>
      </c>
      <c r="M224" s="22">
        <f>ROUND(ROUND(J224, 2)*I224, 2)</f>
        <v>59417.86</v>
      </c>
      <c r="P224" s="21">
        <v>88.8</v>
      </c>
      <c r="S224" s="22">
        <f>ROUND(ROUND(P224, 2)*I224, 2)</f>
        <v>59417.86</v>
      </c>
    </row>
    <row r="225" spans="1:21" ht="18" x14ac:dyDescent="0.3">
      <c r="A225" s="91" t="s">
        <v>970</v>
      </c>
      <c r="B225" s="91"/>
      <c r="C225" s="92" t="s">
        <v>767</v>
      </c>
      <c r="D225" s="93"/>
      <c r="E225" s="93"/>
      <c r="F225" s="94" t="s">
        <v>87</v>
      </c>
      <c r="G225" s="95">
        <v>1</v>
      </c>
      <c r="H225" s="95"/>
      <c r="I225" s="95">
        <v>4460.8</v>
      </c>
      <c r="J225" s="90">
        <v>15.76</v>
      </c>
      <c r="M225" s="22">
        <f>ROUND(ROUND(J225, 2)*I225, 2)</f>
        <v>70302.210000000006</v>
      </c>
      <c r="P225" s="21">
        <v>15.76</v>
      </c>
      <c r="S225" s="22">
        <f>ROUND(ROUND(P225, 2)*I225, 2)</f>
        <v>70302.210000000006</v>
      </c>
    </row>
    <row r="226" spans="1:21" ht="36" x14ac:dyDescent="0.3">
      <c r="A226" s="91" t="s">
        <v>973</v>
      </c>
      <c r="B226" s="91"/>
      <c r="C226" s="96" t="s">
        <v>752</v>
      </c>
      <c r="D226" s="93"/>
      <c r="E226" s="93"/>
      <c r="F226" s="94" t="s">
        <v>70</v>
      </c>
      <c r="G226" s="95">
        <v>1</v>
      </c>
      <c r="H226" s="95"/>
      <c r="I226" s="95">
        <v>156128</v>
      </c>
      <c r="J226" s="90">
        <v>7.79</v>
      </c>
      <c r="M226" s="22">
        <f>ROUND(ROUND(J226, 2)*I226, 2)</f>
        <v>1216237.1200000001</v>
      </c>
      <c r="P226" s="21">
        <v>7.79</v>
      </c>
      <c r="S226" s="22">
        <f>ROUND(ROUND(P226, 2)*I226, 2)</f>
        <v>1216237.1200000001</v>
      </c>
    </row>
    <row r="227" spans="1:21" ht="52.2" x14ac:dyDescent="0.3">
      <c r="A227" s="74" t="s">
        <v>976</v>
      </c>
      <c r="B227" s="74" t="s">
        <v>952</v>
      </c>
      <c r="C227" s="75" t="s">
        <v>953</v>
      </c>
      <c r="D227" s="76"/>
      <c r="E227" s="76" t="s">
        <v>924</v>
      </c>
      <c r="F227" s="76" t="s">
        <v>64</v>
      </c>
      <c r="G227" s="77">
        <v>1</v>
      </c>
      <c r="H227" s="77"/>
      <c r="I227" s="77">
        <v>3125.2</v>
      </c>
      <c r="J227" s="14">
        <f>IFERROR(ROUND(SUM(M228,M229,M230)/I227, 2),0)</f>
        <v>313.41000000000003</v>
      </c>
      <c r="K227" s="15">
        <v>1073</v>
      </c>
      <c r="L227" s="14">
        <f>J227+ROUND(K227, 2)</f>
        <v>1386.41</v>
      </c>
      <c r="M227" s="14">
        <f>ROUND(J227*I227, 2)</f>
        <v>979468.93</v>
      </c>
      <c r="N227" s="14">
        <f>ROUND(I227*ROUND(K227, 2), 2)</f>
        <v>3353339.6</v>
      </c>
      <c r="O227" s="14">
        <f>M227+N227</f>
        <v>4332808.53</v>
      </c>
      <c r="P227" s="14">
        <f>IFERROR(ROUND(SUM(S228,S229,S230)/I227, 2),0)</f>
        <v>313.41000000000003</v>
      </c>
      <c r="Q227" s="15">
        <v>1073</v>
      </c>
      <c r="R227" s="14">
        <f>P227+ROUND(Q227, 2)</f>
        <v>1386.41</v>
      </c>
      <c r="S227" s="14">
        <f>ROUND(P227*I227, 2)</f>
        <v>979468.93</v>
      </c>
      <c r="T227" s="14">
        <f>ROUND(I227*ROUND(Q227, 2), 2)</f>
        <v>3353339.6</v>
      </c>
      <c r="U227" s="14">
        <f>S227+T227</f>
        <v>4332808.53</v>
      </c>
    </row>
    <row r="228" spans="1:21" ht="36" x14ac:dyDescent="0.3">
      <c r="A228" s="91" t="s">
        <v>977</v>
      </c>
      <c r="B228" s="91"/>
      <c r="C228" s="96" t="s">
        <v>752</v>
      </c>
      <c r="D228" s="93"/>
      <c r="E228" s="93"/>
      <c r="F228" s="94" t="s">
        <v>70</v>
      </c>
      <c r="G228" s="95">
        <v>1</v>
      </c>
      <c r="H228" s="95"/>
      <c r="I228" s="95">
        <v>109382</v>
      </c>
      <c r="J228" s="90">
        <v>7.79</v>
      </c>
      <c r="M228" s="22">
        <f>ROUND(ROUND(J228, 2)*I228, 2)</f>
        <v>852085.78</v>
      </c>
      <c r="P228" s="21">
        <v>7.79</v>
      </c>
      <c r="S228" s="22">
        <f>ROUND(ROUND(P228, 2)*I228, 2)</f>
        <v>852085.78</v>
      </c>
    </row>
    <row r="229" spans="1:21" ht="18" x14ac:dyDescent="0.3">
      <c r="A229" s="91" t="s">
        <v>980</v>
      </c>
      <c r="B229" s="91"/>
      <c r="C229" s="92" t="s">
        <v>767</v>
      </c>
      <c r="D229" s="93"/>
      <c r="E229" s="93"/>
      <c r="F229" s="94" t="s">
        <v>87</v>
      </c>
      <c r="G229" s="95">
        <v>1</v>
      </c>
      <c r="H229" s="95"/>
      <c r="I229" s="95">
        <v>3125.2</v>
      </c>
      <c r="J229" s="90">
        <v>15.76</v>
      </c>
      <c r="M229" s="22">
        <f>ROUND(ROUND(J229, 2)*I229, 2)</f>
        <v>49253.15</v>
      </c>
      <c r="P229" s="21">
        <v>15.76</v>
      </c>
      <c r="S229" s="22">
        <f>ROUND(ROUND(P229, 2)*I229, 2)</f>
        <v>49253.15</v>
      </c>
    </row>
    <row r="230" spans="1:21" ht="18" x14ac:dyDescent="0.3">
      <c r="A230" s="91" t="s">
        <v>983</v>
      </c>
      <c r="B230" s="91"/>
      <c r="C230" s="92" t="s">
        <v>760</v>
      </c>
      <c r="D230" s="93"/>
      <c r="E230" s="93"/>
      <c r="F230" s="94" t="s">
        <v>70</v>
      </c>
      <c r="G230" s="95">
        <v>0.25</v>
      </c>
      <c r="H230" s="95"/>
      <c r="I230" s="95">
        <v>781.3</v>
      </c>
      <c r="J230" s="90">
        <v>100</v>
      </c>
      <c r="M230" s="22">
        <f>ROUND(ROUND(J230, 2)*I230, 2)</f>
        <v>78130</v>
      </c>
      <c r="P230" s="21">
        <v>100</v>
      </c>
      <c r="S230" s="22">
        <f>ROUND(ROUND(P230, 2)*I230, 2)</f>
        <v>78130</v>
      </c>
    </row>
    <row r="231" spans="1:21" ht="52.2" x14ac:dyDescent="0.3">
      <c r="A231" s="74" t="s">
        <v>986</v>
      </c>
      <c r="B231" s="74" t="s">
        <v>952</v>
      </c>
      <c r="C231" s="75" t="s">
        <v>953</v>
      </c>
      <c r="D231" s="76"/>
      <c r="E231" s="76" t="s">
        <v>987</v>
      </c>
      <c r="F231" s="76" t="s">
        <v>64</v>
      </c>
      <c r="G231" s="77">
        <v>1</v>
      </c>
      <c r="H231" s="77"/>
      <c r="I231" s="77">
        <v>4198.8</v>
      </c>
      <c r="J231" s="14">
        <f>IFERROR(ROUND(SUM(M232,M233,M234)/I231, 2),0)</f>
        <v>301.73</v>
      </c>
      <c r="K231" s="15">
        <v>1073</v>
      </c>
      <c r="L231" s="14">
        <f>J231+ROUND(K231, 2)</f>
        <v>1374.73</v>
      </c>
      <c r="M231" s="14">
        <f>ROUND(J231*I231, 2)</f>
        <v>1266903.92</v>
      </c>
      <c r="N231" s="14">
        <f>ROUND(I231*ROUND(K231, 2), 2)</f>
        <v>4505312.4000000004</v>
      </c>
      <c r="O231" s="14">
        <f>M231+N231</f>
        <v>5772216.3200000003</v>
      </c>
      <c r="P231" s="14">
        <f>IFERROR(ROUND(SUM(S232,S233,S234)/I231, 2),0)</f>
        <v>301.73</v>
      </c>
      <c r="Q231" s="15">
        <v>1073</v>
      </c>
      <c r="R231" s="14">
        <f>P231+ROUND(Q231, 2)</f>
        <v>1374.73</v>
      </c>
      <c r="S231" s="14">
        <f>ROUND(P231*I231, 2)</f>
        <v>1266903.92</v>
      </c>
      <c r="T231" s="14">
        <f>ROUND(I231*ROUND(Q231, 2), 2)</f>
        <v>4505312.4000000004</v>
      </c>
      <c r="U231" s="14">
        <f>S231+T231</f>
        <v>5772216.3200000003</v>
      </c>
    </row>
    <row r="232" spans="1:21" ht="18" x14ac:dyDescent="0.3">
      <c r="A232" s="91" t="s">
        <v>988</v>
      </c>
      <c r="B232" s="91"/>
      <c r="C232" s="92" t="s">
        <v>433</v>
      </c>
      <c r="D232" s="93"/>
      <c r="E232" s="93"/>
      <c r="F232" s="94" t="s">
        <v>70</v>
      </c>
      <c r="G232" s="95">
        <v>0.15</v>
      </c>
      <c r="H232" s="95"/>
      <c r="I232" s="95">
        <v>629.82000000000005</v>
      </c>
      <c r="J232" s="90">
        <v>88.8</v>
      </c>
      <c r="M232" s="22">
        <f>ROUND(ROUND(J232, 2)*I232, 2)</f>
        <v>55928.02</v>
      </c>
      <c r="P232" s="21">
        <v>88.8</v>
      </c>
      <c r="S232" s="22">
        <f>ROUND(ROUND(P232, 2)*I232, 2)</f>
        <v>55928.02</v>
      </c>
    </row>
    <row r="233" spans="1:21" ht="18" x14ac:dyDescent="0.3">
      <c r="A233" s="91" t="s">
        <v>991</v>
      </c>
      <c r="B233" s="91"/>
      <c r="C233" s="92" t="s">
        <v>767</v>
      </c>
      <c r="D233" s="93"/>
      <c r="E233" s="93"/>
      <c r="F233" s="94" t="s">
        <v>87</v>
      </c>
      <c r="G233" s="95">
        <v>1</v>
      </c>
      <c r="H233" s="95"/>
      <c r="I233" s="95">
        <v>4198.8</v>
      </c>
      <c r="J233" s="90">
        <v>15.76</v>
      </c>
      <c r="M233" s="22">
        <f>ROUND(ROUND(J233, 2)*I233, 2)</f>
        <v>66173.09</v>
      </c>
      <c r="P233" s="21">
        <v>15.76</v>
      </c>
      <c r="S233" s="22">
        <f>ROUND(ROUND(P233, 2)*I233, 2)</f>
        <v>66173.09</v>
      </c>
    </row>
    <row r="234" spans="1:21" ht="36" x14ac:dyDescent="0.3">
      <c r="A234" s="91" t="s">
        <v>994</v>
      </c>
      <c r="B234" s="91"/>
      <c r="C234" s="96" t="s">
        <v>752</v>
      </c>
      <c r="D234" s="93"/>
      <c r="E234" s="93"/>
      <c r="F234" s="94" t="s">
        <v>70</v>
      </c>
      <c r="G234" s="95">
        <v>1</v>
      </c>
      <c r="H234" s="95"/>
      <c r="I234" s="95">
        <v>146958</v>
      </c>
      <c r="J234" s="90">
        <v>7.79</v>
      </c>
      <c r="M234" s="22">
        <f>ROUND(ROUND(J234, 2)*I234, 2)</f>
        <v>1144802.82</v>
      </c>
      <c r="P234" s="21">
        <v>7.79</v>
      </c>
      <c r="S234" s="22">
        <f>ROUND(ROUND(P234, 2)*I234, 2)</f>
        <v>1144802.82</v>
      </c>
    </row>
    <row r="235" spans="1:21" ht="40.5" customHeight="1" x14ac:dyDescent="0.3">
      <c r="A235" s="10" t="s">
        <v>997</v>
      </c>
      <c r="B235" s="10" t="s">
        <v>998</v>
      </c>
      <c r="C235" s="352" t="s">
        <v>999</v>
      </c>
      <c r="D235" s="353"/>
      <c r="E235" s="353"/>
      <c r="F235" s="353"/>
      <c r="G235" s="353"/>
      <c r="H235" s="353"/>
      <c r="I235" s="354"/>
      <c r="M235" s="6">
        <f>SUM(M236,M242,M248,M251,M254,M257,M260,M263,M266,M269,M272,M275,M278,M281,M284,M287,M290,M293,M296,M299,M302,M305,M308,M311,M314,M317,M320,M323,M326,M329,M332,M335,M340,M345,M350,M354,M359,M363,M369,M375,M380,M385,M390,M395,M400,M406,M411)</f>
        <v>2456982.8000000003</v>
      </c>
      <c r="N235" s="6">
        <f>SUM(N236,N242,N248,N251,N254,N257,N260,N263,N266,N269,N272,N275,N278,N281,N284,N287,N290,N293,N296,N299,N302,N305,N308,N311,N314,N317,N320,N323,N326,N329,N332,N335,N340,N345,N350,N354,N359,N363,N369,N375,N380,N385,N390,N395,N400,N406,N411)</f>
        <v>10285693.439999998</v>
      </c>
      <c r="O235" s="6">
        <f>SUM(O236,O242,O248,O251,O254,O257,O260,O263,O266,O269,O272,O275,O278,O281,O284,O287,O290,O293,O296,O299,O302,O305,O308,O311,O314,O317,O320,O323,O326,O329,O332,O335,O340,O345,O350,O354,O359,O363,O369,O375,O380,O385,O390,O395,O400,O406,O411)</f>
        <v>12742676.24</v>
      </c>
      <c r="S235" s="6">
        <f>SUM(S236,S242,S248,S251,S254,S257,S260,S263,S266,S269,S272,S275,S278,S281,S284,S287,S290,S293,S296,S299,S302,S305,S308,S311,S314,S317,S320,S323,S326,S329,S332,S335,S340,S345,S350,S354,S359,S363,S369,S375,S380,S385,S390,S395,S400,S406,S411)</f>
        <v>2321278.4100000006</v>
      </c>
      <c r="T235" s="6">
        <f>SUM(T236,T242,T248,T251,T254,T257,T260,T263,T266,T269,T272,T275,T278,T281,T284,T287,T290,T293,T296,T299,T302,T305,T308,T311,T314,T317,T320,T323,T326,T329,T332,T335,T340,T345,T350,T354,T359,T363,T369,T375,T380,T385,T390,T395,T400,T406,T411)</f>
        <v>10285693.439999998</v>
      </c>
      <c r="U235" s="6">
        <f>SUM(U236,U242,U248,U251,U254,U257,U260,U263,U266,U269,U272,U275,U278,U281,U284,U287,U290,U293,U296,U299,U302,U305,U308,U311,U314,U317,U320,U323,U326,U329,U332,U335,U340,U345,U350,U354,U359,U363,U369,U375,U380,U385,U390,U395,U400,U406,U411)</f>
        <v>12606971.850000003</v>
      </c>
    </row>
    <row r="236" spans="1:21" ht="36" x14ac:dyDescent="0.3">
      <c r="A236" s="91" t="s">
        <v>1000</v>
      </c>
      <c r="B236" s="91" t="s">
        <v>1001</v>
      </c>
      <c r="C236" s="97" t="s">
        <v>1002</v>
      </c>
      <c r="D236" s="93"/>
      <c r="E236" s="93" t="s">
        <v>63</v>
      </c>
      <c r="F236" s="93" t="s">
        <v>64</v>
      </c>
      <c r="G236" s="98">
        <v>1</v>
      </c>
      <c r="H236" s="98"/>
      <c r="I236" s="98">
        <v>0</v>
      </c>
      <c r="J236" s="99">
        <f>IFERROR(ROUND(SUM(M237,M238,M239,M240,M241)/I236, 2),0)</f>
        <v>0</v>
      </c>
      <c r="K236" s="15">
        <v>2056</v>
      </c>
      <c r="L236" s="14">
        <f>J236+ROUND(K236, 2)</f>
        <v>2056</v>
      </c>
      <c r="M236" s="14">
        <f>ROUND(J236*I236, 2)</f>
        <v>0</v>
      </c>
      <c r="N236" s="14">
        <f>ROUND(I236*ROUND(K236, 2), 2)</f>
        <v>0</v>
      </c>
      <c r="O236" s="14">
        <f>M236+N236</f>
        <v>0</v>
      </c>
      <c r="P236" s="14">
        <f>IFERROR(ROUND(SUM(S237,S238,S239,S240,S241)/I236, 2),0)</f>
        <v>0</v>
      </c>
      <c r="Q236" s="15">
        <v>1869</v>
      </c>
      <c r="R236" s="14">
        <f>P236+ROUND(Q236, 2)</f>
        <v>1869</v>
      </c>
      <c r="S236" s="14">
        <f>ROUND(P236*I236, 2)</f>
        <v>0</v>
      </c>
      <c r="T236" s="14">
        <f>ROUND(I236*ROUND(Q236, 2), 2)</f>
        <v>0</v>
      </c>
      <c r="U236" s="14">
        <f>S236+T236</f>
        <v>0</v>
      </c>
    </row>
    <row r="237" spans="1:21" ht="36" x14ac:dyDescent="0.3">
      <c r="A237" s="91" t="s">
        <v>1006</v>
      </c>
      <c r="B237" s="91"/>
      <c r="C237" s="92" t="s">
        <v>1007</v>
      </c>
      <c r="D237" s="93"/>
      <c r="E237" s="93"/>
      <c r="F237" s="94" t="s">
        <v>87</v>
      </c>
      <c r="G237" s="95">
        <v>0.23</v>
      </c>
      <c r="H237" s="95"/>
      <c r="I237" s="95">
        <v>0</v>
      </c>
      <c r="J237" s="90">
        <v>97.71</v>
      </c>
      <c r="M237" s="22">
        <f>ROUND(ROUND(J237, 2)*I237, 2)</f>
        <v>0</v>
      </c>
      <c r="P237" s="21">
        <v>97.71</v>
      </c>
      <c r="S237" s="22">
        <f>ROUND(ROUND(P237, 2)*I237, 2)</f>
        <v>0</v>
      </c>
    </row>
    <row r="238" spans="1:21" ht="50.55" customHeight="1" x14ac:dyDescent="0.3">
      <c r="A238" s="91" t="s">
        <v>1013</v>
      </c>
      <c r="B238" s="91"/>
      <c r="C238" s="96" t="s">
        <v>601</v>
      </c>
      <c r="D238" s="93"/>
      <c r="E238" s="93" t="s">
        <v>402</v>
      </c>
      <c r="F238" s="94" t="s">
        <v>70</v>
      </c>
      <c r="G238" s="95">
        <v>1.2</v>
      </c>
      <c r="H238" s="95"/>
      <c r="I238" s="95">
        <v>0</v>
      </c>
      <c r="J238" s="90">
        <v>12.33</v>
      </c>
      <c r="M238" s="22">
        <f>ROUND(ROUND(J238, 2)*I238, 2)</f>
        <v>0</v>
      </c>
      <c r="P238" s="21">
        <v>12.33</v>
      </c>
      <c r="S238" s="22">
        <f>ROUND(ROUND(P238, 2)*I238, 2)</f>
        <v>0</v>
      </c>
    </row>
    <row r="239" spans="1:21" ht="73.05" customHeight="1" x14ac:dyDescent="0.3">
      <c r="A239" s="91" t="s">
        <v>1018</v>
      </c>
      <c r="B239" s="91"/>
      <c r="C239" s="96" t="s">
        <v>1019</v>
      </c>
      <c r="D239" s="93"/>
      <c r="E239" s="93" t="s">
        <v>1020</v>
      </c>
      <c r="F239" s="94" t="s">
        <v>64</v>
      </c>
      <c r="G239" s="95">
        <v>1.07</v>
      </c>
      <c r="H239" s="95"/>
      <c r="I239" s="95">
        <v>0</v>
      </c>
      <c r="J239" s="90">
        <v>1279.95</v>
      </c>
      <c r="M239" s="22">
        <f>ROUND(ROUND(J239, 2)*I239, 2)</f>
        <v>0</v>
      </c>
      <c r="P239" s="21">
        <v>637.79999999999995</v>
      </c>
      <c r="S239" s="22">
        <f>ROUND(ROUND(P239, 2)*I239, 2)</f>
        <v>0</v>
      </c>
    </row>
    <row r="240" spans="1:21" ht="18" x14ac:dyDescent="0.3">
      <c r="A240" s="91" t="s">
        <v>1026</v>
      </c>
      <c r="B240" s="91"/>
      <c r="C240" s="92" t="s">
        <v>426</v>
      </c>
      <c r="D240" s="93"/>
      <c r="E240" s="93"/>
      <c r="F240" s="94" t="s">
        <v>70</v>
      </c>
      <c r="G240" s="95">
        <v>0.25</v>
      </c>
      <c r="H240" s="95"/>
      <c r="I240" s="95">
        <v>0</v>
      </c>
      <c r="J240" s="90">
        <v>40.270000000000003</v>
      </c>
      <c r="M240" s="22">
        <f>ROUND(ROUND(J240, 2)*I240, 2)</f>
        <v>0</v>
      </c>
      <c r="P240" s="21">
        <v>40.270000000000003</v>
      </c>
      <c r="S240" s="22">
        <f>ROUND(ROUND(P240, 2)*I240, 2)</f>
        <v>0</v>
      </c>
    </row>
    <row r="241" spans="1:21" ht="18" x14ac:dyDescent="0.3">
      <c r="A241" s="91" t="s">
        <v>1031</v>
      </c>
      <c r="B241" s="91"/>
      <c r="C241" s="92" t="s">
        <v>452</v>
      </c>
      <c r="D241" s="93"/>
      <c r="E241" s="93"/>
      <c r="F241" s="94" t="s">
        <v>70</v>
      </c>
      <c r="G241" s="95">
        <v>0.15</v>
      </c>
      <c r="H241" s="95"/>
      <c r="I241" s="95">
        <v>0</v>
      </c>
      <c r="J241" s="90">
        <v>68.400000000000006</v>
      </c>
      <c r="M241" s="22">
        <f>ROUND(ROUND(J241, 2)*I241, 2)</f>
        <v>0</v>
      </c>
      <c r="P241" s="21">
        <v>68.400000000000006</v>
      </c>
      <c r="S241" s="22">
        <f>ROUND(ROUND(P241, 2)*I241, 2)</f>
        <v>0</v>
      </c>
    </row>
    <row r="242" spans="1:21" ht="36" x14ac:dyDescent="0.3">
      <c r="A242" s="91" t="s">
        <v>1036</v>
      </c>
      <c r="B242" s="91" t="s">
        <v>1001</v>
      </c>
      <c r="C242" s="97" t="s">
        <v>1002</v>
      </c>
      <c r="D242" s="93"/>
      <c r="E242" s="93" t="s">
        <v>63</v>
      </c>
      <c r="F242" s="93" t="s">
        <v>64</v>
      </c>
      <c r="G242" s="98">
        <v>1</v>
      </c>
      <c r="H242" s="98"/>
      <c r="I242" s="98">
        <v>0</v>
      </c>
      <c r="J242" s="99">
        <f>IFERROR(ROUND(SUM(M243,M244,M245,M246,M247)/I242, 2),0)</f>
        <v>0</v>
      </c>
      <c r="K242" s="15">
        <v>2056</v>
      </c>
      <c r="L242" s="14">
        <f>J242+ROUND(K242, 2)</f>
        <v>2056</v>
      </c>
      <c r="M242" s="14">
        <f>ROUND(J242*I242, 2)</f>
        <v>0</v>
      </c>
      <c r="N242" s="14">
        <f>ROUND(I242*ROUND(K242, 2), 2)</f>
        <v>0</v>
      </c>
      <c r="O242" s="14">
        <f>M242+N242</f>
        <v>0</v>
      </c>
      <c r="P242" s="14">
        <f>IFERROR(ROUND(SUM(S243,S244,S245,S246,S247)/I242, 2),0)</f>
        <v>0</v>
      </c>
      <c r="Q242" s="15">
        <v>1869</v>
      </c>
      <c r="R242" s="14">
        <f>P242+ROUND(Q242, 2)</f>
        <v>1869</v>
      </c>
      <c r="S242" s="14">
        <f>ROUND(P242*I242, 2)</f>
        <v>0</v>
      </c>
      <c r="T242" s="14">
        <f>ROUND(I242*ROUND(Q242, 2), 2)</f>
        <v>0</v>
      </c>
      <c r="U242" s="14">
        <f>S242+T242</f>
        <v>0</v>
      </c>
    </row>
    <row r="243" spans="1:21" ht="18" x14ac:dyDescent="0.3">
      <c r="A243" s="91" t="s">
        <v>1038</v>
      </c>
      <c r="B243" s="91"/>
      <c r="C243" s="92" t="s">
        <v>452</v>
      </c>
      <c r="D243" s="93"/>
      <c r="E243" s="93"/>
      <c r="F243" s="94" t="s">
        <v>70</v>
      </c>
      <c r="G243" s="95">
        <v>0.15</v>
      </c>
      <c r="H243" s="95"/>
      <c r="I243" s="95">
        <v>0</v>
      </c>
      <c r="J243" s="90">
        <v>68.400000000000006</v>
      </c>
      <c r="M243" s="22">
        <f>ROUND(ROUND(J243, 2)*I243, 2)</f>
        <v>0</v>
      </c>
      <c r="P243" s="21">
        <v>68.400000000000006</v>
      </c>
      <c r="S243" s="22">
        <f>ROUND(ROUND(P243, 2)*I243, 2)</f>
        <v>0</v>
      </c>
    </row>
    <row r="244" spans="1:21" ht="18" x14ac:dyDescent="0.3">
      <c r="A244" s="91" t="s">
        <v>1043</v>
      </c>
      <c r="B244" s="91"/>
      <c r="C244" s="92" t="s">
        <v>1044</v>
      </c>
      <c r="D244" s="93"/>
      <c r="E244" s="93" t="s">
        <v>1045</v>
      </c>
      <c r="F244" s="94" t="s">
        <v>70</v>
      </c>
      <c r="G244" s="95">
        <v>0.25</v>
      </c>
      <c r="H244" s="95"/>
      <c r="I244" s="95">
        <v>0</v>
      </c>
      <c r="J244" s="90">
        <v>40.270000000000003</v>
      </c>
      <c r="M244" s="22">
        <f>ROUND(ROUND(J244, 2)*I244, 2)</f>
        <v>0</v>
      </c>
      <c r="P244" s="21">
        <v>40.270000000000003</v>
      </c>
      <c r="S244" s="22">
        <f>ROUND(ROUND(P244, 2)*I244, 2)</f>
        <v>0</v>
      </c>
    </row>
    <row r="245" spans="1:21" ht="87.45" customHeight="1" x14ac:dyDescent="0.3">
      <c r="A245" s="91" t="s">
        <v>1051</v>
      </c>
      <c r="B245" s="91"/>
      <c r="C245" s="92" t="s">
        <v>1052</v>
      </c>
      <c r="D245" s="93"/>
      <c r="E245" s="93" t="s">
        <v>1053</v>
      </c>
      <c r="F245" s="94" t="s">
        <v>64</v>
      </c>
      <c r="G245" s="95">
        <v>1.07</v>
      </c>
      <c r="H245" s="95"/>
      <c r="I245" s="95">
        <v>0</v>
      </c>
      <c r="J245" s="90">
        <v>1374.45</v>
      </c>
      <c r="M245" s="22">
        <f>ROUND(ROUND(J245, 2)*I245, 2)</f>
        <v>0</v>
      </c>
      <c r="P245" s="21">
        <v>837.4</v>
      </c>
      <c r="S245" s="22">
        <f>ROUND(ROUND(P245, 2)*I245, 2)</f>
        <v>0</v>
      </c>
    </row>
    <row r="246" spans="1:21" ht="67.5" customHeight="1" x14ac:dyDescent="0.3">
      <c r="A246" s="91" t="s">
        <v>1059</v>
      </c>
      <c r="B246" s="91"/>
      <c r="C246" s="96" t="s">
        <v>601</v>
      </c>
      <c r="D246" s="93"/>
      <c r="E246" s="93" t="s">
        <v>402</v>
      </c>
      <c r="F246" s="94" t="s">
        <v>70</v>
      </c>
      <c r="G246" s="95">
        <v>1.2</v>
      </c>
      <c r="H246" s="95"/>
      <c r="I246" s="95">
        <v>0</v>
      </c>
      <c r="J246" s="90">
        <v>12.33</v>
      </c>
      <c r="M246" s="22">
        <f>ROUND(ROUND(J246, 2)*I246, 2)</f>
        <v>0</v>
      </c>
      <c r="P246" s="21">
        <v>12.33</v>
      </c>
      <c r="S246" s="22">
        <f>ROUND(ROUND(P246, 2)*I246, 2)</f>
        <v>0</v>
      </c>
    </row>
    <row r="247" spans="1:21" ht="36" x14ac:dyDescent="0.3">
      <c r="A247" s="91" t="s">
        <v>1064</v>
      </c>
      <c r="B247" s="91"/>
      <c r="C247" s="92" t="s">
        <v>1007</v>
      </c>
      <c r="D247" s="93"/>
      <c r="E247" s="93"/>
      <c r="F247" s="94" t="s">
        <v>87</v>
      </c>
      <c r="G247" s="95">
        <v>0.23</v>
      </c>
      <c r="H247" s="95"/>
      <c r="I247" s="95">
        <v>0</v>
      </c>
      <c r="J247" s="90">
        <v>97.71</v>
      </c>
      <c r="M247" s="22">
        <f>ROUND(ROUND(J247, 2)*I247, 2)</f>
        <v>0</v>
      </c>
      <c r="P247" s="21">
        <v>97.71</v>
      </c>
      <c r="S247" s="22">
        <f>ROUND(ROUND(P247, 2)*I247, 2)</f>
        <v>0</v>
      </c>
    </row>
    <row r="248" spans="1:21" ht="36" x14ac:dyDescent="0.3">
      <c r="A248" s="91" t="s">
        <v>1069</v>
      </c>
      <c r="B248" s="91" t="s">
        <v>1070</v>
      </c>
      <c r="C248" s="97" t="s">
        <v>1071</v>
      </c>
      <c r="D248" s="93"/>
      <c r="E248" s="93" t="s">
        <v>63</v>
      </c>
      <c r="F248" s="93" t="s">
        <v>64</v>
      </c>
      <c r="G248" s="98">
        <v>1</v>
      </c>
      <c r="H248" s="98"/>
      <c r="I248" s="98">
        <v>0</v>
      </c>
      <c r="J248" s="99">
        <f>IFERROR(ROUND(SUM(M249,M250)/I248, 2),0)</f>
        <v>0</v>
      </c>
      <c r="K248" s="15">
        <v>276</v>
      </c>
      <c r="L248" s="14">
        <f>J248+ROUND(K248, 2)</f>
        <v>276</v>
      </c>
      <c r="M248" s="14">
        <f>ROUND(J248*I248, 2)</f>
        <v>0</v>
      </c>
      <c r="N248" s="14">
        <f>ROUND(I248*ROUND(K248, 2), 2)</f>
        <v>0</v>
      </c>
      <c r="O248" s="14">
        <f>M248+N248</f>
        <v>0</v>
      </c>
      <c r="P248" s="14">
        <f>IFERROR(ROUND(SUM(S249,S250)/I248, 2),0)</f>
        <v>0</v>
      </c>
      <c r="Q248" s="15">
        <v>251</v>
      </c>
      <c r="R248" s="14">
        <f>P248+ROUND(Q248, 2)</f>
        <v>251</v>
      </c>
      <c r="S248" s="14">
        <f>ROUND(P248*I248, 2)</f>
        <v>0</v>
      </c>
      <c r="T248" s="14">
        <f>ROUND(I248*ROUND(Q248, 2), 2)</f>
        <v>0</v>
      </c>
      <c r="U248" s="14">
        <f>S248+T248</f>
        <v>0</v>
      </c>
    </row>
    <row r="249" spans="1:21" ht="18" x14ac:dyDescent="0.3">
      <c r="A249" s="91" t="s">
        <v>1075</v>
      </c>
      <c r="B249" s="91"/>
      <c r="C249" s="92" t="s">
        <v>433</v>
      </c>
      <c r="D249" s="93"/>
      <c r="E249" s="93"/>
      <c r="F249" s="94" t="s">
        <v>70</v>
      </c>
      <c r="G249" s="95">
        <v>0.15</v>
      </c>
      <c r="H249" s="95"/>
      <c r="I249" s="95">
        <v>0</v>
      </c>
      <c r="J249" s="90">
        <v>88.8</v>
      </c>
      <c r="M249" s="22">
        <f>ROUND(ROUND(J249, 2)*I249, 2)</f>
        <v>0</v>
      </c>
      <c r="P249" s="21">
        <v>88.8</v>
      </c>
      <c r="S249" s="22">
        <f>ROUND(ROUND(P249, 2)*I249, 2)</f>
        <v>0</v>
      </c>
    </row>
    <row r="250" spans="1:21" ht="118.95" customHeight="1" x14ac:dyDescent="0.3">
      <c r="A250" s="91" t="s">
        <v>1080</v>
      </c>
      <c r="B250" s="91"/>
      <c r="C250" s="92" t="s">
        <v>1081</v>
      </c>
      <c r="D250" s="93"/>
      <c r="E250" s="93" t="s">
        <v>1082</v>
      </c>
      <c r="F250" s="94" t="s">
        <v>70</v>
      </c>
      <c r="G250" s="95">
        <v>0.3</v>
      </c>
      <c r="H250" s="95"/>
      <c r="I250" s="95">
        <v>0</v>
      </c>
      <c r="J250" s="90">
        <v>252.47</v>
      </c>
      <c r="M250" s="22">
        <f>ROUND(ROUND(J250, 2)*I250, 2)</f>
        <v>0</v>
      </c>
      <c r="P250" s="21">
        <v>252.47</v>
      </c>
      <c r="S250" s="22">
        <f>ROUND(ROUND(P250, 2)*I250, 2)</f>
        <v>0</v>
      </c>
    </row>
    <row r="251" spans="1:21" ht="36" x14ac:dyDescent="0.3">
      <c r="A251" s="91" t="s">
        <v>1088</v>
      </c>
      <c r="B251" s="91" t="s">
        <v>1070</v>
      </c>
      <c r="C251" s="97" t="s">
        <v>1071</v>
      </c>
      <c r="D251" s="93"/>
      <c r="E251" s="93" t="s">
        <v>63</v>
      </c>
      <c r="F251" s="93" t="s">
        <v>64</v>
      </c>
      <c r="G251" s="98">
        <v>1</v>
      </c>
      <c r="H251" s="98"/>
      <c r="I251" s="98">
        <v>0</v>
      </c>
      <c r="J251" s="99">
        <f>IFERROR(ROUND(SUM(M252,M253)/I251, 2),0)</f>
        <v>0</v>
      </c>
      <c r="K251" s="15">
        <v>276</v>
      </c>
      <c r="L251" s="14">
        <f>J251+ROUND(K251, 2)</f>
        <v>276</v>
      </c>
      <c r="M251" s="14">
        <f>ROUND(J251*I251, 2)</f>
        <v>0</v>
      </c>
      <c r="N251" s="14">
        <f>ROUND(I251*ROUND(K251, 2), 2)</f>
        <v>0</v>
      </c>
      <c r="O251" s="14">
        <f>M251+N251</f>
        <v>0</v>
      </c>
      <c r="P251" s="14">
        <f>IFERROR(ROUND(SUM(S252,S253)/I251, 2),0)</f>
        <v>0</v>
      </c>
      <c r="Q251" s="15">
        <v>251</v>
      </c>
      <c r="R251" s="14">
        <f>P251+ROUND(Q251, 2)</f>
        <v>251</v>
      </c>
      <c r="S251" s="14">
        <f>ROUND(P251*I251, 2)</f>
        <v>0</v>
      </c>
      <c r="T251" s="14">
        <f>ROUND(I251*ROUND(Q251, 2), 2)</f>
        <v>0</v>
      </c>
      <c r="U251" s="14">
        <f>S251+T251</f>
        <v>0</v>
      </c>
    </row>
    <row r="252" spans="1:21" ht="91.5" customHeight="1" x14ac:dyDescent="0.3">
      <c r="A252" s="91" t="s">
        <v>1090</v>
      </c>
      <c r="B252" s="91"/>
      <c r="C252" s="92" t="s">
        <v>1091</v>
      </c>
      <c r="D252" s="93"/>
      <c r="E252" s="93" t="s">
        <v>1092</v>
      </c>
      <c r="F252" s="94" t="s">
        <v>70</v>
      </c>
      <c r="G252" s="95">
        <v>0.3</v>
      </c>
      <c r="H252" s="95"/>
      <c r="I252" s="95">
        <v>0</v>
      </c>
      <c r="J252" s="90">
        <v>388.89</v>
      </c>
      <c r="M252" s="22">
        <f>ROUND(ROUND(J252, 2)*I252, 2)</f>
        <v>0</v>
      </c>
      <c r="P252" s="21">
        <v>388.89</v>
      </c>
      <c r="S252" s="22">
        <f>ROUND(ROUND(P252, 2)*I252, 2)</f>
        <v>0</v>
      </c>
    </row>
    <row r="253" spans="1:21" ht="18" x14ac:dyDescent="0.3">
      <c r="A253" s="91" t="s">
        <v>1098</v>
      </c>
      <c r="B253" s="91"/>
      <c r="C253" s="92" t="s">
        <v>433</v>
      </c>
      <c r="D253" s="93"/>
      <c r="E253" s="93"/>
      <c r="F253" s="94" t="s">
        <v>70</v>
      </c>
      <c r="G253" s="95">
        <v>0.15</v>
      </c>
      <c r="H253" s="95"/>
      <c r="I253" s="95">
        <v>0</v>
      </c>
      <c r="J253" s="90">
        <v>88.8</v>
      </c>
      <c r="M253" s="22">
        <f>ROUND(ROUND(J253, 2)*I253, 2)</f>
        <v>0</v>
      </c>
      <c r="P253" s="21">
        <v>88.8</v>
      </c>
      <c r="S253" s="22">
        <f>ROUND(ROUND(P253, 2)*I253, 2)</f>
        <v>0</v>
      </c>
    </row>
    <row r="254" spans="1:21" ht="36" x14ac:dyDescent="0.3">
      <c r="A254" s="91" t="s">
        <v>1103</v>
      </c>
      <c r="B254" s="91" t="s">
        <v>1070</v>
      </c>
      <c r="C254" s="97" t="s">
        <v>1071</v>
      </c>
      <c r="D254" s="93"/>
      <c r="E254" s="93" t="s">
        <v>63</v>
      </c>
      <c r="F254" s="93" t="s">
        <v>64</v>
      </c>
      <c r="G254" s="98">
        <v>1</v>
      </c>
      <c r="H254" s="98"/>
      <c r="I254" s="98">
        <v>0</v>
      </c>
      <c r="J254" s="99">
        <f>IFERROR(ROUND(SUM(M255,M256)/I254, 2),0)</f>
        <v>0</v>
      </c>
      <c r="K254" s="15">
        <v>276</v>
      </c>
      <c r="L254" s="14">
        <f>J254+ROUND(K254, 2)</f>
        <v>276</v>
      </c>
      <c r="M254" s="14">
        <f>ROUND(J254*I254, 2)</f>
        <v>0</v>
      </c>
      <c r="N254" s="14">
        <f>ROUND(I254*ROUND(K254, 2), 2)</f>
        <v>0</v>
      </c>
      <c r="O254" s="14">
        <f>M254+N254</f>
        <v>0</v>
      </c>
      <c r="P254" s="14">
        <f>IFERROR(ROUND(SUM(S255,S256)/I254, 2),0)</f>
        <v>0</v>
      </c>
      <c r="Q254" s="15">
        <v>251</v>
      </c>
      <c r="R254" s="14">
        <f>P254+ROUND(Q254, 2)</f>
        <v>251</v>
      </c>
      <c r="S254" s="14">
        <f>ROUND(P254*I254, 2)</f>
        <v>0</v>
      </c>
      <c r="T254" s="14">
        <f>ROUND(I254*ROUND(Q254, 2), 2)</f>
        <v>0</v>
      </c>
      <c r="U254" s="14">
        <f>S254+T254</f>
        <v>0</v>
      </c>
    </row>
    <row r="255" spans="1:21" ht="18" x14ac:dyDescent="0.3">
      <c r="A255" s="91" t="s">
        <v>1105</v>
      </c>
      <c r="B255" s="91"/>
      <c r="C255" s="92" t="s">
        <v>433</v>
      </c>
      <c r="D255" s="93"/>
      <c r="E255" s="93"/>
      <c r="F255" s="94" t="s">
        <v>70</v>
      </c>
      <c r="G255" s="95">
        <v>0.15</v>
      </c>
      <c r="H255" s="95"/>
      <c r="I255" s="95">
        <v>0</v>
      </c>
      <c r="J255" s="90">
        <v>88.8</v>
      </c>
      <c r="M255" s="22">
        <f>ROUND(ROUND(J255, 2)*I255, 2)</f>
        <v>0</v>
      </c>
      <c r="P255" s="21">
        <v>88.8</v>
      </c>
      <c r="S255" s="22">
        <f>ROUND(ROUND(P255, 2)*I255, 2)</f>
        <v>0</v>
      </c>
    </row>
    <row r="256" spans="1:21" ht="63" customHeight="1" x14ac:dyDescent="0.3">
      <c r="A256" s="91" t="s">
        <v>1110</v>
      </c>
      <c r="B256" s="91"/>
      <c r="C256" s="92" t="s">
        <v>1111</v>
      </c>
      <c r="D256" s="93"/>
      <c r="E256" s="93" t="s">
        <v>1112</v>
      </c>
      <c r="F256" s="94" t="s">
        <v>70</v>
      </c>
      <c r="G256" s="95">
        <v>0.3</v>
      </c>
      <c r="H256" s="95"/>
      <c r="I256" s="95">
        <v>0</v>
      </c>
      <c r="J256" s="90">
        <v>0</v>
      </c>
      <c r="M256" s="22">
        <f>ROUND(ROUND(J256, 2)*I256, 2)</f>
        <v>0</v>
      </c>
      <c r="P256" s="21">
        <v>0</v>
      </c>
      <c r="S256" s="22">
        <f>ROUND(ROUND(P256, 2)*I256, 2)</f>
        <v>0</v>
      </c>
    </row>
    <row r="257" spans="1:21" ht="36" x14ac:dyDescent="0.3">
      <c r="A257" s="91" t="s">
        <v>1118</v>
      </c>
      <c r="B257" s="91" t="s">
        <v>1070</v>
      </c>
      <c r="C257" s="97" t="s">
        <v>1071</v>
      </c>
      <c r="D257" s="93"/>
      <c r="E257" s="93" t="s">
        <v>63</v>
      </c>
      <c r="F257" s="93" t="s">
        <v>64</v>
      </c>
      <c r="G257" s="98">
        <v>1</v>
      </c>
      <c r="H257" s="98"/>
      <c r="I257" s="98">
        <v>0</v>
      </c>
      <c r="J257" s="99">
        <f>IFERROR(ROUND(SUM(M258,M259)/I257, 2),0)</f>
        <v>0</v>
      </c>
      <c r="K257" s="15">
        <v>276</v>
      </c>
      <c r="L257" s="14">
        <f>J257+ROUND(K257, 2)</f>
        <v>276</v>
      </c>
      <c r="M257" s="14">
        <f>ROUND(J257*I257, 2)</f>
        <v>0</v>
      </c>
      <c r="N257" s="14">
        <f>ROUND(I257*ROUND(K257, 2), 2)</f>
        <v>0</v>
      </c>
      <c r="O257" s="14">
        <f>M257+N257</f>
        <v>0</v>
      </c>
      <c r="P257" s="14">
        <f>IFERROR(ROUND(SUM(S258,S259)/I257, 2),0)</f>
        <v>0</v>
      </c>
      <c r="Q257" s="15">
        <v>251</v>
      </c>
      <c r="R257" s="14">
        <f>P257+ROUND(Q257, 2)</f>
        <v>251</v>
      </c>
      <c r="S257" s="14">
        <f>ROUND(P257*I257, 2)</f>
        <v>0</v>
      </c>
      <c r="T257" s="14">
        <f>ROUND(I257*ROUND(Q257, 2), 2)</f>
        <v>0</v>
      </c>
      <c r="U257" s="14">
        <f>S257+T257</f>
        <v>0</v>
      </c>
    </row>
    <row r="258" spans="1:21" ht="91.5" customHeight="1" x14ac:dyDescent="0.3">
      <c r="A258" s="91" t="s">
        <v>1120</v>
      </c>
      <c r="B258" s="91"/>
      <c r="C258" s="92" t="s">
        <v>1091</v>
      </c>
      <c r="D258" s="93"/>
      <c r="E258" s="93" t="s">
        <v>1121</v>
      </c>
      <c r="F258" s="94" t="s">
        <v>70</v>
      </c>
      <c r="G258" s="95">
        <v>0.3</v>
      </c>
      <c r="H258" s="95"/>
      <c r="I258" s="95">
        <v>0</v>
      </c>
      <c r="J258" s="90">
        <v>388.89</v>
      </c>
      <c r="M258" s="22">
        <f>ROUND(ROUND(J258, 2)*I258, 2)</f>
        <v>0</v>
      </c>
      <c r="P258" s="21">
        <v>388.89</v>
      </c>
      <c r="S258" s="22">
        <f>ROUND(ROUND(P258, 2)*I258, 2)</f>
        <v>0</v>
      </c>
    </row>
    <row r="259" spans="1:21" ht="18" x14ac:dyDescent="0.3">
      <c r="A259" s="91" t="s">
        <v>1126</v>
      </c>
      <c r="B259" s="91"/>
      <c r="C259" s="92" t="s">
        <v>433</v>
      </c>
      <c r="D259" s="93"/>
      <c r="E259" s="93"/>
      <c r="F259" s="94" t="s">
        <v>70</v>
      </c>
      <c r="G259" s="95">
        <v>0.15</v>
      </c>
      <c r="H259" s="95"/>
      <c r="I259" s="95">
        <v>0</v>
      </c>
      <c r="J259" s="90">
        <v>88.8</v>
      </c>
      <c r="M259" s="22">
        <f>ROUND(ROUND(J259, 2)*I259, 2)</f>
        <v>0</v>
      </c>
      <c r="P259" s="21">
        <v>88.8</v>
      </c>
      <c r="S259" s="22">
        <f>ROUND(ROUND(P259, 2)*I259, 2)</f>
        <v>0</v>
      </c>
    </row>
    <row r="260" spans="1:21" ht="36" x14ac:dyDescent="0.3">
      <c r="A260" s="91" t="s">
        <v>1131</v>
      </c>
      <c r="B260" s="91" t="s">
        <v>1070</v>
      </c>
      <c r="C260" s="97" t="s">
        <v>1071</v>
      </c>
      <c r="D260" s="93"/>
      <c r="E260" s="93" t="s">
        <v>63</v>
      </c>
      <c r="F260" s="93" t="s">
        <v>64</v>
      </c>
      <c r="G260" s="98">
        <v>1</v>
      </c>
      <c r="H260" s="98"/>
      <c r="I260" s="98">
        <v>0</v>
      </c>
      <c r="J260" s="99">
        <f>IFERROR(ROUND(SUM(M261,M262)/I260, 2),0)</f>
        <v>0</v>
      </c>
      <c r="K260" s="15">
        <v>276</v>
      </c>
      <c r="L260" s="14">
        <f>J260+ROUND(K260, 2)</f>
        <v>276</v>
      </c>
      <c r="M260" s="14">
        <f>ROUND(J260*I260, 2)</f>
        <v>0</v>
      </c>
      <c r="N260" s="14">
        <f>ROUND(I260*ROUND(K260, 2), 2)</f>
        <v>0</v>
      </c>
      <c r="O260" s="14">
        <f>M260+N260</f>
        <v>0</v>
      </c>
      <c r="P260" s="14">
        <f>IFERROR(ROUND(SUM(S261,S262)/I260, 2),0)</f>
        <v>0</v>
      </c>
      <c r="Q260" s="15">
        <v>251</v>
      </c>
      <c r="R260" s="14">
        <f>P260+ROUND(Q260, 2)</f>
        <v>251</v>
      </c>
      <c r="S260" s="14">
        <f>ROUND(P260*I260, 2)</f>
        <v>0</v>
      </c>
      <c r="T260" s="14">
        <f>ROUND(I260*ROUND(Q260, 2), 2)</f>
        <v>0</v>
      </c>
      <c r="U260" s="14">
        <f>S260+T260</f>
        <v>0</v>
      </c>
    </row>
    <row r="261" spans="1:21" ht="18" x14ac:dyDescent="0.3">
      <c r="A261" s="91" t="s">
        <v>1133</v>
      </c>
      <c r="B261" s="91"/>
      <c r="C261" s="92" t="s">
        <v>433</v>
      </c>
      <c r="D261" s="93"/>
      <c r="E261" s="93"/>
      <c r="F261" s="94" t="s">
        <v>70</v>
      </c>
      <c r="G261" s="95">
        <v>0.15</v>
      </c>
      <c r="H261" s="95"/>
      <c r="I261" s="95">
        <v>0</v>
      </c>
      <c r="J261" s="90">
        <v>88.8</v>
      </c>
      <c r="M261" s="22">
        <f>ROUND(ROUND(J261, 2)*I261, 2)</f>
        <v>0</v>
      </c>
      <c r="P261" s="21">
        <v>88.8</v>
      </c>
      <c r="S261" s="22">
        <f>ROUND(ROUND(P261, 2)*I261, 2)</f>
        <v>0</v>
      </c>
    </row>
    <row r="262" spans="1:21" ht="73.05" customHeight="1" x14ac:dyDescent="0.3">
      <c r="A262" s="91" t="s">
        <v>1138</v>
      </c>
      <c r="B262" s="91"/>
      <c r="C262" s="92" t="s">
        <v>1091</v>
      </c>
      <c r="D262" s="93"/>
      <c r="E262" s="93" t="s">
        <v>1139</v>
      </c>
      <c r="F262" s="94" t="s">
        <v>70</v>
      </c>
      <c r="G262" s="95">
        <v>0.3</v>
      </c>
      <c r="H262" s="95"/>
      <c r="I262" s="95">
        <v>0</v>
      </c>
      <c r="J262" s="90">
        <v>388.89</v>
      </c>
      <c r="M262" s="22">
        <f>ROUND(ROUND(J262, 2)*I262, 2)</f>
        <v>0</v>
      </c>
      <c r="P262" s="21">
        <v>388.89</v>
      </c>
      <c r="S262" s="22">
        <f>ROUND(ROUND(P262, 2)*I262, 2)</f>
        <v>0</v>
      </c>
    </row>
    <row r="263" spans="1:21" ht="36" x14ac:dyDescent="0.3">
      <c r="A263" s="91" t="s">
        <v>1144</v>
      </c>
      <c r="B263" s="91" t="s">
        <v>1070</v>
      </c>
      <c r="C263" s="97" t="s">
        <v>1071</v>
      </c>
      <c r="D263" s="93"/>
      <c r="E263" s="93" t="s">
        <v>63</v>
      </c>
      <c r="F263" s="93" t="s">
        <v>64</v>
      </c>
      <c r="G263" s="98">
        <v>1</v>
      </c>
      <c r="H263" s="98"/>
      <c r="I263" s="98">
        <v>0</v>
      </c>
      <c r="J263" s="99">
        <f>IFERROR(ROUND(SUM(M264,M265)/I263, 2),0)</f>
        <v>0</v>
      </c>
      <c r="K263" s="15">
        <v>276</v>
      </c>
      <c r="L263" s="14">
        <f>J263+ROUND(K263, 2)</f>
        <v>276</v>
      </c>
      <c r="M263" s="14">
        <f>ROUND(J263*I263, 2)</f>
        <v>0</v>
      </c>
      <c r="N263" s="14">
        <f>ROUND(I263*ROUND(K263, 2), 2)</f>
        <v>0</v>
      </c>
      <c r="O263" s="14">
        <f>M263+N263</f>
        <v>0</v>
      </c>
      <c r="P263" s="14">
        <f>IFERROR(ROUND(SUM(S264,S265)/I263, 2),0)</f>
        <v>0</v>
      </c>
      <c r="Q263" s="15">
        <v>251</v>
      </c>
      <c r="R263" s="14">
        <f>P263+ROUND(Q263, 2)</f>
        <v>251</v>
      </c>
      <c r="S263" s="14">
        <f>ROUND(P263*I263, 2)</f>
        <v>0</v>
      </c>
      <c r="T263" s="14">
        <f>ROUND(I263*ROUND(Q263, 2), 2)</f>
        <v>0</v>
      </c>
      <c r="U263" s="14">
        <f>S263+T263</f>
        <v>0</v>
      </c>
    </row>
    <row r="264" spans="1:21" ht="81" customHeight="1" x14ac:dyDescent="0.3">
      <c r="A264" s="91" t="s">
        <v>1146</v>
      </c>
      <c r="B264" s="91"/>
      <c r="C264" s="92" t="s">
        <v>1091</v>
      </c>
      <c r="D264" s="93"/>
      <c r="E264" s="93" t="s">
        <v>1147</v>
      </c>
      <c r="F264" s="94" t="s">
        <v>70</v>
      </c>
      <c r="G264" s="95">
        <v>0.3</v>
      </c>
      <c r="H264" s="95"/>
      <c r="I264" s="95">
        <v>0</v>
      </c>
      <c r="J264" s="90">
        <v>388.89</v>
      </c>
      <c r="M264" s="22">
        <f>ROUND(ROUND(J264, 2)*I264, 2)</f>
        <v>0</v>
      </c>
      <c r="P264" s="21">
        <v>388.89</v>
      </c>
      <c r="S264" s="22">
        <f>ROUND(ROUND(P264, 2)*I264, 2)</f>
        <v>0</v>
      </c>
    </row>
    <row r="265" spans="1:21" ht="18" x14ac:dyDescent="0.3">
      <c r="A265" s="91" t="s">
        <v>1152</v>
      </c>
      <c r="B265" s="91"/>
      <c r="C265" s="92" t="s">
        <v>433</v>
      </c>
      <c r="D265" s="93"/>
      <c r="E265" s="93"/>
      <c r="F265" s="94" t="s">
        <v>70</v>
      </c>
      <c r="G265" s="95">
        <v>0.15</v>
      </c>
      <c r="H265" s="95"/>
      <c r="I265" s="95">
        <v>0</v>
      </c>
      <c r="J265" s="90">
        <v>88.8</v>
      </c>
      <c r="M265" s="22">
        <f>ROUND(ROUND(J265, 2)*I265, 2)</f>
        <v>0</v>
      </c>
      <c r="P265" s="21">
        <v>88.8</v>
      </c>
      <c r="S265" s="22">
        <f>ROUND(ROUND(P265, 2)*I265, 2)</f>
        <v>0</v>
      </c>
    </row>
    <row r="266" spans="1:21" ht="36" x14ac:dyDescent="0.3">
      <c r="A266" s="91" t="s">
        <v>1157</v>
      </c>
      <c r="B266" s="91" t="s">
        <v>1070</v>
      </c>
      <c r="C266" s="97" t="s">
        <v>1071</v>
      </c>
      <c r="D266" s="93"/>
      <c r="E266" s="93" t="s">
        <v>63</v>
      </c>
      <c r="F266" s="93" t="s">
        <v>64</v>
      </c>
      <c r="G266" s="98">
        <v>1</v>
      </c>
      <c r="H266" s="98"/>
      <c r="I266" s="98">
        <v>0</v>
      </c>
      <c r="J266" s="99">
        <f>IFERROR(ROUND(SUM(M267,M268)/I266, 2),0)</f>
        <v>0</v>
      </c>
      <c r="K266" s="15">
        <v>276</v>
      </c>
      <c r="L266" s="14">
        <f>J266+ROUND(K266, 2)</f>
        <v>276</v>
      </c>
      <c r="M266" s="14">
        <f>ROUND(J266*I266, 2)</f>
        <v>0</v>
      </c>
      <c r="N266" s="14">
        <f>ROUND(I266*ROUND(K266, 2), 2)</f>
        <v>0</v>
      </c>
      <c r="O266" s="14">
        <f>M266+N266</f>
        <v>0</v>
      </c>
      <c r="P266" s="14">
        <f>IFERROR(ROUND(SUM(S267,S268)/I266, 2),0)</f>
        <v>0</v>
      </c>
      <c r="Q266" s="15">
        <v>251</v>
      </c>
      <c r="R266" s="14">
        <f>P266+ROUND(Q266, 2)</f>
        <v>251</v>
      </c>
      <c r="S266" s="14">
        <f>ROUND(P266*I266, 2)</f>
        <v>0</v>
      </c>
      <c r="T266" s="14">
        <f>ROUND(I266*ROUND(Q266, 2), 2)</f>
        <v>0</v>
      </c>
      <c r="U266" s="14">
        <f>S266+T266</f>
        <v>0</v>
      </c>
    </row>
    <row r="267" spans="1:21" ht="18" x14ac:dyDescent="0.3">
      <c r="A267" s="91" t="s">
        <v>1159</v>
      </c>
      <c r="B267" s="91"/>
      <c r="C267" s="92" t="s">
        <v>433</v>
      </c>
      <c r="D267" s="93"/>
      <c r="E267" s="93"/>
      <c r="F267" s="94" t="s">
        <v>70</v>
      </c>
      <c r="G267" s="95">
        <v>0.15</v>
      </c>
      <c r="H267" s="95"/>
      <c r="I267" s="95">
        <v>0</v>
      </c>
      <c r="J267" s="90">
        <v>88.8</v>
      </c>
      <c r="M267" s="22">
        <f>ROUND(ROUND(J267, 2)*I267, 2)</f>
        <v>0</v>
      </c>
      <c r="P267" s="21">
        <v>88.8</v>
      </c>
      <c r="S267" s="22">
        <f>ROUND(ROUND(P267, 2)*I267, 2)</f>
        <v>0</v>
      </c>
    </row>
    <row r="268" spans="1:21" ht="82.05" customHeight="1" x14ac:dyDescent="0.3">
      <c r="A268" s="91" t="s">
        <v>1164</v>
      </c>
      <c r="B268" s="91"/>
      <c r="C268" s="92" t="s">
        <v>1091</v>
      </c>
      <c r="D268" s="93"/>
      <c r="E268" s="93" t="s">
        <v>1121</v>
      </c>
      <c r="F268" s="94" t="s">
        <v>70</v>
      </c>
      <c r="G268" s="95">
        <v>0.3</v>
      </c>
      <c r="H268" s="95"/>
      <c r="I268" s="95">
        <v>0</v>
      </c>
      <c r="J268" s="90">
        <v>388.89</v>
      </c>
      <c r="M268" s="22">
        <f>ROUND(ROUND(J268, 2)*I268, 2)</f>
        <v>0</v>
      </c>
      <c r="P268" s="21">
        <v>388.89</v>
      </c>
      <c r="S268" s="22">
        <f>ROUND(ROUND(P268, 2)*I268, 2)</f>
        <v>0</v>
      </c>
    </row>
    <row r="269" spans="1:21" ht="18" x14ac:dyDescent="0.3">
      <c r="A269" s="74" t="s">
        <v>1169</v>
      </c>
      <c r="B269" s="74" t="s">
        <v>1170</v>
      </c>
      <c r="C269" s="75" t="s">
        <v>1171</v>
      </c>
      <c r="D269" s="76"/>
      <c r="E269" s="76" t="s">
        <v>1172</v>
      </c>
      <c r="F269" s="76" t="s">
        <v>64</v>
      </c>
      <c r="G269" s="77">
        <v>1</v>
      </c>
      <c r="H269" s="77"/>
      <c r="I269" s="77">
        <v>5404.01</v>
      </c>
      <c r="J269" s="14">
        <f>IFERROR(ROUND(SUM(M270,M271)/I269, 2),0)</f>
        <v>13.32</v>
      </c>
      <c r="K269" s="15">
        <v>428</v>
      </c>
      <c r="L269" s="14">
        <f>J269+ROUND(K269, 2)</f>
        <v>441.32</v>
      </c>
      <c r="M269" s="14">
        <f>ROUND(J269*I269, 2)</f>
        <v>71981.41</v>
      </c>
      <c r="N269" s="14">
        <f>ROUND(I269*ROUND(K269, 2), 2)</f>
        <v>2312916.2799999998</v>
      </c>
      <c r="O269" s="14">
        <f>M269+N269</f>
        <v>2384897.69</v>
      </c>
      <c r="P269" s="14">
        <f>IFERROR(ROUND(SUM(S270,S271)/I269, 2),0)</f>
        <v>68.28</v>
      </c>
      <c r="Q269" s="15">
        <v>428</v>
      </c>
      <c r="R269" s="14">
        <f>P269+ROUND(Q269, 2)</f>
        <v>496.28</v>
      </c>
      <c r="S269" s="14">
        <f>ROUND(P269*I269, 2)</f>
        <v>368985.8</v>
      </c>
      <c r="T269" s="14">
        <f>ROUND(I269*ROUND(Q269, 2), 2)</f>
        <v>2312916.2799999998</v>
      </c>
      <c r="U269" s="14">
        <f>S269+T269</f>
        <v>2681902.0799999996</v>
      </c>
    </row>
    <row r="270" spans="1:21" ht="82.5" customHeight="1" x14ac:dyDescent="0.3">
      <c r="A270" s="91" t="s">
        <v>1175</v>
      </c>
      <c r="B270" s="91"/>
      <c r="C270" s="92" t="s">
        <v>1176</v>
      </c>
      <c r="D270" s="93"/>
      <c r="E270" s="93" t="s">
        <v>1177</v>
      </c>
      <c r="F270" s="94" t="s">
        <v>70</v>
      </c>
      <c r="G270" s="95">
        <v>0.3</v>
      </c>
      <c r="H270" s="95"/>
      <c r="I270" s="95">
        <v>1621.203</v>
      </c>
      <c r="J270" s="90">
        <v>0</v>
      </c>
      <c r="M270" s="22">
        <f>ROUND(ROUND(J270, 2)*I270, 2)</f>
        <v>0</v>
      </c>
      <c r="P270" s="21">
        <v>183.2</v>
      </c>
      <c r="S270" s="22">
        <f>ROUND(ROUND(P270, 2)*I270, 2)</f>
        <v>297004.39</v>
      </c>
    </row>
    <row r="271" spans="1:21" ht="18" x14ac:dyDescent="0.3">
      <c r="A271" s="91" t="s">
        <v>1181</v>
      </c>
      <c r="B271" s="91"/>
      <c r="C271" s="92" t="s">
        <v>433</v>
      </c>
      <c r="D271" s="93"/>
      <c r="E271" s="93"/>
      <c r="F271" s="94" t="s">
        <v>70</v>
      </c>
      <c r="G271" s="95">
        <v>0.15</v>
      </c>
      <c r="H271" s="95"/>
      <c r="I271" s="95">
        <v>810.60199999999998</v>
      </c>
      <c r="J271" s="90">
        <v>88.8</v>
      </c>
      <c r="M271" s="22">
        <f>ROUND(ROUND(J271, 2)*I271, 2)</f>
        <v>71981.460000000006</v>
      </c>
      <c r="P271" s="21">
        <v>88.8</v>
      </c>
      <c r="S271" s="22">
        <f>ROUND(ROUND(P271, 2)*I271, 2)</f>
        <v>71981.460000000006</v>
      </c>
    </row>
    <row r="272" spans="1:21" ht="18" x14ac:dyDescent="0.3">
      <c r="A272" s="74" t="s">
        <v>1184</v>
      </c>
      <c r="B272" s="74" t="s">
        <v>1170</v>
      </c>
      <c r="C272" s="75" t="s">
        <v>1171</v>
      </c>
      <c r="D272" s="76"/>
      <c r="E272" s="76" t="s">
        <v>1185</v>
      </c>
      <c r="F272" s="76" t="s">
        <v>64</v>
      </c>
      <c r="G272" s="77">
        <v>1</v>
      </c>
      <c r="H272" s="77"/>
      <c r="I272" s="77">
        <v>8.4</v>
      </c>
      <c r="J272" s="14">
        <f>IFERROR(ROUND(SUM(M273,M274)/I272, 2),0)</f>
        <v>13.32</v>
      </c>
      <c r="K272" s="15">
        <v>428</v>
      </c>
      <c r="L272" s="14">
        <f>J272+ROUND(K272, 2)</f>
        <v>441.32</v>
      </c>
      <c r="M272" s="14">
        <f>ROUND(J272*I272, 2)</f>
        <v>111.89</v>
      </c>
      <c r="N272" s="14">
        <f>ROUND(I272*ROUND(K272, 2), 2)</f>
        <v>3595.2</v>
      </c>
      <c r="O272" s="14">
        <f>M272+N272</f>
        <v>3707.0899999999997</v>
      </c>
      <c r="P272" s="14">
        <f>IFERROR(ROUND(SUM(S273,S274)/I272, 2),0)</f>
        <v>75.27</v>
      </c>
      <c r="Q272" s="15">
        <v>428</v>
      </c>
      <c r="R272" s="14">
        <f>P272+ROUND(Q272, 2)</f>
        <v>503.27</v>
      </c>
      <c r="S272" s="14">
        <f>ROUND(P272*I272, 2)</f>
        <v>632.27</v>
      </c>
      <c r="T272" s="14">
        <f>ROUND(I272*ROUND(Q272, 2), 2)</f>
        <v>3595.2</v>
      </c>
      <c r="U272" s="14">
        <f>S272+T272</f>
        <v>4227.4699999999993</v>
      </c>
    </row>
    <row r="273" spans="1:21" ht="18" x14ac:dyDescent="0.3">
      <c r="A273" s="91" t="s">
        <v>1186</v>
      </c>
      <c r="B273" s="91"/>
      <c r="C273" s="92" t="s">
        <v>433</v>
      </c>
      <c r="D273" s="93"/>
      <c r="E273" s="93"/>
      <c r="F273" s="94" t="s">
        <v>70</v>
      </c>
      <c r="G273" s="95">
        <v>0.15</v>
      </c>
      <c r="H273" s="95"/>
      <c r="I273" s="95">
        <v>1.26</v>
      </c>
      <c r="J273" s="90">
        <v>88.8</v>
      </c>
      <c r="M273" s="22">
        <f>ROUND(ROUND(J273, 2)*I273, 2)</f>
        <v>111.89</v>
      </c>
      <c r="P273" s="21">
        <v>88.8</v>
      </c>
      <c r="S273" s="22">
        <f>ROUND(ROUND(P273, 2)*I273, 2)</f>
        <v>111.89</v>
      </c>
    </row>
    <row r="274" spans="1:21" ht="97.05" customHeight="1" x14ac:dyDescent="0.3">
      <c r="A274" s="91" t="s">
        <v>1189</v>
      </c>
      <c r="B274" s="91"/>
      <c r="C274" s="92" t="s">
        <v>1091</v>
      </c>
      <c r="D274" s="93"/>
      <c r="E274" s="93" t="s">
        <v>1190</v>
      </c>
      <c r="F274" s="94" t="s">
        <v>70</v>
      </c>
      <c r="G274" s="95">
        <v>0.3</v>
      </c>
      <c r="H274" s="95"/>
      <c r="I274" s="95">
        <v>2.52</v>
      </c>
      <c r="J274" s="90">
        <v>0</v>
      </c>
      <c r="M274" s="22">
        <f>ROUND(ROUND(J274, 2)*I274, 2)</f>
        <v>0</v>
      </c>
      <c r="P274" s="21">
        <v>206.5</v>
      </c>
      <c r="S274" s="22">
        <f>ROUND(ROUND(P274, 2)*I274, 2)</f>
        <v>520.38</v>
      </c>
    </row>
    <row r="275" spans="1:21" ht="18" x14ac:dyDescent="0.3">
      <c r="A275" s="74" t="s">
        <v>1193</v>
      </c>
      <c r="B275" s="74" t="s">
        <v>1170</v>
      </c>
      <c r="C275" s="75" t="s">
        <v>1171</v>
      </c>
      <c r="D275" s="76"/>
      <c r="E275" s="76" t="s">
        <v>1194</v>
      </c>
      <c r="F275" s="76" t="s">
        <v>64</v>
      </c>
      <c r="G275" s="77">
        <v>1</v>
      </c>
      <c r="H275" s="77"/>
      <c r="I275" s="77">
        <v>20.66</v>
      </c>
      <c r="J275" s="14">
        <f>IFERROR(ROUND(SUM(M276,M277)/I275, 2),0)</f>
        <v>13.32</v>
      </c>
      <c r="K275" s="15">
        <v>428</v>
      </c>
      <c r="L275" s="14">
        <f>J275+ROUND(K275, 2)</f>
        <v>441.32</v>
      </c>
      <c r="M275" s="14">
        <f>ROUND(J275*I275, 2)</f>
        <v>275.19</v>
      </c>
      <c r="N275" s="14">
        <f>ROUND(I275*ROUND(K275, 2), 2)</f>
        <v>8842.48</v>
      </c>
      <c r="O275" s="14">
        <f>M275+N275</f>
        <v>9117.67</v>
      </c>
      <c r="P275" s="14">
        <f>IFERROR(ROUND(SUM(S276,S277)/I275, 2),0)</f>
        <v>75.27</v>
      </c>
      <c r="Q275" s="15">
        <v>428</v>
      </c>
      <c r="R275" s="14">
        <f>P275+ROUND(Q275, 2)</f>
        <v>503.27</v>
      </c>
      <c r="S275" s="14">
        <f>ROUND(P275*I275, 2)</f>
        <v>1555.08</v>
      </c>
      <c r="T275" s="14">
        <f>ROUND(I275*ROUND(Q275, 2), 2)</f>
        <v>8842.48</v>
      </c>
      <c r="U275" s="14">
        <f>S275+T275</f>
        <v>10397.56</v>
      </c>
    </row>
    <row r="276" spans="1:21" ht="86.55" customHeight="1" x14ac:dyDescent="0.3">
      <c r="A276" s="91" t="s">
        <v>1195</v>
      </c>
      <c r="B276" s="91"/>
      <c r="C276" s="92" t="s">
        <v>1091</v>
      </c>
      <c r="D276" s="93"/>
      <c r="E276" s="93" t="s">
        <v>1196</v>
      </c>
      <c r="F276" s="94" t="s">
        <v>70</v>
      </c>
      <c r="G276" s="95">
        <v>0.3</v>
      </c>
      <c r="H276" s="95"/>
      <c r="I276" s="95">
        <v>6.1980000000000004</v>
      </c>
      <c r="J276" s="90">
        <v>0</v>
      </c>
      <c r="M276" s="22">
        <f>ROUND(ROUND(J276, 2)*I276, 2)</f>
        <v>0</v>
      </c>
      <c r="P276" s="21">
        <v>206.5</v>
      </c>
      <c r="S276" s="22">
        <f>ROUND(ROUND(P276, 2)*I276, 2)</f>
        <v>1279.8900000000001</v>
      </c>
    </row>
    <row r="277" spans="1:21" ht="18" x14ac:dyDescent="0.3">
      <c r="A277" s="91" t="s">
        <v>1199</v>
      </c>
      <c r="B277" s="91"/>
      <c r="C277" s="92" t="s">
        <v>433</v>
      </c>
      <c r="D277" s="93"/>
      <c r="E277" s="93"/>
      <c r="F277" s="94" t="s">
        <v>70</v>
      </c>
      <c r="G277" s="95">
        <v>0.15</v>
      </c>
      <c r="H277" s="95"/>
      <c r="I277" s="95">
        <v>3.0990000000000002</v>
      </c>
      <c r="J277" s="90">
        <v>88.8</v>
      </c>
      <c r="M277" s="22">
        <f>ROUND(ROUND(J277, 2)*I277, 2)</f>
        <v>275.19</v>
      </c>
      <c r="P277" s="21">
        <v>88.8</v>
      </c>
      <c r="S277" s="22">
        <f>ROUND(ROUND(P277, 2)*I277, 2)</f>
        <v>275.19</v>
      </c>
    </row>
    <row r="278" spans="1:21" ht="18" x14ac:dyDescent="0.3">
      <c r="A278" s="74" t="s">
        <v>1202</v>
      </c>
      <c r="B278" s="74" t="s">
        <v>1170</v>
      </c>
      <c r="C278" s="75" t="s">
        <v>1171</v>
      </c>
      <c r="D278" s="76"/>
      <c r="E278" s="76" t="s">
        <v>1203</v>
      </c>
      <c r="F278" s="76" t="s">
        <v>64</v>
      </c>
      <c r="G278" s="77">
        <v>1</v>
      </c>
      <c r="H278" s="77"/>
      <c r="I278" s="77">
        <v>10.39</v>
      </c>
      <c r="J278" s="14">
        <f>IFERROR(ROUND(SUM(M279,M280)/I278, 2),0)</f>
        <v>13.32</v>
      </c>
      <c r="K278" s="15">
        <v>428</v>
      </c>
      <c r="L278" s="14">
        <f>J278+ROUND(K278, 2)</f>
        <v>441.32</v>
      </c>
      <c r="M278" s="14">
        <f>ROUND(J278*I278, 2)</f>
        <v>138.38999999999999</v>
      </c>
      <c r="N278" s="14">
        <f>ROUND(I278*ROUND(K278, 2), 2)</f>
        <v>4446.92</v>
      </c>
      <c r="O278" s="14">
        <f>M278+N278</f>
        <v>4585.3100000000004</v>
      </c>
      <c r="P278" s="14">
        <f>IFERROR(ROUND(SUM(S279,S280)/I278, 2),0)</f>
        <v>75.27</v>
      </c>
      <c r="Q278" s="15">
        <v>428</v>
      </c>
      <c r="R278" s="14">
        <f>P278+ROUND(Q278, 2)</f>
        <v>503.27</v>
      </c>
      <c r="S278" s="14">
        <f>ROUND(P278*I278, 2)</f>
        <v>782.06</v>
      </c>
      <c r="T278" s="14">
        <f>ROUND(I278*ROUND(Q278, 2), 2)</f>
        <v>4446.92</v>
      </c>
      <c r="U278" s="14">
        <f>S278+T278</f>
        <v>5228.9799999999996</v>
      </c>
    </row>
    <row r="279" spans="1:21" ht="18" x14ac:dyDescent="0.3">
      <c r="A279" s="91" t="s">
        <v>1204</v>
      </c>
      <c r="B279" s="91"/>
      <c r="C279" s="92" t="s">
        <v>433</v>
      </c>
      <c r="D279" s="93"/>
      <c r="E279" s="93"/>
      <c r="F279" s="94" t="s">
        <v>70</v>
      </c>
      <c r="G279" s="95">
        <v>0.15</v>
      </c>
      <c r="H279" s="95"/>
      <c r="I279" s="95">
        <v>1.5589999999999999</v>
      </c>
      <c r="J279" s="90">
        <v>88.8</v>
      </c>
      <c r="M279" s="22">
        <f>ROUND(ROUND(J279, 2)*I279, 2)</f>
        <v>138.44</v>
      </c>
      <c r="P279" s="21">
        <v>88.8</v>
      </c>
      <c r="S279" s="22">
        <f>ROUND(ROUND(P279, 2)*I279, 2)</f>
        <v>138.44</v>
      </c>
    </row>
    <row r="280" spans="1:21" ht="100.95" customHeight="1" x14ac:dyDescent="0.3">
      <c r="A280" s="91" t="s">
        <v>1207</v>
      </c>
      <c r="B280" s="91"/>
      <c r="C280" s="92" t="s">
        <v>1091</v>
      </c>
      <c r="D280" s="93"/>
      <c r="E280" s="93" t="s">
        <v>1208</v>
      </c>
      <c r="F280" s="94" t="s">
        <v>70</v>
      </c>
      <c r="G280" s="95">
        <v>0.3</v>
      </c>
      <c r="H280" s="95"/>
      <c r="I280" s="95">
        <v>3.117</v>
      </c>
      <c r="J280" s="90">
        <v>0</v>
      </c>
      <c r="M280" s="22">
        <f>ROUND(ROUND(J280, 2)*I280, 2)</f>
        <v>0</v>
      </c>
      <c r="P280" s="21">
        <v>206.5</v>
      </c>
      <c r="S280" s="22">
        <f>ROUND(ROUND(P280, 2)*I280, 2)</f>
        <v>643.66</v>
      </c>
    </row>
    <row r="281" spans="1:21" ht="18" x14ac:dyDescent="0.3">
      <c r="A281" s="74" t="s">
        <v>1211</v>
      </c>
      <c r="B281" s="74" t="s">
        <v>1170</v>
      </c>
      <c r="C281" s="75" t="s">
        <v>1171</v>
      </c>
      <c r="D281" s="76"/>
      <c r="E281" s="76" t="s">
        <v>1212</v>
      </c>
      <c r="F281" s="76" t="s">
        <v>64</v>
      </c>
      <c r="G281" s="77">
        <v>1</v>
      </c>
      <c r="H281" s="77"/>
      <c r="I281" s="77">
        <v>5.0999999999999996</v>
      </c>
      <c r="J281" s="14">
        <f>IFERROR(ROUND(SUM(M282,M283)/I281, 2),0)</f>
        <v>13.32</v>
      </c>
      <c r="K281" s="15">
        <v>428</v>
      </c>
      <c r="L281" s="14">
        <f>J281+ROUND(K281, 2)</f>
        <v>441.32</v>
      </c>
      <c r="M281" s="14">
        <f>ROUND(J281*I281, 2)</f>
        <v>67.930000000000007</v>
      </c>
      <c r="N281" s="14">
        <f>ROUND(I281*ROUND(K281, 2), 2)</f>
        <v>2182.8000000000002</v>
      </c>
      <c r="O281" s="14">
        <f>M281+N281</f>
        <v>2250.73</v>
      </c>
      <c r="P281" s="14">
        <f>IFERROR(ROUND(SUM(S282,S283)/I281, 2),0)</f>
        <v>75.27</v>
      </c>
      <c r="Q281" s="15">
        <v>428</v>
      </c>
      <c r="R281" s="14">
        <f>P281+ROUND(Q281, 2)</f>
        <v>503.27</v>
      </c>
      <c r="S281" s="14">
        <f>ROUND(P281*I281, 2)</f>
        <v>383.88</v>
      </c>
      <c r="T281" s="14">
        <f>ROUND(I281*ROUND(Q281, 2), 2)</f>
        <v>2182.8000000000002</v>
      </c>
      <c r="U281" s="14">
        <f>S281+T281</f>
        <v>2566.6800000000003</v>
      </c>
    </row>
    <row r="282" spans="1:21" ht="98.55" customHeight="1" x14ac:dyDescent="0.3">
      <c r="A282" s="91" t="s">
        <v>1213</v>
      </c>
      <c r="B282" s="91"/>
      <c r="C282" s="92" t="s">
        <v>1091</v>
      </c>
      <c r="D282" s="93"/>
      <c r="E282" s="93" t="s">
        <v>1214</v>
      </c>
      <c r="F282" s="94" t="s">
        <v>70</v>
      </c>
      <c r="G282" s="95">
        <v>0.3</v>
      </c>
      <c r="H282" s="95"/>
      <c r="I282" s="95">
        <v>1.53</v>
      </c>
      <c r="J282" s="90">
        <v>0</v>
      </c>
      <c r="M282" s="22">
        <f>ROUND(ROUND(J282, 2)*I282, 2)</f>
        <v>0</v>
      </c>
      <c r="P282" s="21">
        <v>206.5</v>
      </c>
      <c r="S282" s="22">
        <f>ROUND(ROUND(P282, 2)*I282, 2)</f>
        <v>315.95</v>
      </c>
    </row>
    <row r="283" spans="1:21" ht="18" x14ac:dyDescent="0.3">
      <c r="A283" s="91" t="s">
        <v>1217</v>
      </c>
      <c r="B283" s="91"/>
      <c r="C283" s="92" t="s">
        <v>433</v>
      </c>
      <c r="D283" s="93"/>
      <c r="E283" s="93"/>
      <c r="F283" s="94" t="s">
        <v>70</v>
      </c>
      <c r="G283" s="95">
        <v>0.15</v>
      </c>
      <c r="H283" s="95"/>
      <c r="I283" s="95">
        <v>0.76500000000000001</v>
      </c>
      <c r="J283" s="90">
        <v>88.8</v>
      </c>
      <c r="M283" s="22">
        <f>ROUND(ROUND(J283, 2)*I283, 2)</f>
        <v>67.930000000000007</v>
      </c>
      <c r="P283" s="21">
        <v>88.8</v>
      </c>
      <c r="S283" s="22">
        <f>ROUND(ROUND(P283, 2)*I283, 2)</f>
        <v>67.930000000000007</v>
      </c>
    </row>
    <row r="284" spans="1:21" ht="18" x14ac:dyDescent="0.3">
      <c r="A284" s="74" t="s">
        <v>1220</v>
      </c>
      <c r="B284" s="74" t="s">
        <v>1170</v>
      </c>
      <c r="C284" s="75" t="s">
        <v>1171</v>
      </c>
      <c r="D284" s="76"/>
      <c r="E284" s="76" t="s">
        <v>1221</v>
      </c>
      <c r="F284" s="76" t="s">
        <v>64</v>
      </c>
      <c r="G284" s="77">
        <v>1</v>
      </c>
      <c r="H284" s="77"/>
      <c r="I284" s="77">
        <v>11.75</v>
      </c>
      <c r="J284" s="135">
        <f>IFERROR(ROUND(SUM(M285,M286)/I284, 2),0)</f>
        <v>13.32</v>
      </c>
      <c r="K284" s="15">
        <v>428</v>
      </c>
      <c r="L284" s="14">
        <f>J284+ROUND(K284, 2)</f>
        <v>441.32</v>
      </c>
      <c r="M284" s="14">
        <f>ROUND(J284*I284, 2)</f>
        <v>156.51</v>
      </c>
      <c r="N284" s="14">
        <f>ROUND(I284*ROUND(K284, 2), 2)</f>
        <v>5029</v>
      </c>
      <c r="O284" s="14">
        <f>M284+N284</f>
        <v>5185.51</v>
      </c>
      <c r="P284" s="14">
        <f>IFERROR(ROUND(SUM(S285,S286)/I284, 2),0)</f>
        <v>75.27</v>
      </c>
      <c r="Q284" s="15">
        <v>428</v>
      </c>
      <c r="R284" s="14">
        <f>P284+ROUND(Q284, 2)</f>
        <v>503.27</v>
      </c>
      <c r="S284" s="14">
        <f>ROUND(P284*I284, 2)</f>
        <v>884.42</v>
      </c>
      <c r="T284" s="14">
        <f>ROUND(I284*ROUND(Q284, 2), 2)</f>
        <v>5029</v>
      </c>
      <c r="U284" s="14">
        <f>S284+T284</f>
        <v>5913.42</v>
      </c>
    </row>
    <row r="285" spans="1:21" ht="18" x14ac:dyDescent="0.3">
      <c r="A285" s="91" t="s">
        <v>1222</v>
      </c>
      <c r="B285" s="91"/>
      <c r="C285" s="92" t="s">
        <v>433</v>
      </c>
      <c r="D285" s="93"/>
      <c r="E285" s="93"/>
      <c r="F285" s="94" t="s">
        <v>70</v>
      </c>
      <c r="G285" s="95">
        <v>0.15</v>
      </c>
      <c r="H285" s="95"/>
      <c r="I285" s="95">
        <v>1.7629999999999999</v>
      </c>
      <c r="J285" s="90">
        <v>88.8</v>
      </c>
      <c r="M285" s="22">
        <f>ROUND(ROUND(J285, 2)*I285, 2)</f>
        <v>156.55000000000001</v>
      </c>
      <c r="P285" s="21">
        <v>88.8</v>
      </c>
      <c r="S285" s="22">
        <f>ROUND(ROUND(P285, 2)*I285, 2)</f>
        <v>156.55000000000001</v>
      </c>
    </row>
    <row r="286" spans="1:21" ht="76.05" customHeight="1" x14ac:dyDescent="0.3">
      <c r="A286" s="91" t="s">
        <v>1225</v>
      </c>
      <c r="B286" s="91"/>
      <c r="C286" s="92" t="s">
        <v>1091</v>
      </c>
      <c r="D286" s="93"/>
      <c r="E286" s="93" t="s">
        <v>1226</v>
      </c>
      <c r="F286" s="94" t="s">
        <v>70</v>
      </c>
      <c r="G286" s="95">
        <v>0.3</v>
      </c>
      <c r="H286" s="95"/>
      <c r="I286" s="95">
        <v>3.5249999999999999</v>
      </c>
      <c r="J286" s="90">
        <v>0</v>
      </c>
      <c r="M286" s="22">
        <f>ROUND(ROUND(J286, 2)*I286, 2)</f>
        <v>0</v>
      </c>
      <c r="P286" s="21">
        <v>206.5</v>
      </c>
      <c r="S286" s="22">
        <f>ROUND(ROUND(P286, 2)*I286, 2)</f>
        <v>727.91</v>
      </c>
    </row>
    <row r="287" spans="1:21" ht="18" x14ac:dyDescent="0.3">
      <c r="A287" s="74" t="s">
        <v>1229</v>
      </c>
      <c r="B287" s="74" t="s">
        <v>1170</v>
      </c>
      <c r="C287" s="75" t="s">
        <v>1171</v>
      </c>
      <c r="D287" s="76"/>
      <c r="E287" s="76" t="s">
        <v>1230</v>
      </c>
      <c r="F287" s="76" t="s">
        <v>64</v>
      </c>
      <c r="G287" s="77">
        <v>1</v>
      </c>
      <c r="H287" s="77"/>
      <c r="I287" s="77">
        <v>78.400000000000006</v>
      </c>
      <c r="J287" s="14">
        <f>IFERROR(ROUND(SUM(M288,M289)/I287, 2),0)</f>
        <v>13.32</v>
      </c>
      <c r="K287" s="15">
        <v>428</v>
      </c>
      <c r="L287" s="14">
        <f>J287+ROUND(K287, 2)</f>
        <v>441.32</v>
      </c>
      <c r="M287" s="14">
        <f>ROUND(J287*I287, 2)</f>
        <v>1044.29</v>
      </c>
      <c r="N287" s="14">
        <f>ROUND(I287*ROUND(K287, 2), 2)</f>
        <v>33555.199999999997</v>
      </c>
      <c r="O287" s="14">
        <f>M287+N287</f>
        <v>34599.49</v>
      </c>
      <c r="P287" s="14">
        <f>IFERROR(ROUND(SUM(S288,S289)/I287, 2),0)</f>
        <v>75.27</v>
      </c>
      <c r="Q287" s="15">
        <v>428</v>
      </c>
      <c r="R287" s="14">
        <f>P287+ROUND(Q287, 2)</f>
        <v>503.27</v>
      </c>
      <c r="S287" s="14">
        <f>ROUND(P287*I287, 2)</f>
        <v>5901.17</v>
      </c>
      <c r="T287" s="14">
        <f>ROUND(I287*ROUND(Q287, 2), 2)</f>
        <v>33555.199999999997</v>
      </c>
      <c r="U287" s="14">
        <f>S287+T287</f>
        <v>39456.369999999995</v>
      </c>
    </row>
    <row r="288" spans="1:21" ht="98.55" customHeight="1" x14ac:dyDescent="0.3">
      <c r="A288" s="91" t="s">
        <v>1231</v>
      </c>
      <c r="B288" s="91"/>
      <c r="C288" s="92" t="s">
        <v>1091</v>
      </c>
      <c r="D288" s="93"/>
      <c r="E288" s="93" t="s">
        <v>1232</v>
      </c>
      <c r="F288" s="94" t="s">
        <v>70</v>
      </c>
      <c r="G288" s="95">
        <v>0.3</v>
      </c>
      <c r="H288" s="95"/>
      <c r="I288" s="95">
        <v>23.52</v>
      </c>
      <c r="J288" s="90">
        <v>0</v>
      </c>
      <c r="M288" s="22">
        <f>ROUND(ROUND(J288, 2)*I288, 2)</f>
        <v>0</v>
      </c>
      <c r="P288" s="21">
        <v>206.5</v>
      </c>
      <c r="S288" s="22">
        <f>ROUND(ROUND(P288, 2)*I288, 2)</f>
        <v>4856.88</v>
      </c>
    </row>
    <row r="289" spans="1:21" ht="18" x14ac:dyDescent="0.3">
      <c r="A289" s="91" t="s">
        <v>1235</v>
      </c>
      <c r="B289" s="91"/>
      <c r="C289" s="92" t="s">
        <v>433</v>
      </c>
      <c r="D289" s="93"/>
      <c r="E289" s="93"/>
      <c r="F289" s="94" t="s">
        <v>70</v>
      </c>
      <c r="G289" s="95">
        <v>0.15</v>
      </c>
      <c r="H289" s="95"/>
      <c r="I289" s="95">
        <v>11.76</v>
      </c>
      <c r="J289" s="90">
        <v>88.8</v>
      </c>
      <c r="M289" s="22">
        <f>ROUND(ROUND(J289, 2)*I289, 2)</f>
        <v>1044.29</v>
      </c>
      <c r="P289" s="21">
        <v>88.8</v>
      </c>
      <c r="S289" s="22">
        <f>ROUND(ROUND(P289, 2)*I289, 2)</f>
        <v>1044.29</v>
      </c>
    </row>
    <row r="290" spans="1:21" ht="18" x14ac:dyDescent="0.3">
      <c r="A290" s="74" t="s">
        <v>1238</v>
      </c>
      <c r="B290" s="74" t="s">
        <v>1170</v>
      </c>
      <c r="C290" s="75" t="s">
        <v>1171</v>
      </c>
      <c r="D290" s="76"/>
      <c r="E290" s="76" t="s">
        <v>1239</v>
      </c>
      <c r="F290" s="76" t="s">
        <v>64</v>
      </c>
      <c r="G290" s="77">
        <v>1</v>
      </c>
      <c r="H290" s="77"/>
      <c r="I290" s="77">
        <v>351.8</v>
      </c>
      <c r="J290" s="14">
        <f>IFERROR(ROUND(SUM(M291,M292)/I290, 2),0)</f>
        <v>13.32</v>
      </c>
      <c r="K290" s="15">
        <v>428</v>
      </c>
      <c r="L290" s="14">
        <f>J290+ROUND(K290, 2)</f>
        <v>441.32</v>
      </c>
      <c r="M290" s="14">
        <f>ROUND(J290*I290, 2)</f>
        <v>4685.9799999999996</v>
      </c>
      <c r="N290" s="14">
        <f>ROUND(I290*ROUND(K290, 2), 2)</f>
        <v>150570.4</v>
      </c>
      <c r="O290" s="14">
        <f>M290+N290</f>
        <v>155256.38</v>
      </c>
      <c r="P290" s="14">
        <f>IFERROR(ROUND(SUM(S291,S292)/I290, 2),0)</f>
        <v>75.27</v>
      </c>
      <c r="Q290" s="15">
        <v>428</v>
      </c>
      <c r="R290" s="14">
        <f>P290+ROUND(Q290, 2)</f>
        <v>503.27</v>
      </c>
      <c r="S290" s="14">
        <f>ROUND(P290*I290, 2)</f>
        <v>26479.99</v>
      </c>
      <c r="T290" s="14">
        <f>ROUND(I290*ROUND(Q290, 2), 2)</f>
        <v>150570.4</v>
      </c>
      <c r="U290" s="14">
        <f>S290+T290</f>
        <v>177050.38999999998</v>
      </c>
    </row>
    <row r="291" spans="1:21" ht="18" x14ac:dyDescent="0.3">
      <c r="A291" s="91" t="s">
        <v>1240</v>
      </c>
      <c r="B291" s="91"/>
      <c r="C291" s="92" t="s">
        <v>433</v>
      </c>
      <c r="D291" s="93"/>
      <c r="E291" s="93"/>
      <c r="F291" s="94" t="s">
        <v>70</v>
      </c>
      <c r="G291" s="95">
        <v>0.15</v>
      </c>
      <c r="H291" s="95"/>
      <c r="I291" s="95">
        <v>52.77</v>
      </c>
      <c r="J291" s="90">
        <v>88.8</v>
      </c>
      <c r="M291" s="22">
        <f>ROUND(ROUND(J291, 2)*I291, 2)</f>
        <v>4685.9799999999996</v>
      </c>
      <c r="P291" s="21">
        <v>88.8</v>
      </c>
      <c r="S291" s="22">
        <f>ROUND(ROUND(P291, 2)*I291, 2)</f>
        <v>4685.9799999999996</v>
      </c>
    </row>
    <row r="292" spans="1:21" ht="77.55" customHeight="1" x14ac:dyDescent="0.3">
      <c r="A292" s="91" t="s">
        <v>1243</v>
      </c>
      <c r="B292" s="91"/>
      <c r="C292" s="92" t="s">
        <v>1091</v>
      </c>
      <c r="D292" s="93"/>
      <c r="E292" s="93" t="s">
        <v>1244</v>
      </c>
      <c r="F292" s="94" t="s">
        <v>70</v>
      </c>
      <c r="G292" s="95">
        <v>0.3</v>
      </c>
      <c r="H292" s="95"/>
      <c r="I292" s="95">
        <v>105.54</v>
      </c>
      <c r="J292" s="90">
        <v>0</v>
      </c>
      <c r="M292" s="22">
        <f>ROUND(ROUND(J292, 2)*I292, 2)</f>
        <v>0</v>
      </c>
      <c r="P292" s="21">
        <v>206.5</v>
      </c>
      <c r="S292" s="22">
        <f>ROUND(ROUND(P292, 2)*I292, 2)</f>
        <v>21794.01</v>
      </c>
    </row>
    <row r="293" spans="1:21" ht="18" x14ac:dyDescent="0.3">
      <c r="A293" s="74" t="s">
        <v>1247</v>
      </c>
      <c r="B293" s="74" t="s">
        <v>1170</v>
      </c>
      <c r="C293" s="75" t="s">
        <v>1171</v>
      </c>
      <c r="D293" s="76"/>
      <c r="E293" s="76" t="s">
        <v>1248</v>
      </c>
      <c r="F293" s="76" t="s">
        <v>64</v>
      </c>
      <c r="G293" s="77">
        <v>1</v>
      </c>
      <c r="H293" s="77"/>
      <c r="I293" s="77">
        <v>2020.16</v>
      </c>
      <c r="J293" s="14">
        <f>IFERROR(ROUND(SUM(M294,M295)/I293, 2),0)</f>
        <v>13.32</v>
      </c>
      <c r="K293" s="15">
        <v>428</v>
      </c>
      <c r="L293" s="14">
        <f>J293+ROUND(K293, 2)</f>
        <v>441.32</v>
      </c>
      <c r="M293" s="14">
        <f>ROUND(J293*I293, 2)</f>
        <v>26908.53</v>
      </c>
      <c r="N293" s="14">
        <f>ROUND(I293*ROUND(K293, 2), 2)</f>
        <v>864628.48</v>
      </c>
      <c r="O293" s="14">
        <f>M293+N293</f>
        <v>891537.01</v>
      </c>
      <c r="P293" s="14">
        <f>IFERROR(ROUND(SUM(S294,S295)/I293, 2),0)</f>
        <v>68.28</v>
      </c>
      <c r="Q293" s="15">
        <v>428</v>
      </c>
      <c r="R293" s="14">
        <f>P293+ROUND(Q293, 2)</f>
        <v>496.28</v>
      </c>
      <c r="S293" s="14">
        <f>ROUND(P293*I293, 2)</f>
        <v>137936.51999999999</v>
      </c>
      <c r="T293" s="14">
        <f>ROUND(I293*ROUND(Q293, 2), 2)</f>
        <v>864628.48</v>
      </c>
      <c r="U293" s="14">
        <f>S293+T293</f>
        <v>1002565</v>
      </c>
    </row>
    <row r="294" spans="1:21" ht="81" customHeight="1" x14ac:dyDescent="0.3">
      <c r="A294" s="91" t="s">
        <v>1249</v>
      </c>
      <c r="B294" s="91"/>
      <c r="C294" s="92" t="s">
        <v>1111</v>
      </c>
      <c r="D294" s="93"/>
      <c r="E294" s="93" t="s">
        <v>1250</v>
      </c>
      <c r="F294" s="94" t="s">
        <v>70</v>
      </c>
      <c r="G294" s="95">
        <v>0.3</v>
      </c>
      <c r="H294" s="95"/>
      <c r="I294" s="95">
        <v>606.048</v>
      </c>
      <c r="J294" s="90">
        <v>0</v>
      </c>
      <c r="M294" s="22">
        <f>ROUND(ROUND(J294, 2)*I294, 2)</f>
        <v>0</v>
      </c>
      <c r="P294" s="21">
        <v>183.2</v>
      </c>
      <c r="S294" s="22">
        <f>ROUND(ROUND(P294, 2)*I294, 2)</f>
        <v>111027.99</v>
      </c>
    </row>
    <row r="295" spans="1:21" ht="18" x14ac:dyDescent="0.3">
      <c r="A295" s="91" t="s">
        <v>1253</v>
      </c>
      <c r="B295" s="91"/>
      <c r="C295" s="92" t="s">
        <v>433</v>
      </c>
      <c r="D295" s="93"/>
      <c r="E295" s="93"/>
      <c r="F295" s="94" t="s">
        <v>70</v>
      </c>
      <c r="G295" s="95">
        <v>0.15</v>
      </c>
      <c r="H295" s="95"/>
      <c r="I295" s="95">
        <v>303.024</v>
      </c>
      <c r="J295" s="90">
        <v>88.8</v>
      </c>
      <c r="M295" s="22">
        <f>ROUND(ROUND(J295, 2)*I295, 2)</f>
        <v>26908.53</v>
      </c>
      <c r="P295" s="21">
        <v>88.8</v>
      </c>
      <c r="S295" s="22">
        <f>ROUND(ROUND(P295, 2)*I295, 2)</f>
        <v>26908.53</v>
      </c>
    </row>
    <row r="296" spans="1:21" ht="18" x14ac:dyDescent="0.3">
      <c r="A296" s="91" t="s">
        <v>1256</v>
      </c>
      <c r="B296" s="91" t="s">
        <v>1170</v>
      </c>
      <c r="C296" s="97" t="s">
        <v>1171</v>
      </c>
      <c r="D296" s="93"/>
      <c r="E296" s="93" t="s">
        <v>1257</v>
      </c>
      <c r="F296" s="93" t="s">
        <v>64</v>
      </c>
      <c r="G296" s="98">
        <v>1</v>
      </c>
      <c r="H296" s="98"/>
      <c r="I296" s="98">
        <v>141.44999999999999</v>
      </c>
      <c r="J296" s="99">
        <f>IFERROR(ROUND(SUM(M297,M298)/I296, 2),0)</f>
        <v>13.32</v>
      </c>
      <c r="K296" s="15">
        <v>428</v>
      </c>
      <c r="L296" s="14">
        <f>J296+ROUND(K296, 2)</f>
        <v>441.32</v>
      </c>
      <c r="M296" s="14">
        <f>ROUND(J296*I296, 2)</f>
        <v>1884.11</v>
      </c>
      <c r="N296" s="14">
        <f>ROUND(I296*ROUND(K296, 2), 2)</f>
        <v>60540.6</v>
      </c>
      <c r="O296" s="14">
        <f>M296+N296</f>
        <v>62424.71</v>
      </c>
      <c r="P296" s="14">
        <f>IFERROR(ROUND(SUM(S297,S298)/I296, 2),0)</f>
        <v>75.27</v>
      </c>
      <c r="Q296" s="15">
        <v>428</v>
      </c>
      <c r="R296" s="14">
        <f>P296+ROUND(Q296, 2)</f>
        <v>503.27</v>
      </c>
      <c r="S296" s="14">
        <f>ROUND(P296*I296, 2)</f>
        <v>10646.94</v>
      </c>
      <c r="T296" s="14">
        <f>ROUND(I296*ROUND(Q296, 2), 2)</f>
        <v>60540.6</v>
      </c>
      <c r="U296" s="14">
        <f>S296+T296</f>
        <v>71187.539999999994</v>
      </c>
    </row>
    <row r="297" spans="1:21" ht="18" x14ac:dyDescent="0.3">
      <c r="A297" s="91" t="s">
        <v>1258</v>
      </c>
      <c r="B297" s="91"/>
      <c r="C297" s="92" t="s">
        <v>433</v>
      </c>
      <c r="D297" s="93"/>
      <c r="E297" s="93"/>
      <c r="F297" s="94" t="s">
        <v>70</v>
      </c>
      <c r="G297" s="95">
        <v>0.15</v>
      </c>
      <c r="H297" s="95"/>
      <c r="I297" s="95">
        <v>21.218</v>
      </c>
      <c r="J297" s="90">
        <v>88.8</v>
      </c>
      <c r="M297" s="22">
        <f>ROUND(ROUND(J297, 2)*I297, 2)</f>
        <v>1884.16</v>
      </c>
      <c r="P297" s="21">
        <v>88.8</v>
      </c>
      <c r="S297" s="22">
        <f>ROUND(ROUND(P297, 2)*I297, 2)</f>
        <v>1884.16</v>
      </c>
    </row>
    <row r="298" spans="1:21" ht="67.5" customHeight="1" x14ac:dyDescent="0.3">
      <c r="A298" s="91" t="s">
        <v>1261</v>
      </c>
      <c r="B298" s="91"/>
      <c r="C298" s="92" t="s">
        <v>1091</v>
      </c>
      <c r="D298" s="93"/>
      <c r="E298" s="93" t="s">
        <v>1262</v>
      </c>
      <c r="F298" s="94" t="s">
        <v>70</v>
      </c>
      <c r="G298" s="95">
        <v>0.3</v>
      </c>
      <c r="H298" s="95"/>
      <c r="I298" s="95">
        <v>42.435000000000002</v>
      </c>
      <c r="J298" s="90">
        <v>0</v>
      </c>
      <c r="M298" s="22">
        <f>ROUND(ROUND(J298, 2)*I298, 2)</f>
        <v>0</v>
      </c>
      <c r="P298" s="21">
        <v>206.5</v>
      </c>
      <c r="S298" s="22">
        <f>ROUND(ROUND(P298, 2)*I298, 2)</f>
        <v>8762.83</v>
      </c>
    </row>
    <row r="299" spans="1:21" ht="18" x14ac:dyDescent="0.3">
      <c r="A299" s="74" t="s">
        <v>1265</v>
      </c>
      <c r="B299" s="74" t="s">
        <v>1170</v>
      </c>
      <c r="C299" s="75" t="s">
        <v>1171</v>
      </c>
      <c r="D299" s="76"/>
      <c r="E299" s="76" t="s">
        <v>1266</v>
      </c>
      <c r="F299" s="76" t="s">
        <v>64</v>
      </c>
      <c r="G299" s="77">
        <v>1</v>
      </c>
      <c r="H299" s="77"/>
      <c r="I299" s="77">
        <v>25.11</v>
      </c>
      <c r="J299" s="14">
        <f>IFERROR(ROUND(SUM(M300,M301)/I299, 2),0)</f>
        <v>13.32</v>
      </c>
      <c r="K299" s="15">
        <v>428</v>
      </c>
      <c r="L299" s="14">
        <f>J299+ROUND(K299, 2)</f>
        <v>441.32</v>
      </c>
      <c r="M299" s="14">
        <f>ROUND(J299*I299, 2)</f>
        <v>334.47</v>
      </c>
      <c r="N299" s="14">
        <f>ROUND(I299*ROUND(K299, 2), 2)</f>
        <v>10747.08</v>
      </c>
      <c r="O299" s="14">
        <f>M299+N299</f>
        <v>11081.55</v>
      </c>
      <c r="P299" s="14">
        <f>IFERROR(ROUND(SUM(S300,S301)/I299, 2),0)</f>
        <v>75.27</v>
      </c>
      <c r="Q299" s="15">
        <v>428</v>
      </c>
      <c r="R299" s="14">
        <f>P299+ROUND(Q299, 2)</f>
        <v>503.27</v>
      </c>
      <c r="S299" s="14">
        <f>ROUND(P299*I299, 2)</f>
        <v>1890.03</v>
      </c>
      <c r="T299" s="14">
        <f>ROUND(I299*ROUND(Q299, 2), 2)</f>
        <v>10747.08</v>
      </c>
      <c r="U299" s="14">
        <f>S299+T299</f>
        <v>12637.11</v>
      </c>
    </row>
    <row r="300" spans="1:21" ht="96.45" customHeight="1" x14ac:dyDescent="0.3">
      <c r="A300" s="91" t="s">
        <v>1267</v>
      </c>
      <c r="B300" s="91"/>
      <c r="C300" s="92" t="s">
        <v>1091</v>
      </c>
      <c r="D300" s="93"/>
      <c r="E300" s="93" t="s">
        <v>1268</v>
      </c>
      <c r="F300" s="94" t="s">
        <v>70</v>
      </c>
      <c r="G300" s="95">
        <v>0.3</v>
      </c>
      <c r="H300" s="95"/>
      <c r="I300" s="95">
        <v>7.5330000000000004</v>
      </c>
      <c r="J300" s="90">
        <v>0</v>
      </c>
      <c r="M300" s="22">
        <f>ROUND(ROUND(J300, 2)*I300, 2)</f>
        <v>0</v>
      </c>
      <c r="P300" s="21">
        <v>206.5</v>
      </c>
      <c r="S300" s="22">
        <f>ROUND(ROUND(P300, 2)*I300, 2)</f>
        <v>1555.56</v>
      </c>
    </row>
    <row r="301" spans="1:21" ht="18" x14ac:dyDescent="0.3">
      <c r="A301" s="91" t="s">
        <v>1271</v>
      </c>
      <c r="B301" s="91"/>
      <c r="C301" s="92" t="s">
        <v>433</v>
      </c>
      <c r="D301" s="93"/>
      <c r="E301" s="93"/>
      <c r="F301" s="94" t="s">
        <v>70</v>
      </c>
      <c r="G301" s="95">
        <v>0.15</v>
      </c>
      <c r="H301" s="95"/>
      <c r="I301" s="95">
        <v>3.7669999999999999</v>
      </c>
      <c r="J301" s="90">
        <v>88.8</v>
      </c>
      <c r="M301" s="22">
        <f>ROUND(ROUND(J301, 2)*I301, 2)</f>
        <v>334.51</v>
      </c>
      <c r="P301" s="21">
        <v>88.8</v>
      </c>
      <c r="S301" s="22">
        <f>ROUND(ROUND(P301, 2)*I301, 2)</f>
        <v>334.51</v>
      </c>
    </row>
    <row r="302" spans="1:21" ht="18" x14ac:dyDescent="0.3">
      <c r="A302" s="74" t="s">
        <v>1274</v>
      </c>
      <c r="B302" s="74" t="s">
        <v>1170</v>
      </c>
      <c r="C302" s="75" t="s">
        <v>1171</v>
      </c>
      <c r="D302" s="76"/>
      <c r="E302" s="76" t="s">
        <v>1275</v>
      </c>
      <c r="F302" s="76" t="s">
        <v>64</v>
      </c>
      <c r="G302" s="77">
        <v>1</v>
      </c>
      <c r="H302" s="77"/>
      <c r="I302" s="77">
        <v>4509.45</v>
      </c>
      <c r="J302" s="14">
        <f>IFERROR(ROUND(SUM(M303,M304)/I302, 2),0)</f>
        <v>13.32</v>
      </c>
      <c r="K302" s="15">
        <v>428</v>
      </c>
      <c r="L302" s="14">
        <f>J302+ROUND(K302, 2)</f>
        <v>441.32</v>
      </c>
      <c r="M302" s="14">
        <f>ROUND(J302*I302, 2)</f>
        <v>60065.87</v>
      </c>
      <c r="N302" s="14">
        <f>ROUND(I302*ROUND(K302, 2), 2)</f>
        <v>1930044.6</v>
      </c>
      <c r="O302" s="14">
        <f>M302+N302</f>
        <v>1990110.4700000002</v>
      </c>
      <c r="P302" s="14">
        <f>IFERROR(ROUND(SUM(S303,S304)/I302, 2),0)</f>
        <v>68.28</v>
      </c>
      <c r="Q302" s="15">
        <v>428</v>
      </c>
      <c r="R302" s="14">
        <f>P302+ROUND(Q302, 2)</f>
        <v>496.28</v>
      </c>
      <c r="S302" s="14">
        <f>ROUND(P302*I302, 2)</f>
        <v>307905.25</v>
      </c>
      <c r="T302" s="14">
        <f>ROUND(I302*ROUND(Q302, 2), 2)</f>
        <v>1930044.6</v>
      </c>
      <c r="U302" s="14">
        <f>S302+T302</f>
        <v>2237949.85</v>
      </c>
    </row>
    <row r="303" spans="1:21" ht="18" x14ac:dyDescent="0.3">
      <c r="A303" s="91" t="s">
        <v>1276</v>
      </c>
      <c r="B303" s="91"/>
      <c r="C303" s="92" t="s">
        <v>433</v>
      </c>
      <c r="D303" s="93"/>
      <c r="E303" s="93"/>
      <c r="F303" s="94" t="s">
        <v>70</v>
      </c>
      <c r="G303" s="95">
        <v>0.15</v>
      </c>
      <c r="H303" s="95"/>
      <c r="I303" s="95">
        <v>676.41800000000001</v>
      </c>
      <c r="J303" s="21">
        <v>88.8</v>
      </c>
      <c r="M303" s="22">
        <f>ROUND(ROUND(J303, 2)*I303, 2)</f>
        <v>60065.919999999998</v>
      </c>
      <c r="P303" s="21">
        <v>88.8</v>
      </c>
      <c r="S303" s="22">
        <f>ROUND(ROUND(P303, 2)*I303, 2)</f>
        <v>60065.919999999998</v>
      </c>
    </row>
    <row r="304" spans="1:21" ht="90" customHeight="1" x14ac:dyDescent="0.3">
      <c r="A304" s="91" t="s">
        <v>1279</v>
      </c>
      <c r="B304" s="91"/>
      <c r="C304" s="92" t="s">
        <v>1176</v>
      </c>
      <c r="D304" s="93"/>
      <c r="E304" s="93" t="s">
        <v>1177</v>
      </c>
      <c r="F304" s="94" t="s">
        <v>70</v>
      </c>
      <c r="G304" s="95">
        <v>0.3</v>
      </c>
      <c r="H304" s="95"/>
      <c r="I304" s="95">
        <v>1352.835</v>
      </c>
      <c r="J304" s="21">
        <v>0</v>
      </c>
      <c r="M304" s="22">
        <f>ROUND(ROUND(J304, 2)*I304, 2)</f>
        <v>0</v>
      </c>
      <c r="P304" s="21">
        <v>183.2</v>
      </c>
      <c r="S304" s="22">
        <f>ROUND(ROUND(P304, 2)*I304, 2)</f>
        <v>247839.37</v>
      </c>
    </row>
    <row r="305" spans="1:21" ht="18" x14ac:dyDescent="0.3">
      <c r="A305" s="74" t="s">
        <v>1282</v>
      </c>
      <c r="B305" s="74" t="s">
        <v>1170</v>
      </c>
      <c r="C305" s="75" t="s">
        <v>1171</v>
      </c>
      <c r="D305" s="76"/>
      <c r="E305" s="76" t="s">
        <v>1283</v>
      </c>
      <c r="F305" s="76" t="s">
        <v>64</v>
      </c>
      <c r="G305" s="77">
        <v>1</v>
      </c>
      <c r="H305" s="77"/>
      <c r="I305" s="77">
        <v>8.64</v>
      </c>
      <c r="J305" s="14">
        <f>IFERROR(ROUND(SUM(M306,M307)/I305, 2),0)</f>
        <v>13.32</v>
      </c>
      <c r="K305" s="15">
        <v>428</v>
      </c>
      <c r="L305" s="14">
        <f>J305+ROUND(K305, 2)</f>
        <v>441.32</v>
      </c>
      <c r="M305" s="14">
        <f>ROUND(J305*I305, 2)</f>
        <v>115.08</v>
      </c>
      <c r="N305" s="14">
        <f>ROUND(I305*ROUND(K305, 2), 2)</f>
        <v>3697.92</v>
      </c>
      <c r="O305" s="14">
        <f>M305+N305</f>
        <v>3813</v>
      </c>
      <c r="P305" s="14">
        <f>IFERROR(ROUND(SUM(S306,S307)/I305, 2),0)</f>
        <v>75.27</v>
      </c>
      <c r="Q305" s="15">
        <v>428</v>
      </c>
      <c r="R305" s="14">
        <f>P305+ROUND(Q305, 2)</f>
        <v>503.27</v>
      </c>
      <c r="S305" s="14">
        <f>ROUND(P305*I305, 2)</f>
        <v>650.33000000000004</v>
      </c>
      <c r="T305" s="14">
        <f>ROUND(I305*ROUND(Q305, 2), 2)</f>
        <v>3697.92</v>
      </c>
      <c r="U305" s="14">
        <f>S305+T305</f>
        <v>4348.25</v>
      </c>
    </row>
    <row r="306" spans="1:21" ht="95.55" customHeight="1" x14ac:dyDescent="0.3">
      <c r="A306" s="91" t="s">
        <v>1284</v>
      </c>
      <c r="B306" s="91"/>
      <c r="C306" s="92" t="s">
        <v>1091</v>
      </c>
      <c r="D306" s="93"/>
      <c r="E306" s="93" t="s">
        <v>1190</v>
      </c>
      <c r="F306" s="94" t="s">
        <v>70</v>
      </c>
      <c r="G306" s="95">
        <v>0.3</v>
      </c>
      <c r="H306" s="95"/>
      <c r="I306" s="95">
        <v>2.5920000000000001</v>
      </c>
      <c r="J306" s="90">
        <v>0</v>
      </c>
      <c r="M306" s="22">
        <f>ROUND(ROUND(J306, 2)*I306, 2)</f>
        <v>0</v>
      </c>
      <c r="P306" s="21">
        <v>206.5</v>
      </c>
      <c r="S306" s="22">
        <f>ROUND(ROUND(P306, 2)*I306, 2)</f>
        <v>535.25</v>
      </c>
    </row>
    <row r="307" spans="1:21" ht="18" x14ac:dyDescent="0.3">
      <c r="A307" s="91" t="s">
        <v>1287</v>
      </c>
      <c r="B307" s="91"/>
      <c r="C307" s="92" t="s">
        <v>433</v>
      </c>
      <c r="D307" s="93"/>
      <c r="E307" s="93"/>
      <c r="F307" s="94" t="s">
        <v>70</v>
      </c>
      <c r="G307" s="95">
        <v>0.15</v>
      </c>
      <c r="H307" s="95"/>
      <c r="I307" s="95">
        <v>1.296</v>
      </c>
      <c r="J307" s="90">
        <v>88.8</v>
      </c>
      <c r="M307" s="22">
        <f>ROUND(ROUND(J307, 2)*I307, 2)</f>
        <v>115.08</v>
      </c>
      <c r="P307" s="21">
        <v>88.8</v>
      </c>
      <c r="S307" s="22">
        <f>ROUND(ROUND(P307, 2)*I307, 2)</f>
        <v>115.08</v>
      </c>
    </row>
    <row r="308" spans="1:21" ht="18" x14ac:dyDescent="0.3">
      <c r="A308" s="74" t="s">
        <v>1290</v>
      </c>
      <c r="B308" s="74" t="s">
        <v>1170</v>
      </c>
      <c r="C308" s="75" t="s">
        <v>1171</v>
      </c>
      <c r="D308" s="76"/>
      <c r="E308" s="76" t="s">
        <v>1291</v>
      </c>
      <c r="F308" s="76" t="s">
        <v>64</v>
      </c>
      <c r="G308" s="77">
        <v>1</v>
      </c>
      <c r="H308" s="77"/>
      <c r="I308" s="77">
        <v>34.68</v>
      </c>
      <c r="J308" s="14">
        <f>IFERROR(ROUND(SUM(M309,M310)/I308, 2),0)</f>
        <v>13.32</v>
      </c>
      <c r="K308" s="15">
        <v>428</v>
      </c>
      <c r="L308" s="14">
        <f>J308+ROUND(K308, 2)</f>
        <v>441.32</v>
      </c>
      <c r="M308" s="14">
        <f>ROUND(J308*I308, 2)</f>
        <v>461.94</v>
      </c>
      <c r="N308" s="14">
        <f>ROUND(I308*ROUND(K308, 2), 2)</f>
        <v>14843.04</v>
      </c>
      <c r="O308" s="14">
        <f>M308+N308</f>
        <v>15304.980000000001</v>
      </c>
      <c r="P308" s="14">
        <f>IFERROR(ROUND(SUM(S309,S310)/I308, 2),0)</f>
        <v>75.27</v>
      </c>
      <c r="Q308" s="15">
        <v>428</v>
      </c>
      <c r="R308" s="14">
        <f>P308+ROUND(Q308, 2)</f>
        <v>503.27</v>
      </c>
      <c r="S308" s="14">
        <f>ROUND(P308*I308, 2)</f>
        <v>2610.36</v>
      </c>
      <c r="T308" s="14">
        <f>ROUND(I308*ROUND(Q308, 2), 2)</f>
        <v>14843.04</v>
      </c>
      <c r="U308" s="14">
        <f>S308+T308</f>
        <v>17453.400000000001</v>
      </c>
    </row>
    <row r="309" spans="1:21" ht="18" x14ac:dyDescent="0.3">
      <c r="A309" s="91" t="s">
        <v>1292</v>
      </c>
      <c r="B309" s="91"/>
      <c r="C309" s="92" t="s">
        <v>433</v>
      </c>
      <c r="D309" s="93"/>
      <c r="E309" s="93"/>
      <c r="F309" s="94" t="s">
        <v>70</v>
      </c>
      <c r="G309" s="95">
        <v>0.15</v>
      </c>
      <c r="H309" s="95"/>
      <c r="I309" s="95">
        <v>5.202</v>
      </c>
      <c r="J309" s="90">
        <v>88.8</v>
      </c>
      <c r="M309" s="22">
        <f>ROUND(ROUND(J309, 2)*I309, 2)</f>
        <v>461.94</v>
      </c>
      <c r="P309" s="21">
        <v>88.8</v>
      </c>
      <c r="S309" s="22">
        <f>ROUND(ROUND(P309, 2)*I309, 2)</f>
        <v>461.94</v>
      </c>
    </row>
    <row r="310" spans="1:21" ht="84.45" customHeight="1" x14ac:dyDescent="0.3">
      <c r="A310" s="91" t="s">
        <v>1295</v>
      </c>
      <c r="B310" s="91"/>
      <c r="C310" s="92" t="s">
        <v>1091</v>
      </c>
      <c r="D310" s="93"/>
      <c r="E310" s="93" t="s">
        <v>1196</v>
      </c>
      <c r="F310" s="94" t="s">
        <v>70</v>
      </c>
      <c r="G310" s="95">
        <v>0.3</v>
      </c>
      <c r="H310" s="95"/>
      <c r="I310" s="95">
        <v>10.404</v>
      </c>
      <c r="J310" s="90">
        <v>0</v>
      </c>
      <c r="M310" s="22">
        <f>ROUND(ROUND(J310, 2)*I310, 2)</f>
        <v>0</v>
      </c>
      <c r="P310" s="21">
        <v>206.5</v>
      </c>
      <c r="S310" s="22">
        <f>ROUND(ROUND(P310, 2)*I310, 2)</f>
        <v>2148.4299999999998</v>
      </c>
    </row>
    <row r="311" spans="1:21" ht="18" x14ac:dyDescent="0.3">
      <c r="A311" s="74" t="s">
        <v>1298</v>
      </c>
      <c r="B311" s="74" t="s">
        <v>1170</v>
      </c>
      <c r="C311" s="75" t="s">
        <v>1171</v>
      </c>
      <c r="D311" s="76"/>
      <c r="E311" s="76" t="s">
        <v>1299</v>
      </c>
      <c r="F311" s="76" t="s">
        <v>64</v>
      </c>
      <c r="G311" s="77">
        <v>1</v>
      </c>
      <c r="H311" s="77"/>
      <c r="I311" s="77">
        <v>24.37</v>
      </c>
      <c r="J311" s="14">
        <f>IFERROR(ROUND(SUM(M312,M313)/I311, 2),0)</f>
        <v>13.32</v>
      </c>
      <c r="K311" s="15">
        <v>428</v>
      </c>
      <c r="L311" s="14">
        <f>J311+ROUND(K311, 2)</f>
        <v>441.32</v>
      </c>
      <c r="M311" s="14">
        <f>ROUND(J311*I311, 2)</f>
        <v>324.61</v>
      </c>
      <c r="N311" s="14">
        <f>ROUND(I311*ROUND(K311, 2), 2)</f>
        <v>10430.36</v>
      </c>
      <c r="O311" s="14">
        <f>M311+N311</f>
        <v>10754.970000000001</v>
      </c>
      <c r="P311" s="14">
        <f>IFERROR(ROUND(SUM(S312,S313)/I311, 2),0)</f>
        <v>75.27</v>
      </c>
      <c r="Q311" s="15">
        <v>428</v>
      </c>
      <c r="R311" s="14">
        <f>P311+ROUND(Q311, 2)</f>
        <v>503.27</v>
      </c>
      <c r="S311" s="14">
        <f>ROUND(P311*I311, 2)</f>
        <v>1834.33</v>
      </c>
      <c r="T311" s="14">
        <f>ROUND(I311*ROUND(Q311, 2), 2)</f>
        <v>10430.36</v>
      </c>
      <c r="U311" s="14">
        <f>S311+T311</f>
        <v>12264.69</v>
      </c>
    </row>
    <row r="312" spans="1:21" ht="104.55" customHeight="1" x14ac:dyDescent="0.3">
      <c r="A312" s="91" t="s">
        <v>1300</v>
      </c>
      <c r="B312" s="91"/>
      <c r="C312" s="92" t="s">
        <v>1091</v>
      </c>
      <c r="D312" s="93"/>
      <c r="E312" s="93" t="s">
        <v>1208</v>
      </c>
      <c r="F312" s="94" t="s">
        <v>70</v>
      </c>
      <c r="G312" s="95">
        <v>0.3</v>
      </c>
      <c r="H312" s="95"/>
      <c r="I312" s="95">
        <v>7.3109999999999999</v>
      </c>
      <c r="J312" s="90">
        <v>0</v>
      </c>
      <c r="M312" s="22">
        <f>ROUND(ROUND(J312, 2)*I312, 2)</f>
        <v>0</v>
      </c>
      <c r="P312" s="21">
        <v>206.5</v>
      </c>
      <c r="S312" s="22">
        <f>ROUND(ROUND(P312, 2)*I312, 2)</f>
        <v>1509.72</v>
      </c>
    </row>
    <row r="313" spans="1:21" ht="18" x14ac:dyDescent="0.3">
      <c r="A313" s="91" t="s">
        <v>1303</v>
      </c>
      <c r="B313" s="91"/>
      <c r="C313" s="92" t="s">
        <v>433</v>
      </c>
      <c r="D313" s="93"/>
      <c r="E313" s="93"/>
      <c r="F313" s="94" t="s">
        <v>70</v>
      </c>
      <c r="G313" s="95">
        <v>0.15</v>
      </c>
      <c r="H313" s="95"/>
      <c r="I313" s="95">
        <v>3.6560000000000001</v>
      </c>
      <c r="J313" s="90">
        <v>88.8</v>
      </c>
      <c r="M313" s="22">
        <f>ROUND(ROUND(J313, 2)*I313, 2)</f>
        <v>324.64999999999998</v>
      </c>
      <c r="P313" s="21">
        <v>88.8</v>
      </c>
      <c r="S313" s="22">
        <f>ROUND(ROUND(P313, 2)*I313, 2)</f>
        <v>324.64999999999998</v>
      </c>
    </row>
    <row r="314" spans="1:21" ht="18" x14ac:dyDescent="0.3">
      <c r="A314" s="74" t="s">
        <v>1306</v>
      </c>
      <c r="B314" s="74" t="s">
        <v>1170</v>
      </c>
      <c r="C314" s="75" t="s">
        <v>1171</v>
      </c>
      <c r="D314" s="76"/>
      <c r="E314" s="76" t="s">
        <v>1307</v>
      </c>
      <c r="F314" s="76" t="s">
        <v>64</v>
      </c>
      <c r="G314" s="77">
        <v>1</v>
      </c>
      <c r="H314" s="77"/>
      <c r="I314" s="77">
        <v>4.95</v>
      </c>
      <c r="J314" s="14">
        <f>IFERROR(ROUND(SUM(M315,M316)/I314, 2),0)</f>
        <v>13.33</v>
      </c>
      <c r="K314" s="15">
        <v>428</v>
      </c>
      <c r="L314" s="14">
        <f>J314+ROUND(K314, 2)</f>
        <v>441.33</v>
      </c>
      <c r="M314" s="14">
        <f>ROUND(J314*I314, 2)</f>
        <v>65.98</v>
      </c>
      <c r="N314" s="14">
        <f>ROUND(I314*ROUND(K314, 2), 2)</f>
        <v>2118.6</v>
      </c>
      <c r="O314" s="14">
        <f>M314+N314</f>
        <v>2184.58</v>
      </c>
      <c r="P314" s="14">
        <f>IFERROR(ROUND(SUM(S315,S316)/I314, 2),0)</f>
        <v>75.28</v>
      </c>
      <c r="Q314" s="15">
        <v>428</v>
      </c>
      <c r="R314" s="14">
        <f>P314+ROUND(Q314, 2)</f>
        <v>503.28</v>
      </c>
      <c r="S314" s="14">
        <f>ROUND(P314*I314, 2)</f>
        <v>372.64</v>
      </c>
      <c r="T314" s="14">
        <f>ROUND(I314*ROUND(Q314, 2), 2)</f>
        <v>2118.6</v>
      </c>
      <c r="U314" s="14">
        <f>S314+T314</f>
        <v>2491.2399999999998</v>
      </c>
    </row>
    <row r="315" spans="1:21" ht="18" x14ac:dyDescent="0.3">
      <c r="A315" s="91" t="s">
        <v>1308</v>
      </c>
      <c r="B315" s="91"/>
      <c r="C315" s="92" t="s">
        <v>433</v>
      </c>
      <c r="D315" s="93"/>
      <c r="E315" s="93"/>
      <c r="F315" s="94" t="s">
        <v>70</v>
      </c>
      <c r="G315" s="95">
        <v>0.15</v>
      </c>
      <c r="H315" s="95"/>
      <c r="I315" s="95">
        <v>0.74299999999999999</v>
      </c>
      <c r="J315" s="90">
        <v>88.8</v>
      </c>
      <c r="M315" s="22">
        <f>ROUND(ROUND(J315, 2)*I315, 2)</f>
        <v>65.98</v>
      </c>
      <c r="P315" s="21">
        <v>88.8</v>
      </c>
      <c r="S315" s="22">
        <f>ROUND(ROUND(P315, 2)*I315, 2)</f>
        <v>65.98</v>
      </c>
    </row>
    <row r="316" spans="1:21" ht="105" customHeight="1" x14ac:dyDescent="0.3">
      <c r="A316" s="91" t="s">
        <v>1311</v>
      </c>
      <c r="B316" s="91"/>
      <c r="C316" s="92" t="s">
        <v>1091</v>
      </c>
      <c r="D316" s="93"/>
      <c r="E316" s="93" t="s">
        <v>1214</v>
      </c>
      <c r="F316" s="94" t="s">
        <v>70</v>
      </c>
      <c r="G316" s="95">
        <v>0.3</v>
      </c>
      <c r="H316" s="95"/>
      <c r="I316" s="95">
        <v>1.4850000000000001</v>
      </c>
      <c r="J316" s="90">
        <v>0</v>
      </c>
      <c r="M316" s="22">
        <f>ROUND(ROUND(J316, 2)*I316, 2)</f>
        <v>0</v>
      </c>
      <c r="P316" s="21">
        <v>206.5</v>
      </c>
      <c r="S316" s="22">
        <f>ROUND(ROUND(P316, 2)*I316, 2)</f>
        <v>306.64999999999998</v>
      </c>
    </row>
    <row r="317" spans="1:21" ht="18" x14ac:dyDescent="0.3">
      <c r="A317" s="74" t="s">
        <v>1314</v>
      </c>
      <c r="B317" s="74" t="s">
        <v>1170</v>
      </c>
      <c r="C317" s="75" t="s">
        <v>1171</v>
      </c>
      <c r="D317" s="76"/>
      <c r="E317" s="76" t="s">
        <v>1315</v>
      </c>
      <c r="F317" s="76" t="s">
        <v>64</v>
      </c>
      <c r="G317" s="77">
        <v>1</v>
      </c>
      <c r="H317" s="77"/>
      <c r="I317" s="77">
        <v>11.73</v>
      </c>
      <c r="J317" s="14">
        <f>IFERROR(ROUND(SUM(M318,M319)/I317, 2),0)</f>
        <v>13.32</v>
      </c>
      <c r="K317" s="15">
        <v>428</v>
      </c>
      <c r="L317" s="14">
        <f>J317+ROUND(K317, 2)</f>
        <v>441.32</v>
      </c>
      <c r="M317" s="14">
        <f>ROUND(J317*I317, 2)</f>
        <v>156.24</v>
      </c>
      <c r="N317" s="14">
        <f>ROUND(I317*ROUND(K317, 2), 2)</f>
        <v>5020.4399999999996</v>
      </c>
      <c r="O317" s="14">
        <f>M317+N317</f>
        <v>5176.6799999999994</v>
      </c>
      <c r="P317" s="14">
        <f>IFERROR(ROUND(SUM(S318,S319)/I317, 2),0)</f>
        <v>75.27</v>
      </c>
      <c r="Q317" s="15">
        <v>428</v>
      </c>
      <c r="R317" s="14">
        <f>P317+ROUND(Q317, 2)</f>
        <v>503.27</v>
      </c>
      <c r="S317" s="14">
        <f>ROUND(P317*I317, 2)</f>
        <v>882.92</v>
      </c>
      <c r="T317" s="14">
        <f>ROUND(I317*ROUND(Q317, 2), 2)</f>
        <v>5020.4399999999996</v>
      </c>
      <c r="U317" s="14">
        <f>S317+T317</f>
        <v>5903.36</v>
      </c>
    </row>
    <row r="318" spans="1:21" ht="105.45" customHeight="1" x14ac:dyDescent="0.3">
      <c r="A318" s="91" t="s">
        <v>1316</v>
      </c>
      <c r="B318" s="91"/>
      <c r="C318" s="137" t="s">
        <v>1091</v>
      </c>
      <c r="D318" s="93"/>
      <c r="E318" s="93" t="s">
        <v>1226</v>
      </c>
      <c r="F318" s="94" t="s">
        <v>70</v>
      </c>
      <c r="G318" s="95">
        <v>0.3</v>
      </c>
      <c r="H318" s="95"/>
      <c r="I318" s="95">
        <v>3.5190000000000001</v>
      </c>
      <c r="J318" s="90">
        <v>0</v>
      </c>
      <c r="M318" s="22">
        <f>ROUND(ROUND(J318, 2)*I318, 2)</f>
        <v>0</v>
      </c>
      <c r="P318" s="21">
        <v>206.5</v>
      </c>
      <c r="S318" s="22">
        <f>ROUND(ROUND(P318, 2)*I318, 2)</f>
        <v>726.67</v>
      </c>
    </row>
    <row r="319" spans="1:21" ht="18" x14ac:dyDescent="0.3">
      <c r="A319" s="91" t="s">
        <v>1319</v>
      </c>
      <c r="B319" s="91"/>
      <c r="C319" s="137" t="s">
        <v>433</v>
      </c>
      <c r="D319" s="93"/>
      <c r="E319" s="93"/>
      <c r="F319" s="94" t="s">
        <v>70</v>
      </c>
      <c r="G319" s="95">
        <v>0.15</v>
      </c>
      <c r="H319" s="95"/>
      <c r="I319" s="95">
        <v>1.76</v>
      </c>
      <c r="J319" s="90">
        <v>88.8</v>
      </c>
      <c r="M319" s="22">
        <f>ROUND(ROUND(J319, 2)*I319, 2)</f>
        <v>156.29</v>
      </c>
      <c r="P319" s="21">
        <v>88.8</v>
      </c>
      <c r="S319" s="22">
        <f>ROUND(ROUND(P319, 2)*I319, 2)</f>
        <v>156.29</v>
      </c>
    </row>
    <row r="320" spans="1:21" ht="18" x14ac:dyDescent="0.3">
      <c r="A320" s="74" t="s">
        <v>1322</v>
      </c>
      <c r="B320" s="74" t="s">
        <v>1170</v>
      </c>
      <c r="C320" s="75" t="s">
        <v>1171</v>
      </c>
      <c r="D320" s="76"/>
      <c r="E320" s="76" t="s">
        <v>1323</v>
      </c>
      <c r="F320" s="76" t="s">
        <v>64</v>
      </c>
      <c r="G320" s="77">
        <v>1</v>
      </c>
      <c r="H320" s="77"/>
      <c r="I320" s="77">
        <v>18.63</v>
      </c>
      <c r="J320" s="14">
        <f>IFERROR(ROUND(SUM(M321,M322)/I320, 2),0)</f>
        <v>13.32</v>
      </c>
      <c r="K320" s="15">
        <v>428</v>
      </c>
      <c r="L320" s="14">
        <f>J320+ROUND(K320, 2)</f>
        <v>441.32</v>
      </c>
      <c r="M320" s="14">
        <f>ROUND(J320*I320, 2)</f>
        <v>248.15</v>
      </c>
      <c r="N320" s="14">
        <f>ROUND(I320*ROUND(K320, 2), 2)</f>
        <v>7973.64</v>
      </c>
      <c r="O320" s="14">
        <f>M320+N320</f>
        <v>8221.7900000000009</v>
      </c>
      <c r="P320" s="14">
        <f>IFERROR(ROUND(SUM(S321,S322)/I320, 2),0)</f>
        <v>75.27</v>
      </c>
      <c r="Q320" s="15">
        <v>428</v>
      </c>
      <c r="R320" s="14">
        <f>P320+ROUND(Q320, 2)</f>
        <v>503.27</v>
      </c>
      <c r="S320" s="14">
        <f>ROUND(P320*I320, 2)</f>
        <v>1402.28</v>
      </c>
      <c r="T320" s="14">
        <f>ROUND(I320*ROUND(Q320, 2), 2)</f>
        <v>7973.64</v>
      </c>
      <c r="U320" s="14">
        <f>S320+T320</f>
        <v>9375.92</v>
      </c>
    </row>
    <row r="321" spans="1:21" ht="18" x14ac:dyDescent="0.3">
      <c r="A321" s="91" t="s">
        <v>1324</v>
      </c>
      <c r="B321" s="91"/>
      <c r="C321" s="92" t="s">
        <v>433</v>
      </c>
      <c r="D321" s="93"/>
      <c r="E321" s="93"/>
      <c r="F321" s="94" t="s">
        <v>70</v>
      </c>
      <c r="G321" s="95">
        <v>0.15</v>
      </c>
      <c r="H321" s="95"/>
      <c r="I321" s="95">
        <v>2.7949999999999999</v>
      </c>
      <c r="J321" s="90">
        <v>88.8</v>
      </c>
      <c r="M321" s="22">
        <f>ROUND(ROUND(J321, 2)*I321, 2)</f>
        <v>248.2</v>
      </c>
      <c r="P321" s="21">
        <v>88.8</v>
      </c>
      <c r="S321" s="22">
        <f>ROUND(ROUND(P321, 2)*I321, 2)</f>
        <v>248.2</v>
      </c>
    </row>
    <row r="322" spans="1:21" ht="105" customHeight="1" x14ac:dyDescent="0.3">
      <c r="A322" s="91" t="s">
        <v>1327</v>
      </c>
      <c r="B322" s="91"/>
      <c r="C322" s="92" t="s">
        <v>1091</v>
      </c>
      <c r="D322" s="93"/>
      <c r="E322" s="93" t="s">
        <v>1268</v>
      </c>
      <c r="F322" s="94" t="s">
        <v>70</v>
      </c>
      <c r="G322" s="95">
        <v>0.3</v>
      </c>
      <c r="H322" s="95"/>
      <c r="I322" s="95">
        <v>5.5890000000000004</v>
      </c>
      <c r="J322" s="90">
        <v>0</v>
      </c>
      <c r="M322" s="22">
        <f>ROUND(ROUND(J322, 2)*I322, 2)</f>
        <v>0</v>
      </c>
      <c r="P322" s="21">
        <v>206.5</v>
      </c>
      <c r="S322" s="22">
        <f>ROUND(ROUND(P322, 2)*I322, 2)</f>
        <v>1154.1300000000001</v>
      </c>
    </row>
    <row r="323" spans="1:21" ht="18" x14ac:dyDescent="0.3">
      <c r="A323" s="74" t="s">
        <v>1330</v>
      </c>
      <c r="B323" s="74" t="s">
        <v>1170</v>
      </c>
      <c r="C323" s="75" t="s">
        <v>1171</v>
      </c>
      <c r="D323" s="76"/>
      <c r="E323" s="76" t="s">
        <v>1331</v>
      </c>
      <c r="F323" s="76" t="s">
        <v>64</v>
      </c>
      <c r="G323" s="77">
        <v>1</v>
      </c>
      <c r="H323" s="77"/>
      <c r="I323" s="77">
        <v>390.43</v>
      </c>
      <c r="J323" s="14">
        <f>IFERROR(ROUND(SUM(M324,M325)/I323, 2),0)</f>
        <v>13.32</v>
      </c>
      <c r="K323" s="15">
        <v>428</v>
      </c>
      <c r="L323" s="14">
        <f>J323+ROUND(K323, 2)</f>
        <v>441.32</v>
      </c>
      <c r="M323" s="14">
        <f>ROUND(J323*I323, 2)</f>
        <v>5200.53</v>
      </c>
      <c r="N323" s="14">
        <f>ROUND(I323*ROUND(K323, 2), 2)</f>
        <v>167104.04</v>
      </c>
      <c r="O323" s="14">
        <f>M323+N323</f>
        <v>172304.57</v>
      </c>
      <c r="P323" s="14">
        <f>IFERROR(ROUND(SUM(S324,S325)/I323, 2),0)</f>
        <v>75.27</v>
      </c>
      <c r="Q323" s="15">
        <v>428</v>
      </c>
      <c r="R323" s="14">
        <f>P323+ROUND(Q323, 2)</f>
        <v>503.27</v>
      </c>
      <c r="S323" s="14">
        <f>ROUND(P323*I323, 2)</f>
        <v>29387.67</v>
      </c>
      <c r="T323" s="14">
        <f>ROUND(I323*ROUND(Q323, 2), 2)</f>
        <v>167104.04</v>
      </c>
      <c r="U323" s="14">
        <f>S323+T323</f>
        <v>196491.71000000002</v>
      </c>
    </row>
    <row r="324" spans="1:21" ht="112.05" customHeight="1" x14ac:dyDescent="0.3">
      <c r="A324" s="91" t="s">
        <v>1332</v>
      </c>
      <c r="B324" s="91"/>
      <c r="C324" s="92" t="s">
        <v>1091</v>
      </c>
      <c r="D324" s="93"/>
      <c r="E324" s="93" t="s">
        <v>1244</v>
      </c>
      <c r="F324" s="94" t="s">
        <v>70</v>
      </c>
      <c r="G324" s="95">
        <v>0.3</v>
      </c>
      <c r="H324" s="95"/>
      <c r="I324" s="95">
        <v>117.129</v>
      </c>
      <c r="J324" s="90">
        <v>0</v>
      </c>
      <c r="M324" s="22">
        <f>ROUND(ROUND(J324, 2)*I324, 2)</f>
        <v>0</v>
      </c>
      <c r="P324" s="21">
        <v>206.5</v>
      </c>
      <c r="S324" s="22">
        <f>ROUND(ROUND(P324, 2)*I324, 2)</f>
        <v>24187.14</v>
      </c>
    </row>
    <row r="325" spans="1:21" ht="18" x14ac:dyDescent="0.3">
      <c r="A325" s="91" t="s">
        <v>1335</v>
      </c>
      <c r="B325" s="91"/>
      <c r="C325" s="92" t="s">
        <v>433</v>
      </c>
      <c r="D325" s="93"/>
      <c r="E325" s="93"/>
      <c r="F325" s="94" t="s">
        <v>70</v>
      </c>
      <c r="G325" s="95">
        <v>0.15</v>
      </c>
      <c r="H325" s="95"/>
      <c r="I325" s="95">
        <v>58.564999999999998</v>
      </c>
      <c r="J325" s="90">
        <v>88.8</v>
      </c>
      <c r="M325" s="22">
        <f>ROUND(ROUND(J325, 2)*I325, 2)</f>
        <v>5200.57</v>
      </c>
      <c r="P325" s="21">
        <v>88.8</v>
      </c>
      <c r="S325" s="22">
        <f>ROUND(ROUND(P325, 2)*I325, 2)</f>
        <v>5200.57</v>
      </c>
    </row>
    <row r="326" spans="1:21" ht="18" x14ac:dyDescent="0.3">
      <c r="A326" s="74" t="s">
        <v>1338</v>
      </c>
      <c r="B326" s="74" t="s">
        <v>1170</v>
      </c>
      <c r="C326" s="75" t="s">
        <v>1171</v>
      </c>
      <c r="D326" s="76"/>
      <c r="E326" s="76" t="s">
        <v>1339</v>
      </c>
      <c r="F326" s="76" t="s">
        <v>64</v>
      </c>
      <c r="G326" s="77">
        <v>1</v>
      </c>
      <c r="H326" s="77"/>
      <c r="I326" s="77">
        <v>2002.74</v>
      </c>
      <c r="J326" s="14">
        <f>IFERROR(ROUND(SUM(M327,M328)/I326, 2),0)</f>
        <v>13.32</v>
      </c>
      <c r="K326" s="15">
        <v>428</v>
      </c>
      <c r="L326" s="14">
        <f>J326+ROUND(K326, 2)</f>
        <v>441.32</v>
      </c>
      <c r="M326" s="14">
        <f>ROUND(J326*I326, 2)</f>
        <v>26676.5</v>
      </c>
      <c r="N326" s="14">
        <f>ROUND(I326*ROUND(K326, 2), 2)</f>
        <v>857172.72</v>
      </c>
      <c r="O326" s="14">
        <f>M326+N326</f>
        <v>883849.22</v>
      </c>
      <c r="P326" s="14">
        <f>IFERROR(ROUND(SUM(S327,S328)/I326, 2),0)</f>
        <v>68.28</v>
      </c>
      <c r="Q326" s="15">
        <v>428</v>
      </c>
      <c r="R326" s="14">
        <f>P326+ROUND(Q326, 2)</f>
        <v>496.28</v>
      </c>
      <c r="S326" s="14">
        <f>ROUND(P326*I326, 2)</f>
        <v>136747.09</v>
      </c>
      <c r="T326" s="14">
        <f>ROUND(I326*ROUND(Q326, 2), 2)</f>
        <v>857172.72</v>
      </c>
      <c r="U326" s="14">
        <f>S326+T326</f>
        <v>993919.80999999994</v>
      </c>
    </row>
    <row r="327" spans="1:21" ht="18" x14ac:dyDescent="0.3">
      <c r="A327" s="91" t="s">
        <v>1340</v>
      </c>
      <c r="B327" s="91"/>
      <c r="C327" s="92" t="s">
        <v>433</v>
      </c>
      <c r="D327" s="93"/>
      <c r="E327" s="93"/>
      <c r="F327" s="94" t="s">
        <v>70</v>
      </c>
      <c r="G327" s="95">
        <v>0.15</v>
      </c>
      <c r="H327" s="95"/>
      <c r="I327" s="95">
        <v>300.411</v>
      </c>
      <c r="J327" s="90">
        <v>88.8</v>
      </c>
      <c r="M327" s="22">
        <f>ROUND(ROUND(J327, 2)*I327, 2)</f>
        <v>26676.5</v>
      </c>
      <c r="P327" s="21">
        <v>88.8</v>
      </c>
      <c r="S327" s="22">
        <f>ROUND(ROUND(P327, 2)*I327, 2)</f>
        <v>26676.5</v>
      </c>
    </row>
    <row r="328" spans="1:21" ht="91.95" customHeight="1" x14ac:dyDescent="0.3">
      <c r="A328" s="91" t="s">
        <v>1343</v>
      </c>
      <c r="B328" s="91"/>
      <c r="C328" s="92" t="s">
        <v>1111</v>
      </c>
      <c r="D328" s="93"/>
      <c r="E328" s="93" t="s">
        <v>1250</v>
      </c>
      <c r="F328" s="94" t="s">
        <v>70</v>
      </c>
      <c r="G328" s="95">
        <v>0.3</v>
      </c>
      <c r="H328" s="95"/>
      <c r="I328" s="95">
        <v>600.822</v>
      </c>
      <c r="J328" s="90">
        <v>0</v>
      </c>
      <c r="M328" s="22">
        <f>ROUND(ROUND(J328, 2)*I328, 2)</f>
        <v>0</v>
      </c>
      <c r="P328" s="21">
        <v>183.2</v>
      </c>
      <c r="S328" s="22">
        <f>ROUND(ROUND(P328, 2)*I328, 2)</f>
        <v>110070.59</v>
      </c>
    </row>
    <row r="329" spans="1:21" ht="18" x14ac:dyDescent="0.3">
      <c r="A329" s="74" t="s">
        <v>1346</v>
      </c>
      <c r="B329" s="74" t="s">
        <v>1170</v>
      </c>
      <c r="C329" s="75" t="s">
        <v>1171</v>
      </c>
      <c r="D329" s="76"/>
      <c r="E329" s="76" t="s">
        <v>1347</v>
      </c>
      <c r="F329" s="76" t="s">
        <v>64</v>
      </c>
      <c r="G329" s="77">
        <v>1</v>
      </c>
      <c r="H329" s="77"/>
      <c r="I329" s="77">
        <v>23.23</v>
      </c>
      <c r="J329" s="14">
        <f>IFERROR(ROUND(SUM(M330,M331)/I329, 2),0)</f>
        <v>13.32</v>
      </c>
      <c r="K329" s="15">
        <v>428</v>
      </c>
      <c r="L329" s="14">
        <f>J329+ROUND(K329, 2)</f>
        <v>441.32</v>
      </c>
      <c r="M329" s="14">
        <f>ROUND(J329*I329, 2)</f>
        <v>309.42</v>
      </c>
      <c r="N329" s="14">
        <f>ROUND(I329*ROUND(K329, 2), 2)</f>
        <v>9942.44</v>
      </c>
      <c r="O329" s="14">
        <f>M329+N329</f>
        <v>10251.86</v>
      </c>
      <c r="P329" s="14">
        <f>IFERROR(ROUND(SUM(S330,S331)/I329, 2),0)</f>
        <v>75.27</v>
      </c>
      <c r="Q329" s="15">
        <v>428</v>
      </c>
      <c r="R329" s="14">
        <f>P329+ROUND(Q329, 2)</f>
        <v>503.27</v>
      </c>
      <c r="S329" s="14">
        <f>ROUND(P329*I329, 2)</f>
        <v>1748.52</v>
      </c>
      <c r="T329" s="14">
        <f>ROUND(I329*ROUND(Q329, 2), 2)</f>
        <v>9942.44</v>
      </c>
      <c r="U329" s="14">
        <f>S329+T329</f>
        <v>11690.960000000001</v>
      </c>
    </row>
    <row r="330" spans="1:21" ht="73.05" customHeight="1" x14ac:dyDescent="0.3">
      <c r="A330" s="91" t="s">
        <v>1348</v>
      </c>
      <c r="B330" s="91"/>
      <c r="C330" s="92" t="s">
        <v>1349</v>
      </c>
      <c r="D330" s="93"/>
      <c r="E330" s="93" t="s">
        <v>1350</v>
      </c>
      <c r="F330" s="94" t="s">
        <v>70</v>
      </c>
      <c r="G330" s="95">
        <v>0.3</v>
      </c>
      <c r="H330" s="95"/>
      <c r="I330" s="95">
        <v>6.9690000000000003</v>
      </c>
      <c r="J330" s="90">
        <v>0</v>
      </c>
      <c r="M330" s="22">
        <f>ROUND(ROUND(J330, 2)*I330, 2)</f>
        <v>0</v>
      </c>
      <c r="P330" s="21">
        <v>206.5</v>
      </c>
      <c r="S330" s="22">
        <f>ROUND(ROUND(P330, 2)*I330, 2)</f>
        <v>1439.1</v>
      </c>
    </row>
    <row r="331" spans="1:21" ht="18" x14ac:dyDescent="0.3">
      <c r="A331" s="91" t="s">
        <v>1354</v>
      </c>
      <c r="B331" s="91"/>
      <c r="C331" s="92" t="s">
        <v>433</v>
      </c>
      <c r="D331" s="93"/>
      <c r="E331" s="93"/>
      <c r="F331" s="94" t="s">
        <v>70</v>
      </c>
      <c r="G331" s="95">
        <v>0.15</v>
      </c>
      <c r="H331" s="95"/>
      <c r="I331" s="95">
        <v>3.4849999999999999</v>
      </c>
      <c r="J331" s="90">
        <v>88.8</v>
      </c>
      <c r="M331" s="22">
        <f>ROUND(ROUND(J331, 2)*I331, 2)</f>
        <v>309.47000000000003</v>
      </c>
      <c r="P331" s="21">
        <v>88.8</v>
      </c>
      <c r="S331" s="22">
        <f>ROUND(ROUND(P331, 2)*I331, 2)</f>
        <v>309.47000000000003</v>
      </c>
    </row>
    <row r="332" spans="1:21" ht="18" x14ac:dyDescent="0.3">
      <c r="A332" s="74" t="s">
        <v>1357</v>
      </c>
      <c r="B332" s="74" t="s">
        <v>1170</v>
      </c>
      <c r="C332" s="75" t="s">
        <v>1171</v>
      </c>
      <c r="D332" s="76"/>
      <c r="E332" s="76" t="s">
        <v>1358</v>
      </c>
      <c r="F332" s="76" t="s">
        <v>64</v>
      </c>
      <c r="G332" s="77">
        <v>1</v>
      </c>
      <c r="H332" s="77"/>
      <c r="I332" s="77">
        <v>107.1</v>
      </c>
      <c r="J332" s="14">
        <f>IFERROR(ROUND(SUM(M333,M334)/I332, 2),0)</f>
        <v>13.32</v>
      </c>
      <c r="K332" s="15">
        <v>428</v>
      </c>
      <c r="L332" s="14">
        <f>J332+ROUND(K332, 2)</f>
        <v>441.32</v>
      </c>
      <c r="M332" s="14">
        <f>ROUND(J332*I332, 2)</f>
        <v>1426.57</v>
      </c>
      <c r="N332" s="14">
        <f>ROUND(I332*ROUND(K332, 2), 2)</f>
        <v>45838.8</v>
      </c>
      <c r="O332" s="14">
        <f>M332+N332</f>
        <v>47265.37</v>
      </c>
      <c r="P332" s="14">
        <f>IFERROR(ROUND(SUM(S333,S334)/I332, 2),0)</f>
        <v>75.27</v>
      </c>
      <c r="Q332" s="15">
        <v>428</v>
      </c>
      <c r="R332" s="14">
        <f>P332+ROUND(Q332, 2)</f>
        <v>503.27</v>
      </c>
      <c r="S332" s="14">
        <f>ROUND(P332*I332, 2)</f>
        <v>8061.42</v>
      </c>
      <c r="T332" s="14">
        <f>ROUND(I332*ROUND(Q332, 2), 2)</f>
        <v>45838.8</v>
      </c>
      <c r="U332" s="14">
        <f>S332+T332</f>
        <v>53900.22</v>
      </c>
    </row>
    <row r="333" spans="1:21" ht="18" x14ac:dyDescent="0.3">
      <c r="A333" s="91" t="s">
        <v>1359</v>
      </c>
      <c r="B333" s="91"/>
      <c r="C333" s="92" t="s">
        <v>433</v>
      </c>
      <c r="D333" s="93"/>
      <c r="E333" s="93"/>
      <c r="F333" s="94" t="s">
        <v>70</v>
      </c>
      <c r="G333" s="95">
        <v>0.15</v>
      </c>
      <c r="H333" s="95"/>
      <c r="I333" s="95">
        <v>16.065000000000001</v>
      </c>
      <c r="J333" s="90">
        <v>88.8</v>
      </c>
      <c r="M333" s="22">
        <f>ROUND(ROUND(J333, 2)*I333, 2)</f>
        <v>1426.57</v>
      </c>
      <c r="P333" s="21">
        <v>88.8</v>
      </c>
      <c r="S333" s="22">
        <f>ROUND(ROUND(P333, 2)*I333, 2)</f>
        <v>1426.57</v>
      </c>
    </row>
    <row r="334" spans="1:21" ht="84.45" customHeight="1" x14ac:dyDescent="0.3">
      <c r="A334" s="91" t="s">
        <v>1362</v>
      </c>
      <c r="B334" s="91"/>
      <c r="C334" s="92" t="s">
        <v>1091</v>
      </c>
      <c r="D334" s="93"/>
      <c r="E334" s="93" t="s">
        <v>1363</v>
      </c>
      <c r="F334" s="94" t="s">
        <v>70</v>
      </c>
      <c r="G334" s="95">
        <v>0.3</v>
      </c>
      <c r="H334" s="95"/>
      <c r="I334" s="95">
        <v>32.130000000000003</v>
      </c>
      <c r="J334" s="90">
        <v>0</v>
      </c>
      <c r="M334" s="22">
        <f>ROUND(ROUND(J334, 2)*I334, 2)</f>
        <v>0</v>
      </c>
      <c r="P334" s="21">
        <v>206.5</v>
      </c>
      <c r="S334" s="22">
        <f>ROUND(ROUND(P334, 2)*I334, 2)</f>
        <v>6634.85</v>
      </c>
    </row>
    <row r="335" spans="1:21" ht="52.2" x14ac:dyDescent="0.3">
      <c r="A335" s="74" t="s">
        <v>1366</v>
      </c>
      <c r="B335" s="74" t="s">
        <v>1367</v>
      </c>
      <c r="C335" s="75" t="s">
        <v>1368</v>
      </c>
      <c r="D335" s="76"/>
      <c r="E335" s="76" t="s">
        <v>1369</v>
      </c>
      <c r="F335" s="76" t="s">
        <v>64</v>
      </c>
      <c r="G335" s="77">
        <v>1</v>
      </c>
      <c r="H335" s="77"/>
      <c r="I335" s="77">
        <v>205.88</v>
      </c>
      <c r="J335" s="14">
        <f>IFERROR(ROUND(SUM(M336,M337,M338,M339)/I335, 2),0)</f>
        <v>1070.1400000000001</v>
      </c>
      <c r="K335" s="15">
        <v>2364</v>
      </c>
      <c r="L335" s="14">
        <f>J335+ROUND(K335, 2)</f>
        <v>3434.1400000000003</v>
      </c>
      <c r="M335" s="14">
        <f>ROUND(J335*I335, 2)</f>
        <v>220320.42</v>
      </c>
      <c r="N335" s="14">
        <f>ROUND(I335*ROUND(K335, 2), 2)</f>
        <v>486700.32</v>
      </c>
      <c r="O335" s="14">
        <f>M335+N335</f>
        <v>707020.74</v>
      </c>
      <c r="P335" s="14">
        <f>IFERROR(ROUND(SUM(S336,S337,S338,S339)/I335, 2),0)</f>
        <v>749.14</v>
      </c>
      <c r="Q335" s="15">
        <v>2364</v>
      </c>
      <c r="R335" s="14">
        <f>P335+ROUND(Q335, 2)</f>
        <v>3113.14</v>
      </c>
      <c r="S335" s="14">
        <f>ROUND(P335*I335, 2)</f>
        <v>154232.94</v>
      </c>
      <c r="T335" s="14">
        <f>ROUND(I335*ROUND(Q335, 2), 2)</f>
        <v>486700.32</v>
      </c>
      <c r="U335" s="14">
        <f>S335+T335</f>
        <v>640933.26</v>
      </c>
    </row>
    <row r="336" spans="1:21" ht="18" x14ac:dyDescent="0.3">
      <c r="A336" s="91" t="s">
        <v>1372</v>
      </c>
      <c r="B336" s="91"/>
      <c r="C336" s="92" t="s">
        <v>426</v>
      </c>
      <c r="D336" s="93"/>
      <c r="E336" s="93"/>
      <c r="F336" s="94" t="s">
        <v>70</v>
      </c>
      <c r="G336" s="95">
        <v>0.25</v>
      </c>
      <c r="H336" s="95"/>
      <c r="I336" s="95">
        <v>51.47</v>
      </c>
      <c r="J336" s="90">
        <v>40.270000000000003</v>
      </c>
      <c r="M336" s="22">
        <f>ROUND(ROUND(J336, 2)*I336, 2)</f>
        <v>2072.6999999999998</v>
      </c>
      <c r="P336" s="21">
        <v>40.270000000000003</v>
      </c>
      <c r="S336" s="22">
        <f>ROUND(ROUND(P336, 2)*I336, 2)</f>
        <v>2072.6999999999998</v>
      </c>
    </row>
    <row r="337" spans="1:21" ht="18" x14ac:dyDescent="0.3">
      <c r="A337" s="91" t="s">
        <v>1375</v>
      </c>
      <c r="B337" s="91"/>
      <c r="C337" s="92" t="s">
        <v>452</v>
      </c>
      <c r="D337" s="93"/>
      <c r="E337" s="93"/>
      <c r="F337" s="94" t="s">
        <v>70</v>
      </c>
      <c r="G337" s="95">
        <v>0.15</v>
      </c>
      <c r="H337" s="95"/>
      <c r="I337" s="95">
        <v>30.882000000000001</v>
      </c>
      <c r="J337" s="90">
        <v>68.400000000000006</v>
      </c>
      <c r="M337" s="22">
        <f>ROUND(ROUND(J337, 2)*I337, 2)</f>
        <v>2112.33</v>
      </c>
      <c r="P337" s="21">
        <v>68.400000000000006</v>
      </c>
      <c r="S337" s="22">
        <f>ROUND(ROUND(P337, 2)*I337, 2)</f>
        <v>2112.33</v>
      </c>
    </row>
    <row r="338" spans="1:21" ht="54" customHeight="1" x14ac:dyDescent="0.3">
      <c r="A338" s="91" t="s">
        <v>1378</v>
      </c>
      <c r="B338" s="91"/>
      <c r="C338" s="80" t="s">
        <v>693</v>
      </c>
      <c r="D338" s="93"/>
      <c r="E338" s="93" t="s">
        <v>402</v>
      </c>
      <c r="F338" s="94" t="s">
        <v>70</v>
      </c>
      <c r="G338" s="95">
        <v>1.2</v>
      </c>
      <c r="H338" s="95"/>
      <c r="I338" s="95">
        <v>494.11200000000002</v>
      </c>
      <c r="J338" s="90">
        <v>16.11</v>
      </c>
      <c r="M338" s="22">
        <f>ROUND(ROUND(J338, 2)*I338, 2)</f>
        <v>7960.14</v>
      </c>
      <c r="P338" s="21">
        <v>16.11</v>
      </c>
      <c r="S338" s="22">
        <f>ROUND(ROUND(P338, 2)*I338, 2)</f>
        <v>7960.14</v>
      </c>
    </row>
    <row r="339" spans="1:21" ht="54.45" customHeight="1" x14ac:dyDescent="0.3">
      <c r="A339" s="91" t="s">
        <v>1381</v>
      </c>
      <c r="B339" s="91"/>
      <c r="C339" s="80" t="s">
        <v>1382</v>
      </c>
      <c r="D339" s="93"/>
      <c r="E339" s="93" t="s">
        <v>1383</v>
      </c>
      <c r="F339" s="94" t="s">
        <v>64</v>
      </c>
      <c r="G339" s="95">
        <v>1.07</v>
      </c>
      <c r="H339" s="95"/>
      <c r="I339" s="95">
        <v>220.292</v>
      </c>
      <c r="J339" s="90">
        <v>945</v>
      </c>
      <c r="M339" s="22">
        <f>ROUND(ROUND(J339, 2)*I339, 2)</f>
        <v>208175.94</v>
      </c>
      <c r="P339" s="21">
        <v>645</v>
      </c>
      <c r="S339" s="22">
        <f>ROUND(ROUND(P339, 2)*I339, 2)</f>
        <v>142088.34</v>
      </c>
    </row>
    <row r="340" spans="1:21" ht="52.2" x14ac:dyDescent="0.3">
      <c r="A340" s="74" t="s">
        <v>1387</v>
      </c>
      <c r="B340" s="74" t="s">
        <v>1367</v>
      </c>
      <c r="C340" s="75" t="s">
        <v>1368</v>
      </c>
      <c r="D340" s="76"/>
      <c r="E340" s="76" t="s">
        <v>1388</v>
      </c>
      <c r="F340" s="76" t="s">
        <v>64</v>
      </c>
      <c r="G340" s="77">
        <v>1</v>
      </c>
      <c r="H340" s="77"/>
      <c r="I340" s="77">
        <v>33.03</v>
      </c>
      <c r="J340" s="14">
        <f>IFERROR(ROUND(SUM(M341,M342,M343,M344)/I340, 2),0)</f>
        <v>1540.89</v>
      </c>
      <c r="K340" s="15">
        <v>2364</v>
      </c>
      <c r="L340" s="14">
        <f>J340+ROUND(K340, 2)</f>
        <v>3904.8900000000003</v>
      </c>
      <c r="M340" s="14">
        <f>ROUND(J340*I340, 2)</f>
        <v>50895.6</v>
      </c>
      <c r="N340" s="14">
        <f>ROUND(I340*ROUND(K340, 2), 2)</f>
        <v>78082.92</v>
      </c>
      <c r="O340" s="14">
        <f>M340+N340</f>
        <v>128978.51999999999</v>
      </c>
      <c r="P340" s="14">
        <f>IFERROR(ROUND(SUM(S341,S342,S343,S344)/I340, 2),0)</f>
        <v>848.01</v>
      </c>
      <c r="Q340" s="15">
        <v>2364</v>
      </c>
      <c r="R340" s="14">
        <f>P340+ROUND(Q340, 2)</f>
        <v>3212.01</v>
      </c>
      <c r="S340" s="14">
        <f>ROUND(P340*I340, 2)</f>
        <v>28009.77</v>
      </c>
      <c r="T340" s="14">
        <f>ROUND(I340*ROUND(Q340, 2), 2)</f>
        <v>78082.92</v>
      </c>
      <c r="U340" s="14">
        <f>S340+T340</f>
        <v>106092.69</v>
      </c>
    </row>
    <row r="341" spans="1:21" ht="55.05" customHeight="1" x14ac:dyDescent="0.3">
      <c r="A341" s="91" t="s">
        <v>1389</v>
      </c>
      <c r="B341" s="91"/>
      <c r="C341" s="80" t="s">
        <v>1390</v>
      </c>
      <c r="D341" s="93"/>
      <c r="E341" s="93" t="s">
        <v>1391</v>
      </c>
      <c r="F341" s="94" t="s">
        <v>64</v>
      </c>
      <c r="G341" s="95">
        <v>1.07</v>
      </c>
      <c r="H341" s="95"/>
      <c r="I341" s="95">
        <v>35.341999999999999</v>
      </c>
      <c r="J341" s="90">
        <v>1384.95</v>
      </c>
      <c r="M341" s="22">
        <f>ROUND(ROUND(J341, 2)*I341, 2)</f>
        <v>48946.9</v>
      </c>
      <c r="P341" s="21">
        <v>737.4</v>
      </c>
      <c r="S341" s="22">
        <f>ROUND(ROUND(P341, 2)*I341, 2)</f>
        <v>26061.19</v>
      </c>
    </row>
    <row r="342" spans="1:21" ht="55.95" customHeight="1" x14ac:dyDescent="0.3">
      <c r="A342" s="91" t="s">
        <v>1395</v>
      </c>
      <c r="B342" s="91"/>
      <c r="C342" s="80" t="s">
        <v>693</v>
      </c>
      <c r="D342" s="93"/>
      <c r="E342" s="93" t="s">
        <v>402</v>
      </c>
      <c r="F342" s="94" t="s">
        <v>70</v>
      </c>
      <c r="G342" s="95">
        <v>1.2</v>
      </c>
      <c r="H342" s="95"/>
      <c r="I342" s="95">
        <v>79.272000000000006</v>
      </c>
      <c r="J342" s="90">
        <v>16.11</v>
      </c>
      <c r="M342" s="22">
        <f>ROUND(ROUND(J342, 2)*I342, 2)</f>
        <v>1277.07</v>
      </c>
      <c r="P342" s="21">
        <v>16.11</v>
      </c>
      <c r="S342" s="22">
        <f>ROUND(ROUND(P342, 2)*I342, 2)</f>
        <v>1277.07</v>
      </c>
    </row>
    <row r="343" spans="1:21" ht="18" x14ac:dyDescent="0.3">
      <c r="A343" s="91" t="s">
        <v>1398</v>
      </c>
      <c r="B343" s="91"/>
      <c r="C343" s="92" t="s">
        <v>452</v>
      </c>
      <c r="D343" s="93"/>
      <c r="E343" s="93"/>
      <c r="F343" s="94" t="s">
        <v>70</v>
      </c>
      <c r="G343" s="95">
        <v>0.15</v>
      </c>
      <c r="H343" s="95"/>
      <c r="I343" s="95">
        <v>4.9550000000000001</v>
      </c>
      <c r="J343" s="90">
        <v>68.400000000000006</v>
      </c>
      <c r="M343" s="22">
        <f>ROUND(ROUND(J343, 2)*I343, 2)</f>
        <v>338.92</v>
      </c>
      <c r="P343" s="21">
        <v>68.400000000000006</v>
      </c>
      <c r="S343" s="22">
        <f>ROUND(ROUND(P343, 2)*I343, 2)</f>
        <v>338.92</v>
      </c>
    </row>
    <row r="344" spans="1:21" ht="18" x14ac:dyDescent="0.3">
      <c r="A344" s="91" t="s">
        <v>1401</v>
      </c>
      <c r="B344" s="91"/>
      <c r="C344" s="92" t="s">
        <v>426</v>
      </c>
      <c r="D344" s="93"/>
      <c r="E344" s="93"/>
      <c r="F344" s="94" t="s">
        <v>70</v>
      </c>
      <c r="G344" s="95">
        <v>0.25</v>
      </c>
      <c r="H344" s="95"/>
      <c r="I344" s="95">
        <v>8.2579999999999991</v>
      </c>
      <c r="J344" s="90">
        <v>40.270000000000003</v>
      </c>
      <c r="M344" s="22">
        <f>ROUND(ROUND(J344, 2)*I344, 2)</f>
        <v>332.55</v>
      </c>
      <c r="P344" s="21">
        <v>40.270000000000003</v>
      </c>
      <c r="S344" s="22">
        <f>ROUND(ROUND(P344, 2)*I344, 2)</f>
        <v>332.55</v>
      </c>
    </row>
    <row r="345" spans="1:21" ht="52.2" x14ac:dyDescent="0.3">
      <c r="A345" s="74" t="s">
        <v>1404</v>
      </c>
      <c r="B345" s="74" t="s">
        <v>1367</v>
      </c>
      <c r="C345" s="75" t="s">
        <v>1368</v>
      </c>
      <c r="D345" s="76"/>
      <c r="E345" s="76" t="s">
        <v>1405</v>
      </c>
      <c r="F345" s="76" t="s">
        <v>64</v>
      </c>
      <c r="G345" s="77">
        <v>1</v>
      </c>
      <c r="H345" s="77"/>
      <c r="I345" s="77">
        <v>55.79</v>
      </c>
      <c r="J345" s="14">
        <f>IFERROR(ROUND(SUM(M346,M347,M348,M349)/I345, 2),0)</f>
        <v>1276.8599999999999</v>
      </c>
      <c r="K345" s="15">
        <v>2364</v>
      </c>
      <c r="L345" s="14">
        <f>J345+ROUND(K345, 2)</f>
        <v>3640.8599999999997</v>
      </c>
      <c r="M345" s="14">
        <f>ROUND(J345*I345, 2)</f>
        <v>71236.02</v>
      </c>
      <c r="N345" s="14">
        <f>ROUND(I345*ROUND(K345, 2), 2)</f>
        <v>131887.56</v>
      </c>
      <c r="O345" s="14">
        <f>M345+N345</f>
        <v>203123.58000000002</v>
      </c>
      <c r="P345" s="14">
        <f>IFERROR(ROUND(SUM(S346,S347,S348,S349)/I345, 2),0)</f>
        <v>870.05</v>
      </c>
      <c r="Q345" s="15">
        <v>2364</v>
      </c>
      <c r="R345" s="14">
        <f>P345+ROUND(Q345, 2)</f>
        <v>3234.05</v>
      </c>
      <c r="S345" s="14">
        <f>ROUND(P345*I345, 2)</f>
        <v>48540.09</v>
      </c>
      <c r="T345" s="14">
        <f>ROUND(I345*ROUND(Q345, 2), 2)</f>
        <v>131887.56</v>
      </c>
      <c r="U345" s="14">
        <f>S345+T345</f>
        <v>180427.65</v>
      </c>
    </row>
    <row r="346" spans="1:21" ht="18" x14ac:dyDescent="0.3">
      <c r="A346" s="91" t="s">
        <v>1406</v>
      </c>
      <c r="B346" s="91"/>
      <c r="C346" s="92" t="s">
        <v>426</v>
      </c>
      <c r="D346" s="93"/>
      <c r="E346" s="93"/>
      <c r="F346" s="94" t="s">
        <v>70</v>
      </c>
      <c r="G346" s="95">
        <v>0.25</v>
      </c>
      <c r="H346" s="95"/>
      <c r="I346" s="95">
        <v>13.948</v>
      </c>
      <c r="J346" s="90">
        <v>40.270000000000003</v>
      </c>
      <c r="M346" s="22">
        <f>ROUND(ROUND(J346, 2)*I346, 2)</f>
        <v>561.69000000000005</v>
      </c>
      <c r="P346" s="21">
        <v>40.270000000000003</v>
      </c>
      <c r="S346" s="22">
        <f>ROUND(ROUND(P346, 2)*I346, 2)</f>
        <v>561.69000000000005</v>
      </c>
    </row>
    <row r="347" spans="1:21" ht="18" x14ac:dyDescent="0.3">
      <c r="A347" s="91" t="s">
        <v>1409</v>
      </c>
      <c r="B347" s="91"/>
      <c r="C347" s="92" t="s">
        <v>452</v>
      </c>
      <c r="D347" s="93"/>
      <c r="E347" s="93"/>
      <c r="F347" s="94" t="s">
        <v>70</v>
      </c>
      <c r="G347" s="95">
        <v>0.15</v>
      </c>
      <c r="H347" s="95"/>
      <c r="I347" s="95">
        <v>8.3689999999999998</v>
      </c>
      <c r="J347" s="90">
        <v>68.400000000000006</v>
      </c>
      <c r="M347" s="22">
        <f>ROUND(ROUND(J347, 2)*I347, 2)</f>
        <v>572.44000000000005</v>
      </c>
      <c r="P347" s="21">
        <v>68.400000000000006</v>
      </c>
      <c r="S347" s="22">
        <f>ROUND(ROUND(P347, 2)*I347, 2)</f>
        <v>572.44000000000005</v>
      </c>
    </row>
    <row r="348" spans="1:21" ht="70.05" customHeight="1" x14ac:dyDescent="0.3">
      <c r="A348" s="91" t="s">
        <v>1412</v>
      </c>
      <c r="B348" s="91"/>
      <c r="C348" s="80" t="s">
        <v>693</v>
      </c>
      <c r="D348" s="93"/>
      <c r="E348" s="93" t="s">
        <v>402</v>
      </c>
      <c r="F348" s="94" t="s">
        <v>70</v>
      </c>
      <c r="G348" s="95">
        <v>1.2</v>
      </c>
      <c r="H348" s="95"/>
      <c r="I348" s="95">
        <v>133.89599999999999</v>
      </c>
      <c r="J348" s="90">
        <v>16.11</v>
      </c>
      <c r="M348" s="22">
        <f>ROUND(ROUND(J348, 2)*I348, 2)</f>
        <v>2157.06</v>
      </c>
      <c r="P348" s="21">
        <v>16.11</v>
      </c>
      <c r="S348" s="22">
        <f>ROUND(ROUND(P348, 2)*I348, 2)</f>
        <v>2157.06</v>
      </c>
    </row>
    <row r="349" spans="1:21" ht="36" x14ac:dyDescent="0.3">
      <c r="A349" s="91" t="s">
        <v>1415</v>
      </c>
      <c r="B349" s="91"/>
      <c r="C349" s="80" t="s">
        <v>1416</v>
      </c>
      <c r="D349" s="93"/>
      <c r="E349" s="93" t="s">
        <v>1417</v>
      </c>
      <c r="F349" s="94" t="s">
        <v>64</v>
      </c>
      <c r="G349" s="95">
        <v>1.07</v>
      </c>
      <c r="H349" s="95"/>
      <c r="I349" s="95">
        <v>59.695</v>
      </c>
      <c r="J349" s="90">
        <v>1138.2</v>
      </c>
      <c r="M349" s="22">
        <f>ROUND(ROUND(J349, 2)*I349, 2)</f>
        <v>67944.850000000006</v>
      </c>
      <c r="P349" s="21">
        <v>758</v>
      </c>
      <c r="S349" s="22">
        <f>ROUND(ROUND(P349, 2)*I349, 2)</f>
        <v>45248.81</v>
      </c>
    </row>
    <row r="350" spans="1:21" ht="52.2" x14ac:dyDescent="0.3">
      <c r="A350" s="74" t="s">
        <v>1421</v>
      </c>
      <c r="B350" s="74" t="s">
        <v>1367</v>
      </c>
      <c r="C350" s="75" t="s">
        <v>1368</v>
      </c>
      <c r="D350" s="76"/>
      <c r="E350" s="76" t="s">
        <v>1422</v>
      </c>
      <c r="F350" s="76" t="s">
        <v>64</v>
      </c>
      <c r="G350" s="77">
        <v>1</v>
      </c>
      <c r="H350" s="77"/>
      <c r="I350" s="77">
        <v>5.65</v>
      </c>
      <c r="J350" s="14">
        <f>IFERROR(ROUND(SUM(M351,M352,M353)/I350, 2),0)</f>
        <v>1139.74</v>
      </c>
      <c r="K350" s="15">
        <v>2364</v>
      </c>
      <c r="L350" s="14">
        <f>J350+ROUND(K350, 2)</f>
        <v>3503.74</v>
      </c>
      <c r="M350" s="14">
        <f>ROUND(J350*I350, 2)</f>
        <v>6439.53</v>
      </c>
      <c r="N350" s="14">
        <f>ROUND(I350*ROUND(K350, 2), 2)</f>
        <v>13356.6</v>
      </c>
      <c r="O350" s="14">
        <f>M350+N350</f>
        <v>19796.13</v>
      </c>
      <c r="P350" s="14">
        <f>IFERROR(ROUND(SUM(S351,S352,S353)/I350, 2),0)</f>
        <v>810.64</v>
      </c>
      <c r="Q350" s="15">
        <v>2364</v>
      </c>
      <c r="R350" s="14">
        <f>P350+ROUND(Q350, 2)</f>
        <v>3174.64</v>
      </c>
      <c r="S350" s="14">
        <f>ROUND(P350*I350, 2)</f>
        <v>4580.12</v>
      </c>
      <c r="T350" s="14">
        <f>ROUND(I350*ROUND(Q350, 2), 2)</f>
        <v>13356.6</v>
      </c>
      <c r="U350" s="14">
        <f>S350+T350</f>
        <v>17936.72</v>
      </c>
    </row>
    <row r="351" spans="1:21" ht="63.45" customHeight="1" x14ac:dyDescent="0.3">
      <c r="A351" s="91" t="s">
        <v>1423</v>
      </c>
      <c r="B351" s="91"/>
      <c r="C351" s="80" t="s">
        <v>1424</v>
      </c>
      <c r="D351" s="93"/>
      <c r="E351" s="93" t="s">
        <v>1425</v>
      </c>
      <c r="F351" s="94" t="s">
        <v>64</v>
      </c>
      <c r="G351" s="95">
        <v>1.07</v>
      </c>
      <c r="H351" s="95"/>
      <c r="I351" s="95">
        <v>6.0460000000000003</v>
      </c>
      <c r="J351" s="90">
        <v>1019.55</v>
      </c>
      <c r="M351" s="22">
        <f>ROUND(ROUND(J351, 2)*I351, 2)</f>
        <v>6164.2</v>
      </c>
      <c r="P351" s="21">
        <v>712</v>
      </c>
      <c r="S351" s="22">
        <f>ROUND(ROUND(P351, 2)*I351, 2)</f>
        <v>4304.75</v>
      </c>
    </row>
    <row r="352" spans="1:21" ht="75" customHeight="1" x14ac:dyDescent="0.3">
      <c r="A352" s="91" t="s">
        <v>1429</v>
      </c>
      <c r="B352" s="91"/>
      <c r="C352" s="80" t="s">
        <v>693</v>
      </c>
      <c r="D352" s="93"/>
      <c r="E352" s="93" t="s">
        <v>402</v>
      </c>
      <c r="F352" s="94" t="s">
        <v>70</v>
      </c>
      <c r="G352" s="95">
        <v>1.2</v>
      </c>
      <c r="H352" s="95"/>
      <c r="I352" s="95">
        <v>13.56</v>
      </c>
      <c r="J352" s="90">
        <v>16.11</v>
      </c>
      <c r="M352" s="22">
        <f>ROUND(ROUND(J352, 2)*I352, 2)</f>
        <v>218.45</v>
      </c>
      <c r="P352" s="21">
        <v>16.11</v>
      </c>
      <c r="S352" s="22">
        <f>ROUND(ROUND(P352, 2)*I352, 2)</f>
        <v>218.45</v>
      </c>
    </row>
    <row r="353" spans="1:21" ht="18" x14ac:dyDescent="0.3">
      <c r="A353" s="91" t="s">
        <v>1432</v>
      </c>
      <c r="B353" s="91"/>
      <c r="C353" s="92" t="s">
        <v>426</v>
      </c>
      <c r="D353" s="93"/>
      <c r="E353" s="93"/>
      <c r="F353" s="94" t="s">
        <v>70</v>
      </c>
      <c r="G353" s="95">
        <v>0.25</v>
      </c>
      <c r="H353" s="95"/>
      <c r="I353" s="95">
        <v>1.413</v>
      </c>
      <c r="J353" s="90">
        <v>40.270000000000003</v>
      </c>
      <c r="M353" s="22">
        <f>ROUND(ROUND(J353, 2)*I353, 2)</f>
        <v>56.9</v>
      </c>
      <c r="P353" s="21">
        <v>40.270000000000003</v>
      </c>
      <c r="S353" s="22">
        <f>ROUND(ROUND(P353, 2)*I353, 2)</f>
        <v>56.9</v>
      </c>
    </row>
    <row r="354" spans="1:21" ht="52.2" x14ac:dyDescent="0.3">
      <c r="A354" s="74" t="s">
        <v>1435</v>
      </c>
      <c r="B354" s="74" t="s">
        <v>1367</v>
      </c>
      <c r="C354" s="75" t="s">
        <v>1368</v>
      </c>
      <c r="D354" s="76"/>
      <c r="E354" s="76" t="s">
        <v>1436</v>
      </c>
      <c r="F354" s="76" t="s">
        <v>64</v>
      </c>
      <c r="G354" s="77">
        <v>1</v>
      </c>
      <c r="H354" s="77"/>
      <c r="I354" s="77">
        <v>8.18</v>
      </c>
      <c r="J354" s="14">
        <f>IFERROR(ROUND(SUM(M355,M356,M357,M358)/I354, 2),0)</f>
        <v>1276.92</v>
      </c>
      <c r="K354" s="15">
        <v>2364</v>
      </c>
      <c r="L354" s="14">
        <f>J354+ROUND(K354, 2)</f>
        <v>3640.92</v>
      </c>
      <c r="M354" s="14">
        <f>ROUND(J354*I354, 2)</f>
        <v>10445.209999999999</v>
      </c>
      <c r="N354" s="14">
        <f>ROUND(I354*ROUND(K354, 2), 2)</f>
        <v>19337.52</v>
      </c>
      <c r="O354" s="14">
        <f>M354+N354</f>
        <v>29782.73</v>
      </c>
      <c r="P354" s="14">
        <f>IFERROR(ROUND(SUM(S355,S356,S357,S358)/I354, 2),0)</f>
        <v>790.9</v>
      </c>
      <c r="Q354" s="15">
        <v>2364</v>
      </c>
      <c r="R354" s="14">
        <f>P354+ROUND(Q354, 2)</f>
        <v>3154.9</v>
      </c>
      <c r="S354" s="14">
        <f>ROUND(P354*I354, 2)</f>
        <v>6469.56</v>
      </c>
      <c r="T354" s="14">
        <f>ROUND(I354*ROUND(Q354, 2), 2)</f>
        <v>19337.52</v>
      </c>
      <c r="U354" s="14">
        <f>S354+T354</f>
        <v>25807.08</v>
      </c>
    </row>
    <row r="355" spans="1:21" ht="18" x14ac:dyDescent="0.3">
      <c r="A355" s="79" t="s">
        <v>1437</v>
      </c>
      <c r="B355" s="79"/>
      <c r="C355" s="85" t="s">
        <v>426</v>
      </c>
      <c r="D355" s="81"/>
      <c r="E355" s="81"/>
      <c r="F355" s="82" t="s">
        <v>70</v>
      </c>
      <c r="G355" s="83">
        <v>0.25</v>
      </c>
      <c r="H355" s="83"/>
      <c r="I355" s="83">
        <v>2.0449999999999999</v>
      </c>
      <c r="J355" s="84">
        <v>40.270000000000003</v>
      </c>
      <c r="M355" s="22">
        <f>ROUND(ROUND(J355, 2)*I355, 2)</f>
        <v>82.35</v>
      </c>
      <c r="P355" s="21">
        <v>40.270000000000003</v>
      </c>
      <c r="S355" s="22">
        <f>ROUND(ROUND(P355, 2)*I355, 2)</f>
        <v>82.35</v>
      </c>
    </row>
    <row r="356" spans="1:21" ht="18" x14ac:dyDescent="0.3">
      <c r="A356" s="79" t="s">
        <v>1440</v>
      </c>
      <c r="B356" s="79"/>
      <c r="C356" s="85" t="s">
        <v>452</v>
      </c>
      <c r="D356" s="81"/>
      <c r="E356" s="81"/>
      <c r="F356" s="82" t="s">
        <v>70</v>
      </c>
      <c r="G356" s="83">
        <v>0.15</v>
      </c>
      <c r="H356" s="83"/>
      <c r="I356" s="83">
        <v>1.2270000000000001</v>
      </c>
      <c r="J356" s="84">
        <v>68.400000000000006</v>
      </c>
      <c r="M356" s="22">
        <f>ROUND(ROUND(J356, 2)*I356, 2)</f>
        <v>83.93</v>
      </c>
      <c r="P356" s="21">
        <v>68.400000000000006</v>
      </c>
      <c r="S356" s="22">
        <f>ROUND(ROUND(P356, 2)*I356, 2)</f>
        <v>83.93</v>
      </c>
    </row>
    <row r="357" spans="1:21" ht="73.95" customHeight="1" x14ac:dyDescent="0.3">
      <c r="A357" s="79" t="s">
        <v>1443</v>
      </c>
      <c r="B357" s="79"/>
      <c r="C357" s="80" t="s">
        <v>693</v>
      </c>
      <c r="D357" s="81"/>
      <c r="E357" s="81" t="s">
        <v>402</v>
      </c>
      <c r="F357" s="82" t="s">
        <v>70</v>
      </c>
      <c r="G357" s="83">
        <v>1.2</v>
      </c>
      <c r="H357" s="83"/>
      <c r="I357" s="83">
        <v>19.632000000000001</v>
      </c>
      <c r="J357" s="84">
        <v>16.11</v>
      </c>
      <c r="M357" s="22">
        <f>ROUND(ROUND(J357, 2)*I357, 2)</f>
        <v>316.27</v>
      </c>
      <c r="P357" s="21">
        <v>16.11</v>
      </c>
      <c r="S357" s="22">
        <f>ROUND(ROUND(P357, 2)*I357, 2)</f>
        <v>316.27</v>
      </c>
    </row>
    <row r="358" spans="1:21" ht="67.5" customHeight="1" x14ac:dyDescent="0.3">
      <c r="A358" s="79" t="s">
        <v>1446</v>
      </c>
      <c r="B358" s="79"/>
      <c r="C358" s="80" t="s">
        <v>1416</v>
      </c>
      <c r="D358" s="81"/>
      <c r="E358" s="81" t="s">
        <v>1447</v>
      </c>
      <c r="F358" s="82" t="s">
        <v>64</v>
      </c>
      <c r="G358" s="83">
        <v>1.07</v>
      </c>
      <c r="H358" s="83"/>
      <c r="I358" s="83">
        <v>8.7530000000000001</v>
      </c>
      <c r="J358" s="84">
        <v>1138.2</v>
      </c>
      <c r="M358" s="22">
        <f>ROUND(ROUND(J358, 2)*I358, 2)</f>
        <v>9962.66</v>
      </c>
      <c r="P358" s="21">
        <v>684</v>
      </c>
      <c r="S358" s="22">
        <f>ROUND(ROUND(P358, 2)*I358, 2)</f>
        <v>5987.05</v>
      </c>
    </row>
    <row r="359" spans="1:21" ht="52.2" x14ac:dyDescent="0.3">
      <c r="A359" s="74" t="s">
        <v>1450</v>
      </c>
      <c r="B359" s="74" t="s">
        <v>1367</v>
      </c>
      <c r="C359" s="75" t="s">
        <v>1368</v>
      </c>
      <c r="D359" s="76"/>
      <c r="E359" s="76" t="s">
        <v>1451</v>
      </c>
      <c r="F359" s="76" t="s">
        <v>64</v>
      </c>
      <c r="G359" s="77">
        <v>1</v>
      </c>
      <c r="H359" s="77"/>
      <c r="I359" s="77">
        <v>175.58</v>
      </c>
      <c r="J359" s="14">
        <f>IFERROR(ROUND(SUM(M360,M361,M362)/I359, 2),0)</f>
        <v>1530.63</v>
      </c>
      <c r="K359" s="15">
        <v>2364</v>
      </c>
      <c r="L359" s="14">
        <f>J359+ROUND(K359, 2)</f>
        <v>3894.63</v>
      </c>
      <c r="M359" s="14">
        <f>ROUND(J359*I359, 2)</f>
        <v>268748.02</v>
      </c>
      <c r="N359" s="14">
        <f>ROUND(I359*ROUND(K359, 2), 2)</f>
        <v>415071.12</v>
      </c>
      <c r="O359" s="14">
        <f>M359+N359</f>
        <v>683819.14</v>
      </c>
      <c r="P359" s="14">
        <f>IFERROR(ROUND(SUM(S360,S361,S362)/I359, 2),0)</f>
        <v>412.53</v>
      </c>
      <c r="Q359" s="15">
        <v>2364</v>
      </c>
      <c r="R359" s="14">
        <f>P359+ROUND(Q359, 2)</f>
        <v>2776.5299999999997</v>
      </c>
      <c r="S359" s="14">
        <f>ROUND(P359*I359, 2)</f>
        <v>72432.02</v>
      </c>
      <c r="T359" s="14">
        <f>ROUND(I359*ROUND(Q359, 2), 2)</f>
        <v>415071.12</v>
      </c>
      <c r="U359" s="14">
        <f>S359+T359</f>
        <v>487503.14</v>
      </c>
    </row>
    <row r="360" spans="1:21" ht="36" x14ac:dyDescent="0.3">
      <c r="A360" s="79" t="s">
        <v>1452</v>
      </c>
      <c r="B360" s="79"/>
      <c r="C360" s="80" t="s">
        <v>1390</v>
      </c>
      <c r="D360" s="81"/>
      <c r="E360" s="81" t="s">
        <v>1453</v>
      </c>
      <c r="F360" s="82" t="s">
        <v>64</v>
      </c>
      <c r="G360" s="83">
        <v>1.07</v>
      </c>
      <c r="H360" s="83"/>
      <c r="I360" s="83">
        <v>187.87100000000001</v>
      </c>
      <c r="J360" s="84">
        <v>1384.95</v>
      </c>
      <c r="M360" s="22">
        <f>ROUND(ROUND(J360, 2)*I360, 2)</f>
        <v>260191.94</v>
      </c>
      <c r="P360" s="21">
        <v>340</v>
      </c>
      <c r="S360" s="22">
        <f>ROUND(ROUND(P360, 2)*I360, 2)</f>
        <v>63876.14</v>
      </c>
    </row>
    <row r="361" spans="1:21" ht="36" x14ac:dyDescent="0.3">
      <c r="A361" s="79" t="s">
        <v>1456</v>
      </c>
      <c r="B361" s="79"/>
      <c r="C361" s="80" t="s">
        <v>693</v>
      </c>
      <c r="D361" s="81"/>
      <c r="E361" s="81" t="s">
        <v>402</v>
      </c>
      <c r="F361" s="82" t="s">
        <v>70</v>
      </c>
      <c r="G361" s="83">
        <v>1.2</v>
      </c>
      <c r="H361" s="83"/>
      <c r="I361" s="83">
        <v>421.392</v>
      </c>
      <c r="J361" s="84">
        <v>16.11</v>
      </c>
      <c r="M361" s="22">
        <f>ROUND(ROUND(J361, 2)*I361, 2)</f>
        <v>6788.63</v>
      </c>
      <c r="P361" s="21">
        <v>16.11</v>
      </c>
      <c r="S361" s="22">
        <f>ROUND(ROUND(P361, 2)*I361, 2)</f>
        <v>6788.63</v>
      </c>
    </row>
    <row r="362" spans="1:21" ht="18" x14ac:dyDescent="0.3">
      <c r="A362" s="79" t="s">
        <v>1459</v>
      </c>
      <c r="B362" s="79"/>
      <c r="C362" s="85" t="s">
        <v>426</v>
      </c>
      <c r="D362" s="81"/>
      <c r="E362" s="81"/>
      <c r="F362" s="82" t="s">
        <v>70</v>
      </c>
      <c r="G362" s="83">
        <v>0.25</v>
      </c>
      <c r="H362" s="138"/>
      <c r="I362" s="138">
        <v>43.895000000000003</v>
      </c>
      <c r="J362" s="84">
        <v>40.270000000000003</v>
      </c>
      <c r="M362" s="22">
        <f>ROUND(ROUND(J362, 2)*I362, 2)</f>
        <v>1767.65</v>
      </c>
      <c r="P362" s="21">
        <v>40.270000000000003</v>
      </c>
      <c r="S362" s="22">
        <f>ROUND(ROUND(P362, 2)*I362, 2)</f>
        <v>1767.65</v>
      </c>
    </row>
    <row r="363" spans="1:21" ht="52.2" x14ac:dyDescent="0.3">
      <c r="A363" s="74" t="s">
        <v>1462</v>
      </c>
      <c r="B363" s="74" t="s">
        <v>1367</v>
      </c>
      <c r="C363" s="75" t="s">
        <v>1368</v>
      </c>
      <c r="D363" s="76"/>
      <c r="E363" s="76" t="s">
        <v>1463</v>
      </c>
      <c r="F363" s="76" t="s">
        <v>64</v>
      </c>
      <c r="G363" s="77">
        <v>1</v>
      </c>
      <c r="H363" s="77"/>
      <c r="I363" s="77">
        <v>400.4</v>
      </c>
      <c r="J363" s="14">
        <f>IFERROR(ROUND(SUM(M364,M365,M366,M367,M368)/I363, 2),0)</f>
        <v>1536.92</v>
      </c>
      <c r="K363" s="15">
        <v>2364</v>
      </c>
      <c r="L363" s="14">
        <f>J363+ROUND(K363, 2)</f>
        <v>3900.92</v>
      </c>
      <c r="M363" s="14">
        <f>ROUND(J363*I363, 2)</f>
        <v>615382.77</v>
      </c>
      <c r="N363" s="14">
        <f>ROUND(I363*ROUND(K363, 2), 2)</f>
        <v>946545.6</v>
      </c>
      <c r="O363" s="14">
        <f>M363+N363</f>
        <v>1561928.37</v>
      </c>
      <c r="P363" s="14">
        <f>IFERROR(ROUND(SUM(S364,S365,S366,S367,S368)/I363, 2),0)</f>
        <v>953.83</v>
      </c>
      <c r="Q363" s="15">
        <v>2364</v>
      </c>
      <c r="R363" s="14">
        <f>P363+ROUND(Q363, 2)</f>
        <v>3317.83</v>
      </c>
      <c r="S363" s="14">
        <f>ROUND(P363*I363, 2)</f>
        <v>381913.53</v>
      </c>
      <c r="T363" s="14">
        <f>ROUND(I363*ROUND(Q363, 2), 2)</f>
        <v>946545.6</v>
      </c>
      <c r="U363" s="14">
        <f>S363+T363</f>
        <v>1328459.1299999999</v>
      </c>
    </row>
    <row r="364" spans="1:21" ht="18" x14ac:dyDescent="0.3">
      <c r="A364" s="79" t="s">
        <v>1464</v>
      </c>
      <c r="B364" s="79"/>
      <c r="C364" s="85" t="s">
        <v>1044</v>
      </c>
      <c r="D364" s="81"/>
      <c r="E364" s="81" t="s">
        <v>1465</v>
      </c>
      <c r="F364" s="82" t="s">
        <v>70</v>
      </c>
      <c r="G364" s="83">
        <v>0.25</v>
      </c>
      <c r="H364" s="83"/>
      <c r="I364" s="83">
        <v>100.1</v>
      </c>
      <c r="J364" s="84">
        <v>40.270000000000003</v>
      </c>
      <c r="M364" s="22">
        <f>ROUND(ROUND(J364, 2)*I364, 2)</f>
        <v>4031.03</v>
      </c>
      <c r="P364" s="21">
        <v>40.270000000000003</v>
      </c>
      <c r="S364" s="22">
        <f>ROUND(ROUND(P364, 2)*I364, 2)</f>
        <v>4031.03</v>
      </c>
    </row>
    <row r="365" spans="1:21" ht="55.05" customHeight="1" x14ac:dyDescent="0.3">
      <c r="A365" s="79" t="s">
        <v>1468</v>
      </c>
      <c r="B365" s="79"/>
      <c r="C365" s="80" t="s">
        <v>693</v>
      </c>
      <c r="D365" s="81"/>
      <c r="E365" s="81" t="s">
        <v>402</v>
      </c>
      <c r="F365" s="82" t="s">
        <v>70</v>
      </c>
      <c r="G365" s="83">
        <v>1.2</v>
      </c>
      <c r="H365" s="83"/>
      <c r="I365" s="83">
        <v>960.96</v>
      </c>
      <c r="J365" s="84">
        <v>16.11</v>
      </c>
      <c r="M365" s="22">
        <f>ROUND(ROUND(J365, 2)*I365, 2)</f>
        <v>15481.07</v>
      </c>
      <c r="P365" s="21">
        <v>16.11</v>
      </c>
      <c r="S365" s="22">
        <f>ROUND(ROUND(P365, 2)*I365, 2)</f>
        <v>15481.07</v>
      </c>
    </row>
    <row r="366" spans="1:21" ht="69" customHeight="1" x14ac:dyDescent="0.3">
      <c r="A366" s="79" t="s">
        <v>1471</v>
      </c>
      <c r="B366" s="79"/>
      <c r="C366" s="85" t="s">
        <v>1007</v>
      </c>
      <c r="D366" s="81"/>
      <c r="E366" s="81" t="s">
        <v>1472</v>
      </c>
      <c r="F366" s="82" t="s">
        <v>87</v>
      </c>
      <c r="G366" s="83">
        <v>0.23</v>
      </c>
      <c r="H366" s="83"/>
      <c r="I366" s="83">
        <v>13.444000000000001</v>
      </c>
      <c r="J366" s="84">
        <v>97.71</v>
      </c>
      <c r="M366" s="22">
        <f>ROUND(ROUND(J366, 2)*I366, 2)</f>
        <v>1313.61</v>
      </c>
      <c r="P366" s="21">
        <v>97.71</v>
      </c>
      <c r="S366" s="22">
        <f>ROUND(ROUND(P366, 2)*I366, 2)</f>
        <v>1313.61</v>
      </c>
    </row>
    <row r="367" spans="1:21" ht="55.95" customHeight="1" x14ac:dyDescent="0.3">
      <c r="A367" s="79" t="s">
        <v>1475</v>
      </c>
      <c r="B367" s="79"/>
      <c r="C367" s="80" t="s">
        <v>1476</v>
      </c>
      <c r="D367" s="81"/>
      <c r="E367" s="81" t="s">
        <v>1477</v>
      </c>
      <c r="F367" s="82" t="s">
        <v>87</v>
      </c>
      <c r="G367" s="83">
        <v>0.23</v>
      </c>
      <c r="H367" s="83"/>
      <c r="I367" s="83">
        <v>12.537000000000001</v>
      </c>
      <c r="J367" s="84">
        <v>96.24</v>
      </c>
      <c r="M367" s="22">
        <f>ROUND(ROUND(J367, 2)*I367, 2)</f>
        <v>1206.56</v>
      </c>
      <c r="P367" s="21">
        <v>96.24</v>
      </c>
      <c r="S367" s="22">
        <f>ROUND(ROUND(P367, 2)*I367, 2)</f>
        <v>1206.56</v>
      </c>
    </row>
    <row r="368" spans="1:21" ht="64.05" customHeight="1" x14ac:dyDescent="0.3">
      <c r="A368" s="79" t="s">
        <v>1481</v>
      </c>
      <c r="B368" s="79"/>
      <c r="C368" s="80" t="s">
        <v>1390</v>
      </c>
      <c r="D368" s="81"/>
      <c r="E368" s="81" t="s">
        <v>1482</v>
      </c>
      <c r="F368" s="82" t="s">
        <v>64</v>
      </c>
      <c r="G368" s="83">
        <v>1.07</v>
      </c>
      <c r="H368" s="83"/>
      <c r="I368" s="83">
        <v>428.428</v>
      </c>
      <c r="J368" s="84">
        <v>1384.95</v>
      </c>
      <c r="M368" s="22">
        <f>ROUND(ROUND(J368, 2)*I368, 2)</f>
        <v>593351.36</v>
      </c>
      <c r="P368" s="21">
        <v>840</v>
      </c>
      <c r="S368" s="22">
        <f>ROUND(ROUND(P368, 2)*I368, 2)</f>
        <v>359879.52</v>
      </c>
    </row>
    <row r="369" spans="1:21" ht="52.2" x14ac:dyDescent="0.3">
      <c r="A369" s="74" t="s">
        <v>1485</v>
      </c>
      <c r="B369" s="74" t="s">
        <v>1367</v>
      </c>
      <c r="C369" s="75" t="s">
        <v>1368</v>
      </c>
      <c r="D369" s="76"/>
      <c r="E369" s="76" t="s">
        <v>1486</v>
      </c>
      <c r="F369" s="76" t="s">
        <v>64</v>
      </c>
      <c r="G369" s="77">
        <v>1</v>
      </c>
      <c r="H369" s="77"/>
      <c r="I369" s="77">
        <v>158.19</v>
      </c>
      <c r="J369" s="14">
        <f>IFERROR(ROUND(SUM(M370,M371,M372,M373,M374)/I369, 2),0)</f>
        <v>1074.98</v>
      </c>
      <c r="K369" s="15">
        <v>2364</v>
      </c>
      <c r="L369" s="14">
        <f>J369+ROUND(K369, 2)</f>
        <v>3438.98</v>
      </c>
      <c r="M369" s="14">
        <f>ROUND(J369*I369, 2)</f>
        <v>170051.09</v>
      </c>
      <c r="N369" s="14">
        <f>ROUND(I369*ROUND(K369, 2), 2)</f>
        <v>373961.16</v>
      </c>
      <c r="O369" s="14">
        <f>M369+N369</f>
        <v>544012.25</v>
      </c>
      <c r="P369" s="14">
        <f>IFERROR(ROUND(SUM(S370,S371,S372,S373,S374)/I369, 2),0)</f>
        <v>753.98</v>
      </c>
      <c r="Q369" s="15">
        <v>2364</v>
      </c>
      <c r="R369" s="14">
        <f>P369+ROUND(Q369, 2)</f>
        <v>3117.98</v>
      </c>
      <c r="S369" s="14">
        <f>ROUND(P369*I369, 2)</f>
        <v>119272.1</v>
      </c>
      <c r="T369" s="14">
        <f>ROUND(I369*ROUND(Q369, 2), 2)</f>
        <v>373961.16</v>
      </c>
      <c r="U369" s="14">
        <f>S369+T369</f>
        <v>493233.26</v>
      </c>
    </row>
    <row r="370" spans="1:21" ht="46.05" customHeight="1" x14ac:dyDescent="0.3">
      <c r="A370" s="79" t="s">
        <v>1487</v>
      </c>
      <c r="B370" s="79"/>
      <c r="C370" s="80" t="s">
        <v>1382</v>
      </c>
      <c r="D370" s="81"/>
      <c r="E370" s="81" t="s">
        <v>1488</v>
      </c>
      <c r="F370" s="82" t="s">
        <v>64</v>
      </c>
      <c r="G370" s="83">
        <v>1.07</v>
      </c>
      <c r="H370" s="83"/>
      <c r="I370" s="83">
        <v>169.26300000000001</v>
      </c>
      <c r="J370" s="84">
        <v>945</v>
      </c>
      <c r="M370" s="22">
        <f>ROUND(ROUND(J370, 2)*I370, 2)</f>
        <v>159953.54</v>
      </c>
      <c r="P370" s="21">
        <v>645</v>
      </c>
      <c r="S370" s="22">
        <f>ROUND(ROUND(P370, 2)*I370, 2)</f>
        <v>109174.64</v>
      </c>
    </row>
    <row r="371" spans="1:21" ht="60.45" customHeight="1" x14ac:dyDescent="0.3">
      <c r="A371" s="79" t="s">
        <v>1491</v>
      </c>
      <c r="B371" s="79"/>
      <c r="C371" s="80" t="s">
        <v>1476</v>
      </c>
      <c r="D371" s="81"/>
      <c r="E371" s="81" t="s">
        <v>1492</v>
      </c>
      <c r="F371" s="82" t="s">
        <v>87</v>
      </c>
      <c r="G371" s="83">
        <v>0.23</v>
      </c>
      <c r="H371" s="83"/>
      <c r="I371" s="83">
        <v>7.9489999999999998</v>
      </c>
      <c r="J371" s="84">
        <v>96.24</v>
      </c>
      <c r="M371" s="22">
        <f>ROUND(ROUND(J371, 2)*I371, 2)</f>
        <v>765.01</v>
      </c>
      <c r="P371" s="21">
        <v>96.24</v>
      </c>
      <c r="S371" s="22">
        <f>ROUND(ROUND(P371, 2)*I371, 2)</f>
        <v>765.01</v>
      </c>
    </row>
    <row r="372" spans="1:21" ht="66" customHeight="1" x14ac:dyDescent="0.3">
      <c r="A372" s="79" t="s">
        <v>1495</v>
      </c>
      <c r="B372" s="79"/>
      <c r="C372" s="80" t="s">
        <v>693</v>
      </c>
      <c r="D372" s="81"/>
      <c r="E372" s="81" t="s">
        <v>402</v>
      </c>
      <c r="F372" s="82" t="s">
        <v>70</v>
      </c>
      <c r="G372" s="83">
        <v>1.2</v>
      </c>
      <c r="H372" s="83"/>
      <c r="I372" s="83">
        <v>379.65600000000001</v>
      </c>
      <c r="J372" s="84">
        <v>16.11</v>
      </c>
      <c r="M372" s="22">
        <f>ROUND(ROUND(J372, 2)*I372, 2)</f>
        <v>6116.26</v>
      </c>
      <c r="P372" s="21">
        <v>16.11</v>
      </c>
      <c r="S372" s="22">
        <f>ROUND(ROUND(P372, 2)*I372, 2)</f>
        <v>6116.26</v>
      </c>
    </row>
    <row r="373" spans="1:21" ht="18" x14ac:dyDescent="0.3">
      <c r="A373" s="79" t="s">
        <v>1498</v>
      </c>
      <c r="B373" s="79"/>
      <c r="C373" s="85" t="s">
        <v>452</v>
      </c>
      <c r="D373" s="81"/>
      <c r="E373" s="81"/>
      <c r="F373" s="82" t="s">
        <v>70</v>
      </c>
      <c r="G373" s="83">
        <v>0.15</v>
      </c>
      <c r="H373" s="83"/>
      <c r="I373" s="83">
        <v>23.728999999999999</v>
      </c>
      <c r="J373" s="84">
        <v>68.400000000000006</v>
      </c>
      <c r="M373" s="22">
        <f>ROUND(ROUND(J373, 2)*I373, 2)</f>
        <v>1623.06</v>
      </c>
      <c r="P373" s="21">
        <v>68.400000000000006</v>
      </c>
      <c r="S373" s="22">
        <f>ROUND(ROUND(P373, 2)*I373, 2)</f>
        <v>1623.06</v>
      </c>
    </row>
    <row r="374" spans="1:21" ht="18" x14ac:dyDescent="0.3">
      <c r="A374" s="79" t="s">
        <v>1501</v>
      </c>
      <c r="B374" s="79"/>
      <c r="C374" s="85" t="s">
        <v>426</v>
      </c>
      <c r="D374" s="81"/>
      <c r="E374" s="81"/>
      <c r="F374" s="82" t="s">
        <v>70</v>
      </c>
      <c r="G374" s="83">
        <v>0.25</v>
      </c>
      <c r="H374" s="83"/>
      <c r="I374" s="83">
        <v>39.548000000000002</v>
      </c>
      <c r="J374" s="84">
        <v>40.270000000000003</v>
      </c>
      <c r="M374" s="22">
        <f>ROUND(ROUND(J374, 2)*I374, 2)</f>
        <v>1592.6</v>
      </c>
      <c r="P374" s="21">
        <v>40.270000000000003</v>
      </c>
      <c r="S374" s="22">
        <f>ROUND(ROUND(P374, 2)*I374, 2)</f>
        <v>1592.6</v>
      </c>
    </row>
    <row r="375" spans="1:21" ht="52.2" x14ac:dyDescent="0.3">
      <c r="A375" s="74" t="s">
        <v>1504</v>
      </c>
      <c r="B375" s="74" t="s">
        <v>1367</v>
      </c>
      <c r="C375" s="75" t="s">
        <v>1368</v>
      </c>
      <c r="D375" s="76"/>
      <c r="E375" s="76" t="s">
        <v>1505</v>
      </c>
      <c r="F375" s="76" t="s">
        <v>64</v>
      </c>
      <c r="G375" s="77">
        <v>1</v>
      </c>
      <c r="H375" s="77"/>
      <c r="I375" s="77">
        <v>15.27</v>
      </c>
      <c r="J375" s="14">
        <f>IFERROR(ROUND(SUM(M376,M377,M378,M379)/I375, 2),0)</f>
        <v>1540.9</v>
      </c>
      <c r="K375" s="15">
        <v>2364</v>
      </c>
      <c r="L375" s="14">
        <f>J375+ROUND(K375, 2)</f>
        <v>3904.9</v>
      </c>
      <c r="M375" s="14">
        <f>ROUND(J375*I375, 2)</f>
        <v>23529.54</v>
      </c>
      <c r="N375" s="14">
        <f>ROUND(I375*ROUND(K375, 2), 2)</f>
        <v>36098.28</v>
      </c>
      <c r="O375" s="14">
        <f>M375+N375</f>
        <v>59627.82</v>
      </c>
      <c r="P375" s="14">
        <f>IFERROR(ROUND(SUM(S376,S377,S378,S379)/I375, 2),0)</f>
        <v>847.59</v>
      </c>
      <c r="Q375" s="15">
        <v>2364</v>
      </c>
      <c r="R375" s="14">
        <f>P375+ROUND(Q375, 2)</f>
        <v>3211.59</v>
      </c>
      <c r="S375" s="14">
        <f>ROUND(P375*I375, 2)</f>
        <v>12942.7</v>
      </c>
      <c r="T375" s="14">
        <f>ROUND(I375*ROUND(Q375, 2), 2)</f>
        <v>36098.28</v>
      </c>
      <c r="U375" s="14">
        <f>S375+T375</f>
        <v>49040.979999999996</v>
      </c>
    </row>
    <row r="376" spans="1:21" ht="18" x14ac:dyDescent="0.3">
      <c r="A376" s="79" t="s">
        <v>1506</v>
      </c>
      <c r="B376" s="79"/>
      <c r="C376" s="85" t="s">
        <v>426</v>
      </c>
      <c r="D376" s="81"/>
      <c r="E376" s="81"/>
      <c r="F376" s="82" t="s">
        <v>70</v>
      </c>
      <c r="G376" s="83">
        <v>0.25</v>
      </c>
      <c r="H376" s="83"/>
      <c r="I376" s="83">
        <v>3.8180000000000001</v>
      </c>
      <c r="J376" s="84">
        <v>40.270000000000003</v>
      </c>
      <c r="M376" s="22">
        <f>ROUND(ROUND(J376, 2)*I376, 2)</f>
        <v>153.75</v>
      </c>
      <c r="P376" s="21">
        <v>40.270000000000003</v>
      </c>
      <c r="S376" s="22">
        <f>ROUND(ROUND(P376, 2)*I376, 2)</f>
        <v>153.75</v>
      </c>
    </row>
    <row r="377" spans="1:21" ht="18" x14ac:dyDescent="0.3">
      <c r="A377" s="79" t="s">
        <v>1509</v>
      </c>
      <c r="B377" s="79"/>
      <c r="C377" s="85" t="s">
        <v>452</v>
      </c>
      <c r="D377" s="81"/>
      <c r="E377" s="81"/>
      <c r="F377" s="82" t="s">
        <v>70</v>
      </c>
      <c r="G377" s="83">
        <v>0.15</v>
      </c>
      <c r="H377" s="83"/>
      <c r="I377" s="83">
        <v>2.2909999999999999</v>
      </c>
      <c r="J377" s="84">
        <v>68.400000000000006</v>
      </c>
      <c r="M377" s="22">
        <f>ROUND(ROUND(J377, 2)*I377, 2)</f>
        <v>156.69999999999999</v>
      </c>
      <c r="P377" s="21">
        <v>68.400000000000006</v>
      </c>
      <c r="S377" s="22">
        <f>ROUND(ROUND(P377, 2)*I377, 2)</f>
        <v>156.69999999999999</v>
      </c>
    </row>
    <row r="378" spans="1:21" ht="71.55" customHeight="1" x14ac:dyDescent="0.3">
      <c r="A378" s="79" t="s">
        <v>1512</v>
      </c>
      <c r="B378" s="79"/>
      <c r="C378" s="80" t="s">
        <v>693</v>
      </c>
      <c r="D378" s="81"/>
      <c r="E378" s="81" t="s">
        <v>402</v>
      </c>
      <c r="F378" s="82" t="s">
        <v>70</v>
      </c>
      <c r="G378" s="83">
        <v>1.2</v>
      </c>
      <c r="H378" s="83"/>
      <c r="I378" s="83">
        <v>36.648000000000003</v>
      </c>
      <c r="J378" s="84">
        <v>16.11</v>
      </c>
      <c r="M378" s="22">
        <f>ROUND(ROUND(J378, 2)*I378, 2)</f>
        <v>590.4</v>
      </c>
      <c r="P378" s="21">
        <v>16.11</v>
      </c>
      <c r="S378" s="22">
        <f>ROUND(ROUND(P378, 2)*I378, 2)</f>
        <v>590.4</v>
      </c>
    </row>
    <row r="379" spans="1:21" ht="70.95" customHeight="1" x14ac:dyDescent="0.3">
      <c r="A379" s="79" t="s">
        <v>1515</v>
      </c>
      <c r="B379" s="79"/>
      <c r="C379" s="80" t="s">
        <v>1390</v>
      </c>
      <c r="D379" s="81"/>
      <c r="E379" s="81" t="s">
        <v>1391</v>
      </c>
      <c r="F379" s="82" t="s">
        <v>64</v>
      </c>
      <c r="G379" s="83">
        <v>1.07</v>
      </c>
      <c r="H379" s="83"/>
      <c r="I379" s="83">
        <v>16.338999999999999</v>
      </c>
      <c r="J379" s="84">
        <v>1384.95</v>
      </c>
      <c r="M379" s="22">
        <f>ROUND(ROUND(J379, 2)*I379, 2)</f>
        <v>22628.7</v>
      </c>
      <c r="P379" s="21">
        <v>737</v>
      </c>
      <c r="S379" s="22">
        <f>ROUND(ROUND(P379, 2)*I379, 2)</f>
        <v>12041.84</v>
      </c>
    </row>
    <row r="380" spans="1:21" ht="52.2" x14ac:dyDescent="0.3">
      <c r="A380" s="74" t="s">
        <v>1518</v>
      </c>
      <c r="B380" s="74" t="s">
        <v>1367</v>
      </c>
      <c r="C380" s="75" t="s">
        <v>1368</v>
      </c>
      <c r="D380" s="76"/>
      <c r="E380" s="76" t="s">
        <v>1519</v>
      </c>
      <c r="F380" s="76" t="s">
        <v>64</v>
      </c>
      <c r="G380" s="77">
        <v>1</v>
      </c>
      <c r="H380" s="77"/>
      <c r="I380" s="77">
        <v>35.9</v>
      </c>
      <c r="J380" s="14">
        <f>IFERROR(ROUND(SUM(M381,M382,M383,M384)/I380, 2),0)</f>
        <v>1276.8699999999999</v>
      </c>
      <c r="K380" s="15">
        <v>2364</v>
      </c>
      <c r="L380" s="14">
        <f>J380+ROUND(K380, 2)</f>
        <v>3640.87</v>
      </c>
      <c r="M380" s="14">
        <f>ROUND(J380*I380, 2)</f>
        <v>45839.63</v>
      </c>
      <c r="N380" s="14">
        <f>ROUND(I380*ROUND(K380, 2), 2)</f>
        <v>84867.6</v>
      </c>
      <c r="O380" s="14">
        <f>M380+N380</f>
        <v>130707.23000000001</v>
      </c>
      <c r="P380" s="14">
        <f>IFERROR(ROUND(SUM(S381,S382,S383,S384)/I380, 2),0)</f>
        <v>870.05</v>
      </c>
      <c r="Q380" s="15">
        <v>2364</v>
      </c>
      <c r="R380" s="14">
        <f>P380+ROUND(Q380, 2)</f>
        <v>3234.05</v>
      </c>
      <c r="S380" s="14">
        <f>ROUND(P380*I380, 2)</f>
        <v>31234.799999999999</v>
      </c>
      <c r="T380" s="14">
        <f>ROUND(I380*ROUND(Q380, 2), 2)</f>
        <v>84867.6</v>
      </c>
      <c r="U380" s="14">
        <f>S380+T380</f>
        <v>116102.40000000001</v>
      </c>
    </row>
    <row r="381" spans="1:21" ht="52.05" customHeight="1" x14ac:dyDescent="0.3">
      <c r="A381" s="79" t="s">
        <v>1520</v>
      </c>
      <c r="B381" s="79"/>
      <c r="C381" s="80" t="s">
        <v>1416</v>
      </c>
      <c r="D381" s="81"/>
      <c r="E381" s="81" t="s">
        <v>1417</v>
      </c>
      <c r="F381" s="82" t="s">
        <v>64</v>
      </c>
      <c r="G381" s="83">
        <v>1.07</v>
      </c>
      <c r="H381" s="83"/>
      <c r="I381" s="83">
        <v>38.412999999999997</v>
      </c>
      <c r="J381" s="84">
        <v>1138.2</v>
      </c>
      <c r="K381" s="139"/>
      <c r="L381" s="139"/>
      <c r="M381" s="22">
        <f>ROUND(ROUND(J381, 2)*I381, 2)</f>
        <v>43721.68</v>
      </c>
      <c r="P381" s="21">
        <v>758</v>
      </c>
      <c r="S381" s="22">
        <f>ROUND(ROUND(P381, 2)*I381, 2)</f>
        <v>29117.05</v>
      </c>
    </row>
    <row r="382" spans="1:21" ht="55.05" customHeight="1" x14ac:dyDescent="0.3">
      <c r="A382" s="79" t="s">
        <v>1523</v>
      </c>
      <c r="B382" s="79"/>
      <c r="C382" s="80" t="s">
        <v>693</v>
      </c>
      <c r="D382" s="81"/>
      <c r="E382" s="81" t="s">
        <v>402</v>
      </c>
      <c r="F382" s="82" t="s">
        <v>70</v>
      </c>
      <c r="G382" s="83">
        <v>1.2</v>
      </c>
      <c r="H382" s="83"/>
      <c r="I382" s="83">
        <v>86.16</v>
      </c>
      <c r="J382" s="84">
        <v>16.11</v>
      </c>
      <c r="K382" s="139"/>
      <c r="L382" s="139"/>
      <c r="M382" s="22">
        <f>ROUND(ROUND(J382, 2)*I382, 2)</f>
        <v>1388.04</v>
      </c>
      <c r="P382" s="21">
        <v>16.11</v>
      </c>
      <c r="S382" s="22">
        <f>ROUND(ROUND(P382, 2)*I382, 2)</f>
        <v>1388.04</v>
      </c>
    </row>
    <row r="383" spans="1:21" ht="18" x14ac:dyDescent="0.3">
      <c r="A383" s="79" t="s">
        <v>1526</v>
      </c>
      <c r="B383" s="79"/>
      <c r="C383" s="85" t="s">
        <v>452</v>
      </c>
      <c r="D383" s="81"/>
      <c r="E383" s="81"/>
      <c r="F383" s="82" t="s">
        <v>70</v>
      </c>
      <c r="G383" s="83">
        <v>0.15</v>
      </c>
      <c r="H383" s="83"/>
      <c r="I383" s="83">
        <v>5.3849999999999998</v>
      </c>
      <c r="J383" s="84">
        <v>68.400000000000006</v>
      </c>
      <c r="K383" s="139"/>
      <c r="L383" s="139"/>
      <c r="M383" s="22">
        <f>ROUND(ROUND(J383, 2)*I383, 2)</f>
        <v>368.33</v>
      </c>
      <c r="P383" s="21">
        <v>68.400000000000006</v>
      </c>
      <c r="S383" s="22">
        <f>ROUND(ROUND(P383, 2)*I383, 2)</f>
        <v>368.33</v>
      </c>
    </row>
    <row r="384" spans="1:21" ht="18" x14ac:dyDescent="0.3">
      <c r="A384" s="79" t="s">
        <v>1529</v>
      </c>
      <c r="B384" s="79"/>
      <c r="C384" s="85" t="s">
        <v>426</v>
      </c>
      <c r="D384" s="81"/>
      <c r="E384" s="81"/>
      <c r="F384" s="82" t="s">
        <v>70</v>
      </c>
      <c r="G384" s="83">
        <v>0.25</v>
      </c>
      <c r="H384" s="83"/>
      <c r="I384" s="83">
        <v>8.9749999999999996</v>
      </c>
      <c r="J384" s="84">
        <v>40.270000000000003</v>
      </c>
      <c r="K384" s="139"/>
      <c r="L384" s="139"/>
      <c r="M384" s="22">
        <f>ROUND(ROUND(J384, 2)*I384, 2)</f>
        <v>361.42</v>
      </c>
      <c r="P384" s="21">
        <v>40.270000000000003</v>
      </c>
      <c r="S384" s="22">
        <f>ROUND(ROUND(P384, 2)*I384, 2)</f>
        <v>361.42</v>
      </c>
    </row>
    <row r="385" spans="1:21" ht="52.2" x14ac:dyDescent="0.3">
      <c r="A385" s="74" t="s">
        <v>1532</v>
      </c>
      <c r="B385" s="74" t="s">
        <v>1367</v>
      </c>
      <c r="C385" s="75" t="s">
        <v>1368</v>
      </c>
      <c r="D385" s="76"/>
      <c r="E385" s="76" t="s">
        <v>1533</v>
      </c>
      <c r="F385" s="76" t="s">
        <v>64</v>
      </c>
      <c r="G385" s="77">
        <v>1</v>
      </c>
      <c r="H385" s="77"/>
      <c r="I385" s="77">
        <v>5.75</v>
      </c>
      <c r="J385" s="14">
        <f>IFERROR(ROUND(SUM(M386,M387,M388,M389)/I385, 2),0)</f>
        <v>1150.01</v>
      </c>
      <c r="K385" s="15">
        <v>2364</v>
      </c>
      <c r="L385" s="14">
        <f>J385+ROUND(K385, 2)</f>
        <v>3514.01</v>
      </c>
      <c r="M385" s="14">
        <f>ROUND(J385*I385, 2)</f>
        <v>6612.56</v>
      </c>
      <c r="N385" s="14">
        <f>ROUND(I385*ROUND(K385, 2), 2)</f>
        <v>13593</v>
      </c>
      <c r="O385" s="14">
        <f>M385+N385</f>
        <v>20205.560000000001</v>
      </c>
      <c r="P385" s="14">
        <f>IFERROR(ROUND(SUM(S386,S387,S388,S389)/I385, 2),0)</f>
        <v>820.9</v>
      </c>
      <c r="Q385" s="15">
        <v>2364</v>
      </c>
      <c r="R385" s="14">
        <f>P385+ROUND(Q385, 2)</f>
        <v>3184.9</v>
      </c>
      <c r="S385" s="14">
        <f>ROUND(P385*I385, 2)</f>
        <v>4720.18</v>
      </c>
      <c r="T385" s="14">
        <f>ROUND(I385*ROUND(Q385, 2), 2)</f>
        <v>13593</v>
      </c>
      <c r="U385" s="14">
        <f>S385+T385</f>
        <v>18313.18</v>
      </c>
    </row>
    <row r="386" spans="1:21" ht="18" x14ac:dyDescent="0.3">
      <c r="A386" s="79" t="s">
        <v>1534</v>
      </c>
      <c r="B386" s="79"/>
      <c r="C386" s="85" t="s">
        <v>426</v>
      </c>
      <c r="D386" s="81"/>
      <c r="E386" s="81"/>
      <c r="F386" s="82" t="s">
        <v>70</v>
      </c>
      <c r="G386" s="83">
        <v>0.25</v>
      </c>
      <c r="H386" s="83"/>
      <c r="I386" s="83">
        <v>1.4379999999999999</v>
      </c>
      <c r="J386" s="84">
        <v>40.270000000000003</v>
      </c>
      <c r="M386" s="22">
        <f>ROUND(ROUND(J386, 2)*I386, 2)</f>
        <v>57.91</v>
      </c>
      <c r="P386" s="21">
        <v>40.270000000000003</v>
      </c>
      <c r="S386" s="22">
        <f>ROUND(ROUND(P386, 2)*I386, 2)</f>
        <v>57.91</v>
      </c>
    </row>
    <row r="387" spans="1:21" ht="18" x14ac:dyDescent="0.3">
      <c r="A387" s="79" t="s">
        <v>1537</v>
      </c>
      <c r="B387" s="79"/>
      <c r="C387" s="85" t="s">
        <v>452</v>
      </c>
      <c r="D387" s="81"/>
      <c r="E387" s="81"/>
      <c r="F387" s="82" t="s">
        <v>70</v>
      </c>
      <c r="G387" s="83">
        <v>0.15</v>
      </c>
      <c r="H387" s="83"/>
      <c r="I387" s="83">
        <v>0.86299999999999999</v>
      </c>
      <c r="J387" s="84">
        <v>68.400000000000006</v>
      </c>
      <c r="M387" s="22">
        <f>ROUND(ROUND(J387, 2)*I387, 2)</f>
        <v>59.03</v>
      </c>
      <c r="P387" s="21">
        <v>68.400000000000006</v>
      </c>
      <c r="S387" s="22">
        <f>ROUND(ROUND(P387, 2)*I387, 2)</f>
        <v>59.03</v>
      </c>
    </row>
    <row r="388" spans="1:21" ht="69" customHeight="1" x14ac:dyDescent="0.3">
      <c r="A388" s="79" t="s">
        <v>1540</v>
      </c>
      <c r="B388" s="79"/>
      <c r="C388" s="80" t="s">
        <v>693</v>
      </c>
      <c r="D388" s="81"/>
      <c r="E388" s="81" t="s">
        <v>402</v>
      </c>
      <c r="F388" s="82" t="s">
        <v>70</v>
      </c>
      <c r="G388" s="83">
        <v>1.2</v>
      </c>
      <c r="H388" s="83"/>
      <c r="I388" s="83">
        <v>13.8</v>
      </c>
      <c r="J388" s="84">
        <v>16.11</v>
      </c>
      <c r="M388" s="22">
        <f>ROUND(ROUND(J388, 2)*I388, 2)</f>
        <v>222.32</v>
      </c>
      <c r="P388" s="21">
        <v>16.11</v>
      </c>
      <c r="S388" s="22">
        <f>ROUND(ROUND(P388, 2)*I388, 2)</f>
        <v>222.32</v>
      </c>
    </row>
    <row r="389" spans="1:21" ht="58.05" customHeight="1" x14ac:dyDescent="0.3">
      <c r="A389" s="79" t="s">
        <v>1543</v>
      </c>
      <c r="B389" s="79"/>
      <c r="C389" s="80" t="s">
        <v>1424</v>
      </c>
      <c r="D389" s="81"/>
      <c r="E389" s="81" t="s">
        <v>1544</v>
      </c>
      <c r="F389" s="82" t="s">
        <v>64</v>
      </c>
      <c r="G389" s="83">
        <v>1.07</v>
      </c>
      <c r="H389" s="83"/>
      <c r="I389" s="83">
        <v>6.1529999999999996</v>
      </c>
      <c r="J389" s="84">
        <v>1019.55</v>
      </c>
      <c r="M389" s="22">
        <f>ROUND(ROUND(J389, 2)*I389, 2)</f>
        <v>6273.29</v>
      </c>
      <c r="P389" s="21">
        <v>712</v>
      </c>
      <c r="S389" s="22">
        <f>ROUND(ROUND(P389, 2)*I389, 2)</f>
        <v>4380.9399999999996</v>
      </c>
    </row>
    <row r="390" spans="1:21" ht="52.2" x14ac:dyDescent="0.3">
      <c r="A390" s="74" t="s">
        <v>1547</v>
      </c>
      <c r="B390" s="74" t="s">
        <v>1367</v>
      </c>
      <c r="C390" s="75" t="s">
        <v>1368</v>
      </c>
      <c r="D390" s="76"/>
      <c r="E390" s="76" t="s">
        <v>1548</v>
      </c>
      <c r="F390" s="76" t="s">
        <v>64</v>
      </c>
      <c r="G390" s="77">
        <v>1</v>
      </c>
      <c r="H390" s="77"/>
      <c r="I390" s="77">
        <v>8.15</v>
      </c>
      <c r="J390" s="14">
        <f>IFERROR(ROUND(SUM(M391,M392,M393,M394)/I390, 2),0)</f>
        <v>1276.94</v>
      </c>
      <c r="K390" s="15">
        <v>2364</v>
      </c>
      <c r="L390" s="14">
        <f>J390+ROUND(K390, 2)</f>
        <v>3640.94</v>
      </c>
      <c r="M390" s="14">
        <f>ROUND(J390*I390, 2)</f>
        <v>10407.06</v>
      </c>
      <c r="N390" s="14">
        <f>ROUND(I390*ROUND(K390, 2), 2)</f>
        <v>19266.599999999999</v>
      </c>
      <c r="O390" s="14">
        <f>M390+N390</f>
        <v>29673.659999999996</v>
      </c>
      <c r="P390" s="14">
        <f>IFERROR(ROUND(SUM(S391,S392,S393,S394)/I390, 2),0)</f>
        <v>790.92</v>
      </c>
      <c r="Q390" s="15">
        <v>2364</v>
      </c>
      <c r="R390" s="14">
        <f>P390+ROUND(Q390, 2)</f>
        <v>3154.92</v>
      </c>
      <c r="S390" s="14">
        <f>ROUND(P390*I390, 2)</f>
        <v>6446</v>
      </c>
      <c r="T390" s="14">
        <f>ROUND(I390*ROUND(Q390, 2), 2)</f>
        <v>19266.599999999999</v>
      </c>
      <c r="U390" s="14">
        <f>S390+T390</f>
        <v>25712.6</v>
      </c>
    </row>
    <row r="391" spans="1:21" ht="68.55" customHeight="1" x14ac:dyDescent="0.3">
      <c r="A391" s="79" t="s">
        <v>1549</v>
      </c>
      <c r="B391" s="79"/>
      <c r="C391" s="140" t="s">
        <v>1416</v>
      </c>
      <c r="D391" s="81"/>
      <c r="E391" s="81" t="s">
        <v>1447</v>
      </c>
      <c r="F391" s="82" t="s">
        <v>64</v>
      </c>
      <c r="G391" s="83">
        <v>1.07</v>
      </c>
      <c r="H391" s="83"/>
      <c r="I391" s="83">
        <v>8.7210000000000001</v>
      </c>
      <c r="J391" s="84">
        <v>1138.2</v>
      </c>
      <c r="M391" s="22">
        <f>ROUND(ROUND(J391, 2)*I391, 2)</f>
        <v>9926.24</v>
      </c>
      <c r="P391" s="21">
        <v>684</v>
      </c>
      <c r="S391" s="22">
        <f>ROUND(ROUND(P391, 2)*I391, 2)</f>
        <v>5965.16</v>
      </c>
    </row>
    <row r="392" spans="1:21" ht="64.95" customHeight="1" x14ac:dyDescent="0.3">
      <c r="A392" s="79" t="s">
        <v>1552</v>
      </c>
      <c r="B392" s="79"/>
      <c r="C392" s="140" t="s">
        <v>693</v>
      </c>
      <c r="D392" s="81"/>
      <c r="E392" s="81" t="s">
        <v>402</v>
      </c>
      <c r="F392" s="82" t="s">
        <v>70</v>
      </c>
      <c r="G392" s="83">
        <v>1.2</v>
      </c>
      <c r="H392" s="83"/>
      <c r="I392" s="83">
        <v>19.559999999999999</v>
      </c>
      <c r="J392" s="84">
        <v>16.11</v>
      </c>
      <c r="M392" s="22">
        <f>ROUND(ROUND(J392, 2)*I392, 2)</f>
        <v>315.11</v>
      </c>
      <c r="P392" s="21">
        <v>16.11</v>
      </c>
      <c r="S392" s="22">
        <f>ROUND(ROUND(P392, 2)*I392, 2)</f>
        <v>315.11</v>
      </c>
    </row>
    <row r="393" spans="1:21" ht="18" x14ac:dyDescent="0.3">
      <c r="A393" s="79" t="s">
        <v>1555</v>
      </c>
      <c r="B393" s="79"/>
      <c r="C393" s="141" t="s">
        <v>452</v>
      </c>
      <c r="D393" s="81"/>
      <c r="E393" s="81"/>
      <c r="F393" s="82" t="s">
        <v>70</v>
      </c>
      <c r="G393" s="83">
        <v>0.15</v>
      </c>
      <c r="H393" s="83"/>
      <c r="I393" s="83">
        <v>1.2230000000000001</v>
      </c>
      <c r="J393" s="84">
        <v>68.400000000000006</v>
      </c>
      <c r="M393" s="22">
        <f>ROUND(ROUND(J393, 2)*I393, 2)</f>
        <v>83.65</v>
      </c>
      <c r="P393" s="21">
        <v>68.400000000000006</v>
      </c>
      <c r="S393" s="22">
        <f>ROUND(ROUND(P393, 2)*I393, 2)</f>
        <v>83.65</v>
      </c>
    </row>
    <row r="394" spans="1:21" ht="18" x14ac:dyDescent="0.3">
      <c r="A394" s="79" t="s">
        <v>1558</v>
      </c>
      <c r="B394" s="79"/>
      <c r="C394" s="141" t="s">
        <v>426</v>
      </c>
      <c r="D394" s="81"/>
      <c r="E394" s="81"/>
      <c r="F394" s="82" t="s">
        <v>70</v>
      </c>
      <c r="G394" s="83">
        <v>0.25</v>
      </c>
      <c r="H394" s="83"/>
      <c r="I394" s="83">
        <v>2.0379999999999998</v>
      </c>
      <c r="J394" s="84">
        <v>40.270000000000003</v>
      </c>
      <c r="M394" s="22">
        <f>ROUND(ROUND(J394, 2)*I394, 2)</f>
        <v>82.07</v>
      </c>
      <c r="P394" s="21">
        <v>40.270000000000003</v>
      </c>
      <c r="S394" s="22">
        <f>ROUND(ROUND(P394, 2)*I394, 2)</f>
        <v>82.07</v>
      </c>
    </row>
    <row r="395" spans="1:21" ht="52.2" x14ac:dyDescent="0.3">
      <c r="A395" s="74" t="s">
        <v>1561</v>
      </c>
      <c r="B395" s="74" t="s">
        <v>1367</v>
      </c>
      <c r="C395" s="75" t="s">
        <v>1368</v>
      </c>
      <c r="D395" s="76"/>
      <c r="E395" s="76" t="s">
        <v>1562</v>
      </c>
      <c r="F395" s="76" t="s">
        <v>64</v>
      </c>
      <c r="G395" s="77">
        <v>1</v>
      </c>
      <c r="H395" s="77"/>
      <c r="I395" s="77">
        <v>127.34</v>
      </c>
      <c r="J395" s="14">
        <f>IFERROR(ROUND(SUM(M396,M397,M398,M399)/I395, 2),0)</f>
        <v>1540.89</v>
      </c>
      <c r="K395" s="15">
        <v>2364</v>
      </c>
      <c r="L395" s="14">
        <f>J395+ROUND(K395, 2)</f>
        <v>3904.8900000000003</v>
      </c>
      <c r="M395" s="14">
        <f>ROUND(J395*I395, 2)</f>
        <v>196216.93</v>
      </c>
      <c r="N395" s="14">
        <f>ROUND(I395*ROUND(K395, 2), 2)</f>
        <v>301031.76</v>
      </c>
      <c r="O395" s="14">
        <f>M395+N395</f>
        <v>497248.69</v>
      </c>
      <c r="P395" s="14">
        <f>IFERROR(ROUND(SUM(S396,S397,S398,S399)/I395, 2),0)</f>
        <v>422.79</v>
      </c>
      <c r="Q395" s="15">
        <v>2364</v>
      </c>
      <c r="R395" s="14">
        <f>P395+ROUND(Q395, 2)</f>
        <v>2786.79</v>
      </c>
      <c r="S395" s="14">
        <f>ROUND(P395*I395, 2)</f>
        <v>53838.080000000002</v>
      </c>
      <c r="T395" s="14">
        <f>ROUND(I395*ROUND(Q395, 2), 2)</f>
        <v>301031.76</v>
      </c>
      <c r="U395" s="14">
        <f>S395+T395</f>
        <v>354869.84</v>
      </c>
    </row>
    <row r="396" spans="1:21" ht="18" x14ac:dyDescent="0.3">
      <c r="A396" s="79" t="s">
        <v>1563</v>
      </c>
      <c r="B396" s="79"/>
      <c r="C396" s="141" t="s">
        <v>426</v>
      </c>
      <c r="D396" s="81"/>
      <c r="E396" s="81"/>
      <c r="F396" s="82" t="s">
        <v>70</v>
      </c>
      <c r="G396" s="83">
        <v>0.25</v>
      </c>
      <c r="H396" s="83"/>
      <c r="I396" s="83">
        <v>31.835000000000001</v>
      </c>
      <c r="J396" s="84">
        <v>40.270000000000003</v>
      </c>
      <c r="M396" s="22">
        <f>ROUND(ROUND(J396, 2)*I396, 2)</f>
        <v>1282</v>
      </c>
      <c r="P396" s="21">
        <v>40.270000000000003</v>
      </c>
      <c r="S396" s="22">
        <f>ROUND(ROUND(P396, 2)*I396, 2)</f>
        <v>1282</v>
      </c>
    </row>
    <row r="397" spans="1:21" ht="18" x14ac:dyDescent="0.3">
      <c r="A397" s="79" t="s">
        <v>1566</v>
      </c>
      <c r="B397" s="79"/>
      <c r="C397" s="141" t="s">
        <v>452</v>
      </c>
      <c r="D397" s="81"/>
      <c r="E397" s="81"/>
      <c r="F397" s="82" t="s">
        <v>70</v>
      </c>
      <c r="G397" s="83">
        <v>0.15</v>
      </c>
      <c r="H397" s="83"/>
      <c r="I397" s="83">
        <v>19.100999999999999</v>
      </c>
      <c r="J397" s="84">
        <v>68.400000000000006</v>
      </c>
      <c r="M397" s="22">
        <f>ROUND(ROUND(J397, 2)*I397, 2)</f>
        <v>1306.51</v>
      </c>
      <c r="P397" s="21">
        <v>68.400000000000006</v>
      </c>
      <c r="S397" s="22">
        <f>ROUND(ROUND(P397, 2)*I397, 2)</f>
        <v>1306.51</v>
      </c>
    </row>
    <row r="398" spans="1:21" ht="67.5" customHeight="1" x14ac:dyDescent="0.3">
      <c r="A398" s="79" t="s">
        <v>1569</v>
      </c>
      <c r="B398" s="79"/>
      <c r="C398" s="140" t="s">
        <v>693</v>
      </c>
      <c r="D398" s="81"/>
      <c r="E398" s="81" t="s">
        <v>402</v>
      </c>
      <c r="F398" s="82" t="s">
        <v>70</v>
      </c>
      <c r="G398" s="83">
        <v>1.2</v>
      </c>
      <c r="H398" s="83"/>
      <c r="I398" s="83">
        <v>305.61599999999999</v>
      </c>
      <c r="J398" s="84">
        <v>16.11</v>
      </c>
      <c r="M398" s="22">
        <f>ROUND(ROUND(J398, 2)*I398, 2)</f>
        <v>4923.47</v>
      </c>
      <c r="P398" s="21">
        <v>16.11</v>
      </c>
      <c r="S398" s="22">
        <f>ROUND(ROUND(P398, 2)*I398, 2)</f>
        <v>4923.47</v>
      </c>
    </row>
    <row r="399" spans="1:21" ht="55.5" customHeight="1" x14ac:dyDescent="0.3">
      <c r="A399" s="79" t="s">
        <v>1572</v>
      </c>
      <c r="B399" s="79"/>
      <c r="C399" s="140" t="s">
        <v>1390</v>
      </c>
      <c r="D399" s="81"/>
      <c r="E399" s="81" t="s">
        <v>1573</v>
      </c>
      <c r="F399" s="82" t="s">
        <v>64</v>
      </c>
      <c r="G399" s="83">
        <v>1.07</v>
      </c>
      <c r="H399" s="83"/>
      <c r="I399" s="83">
        <v>136.25399999999999</v>
      </c>
      <c r="J399" s="84">
        <v>1384.95</v>
      </c>
      <c r="M399" s="22">
        <f>ROUND(ROUND(J399, 2)*I399, 2)</f>
        <v>188704.98</v>
      </c>
      <c r="P399" s="21">
        <v>340</v>
      </c>
      <c r="S399" s="22">
        <f>ROUND(ROUND(P399, 2)*I399, 2)</f>
        <v>46326.36</v>
      </c>
    </row>
    <row r="400" spans="1:21" ht="52.2" x14ac:dyDescent="0.3">
      <c r="A400" s="74" t="s">
        <v>1576</v>
      </c>
      <c r="B400" s="74" t="s">
        <v>1367</v>
      </c>
      <c r="C400" s="75" t="s">
        <v>1368</v>
      </c>
      <c r="D400" s="76"/>
      <c r="E400" s="76" t="s">
        <v>1577</v>
      </c>
      <c r="F400" s="76" t="s">
        <v>64</v>
      </c>
      <c r="G400" s="77">
        <v>1</v>
      </c>
      <c r="H400" s="77"/>
      <c r="I400" s="77">
        <v>351.08</v>
      </c>
      <c r="J400" s="14">
        <f>IFERROR(ROUND(SUM(M401,M402,M403,M404,M405)/I400, 2),0)</f>
        <v>1552.24</v>
      </c>
      <c r="K400" s="15">
        <v>2364</v>
      </c>
      <c r="L400" s="14">
        <f>J400+ROUND(K400, 2)</f>
        <v>3916.24</v>
      </c>
      <c r="M400" s="14">
        <f>ROUND(J400*I400, 2)</f>
        <v>544960.42000000004</v>
      </c>
      <c r="N400" s="14">
        <f>ROUND(I400*ROUND(K400, 2), 2)</f>
        <v>829953.12</v>
      </c>
      <c r="O400" s="14">
        <f>M400+N400</f>
        <v>1374913.54</v>
      </c>
      <c r="P400" s="14">
        <f>IFERROR(ROUND(SUM(S401,S402,S403,S404,S405)/I400, 2),0)</f>
        <v>965.93</v>
      </c>
      <c r="Q400" s="15">
        <v>2364</v>
      </c>
      <c r="R400" s="14">
        <f>P400+ROUND(Q400, 2)</f>
        <v>3329.93</v>
      </c>
      <c r="S400" s="14">
        <f>ROUND(P400*I400, 2)</f>
        <v>339118.7</v>
      </c>
      <c r="T400" s="14">
        <f>ROUND(I400*ROUND(Q400, 2), 2)</f>
        <v>829953.12</v>
      </c>
      <c r="U400" s="14">
        <f>S400+T400</f>
        <v>1169071.82</v>
      </c>
    </row>
    <row r="401" spans="1:21" ht="72.45" customHeight="1" x14ac:dyDescent="0.3">
      <c r="A401" s="79" t="s">
        <v>1578</v>
      </c>
      <c r="B401" s="79"/>
      <c r="C401" s="140" t="s">
        <v>1390</v>
      </c>
      <c r="D401" s="81"/>
      <c r="E401" s="81" t="s">
        <v>1482</v>
      </c>
      <c r="F401" s="82" t="s">
        <v>64</v>
      </c>
      <c r="G401" s="83">
        <v>1.07</v>
      </c>
      <c r="H401" s="83"/>
      <c r="I401" s="83">
        <v>375.65600000000001</v>
      </c>
      <c r="J401" s="84">
        <v>1384.95</v>
      </c>
      <c r="M401" s="22">
        <f>ROUND(ROUND(J401, 2)*I401, 2)</f>
        <v>520264.78</v>
      </c>
      <c r="P401" s="21">
        <v>837</v>
      </c>
      <c r="S401" s="22">
        <f>ROUND(ROUND(P401, 2)*I401, 2)</f>
        <v>314424.07</v>
      </c>
    </row>
    <row r="402" spans="1:21" ht="70.95" customHeight="1" x14ac:dyDescent="0.3">
      <c r="A402" s="79" t="s">
        <v>1581</v>
      </c>
      <c r="B402" s="79"/>
      <c r="C402" s="140" t="s">
        <v>1476</v>
      </c>
      <c r="D402" s="81"/>
      <c r="E402" s="81" t="s">
        <v>1472</v>
      </c>
      <c r="F402" s="82" t="s">
        <v>87</v>
      </c>
      <c r="G402" s="83">
        <v>0.23</v>
      </c>
      <c r="H402" s="83"/>
      <c r="I402" s="83">
        <v>17.728000000000002</v>
      </c>
      <c r="J402" s="84">
        <v>96.24</v>
      </c>
      <c r="M402" s="22">
        <f>ROUND(ROUND(J402, 2)*I402, 2)</f>
        <v>1706.14</v>
      </c>
      <c r="P402" s="21">
        <v>96.24</v>
      </c>
      <c r="S402" s="22">
        <f>ROUND(ROUND(P402, 2)*I402, 2)</f>
        <v>1706.14</v>
      </c>
    </row>
    <row r="403" spans="1:21" ht="36" x14ac:dyDescent="0.3">
      <c r="A403" s="79" t="s">
        <v>1584</v>
      </c>
      <c r="B403" s="79"/>
      <c r="C403" s="140" t="s">
        <v>693</v>
      </c>
      <c r="D403" s="81"/>
      <c r="E403" s="81" t="s">
        <v>402</v>
      </c>
      <c r="F403" s="82" t="s">
        <v>70</v>
      </c>
      <c r="G403" s="83">
        <v>1.2</v>
      </c>
      <c r="H403" s="83"/>
      <c r="I403" s="83">
        <v>842.59199999999998</v>
      </c>
      <c r="J403" s="84">
        <v>16.11</v>
      </c>
      <c r="M403" s="22">
        <f>ROUND(ROUND(J403, 2)*I403, 2)</f>
        <v>13574.16</v>
      </c>
      <c r="P403" s="21">
        <v>16.11</v>
      </c>
      <c r="S403" s="22">
        <f>ROUND(ROUND(P403, 2)*I403, 2)</f>
        <v>13574.16</v>
      </c>
    </row>
    <row r="404" spans="1:21" ht="18" x14ac:dyDescent="0.3">
      <c r="A404" s="79" t="s">
        <v>1587</v>
      </c>
      <c r="B404" s="79"/>
      <c r="C404" s="141" t="s">
        <v>452</v>
      </c>
      <c r="D404" s="81"/>
      <c r="E404" s="81"/>
      <c r="F404" s="82" t="s">
        <v>70</v>
      </c>
      <c r="G404" s="83">
        <v>0.15</v>
      </c>
      <c r="H404" s="83"/>
      <c r="I404" s="83">
        <v>52.661999999999999</v>
      </c>
      <c r="J404" s="84">
        <v>68.400000000000006</v>
      </c>
      <c r="M404" s="22">
        <f>ROUND(ROUND(J404, 2)*I404, 2)</f>
        <v>3602.08</v>
      </c>
      <c r="P404" s="21">
        <v>68.400000000000006</v>
      </c>
      <c r="S404" s="22">
        <f>ROUND(ROUND(P404, 2)*I404, 2)</f>
        <v>3602.08</v>
      </c>
    </row>
    <row r="405" spans="1:21" ht="18" x14ac:dyDescent="0.3">
      <c r="A405" s="79" t="s">
        <v>1590</v>
      </c>
      <c r="B405" s="79"/>
      <c r="C405" s="141" t="s">
        <v>1591</v>
      </c>
      <c r="D405" s="81"/>
      <c r="E405" s="81" t="s">
        <v>1592</v>
      </c>
      <c r="F405" s="82" t="s">
        <v>70</v>
      </c>
      <c r="G405" s="83">
        <v>0.25</v>
      </c>
      <c r="H405" s="83"/>
      <c r="I405" s="83">
        <v>87.77</v>
      </c>
      <c r="J405" s="84">
        <v>66.23</v>
      </c>
      <c r="M405" s="22">
        <f>ROUND(ROUND(J405, 2)*I405, 2)</f>
        <v>5813.01</v>
      </c>
      <c r="P405" s="21">
        <v>66.23</v>
      </c>
      <c r="S405" s="22">
        <f>ROUND(ROUND(P405, 2)*I405, 2)</f>
        <v>5813.01</v>
      </c>
    </row>
    <row r="406" spans="1:21" ht="52.2" x14ac:dyDescent="0.3">
      <c r="A406" s="74" t="s">
        <v>1596</v>
      </c>
      <c r="B406" s="74" t="s">
        <v>1597</v>
      </c>
      <c r="C406" s="75" t="s">
        <v>1598</v>
      </c>
      <c r="D406" s="76"/>
      <c r="E406" s="76" t="s">
        <v>1599</v>
      </c>
      <c r="F406" s="76" t="s">
        <v>64</v>
      </c>
      <c r="G406" s="77">
        <v>1</v>
      </c>
      <c r="H406" s="77"/>
      <c r="I406" s="77">
        <v>3.87</v>
      </c>
      <c r="J406" s="14">
        <f>IFERROR(ROUND(SUM(M407,M408,M409,M410)/I406, 2),0)</f>
        <v>2285.84</v>
      </c>
      <c r="K406" s="15">
        <v>2983</v>
      </c>
      <c r="L406" s="14">
        <f>J406+ROUND(K406, 2)</f>
        <v>5268.84</v>
      </c>
      <c r="M406" s="14">
        <f>ROUND(J406*I406, 2)</f>
        <v>8846.2000000000007</v>
      </c>
      <c r="N406" s="14">
        <f>ROUND(I406*ROUND(K406, 2), 2)</f>
        <v>11544.21</v>
      </c>
      <c r="O406" s="14">
        <f>M406+N406</f>
        <v>20390.41</v>
      </c>
      <c r="P406" s="14">
        <f>IFERROR(ROUND(SUM(S407,S408,S409,S410)/I406, 2),0)</f>
        <v>1404.3</v>
      </c>
      <c r="Q406" s="15">
        <v>2983</v>
      </c>
      <c r="R406" s="14">
        <f>P406+ROUND(Q406, 2)</f>
        <v>4387.3</v>
      </c>
      <c r="S406" s="14">
        <f>ROUND(P406*I406, 2)</f>
        <v>5434.64</v>
      </c>
      <c r="T406" s="14">
        <f>ROUND(I406*ROUND(Q406, 2), 2)</f>
        <v>11544.21</v>
      </c>
      <c r="U406" s="14">
        <f>S406+T406</f>
        <v>16978.849999999999</v>
      </c>
    </row>
    <row r="407" spans="1:21" ht="36" x14ac:dyDescent="0.3">
      <c r="A407" s="79" t="s">
        <v>1602</v>
      </c>
      <c r="B407" s="79"/>
      <c r="C407" s="85" t="s">
        <v>1603</v>
      </c>
      <c r="D407" s="81"/>
      <c r="E407" s="81" t="s">
        <v>1604</v>
      </c>
      <c r="F407" s="82" t="s">
        <v>64</v>
      </c>
      <c r="G407" s="83">
        <v>1.1000000000000001</v>
      </c>
      <c r="H407" s="83"/>
      <c r="I407" s="83">
        <v>4.2569999999999997</v>
      </c>
      <c r="J407" s="84">
        <v>2024.4</v>
      </c>
      <c r="M407" s="22">
        <f>ROUND(ROUND(J407, 2)*I407, 2)</f>
        <v>8617.8700000000008</v>
      </c>
      <c r="P407" s="21">
        <v>1223</v>
      </c>
      <c r="S407" s="22">
        <f>ROUND(ROUND(P407, 2)*I407, 2)</f>
        <v>5206.3100000000004</v>
      </c>
    </row>
    <row r="408" spans="1:21" ht="67.5" customHeight="1" x14ac:dyDescent="0.3">
      <c r="A408" s="79" t="s">
        <v>1608</v>
      </c>
      <c r="B408" s="79"/>
      <c r="C408" s="80" t="s">
        <v>693</v>
      </c>
      <c r="D408" s="81"/>
      <c r="E408" s="81" t="s">
        <v>402</v>
      </c>
      <c r="F408" s="82" t="s">
        <v>70</v>
      </c>
      <c r="G408" s="83">
        <v>1.2</v>
      </c>
      <c r="H408" s="83"/>
      <c r="I408" s="83">
        <v>9.2880000000000003</v>
      </c>
      <c r="J408" s="84">
        <v>16.11</v>
      </c>
      <c r="M408" s="22">
        <f>ROUND(ROUND(J408, 2)*I408, 2)</f>
        <v>149.63</v>
      </c>
      <c r="P408" s="21">
        <v>16.11</v>
      </c>
      <c r="S408" s="22">
        <f>ROUND(ROUND(P408, 2)*I408, 2)</f>
        <v>149.63</v>
      </c>
    </row>
    <row r="409" spans="1:21" ht="18" x14ac:dyDescent="0.3">
      <c r="A409" s="79" t="s">
        <v>1611</v>
      </c>
      <c r="B409" s="79"/>
      <c r="C409" s="85" t="s">
        <v>426</v>
      </c>
      <c r="D409" s="81"/>
      <c r="E409" s="81"/>
      <c r="F409" s="82" t="s">
        <v>70</v>
      </c>
      <c r="G409" s="83">
        <v>0.25</v>
      </c>
      <c r="H409" s="83"/>
      <c r="I409" s="83">
        <v>0.96799999999999997</v>
      </c>
      <c r="J409" s="84">
        <v>40.270000000000003</v>
      </c>
      <c r="M409" s="22">
        <f>ROUND(ROUND(J409, 2)*I409, 2)</f>
        <v>38.979999999999997</v>
      </c>
      <c r="P409" s="21">
        <v>40.270000000000003</v>
      </c>
      <c r="S409" s="22">
        <f>ROUND(ROUND(P409, 2)*I409, 2)</f>
        <v>38.979999999999997</v>
      </c>
    </row>
    <row r="410" spans="1:21" ht="18" x14ac:dyDescent="0.3">
      <c r="A410" s="79" t="s">
        <v>1614</v>
      </c>
      <c r="B410" s="79"/>
      <c r="C410" s="85" t="s">
        <v>452</v>
      </c>
      <c r="D410" s="81"/>
      <c r="E410" s="81"/>
      <c r="F410" s="82" t="s">
        <v>70</v>
      </c>
      <c r="G410" s="83">
        <v>0.15</v>
      </c>
      <c r="H410" s="83"/>
      <c r="I410" s="83">
        <v>0.58099999999999996</v>
      </c>
      <c r="J410" s="84">
        <v>68.400000000000006</v>
      </c>
      <c r="M410" s="22">
        <f>ROUND(ROUND(J410, 2)*I410, 2)</f>
        <v>39.74</v>
      </c>
      <c r="P410" s="21">
        <v>68.400000000000006</v>
      </c>
      <c r="S410" s="22">
        <f>ROUND(ROUND(P410, 2)*I410, 2)</f>
        <v>39.74</v>
      </c>
    </row>
    <row r="411" spans="1:21" ht="52.2" x14ac:dyDescent="0.3">
      <c r="A411" s="74" t="s">
        <v>1617</v>
      </c>
      <c r="B411" s="74" t="s">
        <v>1597</v>
      </c>
      <c r="C411" s="75" t="s">
        <v>1598</v>
      </c>
      <c r="D411" s="76"/>
      <c r="E411" s="76" t="s">
        <v>1618</v>
      </c>
      <c r="F411" s="76" t="s">
        <v>64</v>
      </c>
      <c r="G411" s="77">
        <v>1</v>
      </c>
      <c r="H411" s="77"/>
      <c r="I411" s="77">
        <v>4.41</v>
      </c>
      <c r="J411" s="14">
        <f>IFERROR(ROUND(SUM(M412,M413,M414,M415)/I411, 2),0)</f>
        <v>1000.5</v>
      </c>
      <c r="K411" s="15">
        <v>2983</v>
      </c>
      <c r="L411" s="14">
        <f>J411+ROUND(K411, 2)</f>
        <v>3983.5</v>
      </c>
      <c r="M411" s="14">
        <f>ROUND(J411*I411, 2)</f>
        <v>4412.21</v>
      </c>
      <c r="N411" s="14">
        <f>ROUND(I411*ROUND(K411, 2), 2)</f>
        <v>13155.03</v>
      </c>
      <c r="O411" s="14">
        <f>M411+N411</f>
        <v>17567.240000000002</v>
      </c>
      <c r="P411" s="14">
        <f>IFERROR(ROUND(SUM(S412,S413,S414,S415)/I411, 2),0)</f>
        <v>1000.5</v>
      </c>
      <c r="Q411" s="15">
        <v>2983</v>
      </c>
      <c r="R411" s="14">
        <f>P411+ROUND(Q411, 2)</f>
        <v>3983.5</v>
      </c>
      <c r="S411" s="14">
        <f>ROUND(P411*I411, 2)</f>
        <v>4412.21</v>
      </c>
      <c r="T411" s="14">
        <f>ROUND(I411*ROUND(Q411, 2), 2)</f>
        <v>13155.03</v>
      </c>
      <c r="U411" s="14">
        <f>S411+T411</f>
        <v>17567.240000000002</v>
      </c>
    </row>
    <row r="412" spans="1:21" ht="18" x14ac:dyDescent="0.3">
      <c r="A412" s="79" t="s">
        <v>1619</v>
      </c>
      <c r="B412" s="79"/>
      <c r="C412" s="85" t="s">
        <v>452</v>
      </c>
      <c r="D412" s="81"/>
      <c r="E412" s="81"/>
      <c r="F412" s="82" t="s">
        <v>70</v>
      </c>
      <c r="G412" s="83">
        <v>0.15</v>
      </c>
      <c r="H412" s="83"/>
      <c r="I412" s="83">
        <v>0.66200000000000003</v>
      </c>
      <c r="J412" s="84">
        <v>68.400000000000006</v>
      </c>
      <c r="M412" s="22">
        <f>ROUND(ROUND(J412, 2)*I412, 2)</f>
        <v>45.28</v>
      </c>
      <c r="P412" s="21">
        <v>68.400000000000006</v>
      </c>
      <c r="S412" s="22">
        <f>ROUND(ROUND(P412, 2)*I412, 2)</f>
        <v>45.28</v>
      </c>
    </row>
    <row r="413" spans="1:21" ht="18" x14ac:dyDescent="0.3">
      <c r="A413" s="79" t="s">
        <v>1622</v>
      </c>
      <c r="B413" s="79"/>
      <c r="C413" s="85" t="s">
        <v>1591</v>
      </c>
      <c r="D413" s="81"/>
      <c r="E413" s="81"/>
      <c r="F413" s="82" t="s">
        <v>70</v>
      </c>
      <c r="G413" s="83">
        <v>0.25</v>
      </c>
      <c r="H413" s="83"/>
      <c r="I413" s="83">
        <v>1.103</v>
      </c>
      <c r="J413" s="84">
        <v>66.23</v>
      </c>
      <c r="M413" s="22">
        <f>ROUND(ROUND(J413, 2)*I413, 2)</f>
        <v>73.05</v>
      </c>
      <c r="P413" s="21">
        <v>66.23</v>
      </c>
      <c r="S413" s="22">
        <f>ROUND(ROUND(P413, 2)*I413, 2)</f>
        <v>73.05</v>
      </c>
    </row>
    <row r="414" spans="1:21" ht="66" customHeight="1" x14ac:dyDescent="0.3">
      <c r="A414" s="79" t="s">
        <v>1625</v>
      </c>
      <c r="B414" s="79"/>
      <c r="C414" s="80" t="s">
        <v>693</v>
      </c>
      <c r="D414" s="81"/>
      <c r="E414" s="81" t="s">
        <v>402</v>
      </c>
      <c r="F414" s="82" t="s">
        <v>70</v>
      </c>
      <c r="G414" s="83">
        <v>1.2</v>
      </c>
      <c r="H414" s="83"/>
      <c r="I414" s="83">
        <v>10.584</v>
      </c>
      <c r="J414" s="84">
        <v>16.11</v>
      </c>
      <c r="M414" s="22">
        <f>ROUND(ROUND(J414, 2)*I414, 2)</f>
        <v>170.51</v>
      </c>
      <c r="P414" s="21">
        <v>16.11</v>
      </c>
      <c r="S414" s="22">
        <f>ROUND(ROUND(P414, 2)*I414, 2)</f>
        <v>170.51</v>
      </c>
    </row>
    <row r="415" spans="1:21" ht="54" x14ac:dyDescent="0.3">
      <c r="A415" s="79" t="s">
        <v>1628</v>
      </c>
      <c r="B415" s="79"/>
      <c r="C415" s="80" t="s">
        <v>512</v>
      </c>
      <c r="D415" s="81"/>
      <c r="E415" s="81" t="s">
        <v>1629</v>
      </c>
      <c r="F415" s="82" t="s">
        <v>64</v>
      </c>
      <c r="G415" s="83">
        <v>1.1000000000000001</v>
      </c>
      <c r="H415" s="83"/>
      <c r="I415" s="83">
        <v>4.851</v>
      </c>
      <c r="J415" s="84">
        <v>850</v>
      </c>
      <c r="M415" s="22">
        <f>ROUND(ROUND(J415, 2)*I415, 2)</f>
        <v>4123.3500000000004</v>
      </c>
      <c r="P415" s="21">
        <v>850</v>
      </c>
      <c r="S415" s="22">
        <f>ROUND(ROUND(P415, 2)*I415, 2)</f>
        <v>4123.3500000000004</v>
      </c>
    </row>
    <row r="416" spans="1:21" ht="31.05" customHeight="1" x14ac:dyDescent="0.3">
      <c r="A416" s="10" t="s">
        <v>1632</v>
      </c>
      <c r="B416" s="10" t="s">
        <v>1633</v>
      </c>
      <c r="C416" s="352" t="s">
        <v>1634</v>
      </c>
      <c r="D416" s="353"/>
      <c r="E416" s="353"/>
      <c r="F416" s="353"/>
      <c r="G416" s="353"/>
      <c r="H416" s="353"/>
      <c r="I416" s="354"/>
      <c r="M416" s="6">
        <f>SUM(M417,M421,M425,M429,M433,M436,M439,M442,M447,M451,M455,M459,M464,M469,M474,M478,M483)</f>
        <v>1200076.26</v>
      </c>
      <c r="N416" s="6">
        <f>SUM(N417,N421,N425,N429,N433,N436,N439,N442,N447,N451,N455,N459,N464,N469,N474,N478,N483)</f>
        <v>3206950.7800000003</v>
      </c>
      <c r="O416" s="6">
        <f>SUM(O417,O421,O425,O429,O433,O436,O439,O442,O447,O451,O455,O459,O464,O469,O474,O478,O483)</f>
        <v>4407027.0399999991</v>
      </c>
      <c r="S416" s="6">
        <f>SUM(S417,S421,S425,S429,S433,S436,S439,S442,S447,S451,S455,S459,S464,S469,S474,S478,S483)</f>
        <v>1571187.82</v>
      </c>
      <c r="T416" s="6">
        <f>SUM(T417,T421,T425,T429,T433,T436,T439,T442,T447,T451,T455,T459,T464,T469,T474,T478,T483)</f>
        <v>3206950.7800000003</v>
      </c>
      <c r="U416" s="6">
        <f>SUM(U417,U421,U425,U429,U433,U436,U439,U442,U447,U451,U455,U459,U464,U469,U474,U478,U483)</f>
        <v>4778138.5999999996</v>
      </c>
    </row>
    <row r="417" spans="1:21" ht="54" x14ac:dyDescent="0.3">
      <c r="A417" s="79" t="s">
        <v>1635</v>
      </c>
      <c r="B417" s="79" t="s">
        <v>1636</v>
      </c>
      <c r="C417" s="142" t="s">
        <v>1637</v>
      </c>
      <c r="D417" s="81"/>
      <c r="E417" s="81"/>
      <c r="F417" s="81" t="s">
        <v>64</v>
      </c>
      <c r="G417" s="143">
        <v>1</v>
      </c>
      <c r="H417" s="143"/>
      <c r="I417" s="143">
        <v>0</v>
      </c>
      <c r="J417" s="144">
        <f>IFERROR(ROUND(SUM(M418,M419,M420)/I417, 2),0)</f>
        <v>0</v>
      </c>
      <c r="K417" s="15">
        <v>2956</v>
      </c>
      <c r="L417" s="14">
        <f>J417+ROUND(K417, 2)</f>
        <v>2956</v>
      </c>
      <c r="M417" s="14">
        <f>ROUND(J417*I417, 2)</f>
        <v>0</v>
      </c>
      <c r="N417" s="14">
        <f>ROUND(I417*ROUND(K417, 2), 2)</f>
        <v>0</v>
      </c>
      <c r="O417" s="14">
        <f>M417+N417</f>
        <v>0</v>
      </c>
      <c r="P417" s="14">
        <f>IFERROR(ROUND(SUM(S418,S419,S420)/I417, 2),0)</f>
        <v>0</v>
      </c>
      <c r="Q417" s="15">
        <v>2956</v>
      </c>
      <c r="R417" s="14">
        <f>P417+ROUND(Q417, 2)</f>
        <v>2956</v>
      </c>
      <c r="S417" s="14">
        <f>ROUND(P417*I417, 2)</f>
        <v>0</v>
      </c>
      <c r="T417" s="14">
        <f>ROUND(I417*ROUND(Q417, 2), 2)</f>
        <v>0</v>
      </c>
      <c r="U417" s="14">
        <f>S417+T417</f>
        <v>0</v>
      </c>
    </row>
    <row r="418" spans="1:21" ht="36" x14ac:dyDescent="0.3">
      <c r="A418" s="79" t="s">
        <v>1641</v>
      </c>
      <c r="B418" s="79"/>
      <c r="C418" s="85" t="s">
        <v>1642</v>
      </c>
      <c r="D418" s="81"/>
      <c r="E418" s="81" t="s">
        <v>868</v>
      </c>
      <c r="F418" s="82" t="s">
        <v>70</v>
      </c>
      <c r="G418" s="83">
        <v>1.8</v>
      </c>
      <c r="H418" s="83"/>
      <c r="I418" s="83">
        <v>0</v>
      </c>
      <c r="J418" s="84">
        <v>6.8</v>
      </c>
      <c r="M418" s="22">
        <f>ROUND(ROUND(J418, 2)*I418, 2)</f>
        <v>0</v>
      </c>
      <c r="P418" s="21">
        <v>6.8</v>
      </c>
      <c r="S418" s="22">
        <f>ROUND(ROUND(P418, 2)*I418, 2)</f>
        <v>0</v>
      </c>
    </row>
    <row r="419" spans="1:21" ht="18" x14ac:dyDescent="0.3">
      <c r="A419" s="79" t="s">
        <v>1648</v>
      </c>
      <c r="B419" s="79"/>
      <c r="C419" s="85" t="s">
        <v>1649</v>
      </c>
      <c r="D419" s="81"/>
      <c r="E419" s="81"/>
      <c r="F419" s="82" t="s">
        <v>87</v>
      </c>
      <c r="G419" s="83">
        <v>1</v>
      </c>
      <c r="H419" s="83"/>
      <c r="I419" s="83">
        <v>0</v>
      </c>
      <c r="J419" s="84">
        <v>18.34</v>
      </c>
      <c r="M419" s="22">
        <f>ROUND(ROUND(J419, 2)*I419, 2)</f>
        <v>0</v>
      </c>
      <c r="P419" s="21">
        <v>18.34</v>
      </c>
      <c r="S419" s="22">
        <f>ROUND(ROUND(P419, 2)*I419, 2)</f>
        <v>0</v>
      </c>
    </row>
    <row r="420" spans="1:21" ht="18" x14ac:dyDescent="0.3">
      <c r="A420" s="79" t="s">
        <v>1655</v>
      </c>
      <c r="B420" s="79"/>
      <c r="C420" s="85" t="s">
        <v>760</v>
      </c>
      <c r="D420" s="81"/>
      <c r="E420" s="81"/>
      <c r="F420" s="82" t="s">
        <v>70</v>
      </c>
      <c r="G420" s="83">
        <v>0.25</v>
      </c>
      <c r="H420" s="83"/>
      <c r="I420" s="83">
        <v>0</v>
      </c>
      <c r="J420" s="84">
        <v>100</v>
      </c>
      <c r="M420" s="22">
        <f>ROUND(ROUND(J420, 2)*I420, 2)</f>
        <v>0</v>
      </c>
      <c r="P420" s="21">
        <v>100</v>
      </c>
      <c r="S420" s="22">
        <f>ROUND(ROUND(P420, 2)*I420, 2)</f>
        <v>0</v>
      </c>
    </row>
    <row r="421" spans="1:21" ht="36" x14ac:dyDescent="0.3">
      <c r="A421" s="79" t="s">
        <v>1660</v>
      </c>
      <c r="B421" s="79" t="s">
        <v>1661</v>
      </c>
      <c r="C421" s="142" t="s">
        <v>1662</v>
      </c>
      <c r="D421" s="81"/>
      <c r="E421" s="81" t="s">
        <v>1663</v>
      </c>
      <c r="F421" s="81" t="s">
        <v>64</v>
      </c>
      <c r="G421" s="143">
        <v>1</v>
      </c>
      <c r="H421" s="143"/>
      <c r="I421" s="143">
        <v>0</v>
      </c>
      <c r="J421" s="144">
        <f>IFERROR(ROUND(SUM(M422,M423,M424)/I421, 2),0)</f>
        <v>0</v>
      </c>
      <c r="K421" s="15">
        <v>1001</v>
      </c>
      <c r="L421" s="14">
        <f>J421+ROUND(K421, 2)</f>
        <v>1001</v>
      </c>
      <c r="M421" s="14">
        <f>ROUND(J421*I421, 2)</f>
        <v>0</v>
      </c>
      <c r="N421" s="14">
        <f>ROUND(I421*ROUND(K421, 2), 2)</f>
        <v>0</v>
      </c>
      <c r="O421" s="14">
        <f>M421+N421</f>
        <v>0</v>
      </c>
      <c r="P421" s="14">
        <f>IFERROR(ROUND(SUM(S422,S423,S424)/I421, 2),0)</f>
        <v>0</v>
      </c>
      <c r="Q421" s="15">
        <v>1001</v>
      </c>
      <c r="R421" s="14">
        <f>P421+ROUND(Q421, 2)</f>
        <v>1001</v>
      </c>
      <c r="S421" s="14">
        <f>ROUND(P421*I421, 2)</f>
        <v>0</v>
      </c>
      <c r="T421" s="14">
        <f>ROUND(I421*ROUND(Q421, 2), 2)</f>
        <v>0</v>
      </c>
      <c r="U421" s="14">
        <f>S421+T421</f>
        <v>0</v>
      </c>
    </row>
    <row r="422" spans="1:21" ht="36" x14ac:dyDescent="0.3">
      <c r="A422" s="79" t="s">
        <v>1667</v>
      </c>
      <c r="B422" s="79"/>
      <c r="C422" s="80" t="s">
        <v>736</v>
      </c>
      <c r="D422" s="81"/>
      <c r="E422" s="81" t="s">
        <v>782</v>
      </c>
      <c r="F422" s="82" t="s">
        <v>70</v>
      </c>
      <c r="G422" s="83">
        <v>4.5</v>
      </c>
      <c r="H422" s="83"/>
      <c r="I422" s="83">
        <v>0</v>
      </c>
      <c r="J422" s="84">
        <v>12.58</v>
      </c>
      <c r="M422" s="22">
        <f>ROUND(ROUND(J422, 2)*I422, 2)</f>
        <v>0</v>
      </c>
      <c r="P422" s="21">
        <v>12.58</v>
      </c>
      <c r="S422" s="22">
        <f>ROUND(ROUND(P422, 2)*I422, 2)</f>
        <v>0</v>
      </c>
    </row>
    <row r="423" spans="1:21" ht="18" x14ac:dyDescent="0.3">
      <c r="A423" s="79" t="s">
        <v>1672</v>
      </c>
      <c r="B423" s="79"/>
      <c r="C423" s="85" t="s">
        <v>1673</v>
      </c>
      <c r="D423" s="81"/>
      <c r="E423" s="81"/>
      <c r="F423" s="82" t="s">
        <v>116</v>
      </c>
      <c r="G423" s="83">
        <v>0.3</v>
      </c>
      <c r="H423" s="83"/>
      <c r="I423" s="83">
        <v>0</v>
      </c>
      <c r="J423" s="84">
        <v>73.099999999999994</v>
      </c>
      <c r="M423" s="22">
        <f>ROUND(ROUND(J423, 2)*I423, 2)</f>
        <v>0</v>
      </c>
      <c r="P423" s="21">
        <v>73.099999999999994</v>
      </c>
      <c r="S423" s="22">
        <f>ROUND(ROUND(P423, 2)*I423, 2)</f>
        <v>0</v>
      </c>
    </row>
    <row r="424" spans="1:21" ht="18" x14ac:dyDescent="0.3">
      <c r="A424" s="79" t="s">
        <v>1679</v>
      </c>
      <c r="B424" s="79"/>
      <c r="C424" s="85" t="s">
        <v>433</v>
      </c>
      <c r="D424" s="81"/>
      <c r="E424" s="81"/>
      <c r="F424" s="82" t="s">
        <v>70</v>
      </c>
      <c r="G424" s="83">
        <v>0.15</v>
      </c>
      <c r="H424" s="83"/>
      <c r="I424" s="83">
        <v>0</v>
      </c>
      <c r="J424" s="84">
        <v>88.8</v>
      </c>
      <c r="M424" s="22">
        <f>ROUND(ROUND(J424, 2)*I424, 2)</f>
        <v>0</v>
      </c>
      <c r="P424" s="21">
        <v>88.8</v>
      </c>
      <c r="S424" s="22">
        <f>ROUND(ROUND(P424, 2)*I424, 2)</f>
        <v>0</v>
      </c>
    </row>
    <row r="425" spans="1:21" ht="36" x14ac:dyDescent="0.3">
      <c r="A425" s="79" t="s">
        <v>1684</v>
      </c>
      <c r="B425" s="79" t="s">
        <v>1661</v>
      </c>
      <c r="C425" s="142" t="s">
        <v>1662</v>
      </c>
      <c r="D425" s="81"/>
      <c r="E425" s="81" t="s">
        <v>1685</v>
      </c>
      <c r="F425" s="81" t="s">
        <v>64</v>
      </c>
      <c r="G425" s="143">
        <v>1</v>
      </c>
      <c r="H425" s="143"/>
      <c r="I425" s="143">
        <v>0</v>
      </c>
      <c r="J425" s="144">
        <f>IFERROR(ROUND(SUM(M426,M427,M428)/I425, 2),0)</f>
        <v>0</v>
      </c>
      <c r="K425" s="15">
        <v>1001</v>
      </c>
      <c r="L425" s="14">
        <f>J425+ROUND(K425, 2)</f>
        <v>1001</v>
      </c>
      <c r="M425" s="14">
        <f>ROUND(J425*I425, 2)</f>
        <v>0</v>
      </c>
      <c r="N425" s="14">
        <f>ROUND(I425*ROUND(K425, 2), 2)</f>
        <v>0</v>
      </c>
      <c r="O425" s="14">
        <f>M425+N425</f>
        <v>0</v>
      </c>
      <c r="P425" s="14">
        <f>IFERROR(ROUND(SUM(S426,S427,S428)/I425, 2),0)</f>
        <v>0</v>
      </c>
      <c r="Q425" s="15">
        <v>1001</v>
      </c>
      <c r="R425" s="14">
        <f>P425+ROUND(Q425, 2)</f>
        <v>1001</v>
      </c>
      <c r="S425" s="14">
        <f>ROUND(P425*I425, 2)</f>
        <v>0</v>
      </c>
      <c r="T425" s="14">
        <f>ROUND(I425*ROUND(Q425, 2), 2)</f>
        <v>0</v>
      </c>
      <c r="U425" s="14">
        <f>S425+T425</f>
        <v>0</v>
      </c>
    </row>
    <row r="426" spans="1:21" ht="18" x14ac:dyDescent="0.3">
      <c r="A426" s="79" t="s">
        <v>1687</v>
      </c>
      <c r="B426" s="79"/>
      <c r="C426" s="85" t="s">
        <v>433</v>
      </c>
      <c r="D426" s="81"/>
      <c r="E426" s="81"/>
      <c r="F426" s="82" t="s">
        <v>70</v>
      </c>
      <c r="G426" s="83">
        <v>0.15</v>
      </c>
      <c r="H426" s="83"/>
      <c r="I426" s="83">
        <v>0</v>
      </c>
      <c r="J426" s="84">
        <v>88.8</v>
      </c>
      <c r="M426" s="22">
        <f>ROUND(ROUND(J426, 2)*I426, 2)</f>
        <v>0</v>
      </c>
      <c r="P426" s="21">
        <v>88.8</v>
      </c>
      <c r="S426" s="22">
        <f>ROUND(ROUND(P426, 2)*I426, 2)</f>
        <v>0</v>
      </c>
    </row>
    <row r="427" spans="1:21" ht="18" x14ac:dyDescent="0.3">
      <c r="A427" s="79" t="s">
        <v>1692</v>
      </c>
      <c r="B427" s="79"/>
      <c r="C427" s="85" t="s">
        <v>1673</v>
      </c>
      <c r="D427" s="81"/>
      <c r="E427" s="81"/>
      <c r="F427" s="82" t="s">
        <v>116</v>
      </c>
      <c r="G427" s="83">
        <v>0.3</v>
      </c>
      <c r="H427" s="83"/>
      <c r="I427" s="83">
        <v>0</v>
      </c>
      <c r="J427" s="84">
        <v>73.099999999999994</v>
      </c>
      <c r="M427" s="22">
        <f>ROUND(ROUND(J427, 2)*I427, 2)</f>
        <v>0</v>
      </c>
      <c r="P427" s="21">
        <v>73.099999999999994</v>
      </c>
      <c r="S427" s="22">
        <f>ROUND(ROUND(P427, 2)*I427, 2)</f>
        <v>0</v>
      </c>
    </row>
    <row r="428" spans="1:21" ht="36" x14ac:dyDescent="0.3">
      <c r="A428" s="79" t="s">
        <v>1697</v>
      </c>
      <c r="B428" s="79"/>
      <c r="C428" s="80" t="s">
        <v>736</v>
      </c>
      <c r="D428" s="81"/>
      <c r="E428" s="81" t="s">
        <v>817</v>
      </c>
      <c r="F428" s="82" t="s">
        <v>70</v>
      </c>
      <c r="G428" s="83">
        <v>4.5</v>
      </c>
      <c r="H428" s="83"/>
      <c r="I428" s="83">
        <v>0</v>
      </c>
      <c r="J428" s="84">
        <v>12.58</v>
      </c>
      <c r="M428" s="22">
        <f>ROUND(ROUND(J428, 2)*I428, 2)</f>
        <v>0</v>
      </c>
      <c r="P428" s="21">
        <v>12.58</v>
      </c>
      <c r="S428" s="22">
        <f>ROUND(ROUND(P428, 2)*I428, 2)</f>
        <v>0</v>
      </c>
    </row>
    <row r="429" spans="1:21" ht="34.799999999999997" x14ac:dyDescent="0.3">
      <c r="A429" s="74" t="s">
        <v>1702</v>
      </c>
      <c r="B429" s="74" t="s">
        <v>1661</v>
      </c>
      <c r="C429" s="75" t="s">
        <v>1662</v>
      </c>
      <c r="D429" s="76"/>
      <c r="E429" s="76" t="s">
        <v>1663</v>
      </c>
      <c r="F429" s="76" t="s">
        <v>64</v>
      </c>
      <c r="G429" s="77">
        <v>1</v>
      </c>
      <c r="H429" s="77"/>
      <c r="I429" s="77">
        <v>662.77499999999998</v>
      </c>
      <c r="J429" s="14">
        <f>IFERROR(ROUND(SUM(M430,M431,M432)/I429, 2),0)</f>
        <v>89.57</v>
      </c>
      <c r="K429" s="15">
        <v>1001</v>
      </c>
      <c r="L429" s="14">
        <f>J429+ROUND(K429, 2)</f>
        <v>1090.57</v>
      </c>
      <c r="M429" s="14">
        <f>ROUND(J429*I429, 2)</f>
        <v>59364.76</v>
      </c>
      <c r="N429" s="14">
        <f>ROUND(I429*ROUND(K429, 2), 2)</f>
        <v>663437.78</v>
      </c>
      <c r="O429" s="14">
        <f>M429+N429</f>
        <v>722802.54</v>
      </c>
      <c r="P429" s="14">
        <f>IFERROR(ROUND(SUM(S430,S431,S432)/I429, 2),0)</f>
        <v>89.57</v>
      </c>
      <c r="Q429" s="15">
        <v>1001</v>
      </c>
      <c r="R429" s="14">
        <f>P429+ROUND(Q429, 2)</f>
        <v>1090.57</v>
      </c>
      <c r="S429" s="14">
        <f>ROUND(P429*I429, 2)</f>
        <v>59364.76</v>
      </c>
      <c r="T429" s="14">
        <f>ROUND(I429*ROUND(Q429, 2), 2)</f>
        <v>663437.78</v>
      </c>
      <c r="U429" s="14">
        <f>S429+T429</f>
        <v>722802.54</v>
      </c>
    </row>
    <row r="430" spans="1:21" ht="36" x14ac:dyDescent="0.3">
      <c r="A430" s="91" t="s">
        <v>1703</v>
      </c>
      <c r="B430" s="91"/>
      <c r="C430" s="96" t="s">
        <v>736</v>
      </c>
      <c r="D430" s="93"/>
      <c r="E430" s="93"/>
      <c r="F430" s="94" t="s">
        <v>70</v>
      </c>
      <c r="G430" s="95">
        <v>4.5</v>
      </c>
      <c r="H430" s="95"/>
      <c r="I430" s="95">
        <v>2982.4879999999998</v>
      </c>
      <c r="J430" s="90">
        <v>12.07</v>
      </c>
      <c r="M430" s="22">
        <f>ROUND(ROUND(J430, 2)*I430, 2)</f>
        <v>35998.629999999997</v>
      </c>
      <c r="P430" s="21">
        <v>12.07</v>
      </c>
      <c r="S430" s="22">
        <f>ROUND(ROUND(P430, 2)*I430, 2)</f>
        <v>35998.629999999997</v>
      </c>
    </row>
    <row r="431" spans="1:21" ht="18" x14ac:dyDescent="0.3">
      <c r="A431" s="91" t="s">
        <v>1706</v>
      </c>
      <c r="B431" s="91"/>
      <c r="C431" s="92" t="s">
        <v>789</v>
      </c>
      <c r="D431" s="93"/>
      <c r="E431" s="93"/>
      <c r="F431" s="94" t="s">
        <v>116</v>
      </c>
      <c r="G431" s="95">
        <v>0.3</v>
      </c>
      <c r="H431" s="95"/>
      <c r="I431" s="95">
        <v>198.833</v>
      </c>
      <c r="J431" s="90">
        <v>73.099999999999994</v>
      </c>
      <c r="M431" s="22">
        <f>ROUND(ROUND(J431, 2)*I431, 2)</f>
        <v>14534.69</v>
      </c>
      <c r="P431" s="21">
        <v>73.099999999999994</v>
      </c>
      <c r="S431" s="22">
        <f>ROUND(ROUND(P431, 2)*I431, 2)</f>
        <v>14534.69</v>
      </c>
    </row>
    <row r="432" spans="1:21" ht="18" x14ac:dyDescent="0.3">
      <c r="A432" s="91" t="s">
        <v>1709</v>
      </c>
      <c r="B432" s="91"/>
      <c r="C432" s="92" t="s">
        <v>433</v>
      </c>
      <c r="D432" s="93"/>
      <c r="E432" s="93"/>
      <c r="F432" s="94" t="s">
        <v>70</v>
      </c>
      <c r="G432" s="95">
        <v>0.15</v>
      </c>
      <c r="H432" s="95"/>
      <c r="I432" s="95">
        <v>99.415999999999997</v>
      </c>
      <c r="J432" s="90">
        <v>88.8</v>
      </c>
      <c r="M432" s="22">
        <f>ROUND(ROUND(J432, 2)*I432, 2)</f>
        <v>8828.14</v>
      </c>
      <c r="P432" s="21">
        <v>88.8</v>
      </c>
      <c r="S432" s="22">
        <f>ROUND(ROUND(P432, 2)*I432, 2)</f>
        <v>8828.14</v>
      </c>
    </row>
    <row r="433" spans="1:21" ht="34.799999999999997" x14ac:dyDescent="0.3">
      <c r="A433" s="74" t="s">
        <v>1712</v>
      </c>
      <c r="B433" s="74" t="s">
        <v>1661</v>
      </c>
      <c r="C433" s="75" t="s">
        <v>1662</v>
      </c>
      <c r="D433" s="76"/>
      <c r="E433" s="76" t="s">
        <v>1685</v>
      </c>
      <c r="F433" s="76" t="s">
        <v>64</v>
      </c>
      <c r="G433" s="77">
        <v>1</v>
      </c>
      <c r="H433" s="77"/>
      <c r="I433" s="77">
        <v>662.77499999999998</v>
      </c>
      <c r="J433" s="14">
        <f>IFERROR(ROUND(SUM(M434,M435)/I433, 2),0)</f>
        <v>67.63</v>
      </c>
      <c r="K433" s="15">
        <v>1001</v>
      </c>
      <c r="L433" s="14">
        <f>J433+ROUND(K433, 2)</f>
        <v>1068.6300000000001</v>
      </c>
      <c r="M433" s="14">
        <f>ROUND(J433*I433, 2)</f>
        <v>44823.47</v>
      </c>
      <c r="N433" s="14">
        <f>ROUND(I433*ROUND(K433, 2), 2)</f>
        <v>663437.78</v>
      </c>
      <c r="O433" s="14">
        <f>M433+N433</f>
        <v>708261.25</v>
      </c>
      <c r="P433" s="14">
        <f>IFERROR(ROUND(SUM(S434,S435)/I433, 2),0)</f>
        <v>67.63</v>
      </c>
      <c r="Q433" s="15">
        <v>1001</v>
      </c>
      <c r="R433" s="14">
        <f>P433+ROUND(Q433, 2)</f>
        <v>1068.6300000000001</v>
      </c>
      <c r="S433" s="14">
        <f>ROUND(P433*I433, 2)</f>
        <v>44823.47</v>
      </c>
      <c r="T433" s="14">
        <f>ROUND(I433*ROUND(Q433, 2), 2)</f>
        <v>663437.78</v>
      </c>
      <c r="U433" s="14">
        <f>S433+T433</f>
        <v>708261.25</v>
      </c>
    </row>
    <row r="434" spans="1:21" ht="18" x14ac:dyDescent="0.3">
      <c r="A434" s="91" t="s">
        <v>1713</v>
      </c>
      <c r="B434" s="91"/>
      <c r="C434" s="92" t="s">
        <v>433</v>
      </c>
      <c r="D434" s="93"/>
      <c r="E434" s="93"/>
      <c r="F434" s="94" t="s">
        <v>70</v>
      </c>
      <c r="G434" s="95">
        <v>0.15</v>
      </c>
      <c r="H434" s="95"/>
      <c r="I434" s="95">
        <v>99.415999999999997</v>
      </c>
      <c r="J434" s="90">
        <v>88.8</v>
      </c>
      <c r="M434" s="22">
        <f>ROUND(ROUND(J434, 2)*I434, 2)</f>
        <v>8828.14</v>
      </c>
      <c r="P434" s="21">
        <v>88.8</v>
      </c>
      <c r="S434" s="22">
        <f>ROUND(ROUND(P434, 2)*I434, 2)</f>
        <v>8828.14</v>
      </c>
    </row>
    <row r="435" spans="1:21" ht="36" x14ac:dyDescent="0.3">
      <c r="A435" s="91" t="s">
        <v>1716</v>
      </c>
      <c r="B435" s="91"/>
      <c r="C435" s="96" t="s">
        <v>736</v>
      </c>
      <c r="D435" s="93"/>
      <c r="E435" s="93"/>
      <c r="F435" s="94" t="s">
        <v>70</v>
      </c>
      <c r="G435" s="95">
        <v>4.5</v>
      </c>
      <c r="H435" s="95"/>
      <c r="I435" s="95">
        <v>2982.4879999999998</v>
      </c>
      <c r="J435" s="90">
        <v>12.07</v>
      </c>
      <c r="M435" s="22">
        <f>ROUND(ROUND(J435, 2)*I435, 2)</f>
        <v>35998.629999999997</v>
      </c>
      <c r="P435" s="21">
        <v>12.07</v>
      </c>
      <c r="S435" s="22">
        <f>ROUND(ROUND(P435, 2)*I435, 2)</f>
        <v>35998.629999999997</v>
      </c>
    </row>
    <row r="436" spans="1:21" ht="34.799999999999997" x14ac:dyDescent="0.3">
      <c r="A436" s="74" t="s">
        <v>1719</v>
      </c>
      <c r="B436" s="74" t="s">
        <v>1720</v>
      </c>
      <c r="C436" s="75" t="s">
        <v>1721</v>
      </c>
      <c r="D436" s="76"/>
      <c r="E436" s="76" t="s">
        <v>63</v>
      </c>
      <c r="F436" s="76" t="s">
        <v>64</v>
      </c>
      <c r="G436" s="77">
        <v>1</v>
      </c>
      <c r="H436" s="77"/>
      <c r="I436" s="77">
        <v>389.59500000000003</v>
      </c>
      <c r="J436" s="14">
        <f>IFERROR(ROUND(SUM(M437,M438)/I436, 2),0)</f>
        <v>290.52</v>
      </c>
      <c r="K436" s="15">
        <v>275</v>
      </c>
      <c r="L436" s="14">
        <f>J436+ROUND(K436, 2)</f>
        <v>565.52</v>
      </c>
      <c r="M436" s="14">
        <f>ROUND(J436*I436, 2)</f>
        <v>113185.14</v>
      </c>
      <c r="N436" s="14">
        <f>ROUND(I436*ROUND(K436, 2), 2)</f>
        <v>107138.63</v>
      </c>
      <c r="O436" s="14">
        <f>M436+N436</f>
        <v>220323.77000000002</v>
      </c>
      <c r="P436" s="14">
        <f>IFERROR(ROUND(SUM(S437,S438)/I436, 2),0)</f>
        <v>143.88</v>
      </c>
      <c r="Q436" s="15">
        <v>275</v>
      </c>
      <c r="R436" s="14">
        <f>P436+ROUND(Q436, 2)</f>
        <v>418.88</v>
      </c>
      <c r="S436" s="14">
        <f>ROUND(P436*I436, 2)</f>
        <v>56054.93</v>
      </c>
      <c r="T436" s="14">
        <f>ROUND(I436*ROUND(Q436, 2), 2)</f>
        <v>107138.63</v>
      </c>
      <c r="U436" s="14">
        <f>S436+T436</f>
        <v>163193.56</v>
      </c>
    </row>
    <row r="437" spans="1:21" ht="18" x14ac:dyDescent="0.3">
      <c r="A437" s="91" t="s">
        <v>1725</v>
      </c>
      <c r="B437" s="91"/>
      <c r="C437" s="92" t="s">
        <v>1726</v>
      </c>
      <c r="D437" s="93"/>
      <c r="E437" s="93"/>
      <c r="F437" s="94" t="s">
        <v>70</v>
      </c>
      <c r="G437" s="95">
        <v>0.3</v>
      </c>
      <c r="H437" s="95"/>
      <c r="I437" s="95">
        <v>116.879</v>
      </c>
      <c r="J437" s="90">
        <v>938.78</v>
      </c>
      <c r="M437" s="22">
        <f>ROUND(ROUND(J437, 2)*I437, 2)</f>
        <v>109723.67</v>
      </c>
      <c r="P437" s="21">
        <v>450</v>
      </c>
      <c r="S437" s="22">
        <f>ROUND(ROUND(P437, 2)*I437, 2)</f>
        <v>52595.55</v>
      </c>
    </row>
    <row r="438" spans="1:21" ht="18" x14ac:dyDescent="0.3">
      <c r="A438" s="91" t="s">
        <v>1732</v>
      </c>
      <c r="B438" s="91"/>
      <c r="C438" s="92" t="s">
        <v>433</v>
      </c>
      <c r="D438" s="93"/>
      <c r="E438" s="93"/>
      <c r="F438" s="94" t="s">
        <v>70</v>
      </c>
      <c r="G438" s="95">
        <v>0.1</v>
      </c>
      <c r="H438" s="95"/>
      <c r="I438" s="95">
        <v>38.96</v>
      </c>
      <c r="J438" s="90">
        <v>88.8</v>
      </c>
      <c r="M438" s="22">
        <f>ROUND(ROUND(J438, 2)*I438, 2)</f>
        <v>3459.65</v>
      </c>
      <c r="P438" s="21">
        <v>88.8</v>
      </c>
      <c r="S438" s="22">
        <f>ROUND(ROUND(P438, 2)*I438, 2)</f>
        <v>3459.65</v>
      </c>
    </row>
    <row r="439" spans="1:21" ht="34.799999999999997" x14ac:dyDescent="0.3">
      <c r="A439" s="74" t="s">
        <v>1737</v>
      </c>
      <c r="B439" s="74" t="s">
        <v>1720</v>
      </c>
      <c r="C439" s="75" t="s">
        <v>1721</v>
      </c>
      <c r="D439" s="76"/>
      <c r="E439" s="76" t="s">
        <v>81</v>
      </c>
      <c r="F439" s="76" t="s">
        <v>64</v>
      </c>
      <c r="G439" s="77">
        <v>1</v>
      </c>
      <c r="H439" s="77"/>
      <c r="I439" s="77">
        <v>273.18</v>
      </c>
      <c r="J439" s="14">
        <f>IFERROR(ROUND(SUM(M440,M441)/I439, 2),0)</f>
        <v>30.41</v>
      </c>
      <c r="K439" s="15">
        <v>303</v>
      </c>
      <c r="L439" s="14">
        <f>J439+ROUND(K439, 2)</f>
        <v>333.41</v>
      </c>
      <c r="M439" s="14">
        <f>ROUND(J439*I439, 2)</f>
        <v>8307.4</v>
      </c>
      <c r="N439" s="14">
        <f>ROUND(I439*ROUND(K439, 2), 2)</f>
        <v>82773.539999999994</v>
      </c>
      <c r="O439" s="14">
        <f>M439+N439</f>
        <v>91080.939999999988</v>
      </c>
      <c r="P439" s="14">
        <f>IFERROR(ROUND(SUM(S440,S441)/I439, 2),0)</f>
        <v>30.41</v>
      </c>
      <c r="Q439" s="15">
        <v>303</v>
      </c>
      <c r="R439" s="14">
        <f>P439+ROUND(Q439, 2)</f>
        <v>333.41</v>
      </c>
      <c r="S439" s="14">
        <f>ROUND(P439*I439, 2)</f>
        <v>8307.4</v>
      </c>
      <c r="T439" s="14">
        <f>ROUND(I439*ROUND(Q439, 2), 2)</f>
        <v>82773.539999999994</v>
      </c>
      <c r="U439" s="14">
        <f>S439+T439</f>
        <v>91080.939999999988</v>
      </c>
    </row>
    <row r="440" spans="1:21" ht="18" x14ac:dyDescent="0.3">
      <c r="A440" s="91" t="s">
        <v>1738</v>
      </c>
      <c r="B440" s="91"/>
      <c r="C440" s="92" t="s">
        <v>433</v>
      </c>
      <c r="D440" s="93"/>
      <c r="E440" s="93"/>
      <c r="F440" s="94" t="s">
        <v>70</v>
      </c>
      <c r="G440" s="95">
        <v>0.1</v>
      </c>
      <c r="H440" s="95"/>
      <c r="I440" s="95">
        <v>27.318000000000001</v>
      </c>
      <c r="J440" s="90">
        <v>88.8</v>
      </c>
      <c r="M440" s="22">
        <f>ROUND(ROUND(J440, 2)*I440, 2)</f>
        <v>2425.84</v>
      </c>
      <c r="P440" s="21">
        <v>88.8</v>
      </c>
      <c r="S440" s="22">
        <f>ROUND(ROUND(P440, 2)*I440, 2)</f>
        <v>2425.84</v>
      </c>
    </row>
    <row r="441" spans="1:21" ht="36" x14ac:dyDescent="0.3">
      <c r="A441" s="91" t="s">
        <v>1741</v>
      </c>
      <c r="B441" s="91"/>
      <c r="C441" s="92" t="s">
        <v>1742</v>
      </c>
      <c r="D441" s="93"/>
      <c r="E441" s="93"/>
      <c r="F441" s="94" t="s">
        <v>70</v>
      </c>
      <c r="G441" s="95">
        <v>0.3</v>
      </c>
      <c r="H441" s="95"/>
      <c r="I441" s="95">
        <v>81.953999999999994</v>
      </c>
      <c r="J441" s="90">
        <v>71.75</v>
      </c>
      <c r="M441" s="22">
        <f>ROUND(ROUND(J441, 2)*I441, 2)</f>
        <v>5880.2</v>
      </c>
      <c r="P441" s="21">
        <v>71.75</v>
      </c>
      <c r="S441" s="22">
        <f>ROUND(ROUND(P441, 2)*I441, 2)</f>
        <v>5880.2</v>
      </c>
    </row>
    <row r="442" spans="1:21" ht="18" x14ac:dyDescent="0.3">
      <c r="A442" s="91" t="s">
        <v>1746</v>
      </c>
      <c r="B442" s="91" t="s">
        <v>1747</v>
      </c>
      <c r="C442" s="97" t="s">
        <v>1748</v>
      </c>
      <c r="D442" s="93"/>
      <c r="E442" s="93" t="s">
        <v>63</v>
      </c>
      <c r="F442" s="93" t="s">
        <v>64</v>
      </c>
      <c r="G442" s="98">
        <v>1</v>
      </c>
      <c r="H442" s="98"/>
      <c r="I442" s="98">
        <v>0</v>
      </c>
      <c r="J442" s="99">
        <f>IFERROR(ROUND(SUM(M443,M444,M445,M446)/I442, 2),0)</f>
        <v>0</v>
      </c>
      <c r="K442" s="15">
        <v>2541</v>
      </c>
      <c r="L442" s="14">
        <f>J442+ROUND(K442, 2)</f>
        <v>2541</v>
      </c>
      <c r="M442" s="14">
        <f>ROUND(J442*I442, 2)</f>
        <v>0</v>
      </c>
      <c r="N442" s="14">
        <f>ROUND(I442*ROUND(K442, 2), 2)</f>
        <v>0</v>
      </c>
      <c r="O442" s="14">
        <f>M442+N442</f>
        <v>0</v>
      </c>
      <c r="P442" s="14">
        <f>IFERROR(ROUND(SUM(S443,S444,S445,S446)/I442, 2),0)</f>
        <v>0</v>
      </c>
      <c r="Q442" s="15">
        <v>2541</v>
      </c>
      <c r="R442" s="14">
        <f>P442+ROUND(Q442, 2)</f>
        <v>2541</v>
      </c>
      <c r="S442" s="14">
        <f>ROUND(P442*I442, 2)</f>
        <v>0</v>
      </c>
      <c r="T442" s="14">
        <f>ROUND(I442*ROUND(Q442, 2), 2)</f>
        <v>0</v>
      </c>
      <c r="U442" s="14">
        <f>S442+T442</f>
        <v>0</v>
      </c>
    </row>
    <row r="443" spans="1:21" ht="18" x14ac:dyDescent="0.3">
      <c r="A443" s="91" t="s">
        <v>1752</v>
      </c>
      <c r="B443" s="91"/>
      <c r="C443" s="92" t="s">
        <v>1753</v>
      </c>
      <c r="D443" s="93"/>
      <c r="E443" s="93"/>
      <c r="F443" s="94" t="s">
        <v>70</v>
      </c>
      <c r="G443" s="95">
        <v>0.35</v>
      </c>
      <c r="H443" s="95"/>
      <c r="I443" s="95">
        <v>0</v>
      </c>
      <c r="J443" s="90">
        <v>55</v>
      </c>
      <c r="M443" s="22">
        <f>ROUND(ROUND(J443, 2)*I443, 2)</f>
        <v>0</v>
      </c>
      <c r="P443" s="21">
        <v>55</v>
      </c>
      <c r="S443" s="22">
        <f>ROUND(ROUND(P443, 2)*I443, 2)</f>
        <v>0</v>
      </c>
    </row>
    <row r="444" spans="1:21" ht="18" x14ac:dyDescent="0.3">
      <c r="A444" s="91" t="s">
        <v>1759</v>
      </c>
      <c r="B444" s="91"/>
      <c r="C444" s="92" t="s">
        <v>1760</v>
      </c>
      <c r="D444" s="93"/>
      <c r="E444" s="93"/>
      <c r="F444" s="94" t="s">
        <v>116</v>
      </c>
      <c r="G444" s="95">
        <v>20</v>
      </c>
      <c r="H444" s="95"/>
      <c r="I444" s="95">
        <v>0</v>
      </c>
      <c r="J444" s="90">
        <v>1.5</v>
      </c>
      <c r="M444" s="22">
        <f>ROUND(ROUND(J444, 2)*I444, 2)</f>
        <v>0</v>
      </c>
      <c r="P444" s="21">
        <v>1.5</v>
      </c>
      <c r="S444" s="22">
        <f>ROUND(ROUND(P444, 2)*I444, 2)</f>
        <v>0</v>
      </c>
    </row>
    <row r="445" spans="1:21" ht="36" x14ac:dyDescent="0.3">
      <c r="A445" s="91" t="s">
        <v>1766</v>
      </c>
      <c r="B445" s="91"/>
      <c r="C445" s="92" t="s">
        <v>1767</v>
      </c>
      <c r="D445" s="93"/>
      <c r="E445" s="93"/>
      <c r="F445" s="94" t="s">
        <v>64</v>
      </c>
      <c r="G445" s="95">
        <v>1.05</v>
      </c>
      <c r="H445" s="95"/>
      <c r="I445" s="95">
        <v>0</v>
      </c>
      <c r="J445" s="90">
        <v>135.53</v>
      </c>
      <c r="M445" s="22">
        <f>ROUND(ROUND(J445, 2)*I445, 2)</f>
        <v>0</v>
      </c>
      <c r="P445" s="21">
        <v>135.53</v>
      </c>
      <c r="S445" s="22">
        <f>ROUND(ROUND(P445, 2)*I445, 2)</f>
        <v>0</v>
      </c>
    </row>
    <row r="446" spans="1:21" ht="18" x14ac:dyDescent="0.3">
      <c r="A446" s="91" t="s">
        <v>1773</v>
      </c>
      <c r="B446" s="91"/>
      <c r="C446" s="92" t="s">
        <v>1774</v>
      </c>
      <c r="D446" s="93"/>
      <c r="E446" s="93"/>
      <c r="F446" s="94" t="s">
        <v>116</v>
      </c>
      <c r="G446" s="95">
        <v>0.6</v>
      </c>
      <c r="H446" s="95"/>
      <c r="I446" s="95">
        <v>0</v>
      </c>
      <c r="J446" s="90">
        <v>119.25</v>
      </c>
      <c r="M446" s="22">
        <f>ROUND(ROUND(J446, 2)*I446, 2)</f>
        <v>0</v>
      </c>
      <c r="P446" s="21">
        <v>119.25</v>
      </c>
      <c r="S446" s="22">
        <f>ROUND(ROUND(P446, 2)*I446, 2)</f>
        <v>0</v>
      </c>
    </row>
    <row r="447" spans="1:21" ht="34.799999999999997" x14ac:dyDescent="0.3">
      <c r="A447" s="74" t="s">
        <v>1780</v>
      </c>
      <c r="B447" s="74" t="s">
        <v>1781</v>
      </c>
      <c r="C447" s="75" t="s">
        <v>1782</v>
      </c>
      <c r="D447" s="76"/>
      <c r="E447" s="76" t="s">
        <v>1783</v>
      </c>
      <c r="F447" s="76" t="s">
        <v>64</v>
      </c>
      <c r="G447" s="77">
        <v>1</v>
      </c>
      <c r="H447" s="77"/>
      <c r="I447" s="77">
        <v>71.94</v>
      </c>
      <c r="J447" s="14">
        <f>IFERROR(ROUND(SUM(M448,M449,M450)/I447, 2),0)</f>
        <v>369.74</v>
      </c>
      <c r="K447" s="15">
        <v>1291</v>
      </c>
      <c r="L447" s="14">
        <f>J447+ROUND(K447, 2)</f>
        <v>1660.74</v>
      </c>
      <c r="M447" s="14">
        <f>ROUND(J447*I447, 2)</f>
        <v>26599.1</v>
      </c>
      <c r="N447" s="14">
        <f>ROUND(I447*ROUND(K447, 2), 2)</f>
        <v>92874.54</v>
      </c>
      <c r="O447" s="14">
        <f>M447+N447</f>
        <v>119473.63999999998</v>
      </c>
      <c r="P447" s="14">
        <f>IFERROR(ROUND(SUM(S448,S449,S450)/I447, 2),0)</f>
        <v>2042.1</v>
      </c>
      <c r="Q447" s="15">
        <v>1291</v>
      </c>
      <c r="R447" s="14">
        <f>P447+ROUND(Q447, 2)</f>
        <v>3333.1</v>
      </c>
      <c r="S447" s="14">
        <f>ROUND(P447*I447, 2)</f>
        <v>146908.67000000001</v>
      </c>
      <c r="T447" s="14">
        <f>ROUND(I447*ROUND(Q447, 2), 2)</f>
        <v>92874.54</v>
      </c>
      <c r="U447" s="14">
        <f>S447+T447</f>
        <v>239783.21000000002</v>
      </c>
    </row>
    <row r="448" spans="1:21" ht="18" x14ac:dyDescent="0.3">
      <c r="A448" s="91" t="s">
        <v>1786</v>
      </c>
      <c r="B448" s="91"/>
      <c r="C448" s="92" t="s">
        <v>1787</v>
      </c>
      <c r="D448" s="93"/>
      <c r="E448" s="93"/>
      <c r="F448" s="94" t="s">
        <v>87</v>
      </c>
      <c r="G448" s="95">
        <v>1</v>
      </c>
      <c r="H448" s="95"/>
      <c r="I448" s="95">
        <v>516.29999999999995</v>
      </c>
      <c r="J448" s="90">
        <v>44.71</v>
      </c>
      <c r="M448" s="22">
        <f>ROUND(ROUND(J448, 2)*I448, 2)</f>
        <v>23083.77</v>
      </c>
      <c r="P448" s="21">
        <v>44.71</v>
      </c>
      <c r="S448" s="22">
        <f>ROUND(ROUND(P448, 2)*I448, 2)</f>
        <v>23083.77</v>
      </c>
    </row>
    <row r="449" spans="1:21" ht="18" x14ac:dyDescent="0.3">
      <c r="A449" s="91" t="s">
        <v>1791</v>
      </c>
      <c r="B449" s="91"/>
      <c r="C449" s="92" t="s">
        <v>1792</v>
      </c>
      <c r="D449" s="93"/>
      <c r="E449" s="93"/>
      <c r="F449" s="94" t="s">
        <v>87</v>
      </c>
      <c r="G449" s="95">
        <v>1</v>
      </c>
      <c r="H449" s="95"/>
      <c r="I449" s="95">
        <v>98.3</v>
      </c>
      <c r="J449" s="90">
        <v>35.76</v>
      </c>
      <c r="M449" s="22">
        <f>ROUND(ROUND(J449, 2)*I449, 2)</f>
        <v>3515.21</v>
      </c>
      <c r="P449" s="21">
        <v>35.76</v>
      </c>
      <c r="S449" s="22">
        <f>ROUND(ROUND(P449, 2)*I449, 2)</f>
        <v>3515.21</v>
      </c>
    </row>
    <row r="450" spans="1:21" ht="18" x14ac:dyDescent="0.3">
      <c r="A450" s="91" t="s">
        <v>1796</v>
      </c>
      <c r="B450" s="91"/>
      <c r="C450" s="92" t="s">
        <v>1797</v>
      </c>
      <c r="D450" s="93"/>
      <c r="E450" s="93"/>
      <c r="F450" s="94" t="s">
        <v>64</v>
      </c>
      <c r="G450" s="95">
        <v>1.1000000000000001</v>
      </c>
      <c r="H450" s="95"/>
      <c r="I450" s="95">
        <v>79.134</v>
      </c>
      <c r="J450" s="90">
        <v>0</v>
      </c>
      <c r="M450" s="22">
        <f>ROUND(ROUND(J450, 2)*I450, 2)</f>
        <v>0</v>
      </c>
      <c r="P450" s="21">
        <v>1520.33</v>
      </c>
      <c r="S450" s="22">
        <f>ROUND(ROUND(P450, 2)*I450, 2)</f>
        <v>120309.79</v>
      </c>
    </row>
    <row r="451" spans="1:21" ht="34.799999999999997" x14ac:dyDescent="0.3">
      <c r="A451" s="74" t="s">
        <v>1801</v>
      </c>
      <c r="B451" s="74" t="s">
        <v>1781</v>
      </c>
      <c r="C451" s="75" t="s">
        <v>1782</v>
      </c>
      <c r="D451" s="76"/>
      <c r="E451" s="76" t="s">
        <v>1802</v>
      </c>
      <c r="F451" s="76" t="s">
        <v>64</v>
      </c>
      <c r="G451" s="77">
        <v>1</v>
      </c>
      <c r="H451" s="77"/>
      <c r="I451" s="77">
        <v>73.87</v>
      </c>
      <c r="J451" s="14">
        <f>IFERROR(ROUND(SUM(M452,M453,M454)/I451, 2),0)</f>
        <v>223.45</v>
      </c>
      <c r="K451" s="15">
        <v>1291</v>
      </c>
      <c r="L451" s="14">
        <f>J451+ROUND(K451, 2)</f>
        <v>1514.45</v>
      </c>
      <c r="M451" s="14">
        <f>ROUND(J451*I451, 2)</f>
        <v>16506.25</v>
      </c>
      <c r="N451" s="14">
        <f>ROUND(I451*ROUND(K451, 2), 2)</f>
        <v>95366.17</v>
      </c>
      <c r="O451" s="14">
        <f>M451+N451</f>
        <v>111872.42</v>
      </c>
      <c r="P451" s="14">
        <f>IFERROR(ROUND(SUM(S452,S453,S454)/I451, 2),0)</f>
        <v>1895.81</v>
      </c>
      <c r="Q451" s="15">
        <v>1291</v>
      </c>
      <c r="R451" s="14">
        <f>P451+ROUND(Q451, 2)</f>
        <v>3186.81</v>
      </c>
      <c r="S451" s="14">
        <f>ROUND(P451*I451, 2)</f>
        <v>140043.48000000001</v>
      </c>
      <c r="T451" s="14">
        <f>ROUND(I451*ROUND(Q451, 2), 2)</f>
        <v>95366.17</v>
      </c>
      <c r="U451" s="14">
        <f>S451+T451</f>
        <v>235409.65000000002</v>
      </c>
    </row>
    <row r="452" spans="1:21" ht="18" x14ac:dyDescent="0.3">
      <c r="A452" s="91" t="s">
        <v>1803</v>
      </c>
      <c r="B452" s="91"/>
      <c r="C452" s="92" t="s">
        <v>1797</v>
      </c>
      <c r="D452" s="93"/>
      <c r="E452" s="93"/>
      <c r="F452" s="94" t="s">
        <v>64</v>
      </c>
      <c r="G452" s="95">
        <v>1.1000000000000001</v>
      </c>
      <c r="H452" s="95"/>
      <c r="I452" s="95">
        <v>81.257000000000005</v>
      </c>
      <c r="J452" s="90">
        <v>0</v>
      </c>
      <c r="M452" s="22">
        <f>ROUND(ROUND(J452, 2)*I452, 2)</f>
        <v>0</v>
      </c>
      <c r="P452" s="21">
        <v>1520.33</v>
      </c>
      <c r="S452" s="22">
        <f>ROUND(ROUND(P452, 2)*I452, 2)</f>
        <v>123537.45</v>
      </c>
    </row>
    <row r="453" spans="1:21" ht="18" x14ac:dyDescent="0.3">
      <c r="A453" s="91" t="s">
        <v>1806</v>
      </c>
      <c r="B453" s="91"/>
      <c r="C453" s="92" t="s">
        <v>1787</v>
      </c>
      <c r="D453" s="93"/>
      <c r="E453" s="93"/>
      <c r="F453" s="94" t="s">
        <v>87</v>
      </c>
      <c r="G453" s="95">
        <v>1</v>
      </c>
      <c r="H453" s="95"/>
      <c r="I453" s="95">
        <v>264.8</v>
      </c>
      <c r="J453" s="90">
        <v>44.71</v>
      </c>
      <c r="M453" s="22">
        <f>ROUND(ROUND(J453, 2)*I453, 2)</f>
        <v>11839.21</v>
      </c>
      <c r="P453" s="21">
        <v>44.71</v>
      </c>
      <c r="S453" s="22">
        <f>ROUND(ROUND(P453, 2)*I453, 2)</f>
        <v>11839.21</v>
      </c>
    </row>
    <row r="454" spans="1:21" ht="18" x14ac:dyDescent="0.3">
      <c r="A454" s="91" t="s">
        <v>1809</v>
      </c>
      <c r="B454" s="91"/>
      <c r="C454" s="92" t="s">
        <v>1792</v>
      </c>
      <c r="D454" s="93"/>
      <c r="E454" s="93"/>
      <c r="F454" s="94" t="s">
        <v>87</v>
      </c>
      <c r="G454" s="95">
        <v>1</v>
      </c>
      <c r="H454" s="95"/>
      <c r="I454" s="95">
        <v>130.5</v>
      </c>
      <c r="J454" s="90">
        <v>35.76</v>
      </c>
      <c r="M454" s="22">
        <f>ROUND(ROUND(J454, 2)*I454, 2)</f>
        <v>4666.68</v>
      </c>
      <c r="P454" s="21">
        <v>35.76</v>
      </c>
      <c r="S454" s="22">
        <f>ROUND(ROUND(P454, 2)*I454, 2)</f>
        <v>4666.68</v>
      </c>
    </row>
    <row r="455" spans="1:21" ht="36" x14ac:dyDescent="0.3">
      <c r="A455" s="91" t="s">
        <v>1812</v>
      </c>
      <c r="B455" s="91" t="s">
        <v>1813</v>
      </c>
      <c r="C455" s="97" t="s">
        <v>1814</v>
      </c>
      <c r="D455" s="93"/>
      <c r="E455" s="93" t="s">
        <v>63</v>
      </c>
      <c r="F455" s="93" t="s">
        <v>64</v>
      </c>
      <c r="G455" s="98">
        <v>1</v>
      </c>
      <c r="H455" s="98"/>
      <c r="I455" s="98">
        <v>0</v>
      </c>
      <c r="J455" s="99">
        <f>IFERROR(ROUND(SUM(M456,M457,M458)/I455, 2),0)</f>
        <v>0</v>
      </c>
      <c r="K455" s="15">
        <v>1477</v>
      </c>
      <c r="L455" s="14">
        <f>J455+ROUND(K455, 2)</f>
        <v>1477</v>
      </c>
      <c r="M455" s="14">
        <f>ROUND(J455*I455, 2)</f>
        <v>0</v>
      </c>
      <c r="N455" s="14">
        <f>ROUND(I455*ROUND(K455, 2), 2)</f>
        <v>0</v>
      </c>
      <c r="O455" s="14">
        <f>M455+N455</f>
        <v>0</v>
      </c>
      <c r="P455" s="14">
        <f>IFERROR(ROUND(SUM(S456,S457,S458)/I455, 2),0)</f>
        <v>0</v>
      </c>
      <c r="Q455" s="15">
        <v>1477</v>
      </c>
      <c r="R455" s="14">
        <f>P455+ROUND(Q455, 2)</f>
        <v>1477</v>
      </c>
      <c r="S455" s="14">
        <f>ROUND(P455*I455, 2)</f>
        <v>0</v>
      </c>
      <c r="T455" s="14">
        <f>ROUND(I455*ROUND(Q455, 2), 2)</f>
        <v>0</v>
      </c>
      <c r="U455" s="14">
        <f>S455+T455</f>
        <v>0</v>
      </c>
    </row>
    <row r="456" spans="1:21" ht="18" x14ac:dyDescent="0.3">
      <c r="A456" s="91" t="s">
        <v>1818</v>
      </c>
      <c r="B456" s="91"/>
      <c r="C456" s="92" t="s">
        <v>1787</v>
      </c>
      <c r="D456" s="93"/>
      <c r="E456" s="93"/>
      <c r="F456" s="94" t="s">
        <v>87</v>
      </c>
      <c r="G456" s="95">
        <v>1</v>
      </c>
      <c r="H456" s="95"/>
      <c r="I456" s="95">
        <v>0</v>
      </c>
      <c r="J456" s="90">
        <v>54.18</v>
      </c>
      <c r="M456" s="22">
        <f>ROUND(ROUND(J456, 2)*I456, 2)</f>
        <v>0</v>
      </c>
      <c r="P456" s="21">
        <v>54.18</v>
      </c>
      <c r="S456" s="22">
        <f>ROUND(ROUND(P456, 2)*I456, 2)</f>
        <v>0</v>
      </c>
    </row>
    <row r="457" spans="1:21" ht="18" x14ac:dyDescent="0.3">
      <c r="A457" s="91" t="s">
        <v>1823</v>
      </c>
      <c r="B457" s="91"/>
      <c r="C457" s="92" t="s">
        <v>1792</v>
      </c>
      <c r="D457" s="93"/>
      <c r="E457" s="93"/>
      <c r="F457" s="94" t="s">
        <v>87</v>
      </c>
      <c r="G457" s="95">
        <v>1</v>
      </c>
      <c r="H457" s="95"/>
      <c r="I457" s="95">
        <v>0</v>
      </c>
      <c r="J457" s="90">
        <v>43.33</v>
      </c>
      <c r="M457" s="22">
        <f>ROUND(ROUND(J457, 2)*I457, 2)</f>
        <v>0</v>
      </c>
      <c r="P457" s="21">
        <v>43.33</v>
      </c>
      <c r="S457" s="22">
        <f>ROUND(ROUND(P457, 2)*I457, 2)</f>
        <v>0</v>
      </c>
    </row>
    <row r="458" spans="1:21" ht="18" x14ac:dyDescent="0.3">
      <c r="A458" s="91" t="s">
        <v>1828</v>
      </c>
      <c r="B458" s="91"/>
      <c r="C458" s="96" t="s">
        <v>1829</v>
      </c>
      <c r="D458" s="87"/>
      <c r="E458" s="87"/>
      <c r="F458" s="88" t="s">
        <v>64</v>
      </c>
      <c r="G458" s="89">
        <v>1.1000000000000001</v>
      </c>
      <c r="H458" s="89"/>
      <c r="I458" s="89">
        <v>0</v>
      </c>
      <c r="J458" s="90">
        <v>312.73</v>
      </c>
      <c r="M458" s="22">
        <f>ROUND(ROUND(J458, 2)*I458, 2)</f>
        <v>0</v>
      </c>
      <c r="P458" s="21">
        <v>312.73</v>
      </c>
      <c r="S458" s="22">
        <f>ROUND(ROUND(P458, 2)*I458, 2)</f>
        <v>0</v>
      </c>
    </row>
    <row r="459" spans="1:21" ht="34.799999999999997" x14ac:dyDescent="0.3">
      <c r="A459" s="74" t="s">
        <v>1835</v>
      </c>
      <c r="B459" s="74" t="s">
        <v>1813</v>
      </c>
      <c r="C459" s="75" t="s">
        <v>1814</v>
      </c>
      <c r="D459" s="76"/>
      <c r="E459" s="76" t="s">
        <v>1836</v>
      </c>
      <c r="F459" s="76" t="s">
        <v>64</v>
      </c>
      <c r="G459" s="77">
        <v>1</v>
      </c>
      <c r="H459" s="77"/>
      <c r="I459" s="77">
        <v>8.0399999999999991</v>
      </c>
      <c r="J459" s="14">
        <f>IFERROR(ROUND(SUM(M460,M461,M462,M463)/I459, 2),0)</f>
        <v>845.65</v>
      </c>
      <c r="K459" s="15">
        <v>1477</v>
      </c>
      <c r="L459" s="14">
        <f>J459+ROUND(K459, 2)</f>
        <v>2322.65</v>
      </c>
      <c r="M459" s="14">
        <f>ROUND(J459*I459, 2)</f>
        <v>6799.03</v>
      </c>
      <c r="N459" s="14">
        <f>ROUND(I459*ROUND(K459, 2), 2)</f>
        <v>11875.08</v>
      </c>
      <c r="O459" s="14">
        <f>M459+N459</f>
        <v>18674.11</v>
      </c>
      <c r="P459" s="14">
        <f>IFERROR(ROUND(SUM(S460,S461,S462,S463)/I459, 2),0)</f>
        <v>845.65</v>
      </c>
      <c r="Q459" s="15">
        <v>1477</v>
      </c>
      <c r="R459" s="14">
        <f>P459+ROUND(Q459, 2)</f>
        <v>2322.65</v>
      </c>
      <c r="S459" s="14">
        <f>ROUND(P459*I459, 2)</f>
        <v>6799.03</v>
      </c>
      <c r="T459" s="14">
        <f>ROUND(I459*ROUND(Q459, 2), 2)</f>
        <v>11875.08</v>
      </c>
      <c r="U459" s="14">
        <f>S459+T459</f>
        <v>18674.11</v>
      </c>
    </row>
    <row r="460" spans="1:21" ht="18" x14ac:dyDescent="0.3">
      <c r="A460" s="91" t="s">
        <v>1837</v>
      </c>
      <c r="B460" s="91"/>
      <c r="C460" s="96" t="s">
        <v>1838</v>
      </c>
      <c r="D460" s="93"/>
      <c r="E460" s="93"/>
      <c r="F460" s="94" t="s">
        <v>64</v>
      </c>
      <c r="G460" s="95">
        <v>1.1000000000000001</v>
      </c>
      <c r="H460" s="95"/>
      <c r="I460" s="95">
        <v>17.687999999999999</v>
      </c>
      <c r="J460" s="90">
        <v>276.08999999999997</v>
      </c>
      <c r="M460" s="22">
        <f>ROUND(ROUND(J460, 2)*I460, 2)</f>
        <v>4883.4799999999996</v>
      </c>
      <c r="P460" s="21">
        <v>276.08999999999997</v>
      </c>
      <c r="S460" s="22">
        <f>ROUND(ROUND(P460, 2)*I460, 2)</f>
        <v>4883.4799999999996</v>
      </c>
    </row>
    <row r="461" spans="1:21" ht="18" x14ac:dyDescent="0.3">
      <c r="A461" s="91" t="s">
        <v>1842</v>
      </c>
      <c r="B461" s="91"/>
      <c r="C461" s="92" t="s">
        <v>1787</v>
      </c>
      <c r="D461" s="93"/>
      <c r="E461" s="93"/>
      <c r="F461" s="94" t="s">
        <v>87</v>
      </c>
      <c r="G461" s="95">
        <v>1</v>
      </c>
      <c r="H461" s="95"/>
      <c r="I461" s="95">
        <v>32</v>
      </c>
      <c r="J461" s="90">
        <v>44.71</v>
      </c>
      <c r="M461" s="22">
        <f>ROUND(ROUND(J461, 2)*I461, 2)</f>
        <v>1430.72</v>
      </c>
      <c r="P461" s="21">
        <v>44.71</v>
      </c>
      <c r="S461" s="22">
        <f>ROUND(ROUND(P461, 2)*I461, 2)</f>
        <v>1430.72</v>
      </c>
    </row>
    <row r="462" spans="1:21" ht="18" x14ac:dyDescent="0.3">
      <c r="A462" s="91" t="s">
        <v>1845</v>
      </c>
      <c r="B462" s="91"/>
      <c r="C462" s="92" t="s">
        <v>1792</v>
      </c>
      <c r="D462" s="93"/>
      <c r="E462" s="93"/>
      <c r="F462" s="94" t="s">
        <v>87</v>
      </c>
      <c r="G462" s="95">
        <v>1</v>
      </c>
      <c r="H462" s="95"/>
      <c r="I462" s="95">
        <v>6.4</v>
      </c>
      <c r="J462" s="90">
        <v>35.76</v>
      </c>
      <c r="M462" s="22">
        <f>ROUND(ROUND(J462, 2)*I462, 2)</f>
        <v>228.86</v>
      </c>
      <c r="P462" s="21">
        <v>35.76</v>
      </c>
      <c r="S462" s="22">
        <f>ROUND(ROUND(P462, 2)*I462, 2)</f>
        <v>228.86</v>
      </c>
    </row>
    <row r="463" spans="1:21" ht="18" x14ac:dyDescent="0.3">
      <c r="A463" s="91" t="s">
        <v>1848</v>
      </c>
      <c r="B463" s="91"/>
      <c r="C463" s="92" t="s">
        <v>1849</v>
      </c>
      <c r="D463" s="93"/>
      <c r="E463" s="93"/>
      <c r="F463" s="94" t="s">
        <v>116</v>
      </c>
      <c r="G463" s="95">
        <v>1</v>
      </c>
      <c r="H463" s="95"/>
      <c r="I463" s="95">
        <v>3.2</v>
      </c>
      <c r="J463" s="90">
        <v>80</v>
      </c>
      <c r="M463" s="22">
        <f>ROUND(ROUND(J463, 2)*I463, 2)</f>
        <v>256</v>
      </c>
      <c r="P463" s="21">
        <v>80</v>
      </c>
      <c r="S463" s="22">
        <f>ROUND(ROUND(P463, 2)*I463, 2)</f>
        <v>256</v>
      </c>
    </row>
    <row r="464" spans="1:21" ht="43.5" customHeight="1" x14ac:dyDescent="0.3">
      <c r="A464" s="74" t="s">
        <v>1853</v>
      </c>
      <c r="B464" s="74" t="s">
        <v>1813</v>
      </c>
      <c r="C464" s="75" t="s">
        <v>1814</v>
      </c>
      <c r="D464" s="76"/>
      <c r="E464" s="76" t="s">
        <v>1854</v>
      </c>
      <c r="F464" s="76" t="s">
        <v>64</v>
      </c>
      <c r="G464" s="77">
        <v>1</v>
      </c>
      <c r="H464" s="77"/>
      <c r="I464" s="77">
        <v>204.12</v>
      </c>
      <c r="J464" s="14">
        <f>IFERROR(ROUND(SUM(M465,M466,M467,M468)/I464, 2),0)</f>
        <v>902.26</v>
      </c>
      <c r="K464" s="15">
        <v>1477</v>
      </c>
      <c r="L464" s="14">
        <f>J464+ROUND(K464, 2)</f>
        <v>2379.2600000000002</v>
      </c>
      <c r="M464" s="14">
        <f>ROUND(J464*I464, 2)</f>
        <v>184169.31</v>
      </c>
      <c r="N464" s="14">
        <f>ROUND(I464*ROUND(K464, 2), 2)</f>
        <v>301485.24</v>
      </c>
      <c r="O464" s="14">
        <f>M464+N464</f>
        <v>485654.55</v>
      </c>
      <c r="P464" s="14">
        <f>IFERROR(ROUND(SUM(S465,S466,S467,S468)/I464, 2),0)</f>
        <v>902.26</v>
      </c>
      <c r="Q464" s="15">
        <v>1477</v>
      </c>
      <c r="R464" s="14">
        <f>P464+ROUND(Q464, 2)</f>
        <v>2379.2600000000002</v>
      </c>
      <c r="S464" s="14">
        <f>ROUND(P464*I464, 2)</f>
        <v>184169.31</v>
      </c>
      <c r="T464" s="14">
        <f>ROUND(I464*ROUND(Q464, 2), 2)</f>
        <v>301485.24</v>
      </c>
      <c r="U464" s="14">
        <f>S464+T464</f>
        <v>485654.55</v>
      </c>
    </row>
    <row r="465" spans="1:21" ht="18" x14ac:dyDescent="0.3">
      <c r="A465" s="91" t="s">
        <v>1855</v>
      </c>
      <c r="B465" s="91"/>
      <c r="C465" s="92" t="s">
        <v>1849</v>
      </c>
      <c r="D465" s="93"/>
      <c r="E465" s="93"/>
      <c r="F465" s="94" t="s">
        <v>116</v>
      </c>
      <c r="G465" s="95">
        <v>1</v>
      </c>
      <c r="H465" s="95"/>
      <c r="I465" s="95">
        <v>88.5</v>
      </c>
      <c r="J465" s="90">
        <v>80</v>
      </c>
      <c r="M465" s="22">
        <f>ROUND(ROUND(J465, 2)*I465, 2)</f>
        <v>7080</v>
      </c>
      <c r="P465" s="21">
        <v>80</v>
      </c>
      <c r="S465" s="22">
        <f>ROUND(ROUND(P465, 2)*I465, 2)</f>
        <v>7080</v>
      </c>
    </row>
    <row r="466" spans="1:21" ht="18" x14ac:dyDescent="0.3">
      <c r="A466" s="91" t="s">
        <v>1858</v>
      </c>
      <c r="B466" s="91"/>
      <c r="C466" s="92" t="s">
        <v>1787</v>
      </c>
      <c r="D466" s="93"/>
      <c r="E466" s="93"/>
      <c r="F466" s="94" t="s">
        <v>87</v>
      </c>
      <c r="G466" s="95">
        <v>1</v>
      </c>
      <c r="H466" s="95"/>
      <c r="I466" s="95">
        <v>1024</v>
      </c>
      <c r="J466" s="90">
        <v>44.71</v>
      </c>
      <c r="M466" s="22">
        <f>ROUND(ROUND(J466, 2)*I466, 2)</f>
        <v>45783.040000000001</v>
      </c>
      <c r="P466" s="21">
        <v>44.71</v>
      </c>
      <c r="S466" s="22">
        <f>ROUND(ROUND(P466, 2)*I466, 2)</f>
        <v>45783.040000000001</v>
      </c>
    </row>
    <row r="467" spans="1:21" ht="18" x14ac:dyDescent="0.3">
      <c r="A467" s="91" t="s">
        <v>1861</v>
      </c>
      <c r="B467" s="91"/>
      <c r="C467" s="92" t="s">
        <v>1792</v>
      </c>
      <c r="D467" s="93"/>
      <c r="E467" s="93"/>
      <c r="F467" s="94" t="s">
        <v>87</v>
      </c>
      <c r="G467" s="95">
        <v>1</v>
      </c>
      <c r="H467" s="95"/>
      <c r="I467" s="95">
        <v>204.8</v>
      </c>
      <c r="J467" s="90">
        <v>35.76</v>
      </c>
      <c r="M467" s="22">
        <f>ROUND(ROUND(J467, 2)*I467, 2)</f>
        <v>7323.65</v>
      </c>
      <c r="P467" s="21">
        <v>35.76</v>
      </c>
      <c r="S467" s="22">
        <f>ROUND(ROUND(P467, 2)*I467, 2)</f>
        <v>7323.65</v>
      </c>
    </row>
    <row r="468" spans="1:21" ht="18" x14ac:dyDescent="0.3">
      <c r="A468" s="91" t="s">
        <v>1864</v>
      </c>
      <c r="B468" s="91"/>
      <c r="C468" s="96" t="s">
        <v>1838</v>
      </c>
      <c r="D468" s="93"/>
      <c r="E468" s="93"/>
      <c r="F468" s="94" t="s">
        <v>64</v>
      </c>
      <c r="G468" s="95">
        <v>1.1000000000000001</v>
      </c>
      <c r="H468" s="95"/>
      <c r="I468" s="95">
        <v>449.06400000000002</v>
      </c>
      <c r="J468" s="90">
        <v>276.08999999999997</v>
      </c>
      <c r="M468" s="22">
        <f>ROUND(ROUND(J468, 2)*I468, 2)</f>
        <v>123982.08</v>
      </c>
      <c r="P468" s="21">
        <v>276.08999999999997</v>
      </c>
      <c r="S468" s="22">
        <f>ROUND(ROUND(P468, 2)*I468, 2)</f>
        <v>123982.08</v>
      </c>
    </row>
    <row r="469" spans="1:21" ht="49.05" customHeight="1" x14ac:dyDescent="0.3">
      <c r="A469" s="74" t="s">
        <v>1867</v>
      </c>
      <c r="B469" s="74" t="s">
        <v>1813</v>
      </c>
      <c r="C469" s="75" t="s">
        <v>1814</v>
      </c>
      <c r="D469" s="76"/>
      <c r="E469" s="76" t="s">
        <v>1868</v>
      </c>
      <c r="F469" s="76" t="s">
        <v>64</v>
      </c>
      <c r="G469" s="77">
        <v>1</v>
      </c>
      <c r="H469" s="77"/>
      <c r="I469" s="77">
        <v>55.13</v>
      </c>
      <c r="J469" s="14">
        <f>IFERROR(ROUND(SUM(M470,M471,M472,M473)/I469, 2),0)</f>
        <v>292.88</v>
      </c>
      <c r="K469" s="15">
        <v>1477</v>
      </c>
      <c r="L469" s="14">
        <f>J469+ROUND(K469, 2)</f>
        <v>1769.88</v>
      </c>
      <c r="M469" s="14">
        <f>ROUND(J469*I469, 2)</f>
        <v>16146.47</v>
      </c>
      <c r="N469" s="14">
        <f>ROUND(I469*ROUND(K469, 2), 2)</f>
        <v>81427.009999999995</v>
      </c>
      <c r="O469" s="14">
        <f>M469+N469</f>
        <v>97573.48</v>
      </c>
      <c r="P469" s="14">
        <f>IFERROR(ROUND(SUM(S470,S471,S472,S473)/I469, 2),0)</f>
        <v>3637.61</v>
      </c>
      <c r="Q469" s="15">
        <v>1477</v>
      </c>
      <c r="R469" s="14">
        <f>P469+ROUND(Q469, 2)</f>
        <v>5114.6100000000006</v>
      </c>
      <c r="S469" s="14">
        <f>ROUND(P469*I469, 2)</f>
        <v>200541.44</v>
      </c>
      <c r="T469" s="14">
        <f>ROUND(I469*ROUND(Q469, 2), 2)</f>
        <v>81427.009999999995</v>
      </c>
      <c r="U469" s="14">
        <f>S469+T469</f>
        <v>281968.45</v>
      </c>
    </row>
    <row r="470" spans="1:21" ht="18" x14ac:dyDescent="0.3">
      <c r="A470" s="91" t="s">
        <v>1869</v>
      </c>
      <c r="B470" s="91"/>
      <c r="C470" s="92" t="s">
        <v>1870</v>
      </c>
      <c r="D470" s="93"/>
      <c r="E470" s="93"/>
      <c r="F470" s="94" t="s">
        <v>64</v>
      </c>
      <c r="G470" s="95">
        <v>1.1000000000000001</v>
      </c>
      <c r="H470" s="95"/>
      <c r="I470" s="95">
        <v>121.286</v>
      </c>
      <c r="J470" s="90">
        <v>0</v>
      </c>
      <c r="M470" s="22">
        <f>ROUND(ROUND(J470, 2)*I470, 2)</f>
        <v>0</v>
      </c>
      <c r="P470" s="21">
        <v>1520.33</v>
      </c>
      <c r="S470" s="22">
        <f>ROUND(ROUND(P470, 2)*I470, 2)</f>
        <v>184394.74</v>
      </c>
    </row>
    <row r="471" spans="1:21" ht="18" x14ac:dyDescent="0.3">
      <c r="A471" s="91" t="s">
        <v>1874</v>
      </c>
      <c r="B471" s="91"/>
      <c r="C471" s="92" t="s">
        <v>1787</v>
      </c>
      <c r="D471" s="93"/>
      <c r="E471" s="93"/>
      <c r="F471" s="94" t="s">
        <v>87</v>
      </c>
      <c r="G471" s="95">
        <v>1</v>
      </c>
      <c r="H471" s="95"/>
      <c r="I471" s="95">
        <v>272</v>
      </c>
      <c r="J471" s="90">
        <v>44.71</v>
      </c>
      <c r="M471" s="22">
        <f>ROUND(ROUND(J471, 2)*I471, 2)</f>
        <v>12161.12</v>
      </c>
      <c r="P471" s="21">
        <v>44.71</v>
      </c>
      <c r="S471" s="22">
        <f>ROUND(ROUND(P471, 2)*I471, 2)</f>
        <v>12161.12</v>
      </c>
    </row>
    <row r="472" spans="1:21" ht="18" x14ac:dyDescent="0.3">
      <c r="A472" s="91" t="s">
        <v>1877</v>
      </c>
      <c r="B472" s="91"/>
      <c r="C472" s="92" t="s">
        <v>1792</v>
      </c>
      <c r="D472" s="93"/>
      <c r="E472" s="93"/>
      <c r="F472" s="94" t="s">
        <v>87</v>
      </c>
      <c r="G472" s="95">
        <v>1</v>
      </c>
      <c r="H472" s="95"/>
      <c r="I472" s="95">
        <v>54.4</v>
      </c>
      <c r="J472" s="90">
        <v>35.76</v>
      </c>
      <c r="M472" s="22">
        <f>ROUND(ROUND(J472, 2)*I472, 2)</f>
        <v>1945.34</v>
      </c>
      <c r="P472" s="21">
        <v>35.76</v>
      </c>
      <c r="S472" s="22">
        <f>ROUND(ROUND(P472, 2)*I472, 2)</f>
        <v>1945.34</v>
      </c>
    </row>
    <row r="473" spans="1:21" ht="18" x14ac:dyDescent="0.3">
      <c r="A473" s="91" t="s">
        <v>1880</v>
      </c>
      <c r="B473" s="91"/>
      <c r="C473" s="92" t="s">
        <v>1849</v>
      </c>
      <c r="D473" s="93"/>
      <c r="E473" s="93"/>
      <c r="F473" s="94" t="s">
        <v>116</v>
      </c>
      <c r="G473" s="95">
        <v>1</v>
      </c>
      <c r="H473" s="95"/>
      <c r="I473" s="95">
        <v>25.5</v>
      </c>
      <c r="J473" s="90">
        <v>80</v>
      </c>
      <c r="M473" s="22">
        <f>ROUND(ROUND(J473, 2)*I473, 2)</f>
        <v>2040</v>
      </c>
      <c r="P473" s="21">
        <v>80</v>
      </c>
      <c r="S473" s="22">
        <f>ROUND(ROUND(P473, 2)*I473, 2)</f>
        <v>2040</v>
      </c>
    </row>
    <row r="474" spans="1:21" ht="49.05" customHeight="1" x14ac:dyDescent="0.3">
      <c r="A474" s="74" t="s">
        <v>1883</v>
      </c>
      <c r="B474" s="74" t="s">
        <v>1813</v>
      </c>
      <c r="C474" s="75" t="s">
        <v>1814</v>
      </c>
      <c r="D474" s="76"/>
      <c r="E474" s="76" t="s">
        <v>1884</v>
      </c>
      <c r="F474" s="76" t="s">
        <v>64</v>
      </c>
      <c r="G474" s="77">
        <v>1</v>
      </c>
      <c r="H474" s="77"/>
      <c r="I474" s="77">
        <v>23.49</v>
      </c>
      <c r="J474" s="14">
        <f>IFERROR(ROUND(SUM(M475,M476,M477)/I474, 2),0)</f>
        <v>904.12</v>
      </c>
      <c r="K474" s="15">
        <v>1477</v>
      </c>
      <c r="L474" s="14">
        <f>J474+ROUND(K474, 2)</f>
        <v>2381.12</v>
      </c>
      <c r="M474" s="14">
        <f>ROUND(J474*I474, 2)</f>
        <v>21237.78</v>
      </c>
      <c r="N474" s="14">
        <f>ROUND(I474*ROUND(K474, 2), 2)</f>
        <v>34694.730000000003</v>
      </c>
      <c r="O474" s="14">
        <f>M474+N474</f>
        <v>55932.51</v>
      </c>
      <c r="P474" s="14">
        <f>IFERROR(ROUND(SUM(S475,S476,S477)/I474, 2),0)</f>
        <v>904.12</v>
      </c>
      <c r="Q474" s="15">
        <v>1477</v>
      </c>
      <c r="R474" s="14">
        <f>P474+ROUND(Q474, 2)</f>
        <v>2381.12</v>
      </c>
      <c r="S474" s="14">
        <f>ROUND(P474*I474, 2)</f>
        <v>21237.78</v>
      </c>
      <c r="T474" s="14">
        <f>ROUND(I474*ROUND(Q474, 2), 2)</f>
        <v>34694.730000000003</v>
      </c>
      <c r="U474" s="14">
        <f>S474+T474</f>
        <v>55932.51</v>
      </c>
    </row>
    <row r="475" spans="1:21" ht="18" x14ac:dyDescent="0.3">
      <c r="A475" s="10" t="s">
        <v>1885</v>
      </c>
      <c r="B475" s="10"/>
      <c r="C475" s="24" t="s">
        <v>1787</v>
      </c>
      <c r="D475" s="12"/>
      <c r="E475" s="12"/>
      <c r="F475" s="18" t="s">
        <v>87</v>
      </c>
      <c r="G475" s="19">
        <v>1</v>
      </c>
      <c r="H475" s="20"/>
      <c r="I475" s="20">
        <v>84.2</v>
      </c>
      <c r="J475" s="21">
        <v>44.71</v>
      </c>
      <c r="M475" s="22">
        <f>ROUND(ROUND(J475, 2)*I475, 2)</f>
        <v>3764.58</v>
      </c>
      <c r="P475" s="21">
        <v>44.71</v>
      </c>
      <c r="S475" s="22">
        <f>ROUND(ROUND(P475, 2)*I475, 2)</f>
        <v>3764.58</v>
      </c>
    </row>
    <row r="476" spans="1:21" ht="18" x14ac:dyDescent="0.3">
      <c r="A476" s="10" t="s">
        <v>1888</v>
      </c>
      <c r="B476" s="10"/>
      <c r="C476" s="24" t="s">
        <v>1792</v>
      </c>
      <c r="D476" s="12"/>
      <c r="E476" s="12"/>
      <c r="F476" s="18" t="s">
        <v>87</v>
      </c>
      <c r="G476" s="19">
        <v>1</v>
      </c>
      <c r="H476" s="20"/>
      <c r="I476" s="20">
        <v>41.5</v>
      </c>
      <c r="J476" s="21">
        <v>35.76</v>
      </c>
      <c r="M476" s="22">
        <f>ROUND(ROUND(J476, 2)*I476, 2)</f>
        <v>1484.04</v>
      </c>
      <c r="P476" s="21">
        <v>35.76</v>
      </c>
      <c r="S476" s="22">
        <f>ROUND(ROUND(P476, 2)*I476, 2)</f>
        <v>1484.04</v>
      </c>
    </row>
    <row r="477" spans="1:21" ht="18" x14ac:dyDescent="0.3">
      <c r="A477" s="10" t="s">
        <v>1891</v>
      </c>
      <c r="B477" s="10"/>
      <c r="C477" s="17" t="s">
        <v>1829</v>
      </c>
      <c r="D477" s="12"/>
      <c r="E477" s="12"/>
      <c r="F477" s="18" t="s">
        <v>64</v>
      </c>
      <c r="G477" s="19">
        <v>1.1000000000000001</v>
      </c>
      <c r="H477" s="20"/>
      <c r="I477" s="20">
        <v>51.677999999999997</v>
      </c>
      <c r="J477" s="21">
        <v>309.39999999999998</v>
      </c>
      <c r="M477" s="22">
        <f>ROUND(ROUND(J477, 2)*I477, 2)</f>
        <v>15989.17</v>
      </c>
      <c r="P477" s="21">
        <v>309.39999999999998</v>
      </c>
      <c r="S477" s="22">
        <f>ROUND(ROUND(P477, 2)*I477, 2)</f>
        <v>15989.17</v>
      </c>
    </row>
    <row r="478" spans="1:21" ht="34.799999999999997" x14ac:dyDescent="0.3">
      <c r="A478" s="74" t="s">
        <v>1894</v>
      </c>
      <c r="B478" s="74" t="s">
        <v>1813</v>
      </c>
      <c r="C478" s="75" t="s">
        <v>1814</v>
      </c>
      <c r="D478" s="76"/>
      <c r="E478" s="76" t="s">
        <v>1895</v>
      </c>
      <c r="F478" s="76" t="s">
        <v>64</v>
      </c>
      <c r="G478" s="77">
        <v>1</v>
      </c>
      <c r="H478" s="77"/>
      <c r="I478" s="77">
        <v>2.74</v>
      </c>
      <c r="J478" s="14">
        <f>IFERROR(ROUND(SUM(M479,M480,M481,M482)/I478, 2),0)</f>
        <v>1025.02</v>
      </c>
      <c r="K478" s="15">
        <v>1477</v>
      </c>
      <c r="L478" s="14">
        <f>J478+ROUND(K478, 2)</f>
        <v>2502.02</v>
      </c>
      <c r="M478" s="14">
        <f>ROUND(J478*I478, 2)</f>
        <v>2808.55</v>
      </c>
      <c r="N478" s="14">
        <f>ROUND(I478*ROUND(K478, 2), 2)</f>
        <v>4046.98</v>
      </c>
      <c r="O478" s="14">
        <f>M478+N478</f>
        <v>6855.5300000000007</v>
      </c>
      <c r="P478" s="14">
        <f>IFERROR(ROUND(SUM(S479,S480,S481,S482)/I478, 2),0)</f>
        <v>1025.02</v>
      </c>
      <c r="Q478" s="15">
        <v>1477</v>
      </c>
      <c r="R478" s="14">
        <f>P478+ROUND(Q478, 2)</f>
        <v>2502.02</v>
      </c>
      <c r="S478" s="14">
        <f>ROUND(P478*I478, 2)</f>
        <v>2808.55</v>
      </c>
      <c r="T478" s="14">
        <f>ROUND(I478*ROUND(Q478, 2), 2)</f>
        <v>4046.98</v>
      </c>
      <c r="U478" s="14">
        <f>S478+T478</f>
        <v>6855.5300000000007</v>
      </c>
    </row>
    <row r="479" spans="1:21" ht="18" x14ac:dyDescent="0.3">
      <c r="A479" s="91" t="s">
        <v>1896</v>
      </c>
      <c r="B479" s="91"/>
      <c r="C479" s="96" t="s">
        <v>1829</v>
      </c>
      <c r="D479" s="93"/>
      <c r="E479" s="93"/>
      <c r="F479" s="94" t="s">
        <v>64</v>
      </c>
      <c r="G479" s="95">
        <v>1.1000000000000001</v>
      </c>
      <c r="H479" s="95"/>
      <c r="I479" s="95">
        <v>6.0279999999999996</v>
      </c>
      <c r="J479" s="90">
        <v>309.39999999999998</v>
      </c>
      <c r="M479" s="22">
        <f>ROUND(ROUND(J479, 2)*I479, 2)</f>
        <v>1865.06</v>
      </c>
      <c r="P479" s="21">
        <v>309.39999999999998</v>
      </c>
      <c r="S479" s="22">
        <f>ROUND(ROUND(P479, 2)*I479, 2)</f>
        <v>1865.06</v>
      </c>
    </row>
    <row r="480" spans="1:21" ht="18" x14ac:dyDescent="0.3">
      <c r="A480" s="91" t="s">
        <v>1899</v>
      </c>
      <c r="B480" s="91"/>
      <c r="C480" s="92" t="s">
        <v>1787</v>
      </c>
      <c r="D480" s="93"/>
      <c r="E480" s="93"/>
      <c r="F480" s="94" t="s">
        <v>87</v>
      </c>
      <c r="G480" s="95">
        <v>1</v>
      </c>
      <c r="H480" s="95"/>
      <c r="I480" s="95">
        <v>16</v>
      </c>
      <c r="J480" s="90">
        <v>44.71</v>
      </c>
      <c r="M480" s="22">
        <f>ROUND(ROUND(J480, 2)*I480, 2)</f>
        <v>715.36</v>
      </c>
      <c r="P480" s="21">
        <v>44.71</v>
      </c>
      <c r="S480" s="22">
        <f>ROUND(ROUND(P480, 2)*I480, 2)</f>
        <v>715.36</v>
      </c>
    </row>
    <row r="481" spans="1:21" ht="18" x14ac:dyDescent="0.3">
      <c r="A481" s="91" t="s">
        <v>1902</v>
      </c>
      <c r="B481" s="91"/>
      <c r="C481" s="92" t="s">
        <v>1792</v>
      </c>
      <c r="D481" s="93"/>
      <c r="E481" s="93"/>
      <c r="F481" s="94" t="s">
        <v>87</v>
      </c>
      <c r="G481" s="95">
        <v>1</v>
      </c>
      <c r="H481" s="95"/>
      <c r="I481" s="95">
        <v>2.8</v>
      </c>
      <c r="J481" s="90">
        <v>35.76</v>
      </c>
      <c r="M481" s="22">
        <f>ROUND(ROUND(J481, 2)*I481, 2)</f>
        <v>100.13</v>
      </c>
      <c r="P481" s="21">
        <v>35.76</v>
      </c>
      <c r="S481" s="22">
        <f>ROUND(ROUND(P481, 2)*I481, 2)</f>
        <v>100.13</v>
      </c>
    </row>
    <row r="482" spans="1:21" ht="18" x14ac:dyDescent="0.3">
      <c r="A482" s="91" t="s">
        <v>1905</v>
      </c>
      <c r="B482" s="91"/>
      <c r="C482" s="92" t="s">
        <v>1849</v>
      </c>
      <c r="D482" s="93"/>
      <c r="E482" s="93"/>
      <c r="F482" s="94" t="s">
        <v>116</v>
      </c>
      <c r="G482" s="95">
        <v>1</v>
      </c>
      <c r="H482" s="95"/>
      <c r="I482" s="95">
        <v>1.6</v>
      </c>
      <c r="J482" s="90">
        <v>80</v>
      </c>
      <c r="M482" s="22">
        <f>ROUND(ROUND(J482, 2)*I482, 2)</f>
        <v>128</v>
      </c>
      <c r="P482" s="21">
        <v>80</v>
      </c>
      <c r="S482" s="22">
        <f>ROUND(ROUND(P482, 2)*I482, 2)</f>
        <v>128</v>
      </c>
    </row>
    <row r="483" spans="1:21" ht="52.2" x14ac:dyDescent="0.3">
      <c r="A483" s="74" t="s">
        <v>1908</v>
      </c>
      <c r="B483" s="74" t="s">
        <v>1909</v>
      </c>
      <c r="C483" s="75" t="s">
        <v>1910</v>
      </c>
      <c r="D483" s="76"/>
      <c r="E483" s="76" t="s">
        <v>1911</v>
      </c>
      <c r="F483" s="76" t="s">
        <v>64</v>
      </c>
      <c r="G483" s="77">
        <v>1</v>
      </c>
      <c r="H483" s="77"/>
      <c r="I483" s="77">
        <v>662.77499999999998</v>
      </c>
      <c r="J483" s="14">
        <f>IFERROR(ROUND(SUM(M484,M485,M486,M487,M488,M489,M490)/I483, 2),0)</f>
        <v>1056.3599999999999</v>
      </c>
      <c r="K483" s="15">
        <v>1612</v>
      </c>
      <c r="L483" s="14">
        <f>J483+ROUND(K483, 2)</f>
        <v>2668.3599999999997</v>
      </c>
      <c r="M483" s="14">
        <f>ROUND(J483*I483, 2)</f>
        <v>700129</v>
      </c>
      <c r="N483" s="14">
        <f>ROUND(I483*ROUND(K483, 2), 2)</f>
        <v>1068393.3</v>
      </c>
      <c r="O483" s="14">
        <f>M483+N483</f>
        <v>1768522.3</v>
      </c>
      <c r="P483" s="14">
        <f>IFERROR(ROUND(SUM(S484,S485,S486,S487,S488,S489,S490)/I483, 2),0)</f>
        <v>1056.3599999999999</v>
      </c>
      <c r="Q483" s="15">
        <v>1612</v>
      </c>
      <c r="R483" s="14">
        <f>P483+ROUND(Q483, 2)</f>
        <v>2668.3599999999997</v>
      </c>
      <c r="S483" s="14">
        <f>ROUND(P483*I483, 2)</f>
        <v>700129</v>
      </c>
      <c r="T483" s="14">
        <f>ROUND(I483*ROUND(Q483, 2), 2)</f>
        <v>1068393.3</v>
      </c>
      <c r="U483" s="14">
        <f>S483+T483</f>
        <v>1768522.3</v>
      </c>
    </row>
    <row r="484" spans="1:21" ht="18" x14ac:dyDescent="0.3">
      <c r="A484" s="91" t="s">
        <v>1914</v>
      </c>
      <c r="B484" s="91"/>
      <c r="C484" s="92" t="s">
        <v>1915</v>
      </c>
      <c r="D484" s="93"/>
      <c r="E484" s="93"/>
      <c r="F484" s="94" t="s">
        <v>116</v>
      </c>
      <c r="G484" s="95">
        <v>44</v>
      </c>
      <c r="H484" s="95"/>
      <c r="I484" s="95">
        <v>29162.1</v>
      </c>
      <c r="J484" s="90">
        <v>0.95</v>
      </c>
      <c r="M484" s="22">
        <f t="shared" ref="M484:M490" si="8">ROUND(ROUND(J484, 2)*I484, 2)</f>
        <v>27704</v>
      </c>
      <c r="P484" s="21">
        <v>0.95</v>
      </c>
      <c r="S484" s="22">
        <f t="shared" ref="S484:S490" si="9">ROUND(ROUND(P484, 2)*I484, 2)</f>
        <v>27704</v>
      </c>
    </row>
    <row r="485" spans="1:21" ht="18" x14ac:dyDescent="0.3">
      <c r="A485" s="91" t="s">
        <v>1919</v>
      </c>
      <c r="B485" s="91"/>
      <c r="C485" s="92" t="s">
        <v>1920</v>
      </c>
      <c r="D485" s="93"/>
      <c r="E485" s="93"/>
      <c r="F485" s="94" t="s">
        <v>116</v>
      </c>
      <c r="G485" s="95">
        <v>20</v>
      </c>
      <c r="H485" s="95"/>
      <c r="I485" s="95">
        <v>13255.5</v>
      </c>
      <c r="J485" s="90">
        <v>0.28000000000000003</v>
      </c>
      <c r="M485" s="22">
        <f t="shared" si="8"/>
        <v>3711.54</v>
      </c>
      <c r="P485" s="21">
        <v>0.28000000000000003</v>
      </c>
      <c r="S485" s="22">
        <f t="shared" si="9"/>
        <v>3711.54</v>
      </c>
    </row>
    <row r="486" spans="1:21" ht="18" x14ac:dyDescent="0.3">
      <c r="A486" s="91" t="s">
        <v>1924</v>
      </c>
      <c r="B486" s="91"/>
      <c r="C486" s="92" t="s">
        <v>1849</v>
      </c>
      <c r="D486" s="93"/>
      <c r="E486" s="93"/>
      <c r="F486" s="94" t="s">
        <v>116</v>
      </c>
      <c r="G486" s="95">
        <v>2.2200000000000002</v>
      </c>
      <c r="H486" s="95"/>
      <c r="I486" s="95">
        <v>1471.3610000000001</v>
      </c>
      <c r="J486" s="90">
        <v>80</v>
      </c>
      <c r="M486" s="22">
        <f t="shared" si="8"/>
        <v>117708.88</v>
      </c>
      <c r="P486" s="21">
        <v>80</v>
      </c>
      <c r="S486" s="22">
        <f t="shared" si="9"/>
        <v>117708.88</v>
      </c>
    </row>
    <row r="487" spans="1:21" ht="36" x14ac:dyDescent="0.3">
      <c r="A487" s="91" t="s">
        <v>1927</v>
      </c>
      <c r="B487" s="91"/>
      <c r="C487" s="96" t="s">
        <v>1928</v>
      </c>
      <c r="D487" s="93"/>
      <c r="E487" s="93"/>
      <c r="F487" s="94" t="s">
        <v>87</v>
      </c>
      <c r="G487" s="95">
        <v>13.5</v>
      </c>
      <c r="H487" s="95"/>
      <c r="I487" s="95">
        <v>8947.4629999999997</v>
      </c>
      <c r="J487" s="90">
        <v>32.950000000000003</v>
      </c>
      <c r="M487" s="22">
        <f t="shared" si="8"/>
        <v>294818.90999999997</v>
      </c>
      <c r="P487" s="21">
        <v>32.950000000000003</v>
      </c>
      <c r="S487" s="22">
        <f t="shared" si="9"/>
        <v>294818.90999999997</v>
      </c>
    </row>
    <row r="488" spans="1:21" ht="18" x14ac:dyDescent="0.3">
      <c r="A488" s="91" t="s">
        <v>1932</v>
      </c>
      <c r="B488" s="91"/>
      <c r="C488" s="92" t="s">
        <v>1933</v>
      </c>
      <c r="D488" s="93"/>
      <c r="E488" s="93"/>
      <c r="F488" s="94" t="s">
        <v>116</v>
      </c>
      <c r="G488" s="95">
        <v>33.75</v>
      </c>
      <c r="H488" s="95"/>
      <c r="I488" s="95">
        <v>22368.655999999999</v>
      </c>
      <c r="J488" s="90">
        <v>0.9</v>
      </c>
      <c r="M488" s="22">
        <f t="shared" si="8"/>
        <v>20131.79</v>
      </c>
      <c r="P488" s="21">
        <v>0.9</v>
      </c>
      <c r="S488" s="22">
        <f t="shared" si="9"/>
        <v>20131.79</v>
      </c>
    </row>
    <row r="489" spans="1:21" ht="36" x14ac:dyDescent="0.3">
      <c r="A489" s="91" t="s">
        <v>1937</v>
      </c>
      <c r="B489" s="91"/>
      <c r="C489" s="92" t="s">
        <v>1767</v>
      </c>
      <c r="D489" s="93"/>
      <c r="E489" s="93"/>
      <c r="F489" s="94" t="s">
        <v>64</v>
      </c>
      <c r="G489" s="95">
        <v>2.1</v>
      </c>
      <c r="H489" s="95"/>
      <c r="I489" s="95">
        <v>1391.828</v>
      </c>
      <c r="J489" s="90">
        <v>135.53</v>
      </c>
      <c r="M489" s="22">
        <f t="shared" si="8"/>
        <v>188634.45</v>
      </c>
      <c r="P489" s="21">
        <v>135.53</v>
      </c>
      <c r="S489" s="22">
        <f t="shared" si="9"/>
        <v>188634.45</v>
      </c>
    </row>
    <row r="490" spans="1:21" ht="18" x14ac:dyDescent="0.3">
      <c r="A490" s="91" t="s">
        <v>1940</v>
      </c>
      <c r="B490" s="91"/>
      <c r="C490" s="92" t="s">
        <v>1774</v>
      </c>
      <c r="D490" s="93"/>
      <c r="E490" s="93"/>
      <c r="F490" s="94" t="s">
        <v>116</v>
      </c>
      <c r="G490" s="95">
        <v>0.6</v>
      </c>
      <c r="H490" s="95"/>
      <c r="I490" s="95">
        <v>397.66500000000002</v>
      </c>
      <c r="J490" s="90">
        <v>119.25</v>
      </c>
      <c r="M490" s="22">
        <f t="shared" si="8"/>
        <v>47421.55</v>
      </c>
      <c r="P490" s="21">
        <v>119.25</v>
      </c>
      <c r="S490" s="22">
        <f t="shared" si="9"/>
        <v>47421.55</v>
      </c>
    </row>
    <row r="491" spans="1:21" ht="16.95" customHeight="1" x14ac:dyDescent="0.3">
      <c r="A491" s="10" t="s">
        <v>1943</v>
      </c>
      <c r="B491" s="10" t="s">
        <v>1944</v>
      </c>
      <c r="C491" s="352" t="s">
        <v>1945</v>
      </c>
      <c r="D491" s="353"/>
      <c r="E491" s="353"/>
      <c r="F491" s="353"/>
      <c r="G491" s="353"/>
      <c r="H491" s="353"/>
      <c r="I491" s="354"/>
      <c r="M491" s="6">
        <f>SUM(M492,M494)</f>
        <v>1119590.1000000001</v>
      </c>
      <c r="N491" s="6">
        <f>SUM(N492,N494)</f>
        <v>142186</v>
      </c>
      <c r="O491" s="6">
        <f>SUM(O492,O494)</f>
        <v>1261776.1000000001</v>
      </c>
      <c r="S491" s="6">
        <f>SUM(S492,S494)</f>
        <v>2711160</v>
      </c>
      <c r="T491" s="6">
        <f>SUM(T492,T494)</f>
        <v>698900</v>
      </c>
      <c r="U491" s="6">
        <f>SUM(U492,U494)</f>
        <v>3410060</v>
      </c>
    </row>
    <row r="492" spans="1:21" ht="36" x14ac:dyDescent="0.3">
      <c r="A492" s="91" t="s">
        <v>1946</v>
      </c>
      <c r="B492" s="91" t="s">
        <v>1947</v>
      </c>
      <c r="C492" s="97" t="s">
        <v>1948</v>
      </c>
      <c r="D492" s="93"/>
      <c r="E492" s="93" t="s">
        <v>1949</v>
      </c>
      <c r="F492" s="93" t="s">
        <v>116</v>
      </c>
      <c r="G492" s="98">
        <v>1</v>
      </c>
      <c r="H492" s="98"/>
      <c r="I492" s="98">
        <v>7</v>
      </c>
      <c r="J492" s="99">
        <f>IFERROR(ROUND(SUM(M493)/I492, 2),0)</f>
        <v>16710.3</v>
      </c>
      <c r="K492" s="15">
        <v>2458</v>
      </c>
      <c r="L492" s="14">
        <f>J492+ROUND(K492, 2)</f>
        <v>19168.3</v>
      </c>
      <c r="M492" s="14">
        <f>ROUND(J492*I492, 2)</f>
        <v>116972.1</v>
      </c>
      <c r="N492" s="14">
        <f>ROUND(I492*ROUND(K492, 2), 2)</f>
        <v>17206</v>
      </c>
      <c r="O492" s="14">
        <f>M492+N492</f>
        <v>134178.1</v>
      </c>
      <c r="P492" s="14">
        <f>IFERROR(ROUND(SUM(S493)/I492, 2),0)</f>
        <v>151920</v>
      </c>
      <c r="Q492" s="15">
        <v>22700</v>
      </c>
      <c r="R492" s="14">
        <f>P492+ROUND(Q492, 2)</f>
        <v>174620</v>
      </c>
      <c r="S492" s="14">
        <f>ROUND(P492*I492, 2)</f>
        <v>1063440</v>
      </c>
      <c r="T492" s="14">
        <f>ROUND(I492*ROUND(Q492, 2), 2)</f>
        <v>158900</v>
      </c>
      <c r="U492" s="14">
        <f>S492+T492</f>
        <v>1222340</v>
      </c>
    </row>
    <row r="493" spans="1:21" ht="94.05" customHeight="1" x14ac:dyDescent="0.3">
      <c r="A493" s="91" t="s">
        <v>1952</v>
      </c>
      <c r="B493" s="91"/>
      <c r="C493" s="92" t="s">
        <v>1953</v>
      </c>
      <c r="D493" s="93"/>
      <c r="E493" s="93" t="s">
        <v>1954</v>
      </c>
      <c r="F493" s="94" t="s">
        <v>116</v>
      </c>
      <c r="G493" s="95">
        <v>1</v>
      </c>
      <c r="H493" s="95"/>
      <c r="I493" s="95">
        <v>7</v>
      </c>
      <c r="J493" s="90">
        <v>16710.3</v>
      </c>
      <c r="M493" s="22">
        <f>ROUND(ROUND(J493, 2)*I493, 2)</f>
        <v>116972.1</v>
      </c>
      <c r="P493" s="21">
        <v>151920</v>
      </c>
      <c r="S493" s="22">
        <f>ROUND(ROUND(P493, 2)*I493, 2)</f>
        <v>1063440</v>
      </c>
    </row>
    <row r="494" spans="1:21" ht="36" x14ac:dyDescent="0.3">
      <c r="A494" s="91" t="s">
        <v>1958</v>
      </c>
      <c r="B494" s="91" t="s">
        <v>1959</v>
      </c>
      <c r="C494" s="97" t="s">
        <v>1960</v>
      </c>
      <c r="D494" s="93"/>
      <c r="E494" s="93" t="s">
        <v>1961</v>
      </c>
      <c r="F494" s="93" t="s">
        <v>116</v>
      </c>
      <c r="G494" s="98">
        <v>1</v>
      </c>
      <c r="H494" s="98"/>
      <c r="I494" s="98">
        <v>60</v>
      </c>
      <c r="J494" s="99">
        <f>IFERROR(ROUND(SUM(M495)/I494, 2),0)</f>
        <v>16710.3</v>
      </c>
      <c r="K494" s="15">
        <v>2083</v>
      </c>
      <c r="L494" s="14">
        <f>J494+ROUND(K494, 2)</f>
        <v>18793.3</v>
      </c>
      <c r="M494" s="14">
        <f>ROUND(J494*I494, 2)</f>
        <v>1002618</v>
      </c>
      <c r="N494" s="14">
        <f>ROUND(I494*ROUND(K494, 2), 2)</f>
        <v>124980</v>
      </c>
      <c r="O494" s="14">
        <f>M494+N494</f>
        <v>1127598</v>
      </c>
      <c r="P494" s="14">
        <f>IFERROR(ROUND(SUM(S495)/I494, 2),0)</f>
        <v>27462</v>
      </c>
      <c r="Q494" s="15">
        <v>9000</v>
      </c>
      <c r="R494" s="14">
        <f>P494+ROUND(Q494, 2)</f>
        <v>36462</v>
      </c>
      <c r="S494" s="14">
        <f>ROUND(P494*I494, 2)</f>
        <v>1647720</v>
      </c>
      <c r="T494" s="14">
        <f>ROUND(I494*ROUND(Q494, 2), 2)</f>
        <v>540000</v>
      </c>
      <c r="U494" s="14">
        <f>S494+T494</f>
        <v>2187720</v>
      </c>
    </row>
    <row r="495" spans="1:21" ht="121.95" customHeight="1" x14ac:dyDescent="0.3">
      <c r="A495" s="91" t="s">
        <v>1964</v>
      </c>
      <c r="B495" s="91"/>
      <c r="C495" s="92" t="s">
        <v>1965</v>
      </c>
      <c r="D495" s="93"/>
      <c r="E495" s="93" t="s">
        <v>1966</v>
      </c>
      <c r="F495" s="94" t="s">
        <v>116</v>
      </c>
      <c r="G495" s="95">
        <v>1</v>
      </c>
      <c r="H495" s="95"/>
      <c r="I495" s="95">
        <v>60</v>
      </c>
      <c r="J495" s="90">
        <v>16710.3</v>
      </c>
      <c r="M495" s="22">
        <f>ROUND(ROUND(J495, 2)*I495, 2)</f>
        <v>1002618</v>
      </c>
      <c r="P495" s="21">
        <v>27462</v>
      </c>
      <c r="S495" s="22">
        <f>ROUND(ROUND(P495, 2)*I495, 2)</f>
        <v>1647720</v>
      </c>
    </row>
    <row r="496" spans="1:21" ht="30.45" customHeight="1" x14ac:dyDescent="0.3">
      <c r="A496" s="10" t="s">
        <v>1970</v>
      </c>
      <c r="B496" s="10" t="s">
        <v>1971</v>
      </c>
      <c r="C496" s="352" t="s">
        <v>1972</v>
      </c>
      <c r="D496" s="353"/>
      <c r="E496" s="353"/>
      <c r="F496" s="353"/>
      <c r="G496" s="353"/>
      <c r="H496" s="353"/>
      <c r="I496" s="354"/>
      <c r="M496" s="6">
        <f>SUM(M497,M513)</f>
        <v>726549.21</v>
      </c>
      <c r="N496" s="6">
        <f>SUM(N497,N513)</f>
        <v>11035123.120000001</v>
      </c>
      <c r="O496" s="6">
        <f>SUM(O497,O513)</f>
        <v>11761672.330000002</v>
      </c>
      <c r="S496" s="6">
        <f>SUM(S497,S513)</f>
        <v>1075636.0899999999</v>
      </c>
      <c r="T496" s="6">
        <f>SUM(T497,T513)</f>
        <v>11035123.120000001</v>
      </c>
      <c r="U496" s="6">
        <f>SUM(U497,U513)</f>
        <v>12110759.210000001</v>
      </c>
    </row>
    <row r="497" spans="1:21" ht="28.5" customHeight="1" x14ac:dyDescent="0.3">
      <c r="A497" s="10" t="s">
        <v>1973</v>
      </c>
      <c r="B497" s="10" t="s">
        <v>1974</v>
      </c>
      <c r="C497" s="352" t="s">
        <v>1975</v>
      </c>
      <c r="D497" s="353"/>
      <c r="E497" s="353"/>
      <c r="F497" s="353"/>
      <c r="G497" s="353"/>
      <c r="H497" s="353"/>
      <c r="I497" s="354"/>
      <c r="M497" s="6">
        <f>SUM(M498,M501,M504,M507,M510)</f>
        <v>647882</v>
      </c>
      <c r="N497" s="6">
        <f>SUM(N498,N501,N504,N507,N510)</f>
        <v>8293286.8000000007</v>
      </c>
      <c r="O497" s="6">
        <f>SUM(O498,O501,O504,O507,O510)</f>
        <v>8941168.8000000007</v>
      </c>
      <c r="S497" s="6">
        <f>SUM(S498,S501,S504,S507,S510)</f>
        <v>647882</v>
      </c>
      <c r="T497" s="6">
        <f>SUM(T498,T501,T504,T507,T510)</f>
        <v>8293286.8000000007</v>
      </c>
      <c r="U497" s="6">
        <f>SUM(U498,U501,U504,U507,U510)</f>
        <v>8941168.8000000007</v>
      </c>
    </row>
    <row r="498" spans="1:21" ht="36" x14ac:dyDescent="0.3">
      <c r="A498" s="146" t="s">
        <v>1976</v>
      </c>
      <c r="B498" s="146" t="s">
        <v>1977</v>
      </c>
      <c r="C498" s="147" t="s">
        <v>1978</v>
      </c>
      <c r="D498" s="148"/>
      <c r="E498" s="148" t="s">
        <v>63</v>
      </c>
      <c r="F498" s="148" t="s">
        <v>64</v>
      </c>
      <c r="G498" s="149">
        <v>1</v>
      </c>
      <c r="H498" s="149"/>
      <c r="I498" s="149">
        <v>0</v>
      </c>
      <c r="J498" s="150">
        <f>IFERROR(ROUND(SUM(M499,M500)/I498, 2),0)</f>
        <v>0</v>
      </c>
      <c r="K498" s="15">
        <v>570</v>
      </c>
      <c r="L498" s="14">
        <f>J498+ROUND(K498, 2)</f>
        <v>570</v>
      </c>
      <c r="M498" s="14">
        <f>ROUND(J498*I498, 2)</f>
        <v>0</v>
      </c>
      <c r="N498" s="14">
        <f>ROUND(I498*ROUND(K498, 2), 2)</f>
        <v>0</v>
      </c>
      <c r="O498" s="14">
        <f>M498+N498</f>
        <v>0</v>
      </c>
      <c r="P498" s="14">
        <f>IFERROR(ROUND(SUM(S499,S500)/I498, 2),0)</f>
        <v>0</v>
      </c>
      <c r="Q498" s="15">
        <v>570</v>
      </c>
      <c r="R498" s="14">
        <f>P498+ROUND(Q498, 2)</f>
        <v>570</v>
      </c>
      <c r="S498" s="14">
        <f>ROUND(P498*I498, 2)</f>
        <v>0</v>
      </c>
      <c r="T498" s="14">
        <f>ROUND(I498*ROUND(Q498, 2), 2)</f>
        <v>0</v>
      </c>
      <c r="U498" s="14">
        <f>S498+T498</f>
        <v>0</v>
      </c>
    </row>
    <row r="499" spans="1:21" ht="72" x14ac:dyDescent="0.3">
      <c r="A499" s="146" t="s">
        <v>1982</v>
      </c>
      <c r="B499" s="146"/>
      <c r="C499" s="151" t="s">
        <v>1983</v>
      </c>
      <c r="D499" s="148"/>
      <c r="E499" s="148" t="s">
        <v>1984</v>
      </c>
      <c r="F499" s="152" t="s">
        <v>70</v>
      </c>
      <c r="G499" s="153">
        <v>4.5</v>
      </c>
      <c r="H499" s="153"/>
      <c r="I499" s="153">
        <v>0</v>
      </c>
      <c r="J499" s="154">
        <v>12.58</v>
      </c>
      <c r="M499" s="22">
        <f>ROUND(ROUND(J499, 2)*I499, 2)</f>
        <v>0</v>
      </c>
      <c r="P499" s="21">
        <v>12.58</v>
      </c>
      <c r="S499" s="22">
        <f>ROUND(ROUND(P499, 2)*I499, 2)</f>
        <v>0</v>
      </c>
    </row>
    <row r="500" spans="1:21" ht="18" x14ac:dyDescent="0.3">
      <c r="A500" s="146" t="s">
        <v>1990</v>
      </c>
      <c r="B500" s="146"/>
      <c r="C500" s="155" t="s">
        <v>760</v>
      </c>
      <c r="D500" s="148"/>
      <c r="E500" s="148"/>
      <c r="F500" s="152" t="s">
        <v>70</v>
      </c>
      <c r="G500" s="153">
        <v>0.15</v>
      </c>
      <c r="H500" s="153"/>
      <c r="I500" s="153">
        <v>0</v>
      </c>
      <c r="J500" s="154">
        <v>100</v>
      </c>
      <c r="M500" s="22">
        <f>ROUND(ROUND(J500, 2)*I500, 2)</f>
        <v>0</v>
      </c>
      <c r="P500" s="21">
        <v>100</v>
      </c>
      <c r="S500" s="22">
        <f>ROUND(ROUND(P500, 2)*I500, 2)</f>
        <v>0</v>
      </c>
    </row>
    <row r="501" spans="1:21" ht="142.94999999999999" customHeight="1" x14ac:dyDescent="0.3">
      <c r="A501" s="74" t="s">
        <v>1995</v>
      </c>
      <c r="B501" s="74" t="s">
        <v>1996</v>
      </c>
      <c r="C501" s="75" t="s">
        <v>1997</v>
      </c>
      <c r="D501" s="76"/>
      <c r="E501" s="76" t="s">
        <v>1998</v>
      </c>
      <c r="F501" s="76" t="s">
        <v>64</v>
      </c>
      <c r="G501" s="77">
        <v>1</v>
      </c>
      <c r="H501" s="77"/>
      <c r="I501" s="77">
        <v>2789.37</v>
      </c>
      <c r="J501" s="14">
        <f>IFERROR(ROUND(SUM(M502,M503)/I501, 2),0)</f>
        <v>69.319999999999993</v>
      </c>
      <c r="K501" s="15">
        <v>790</v>
      </c>
      <c r="L501" s="14">
        <f>J501+ROUND(K501, 2)</f>
        <v>859.31999999999994</v>
      </c>
      <c r="M501" s="14">
        <f>ROUND(J501*I501, 2)</f>
        <v>193359.13</v>
      </c>
      <c r="N501" s="14">
        <f>ROUND(I501*ROUND(K501, 2), 2)</f>
        <v>2203602.2999999998</v>
      </c>
      <c r="O501" s="14">
        <f>M501+N501</f>
        <v>2396961.4299999997</v>
      </c>
      <c r="P501" s="14">
        <f>IFERROR(ROUND(SUM(S502,S503)/I501, 2),0)</f>
        <v>69.319999999999993</v>
      </c>
      <c r="Q501" s="15">
        <v>790</v>
      </c>
      <c r="R501" s="14">
        <f>P501+ROUND(Q501, 2)</f>
        <v>859.31999999999994</v>
      </c>
      <c r="S501" s="14">
        <f>ROUND(P501*I501, 2)</f>
        <v>193359.13</v>
      </c>
      <c r="T501" s="14">
        <f>ROUND(I501*ROUND(Q501, 2), 2)</f>
        <v>2203602.2999999998</v>
      </c>
      <c r="U501" s="14">
        <f>S501+T501</f>
        <v>2396961.4299999997</v>
      </c>
    </row>
    <row r="502" spans="1:21" ht="36" x14ac:dyDescent="0.3">
      <c r="A502" s="91" t="s">
        <v>2001</v>
      </c>
      <c r="B502" s="91"/>
      <c r="C502" s="96" t="s">
        <v>736</v>
      </c>
      <c r="D502" s="93"/>
      <c r="E502" s="93"/>
      <c r="F502" s="94" t="s">
        <v>70</v>
      </c>
      <c r="G502" s="95">
        <v>4.5</v>
      </c>
      <c r="H502" s="95"/>
      <c r="I502" s="95">
        <v>12552.165000000001</v>
      </c>
      <c r="J502" s="90">
        <v>12.07</v>
      </c>
      <c r="M502" s="22">
        <f>ROUND(ROUND(J502, 2)*I502, 2)</f>
        <v>151504.63</v>
      </c>
      <c r="P502" s="21">
        <v>12.07</v>
      </c>
      <c r="S502" s="22">
        <f>ROUND(ROUND(P502, 2)*I502, 2)</f>
        <v>151504.63</v>
      </c>
    </row>
    <row r="503" spans="1:21" ht="18" x14ac:dyDescent="0.3">
      <c r="A503" s="91" t="s">
        <v>2004</v>
      </c>
      <c r="B503" s="91"/>
      <c r="C503" s="92" t="s">
        <v>760</v>
      </c>
      <c r="D503" s="93"/>
      <c r="E503" s="93"/>
      <c r="F503" s="94" t="s">
        <v>70</v>
      </c>
      <c r="G503" s="95">
        <v>0.15</v>
      </c>
      <c r="H503" s="95"/>
      <c r="I503" s="95">
        <v>418.40600000000001</v>
      </c>
      <c r="J503" s="90">
        <v>100</v>
      </c>
      <c r="M503" s="22">
        <f>ROUND(ROUND(J503, 2)*I503, 2)</f>
        <v>41840.6</v>
      </c>
      <c r="P503" s="21">
        <v>100</v>
      </c>
      <c r="S503" s="22">
        <f>ROUND(ROUND(P503, 2)*I503, 2)</f>
        <v>41840.6</v>
      </c>
    </row>
    <row r="504" spans="1:21" ht="142.05000000000001" customHeight="1" x14ac:dyDescent="0.3">
      <c r="A504" s="74" t="s">
        <v>2007</v>
      </c>
      <c r="B504" s="74" t="s">
        <v>1996</v>
      </c>
      <c r="C504" s="75" t="s">
        <v>1997</v>
      </c>
      <c r="D504" s="76"/>
      <c r="E504" s="76" t="s">
        <v>2008</v>
      </c>
      <c r="F504" s="76" t="s">
        <v>64</v>
      </c>
      <c r="G504" s="77">
        <v>1</v>
      </c>
      <c r="H504" s="77"/>
      <c r="I504" s="77">
        <v>3418.18</v>
      </c>
      <c r="J504" s="14">
        <f>IFERROR(ROUND(SUM(M505,M506)/I504, 2),0)</f>
        <v>69.319999999999993</v>
      </c>
      <c r="K504" s="15">
        <v>790</v>
      </c>
      <c r="L504" s="14">
        <f>J504+ROUND(K504, 2)</f>
        <v>859.31999999999994</v>
      </c>
      <c r="M504" s="14">
        <f>ROUND(J504*I504, 2)</f>
        <v>236948.24</v>
      </c>
      <c r="N504" s="14">
        <f>ROUND(I504*ROUND(K504, 2), 2)</f>
        <v>2700362.2</v>
      </c>
      <c r="O504" s="14">
        <f>M504+N504</f>
        <v>2937310.4400000004</v>
      </c>
      <c r="P504" s="14">
        <f>IFERROR(ROUND(SUM(S505,S506)/I504, 2),0)</f>
        <v>69.319999999999993</v>
      </c>
      <c r="Q504" s="15">
        <v>790</v>
      </c>
      <c r="R504" s="14">
        <f>P504+ROUND(Q504, 2)</f>
        <v>859.31999999999994</v>
      </c>
      <c r="S504" s="14">
        <f>ROUND(P504*I504, 2)</f>
        <v>236948.24</v>
      </c>
      <c r="T504" s="14">
        <f>ROUND(I504*ROUND(Q504, 2), 2)</f>
        <v>2700362.2</v>
      </c>
      <c r="U504" s="14">
        <f>S504+T504</f>
        <v>2937310.4400000004</v>
      </c>
    </row>
    <row r="505" spans="1:21" ht="18" x14ac:dyDescent="0.3">
      <c r="A505" s="91" t="s">
        <v>2009</v>
      </c>
      <c r="B505" s="91"/>
      <c r="C505" s="92" t="s">
        <v>760</v>
      </c>
      <c r="D505" s="93"/>
      <c r="E505" s="93"/>
      <c r="F505" s="94" t="s">
        <v>70</v>
      </c>
      <c r="G505" s="95">
        <v>0.15</v>
      </c>
      <c r="H505" s="19"/>
      <c r="I505" s="19">
        <v>512.72699999999998</v>
      </c>
      <c r="J505" s="21">
        <v>100</v>
      </c>
      <c r="M505" s="22">
        <f>ROUND(ROUND(J505, 2)*I505, 2)</f>
        <v>51272.7</v>
      </c>
      <c r="P505" s="21">
        <v>100</v>
      </c>
      <c r="S505" s="22">
        <f>ROUND(ROUND(P505, 2)*I505, 2)</f>
        <v>51272.7</v>
      </c>
    </row>
    <row r="506" spans="1:21" ht="36" x14ac:dyDescent="0.3">
      <c r="A506" s="91" t="s">
        <v>2012</v>
      </c>
      <c r="B506" s="91"/>
      <c r="C506" s="96" t="s">
        <v>736</v>
      </c>
      <c r="D506" s="93"/>
      <c r="E506" s="93"/>
      <c r="F506" s="94" t="s">
        <v>70</v>
      </c>
      <c r="G506" s="95">
        <v>4.5</v>
      </c>
      <c r="H506" s="19"/>
      <c r="I506" s="19">
        <v>15381.81</v>
      </c>
      <c r="J506" s="21">
        <v>12.07</v>
      </c>
      <c r="M506" s="22">
        <f>ROUND(ROUND(J506, 2)*I506, 2)</f>
        <v>185658.45</v>
      </c>
      <c r="P506" s="21">
        <v>12.07</v>
      </c>
      <c r="S506" s="22">
        <f>ROUND(ROUND(P506, 2)*I506, 2)</f>
        <v>185658.45</v>
      </c>
    </row>
    <row r="507" spans="1:21" ht="147" customHeight="1" x14ac:dyDescent="0.3">
      <c r="A507" s="74" t="s">
        <v>2015</v>
      </c>
      <c r="B507" s="74" t="s">
        <v>2016</v>
      </c>
      <c r="C507" s="75" t="s">
        <v>2017</v>
      </c>
      <c r="D507" s="76"/>
      <c r="E507" s="76" t="s">
        <v>2018</v>
      </c>
      <c r="F507" s="76" t="s">
        <v>64</v>
      </c>
      <c r="G507" s="77">
        <v>1</v>
      </c>
      <c r="H507" s="77"/>
      <c r="I507" s="77">
        <v>3418.18</v>
      </c>
      <c r="J507" s="14">
        <f>IFERROR(ROUND(SUM(M508,M509)/I507, 2),0)</f>
        <v>35.049999999999997</v>
      </c>
      <c r="K507" s="15">
        <v>546</v>
      </c>
      <c r="L507" s="14">
        <f>J507+ROUND(K507, 2)</f>
        <v>581.04999999999995</v>
      </c>
      <c r="M507" s="14">
        <f>ROUND(J507*I507, 2)</f>
        <v>119807.21</v>
      </c>
      <c r="N507" s="14">
        <f>ROUND(I507*ROUND(K507, 2), 2)</f>
        <v>1866326.28</v>
      </c>
      <c r="O507" s="14">
        <f>M507+N507</f>
        <v>1986133.49</v>
      </c>
      <c r="P507" s="14">
        <f>IFERROR(ROUND(SUM(S508,S509)/I507, 2),0)</f>
        <v>35.049999999999997</v>
      </c>
      <c r="Q507" s="15">
        <v>546</v>
      </c>
      <c r="R507" s="14">
        <f>P507+ROUND(Q507, 2)</f>
        <v>581.04999999999995</v>
      </c>
      <c r="S507" s="14">
        <f>ROUND(P507*I507, 2)</f>
        <v>119807.21</v>
      </c>
      <c r="T507" s="14">
        <f>ROUND(I507*ROUND(Q507, 2), 2)</f>
        <v>1866326.28</v>
      </c>
      <c r="U507" s="14">
        <f>S507+T507</f>
        <v>1986133.49</v>
      </c>
    </row>
    <row r="508" spans="1:21" ht="36" x14ac:dyDescent="0.3">
      <c r="A508" s="91" t="s">
        <v>2021</v>
      </c>
      <c r="B508" s="91"/>
      <c r="C508" s="96" t="s">
        <v>1983</v>
      </c>
      <c r="D508" s="93"/>
      <c r="E508" s="93"/>
      <c r="F508" s="94" t="s">
        <v>70</v>
      </c>
      <c r="G508" s="95">
        <v>1.8</v>
      </c>
      <c r="H508" s="95"/>
      <c r="I508" s="95">
        <v>6152.7240000000002</v>
      </c>
      <c r="J508" s="90">
        <v>12.07</v>
      </c>
      <c r="M508" s="22">
        <f>ROUND(ROUND(J508, 2)*I508, 2)</f>
        <v>74263.38</v>
      </c>
      <c r="P508" s="21">
        <v>12.07</v>
      </c>
      <c r="S508" s="22">
        <f>ROUND(ROUND(P508, 2)*I508, 2)</f>
        <v>74263.38</v>
      </c>
    </row>
    <row r="509" spans="1:21" ht="36" x14ac:dyDescent="0.3">
      <c r="A509" s="91" t="s">
        <v>2024</v>
      </c>
      <c r="B509" s="91"/>
      <c r="C509" s="92" t="s">
        <v>75</v>
      </c>
      <c r="D509" s="93"/>
      <c r="E509" s="93"/>
      <c r="F509" s="94" t="s">
        <v>70</v>
      </c>
      <c r="G509" s="95">
        <v>0.15</v>
      </c>
      <c r="H509" s="95"/>
      <c r="I509" s="95">
        <v>512.72699999999998</v>
      </c>
      <c r="J509" s="90">
        <v>88.8</v>
      </c>
      <c r="M509" s="22">
        <f>ROUND(ROUND(J509, 2)*I509, 2)</f>
        <v>45530.16</v>
      </c>
      <c r="P509" s="21">
        <v>88.8</v>
      </c>
      <c r="S509" s="22">
        <f>ROUND(ROUND(P509, 2)*I509, 2)</f>
        <v>45530.16</v>
      </c>
    </row>
    <row r="510" spans="1:21" ht="151.94999999999999" customHeight="1" x14ac:dyDescent="0.3">
      <c r="A510" s="74" t="s">
        <v>2027</v>
      </c>
      <c r="B510" s="74" t="s">
        <v>2016</v>
      </c>
      <c r="C510" s="75" t="s">
        <v>2017</v>
      </c>
      <c r="D510" s="76"/>
      <c r="E510" s="76" t="s">
        <v>2028</v>
      </c>
      <c r="F510" s="76" t="s">
        <v>64</v>
      </c>
      <c r="G510" s="77">
        <v>1</v>
      </c>
      <c r="H510" s="77"/>
      <c r="I510" s="77">
        <v>2789.37</v>
      </c>
      <c r="J510" s="14">
        <f>IFERROR(ROUND(SUM(M511,M512)/I510, 2),0)</f>
        <v>35.049999999999997</v>
      </c>
      <c r="K510" s="15">
        <v>546</v>
      </c>
      <c r="L510" s="14">
        <f>J510+ROUND(K510, 2)</f>
        <v>581.04999999999995</v>
      </c>
      <c r="M510" s="14">
        <f>ROUND(J510*I510, 2)</f>
        <v>97767.42</v>
      </c>
      <c r="N510" s="14">
        <f>ROUND(I510*ROUND(K510, 2), 2)</f>
        <v>1522996.02</v>
      </c>
      <c r="O510" s="14">
        <f>M510+N510</f>
        <v>1620763.44</v>
      </c>
      <c r="P510" s="14">
        <f>IFERROR(ROUND(SUM(S511,S512)/I510, 2),0)</f>
        <v>35.049999999999997</v>
      </c>
      <c r="Q510" s="15">
        <v>546</v>
      </c>
      <c r="R510" s="14">
        <f>P510+ROUND(Q510, 2)</f>
        <v>581.04999999999995</v>
      </c>
      <c r="S510" s="14">
        <f>ROUND(P510*I510, 2)</f>
        <v>97767.42</v>
      </c>
      <c r="T510" s="14">
        <f>ROUND(I510*ROUND(Q510, 2), 2)</f>
        <v>1522996.02</v>
      </c>
      <c r="U510" s="14">
        <f>S510+T510</f>
        <v>1620763.44</v>
      </c>
    </row>
    <row r="511" spans="1:21" ht="36" x14ac:dyDescent="0.3">
      <c r="A511" s="91" t="s">
        <v>2029</v>
      </c>
      <c r="B511" s="91"/>
      <c r="C511" s="92" t="s">
        <v>75</v>
      </c>
      <c r="D511" s="93"/>
      <c r="E511" s="93"/>
      <c r="F511" s="94" t="s">
        <v>70</v>
      </c>
      <c r="G511" s="95">
        <v>0.15</v>
      </c>
      <c r="H511" s="95"/>
      <c r="I511" s="95">
        <v>418.40600000000001</v>
      </c>
      <c r="J511" s="90">
        <v>88.8</v>
      </c>
      <c r="M511" s="22">
        <f>ROUND(ROUND(J511, 2)*I511, 2)</f>
        <v>37154.449999999997</v>
      </c>
      <c r="P511" s="21">
        <v>88.8</v>
      </c>
      <c r="S511" s="22">
        <f>ROUND(ROUND(P511, 2)*I511, 2)</f>
        <v>37154.449999999997</v>
      </c>
    </row>
    <row r="512" spans="1:21" ht="36" x14ac:dyDescent="0.3">
      <c r="A512" s="91" t="s">
        <v>2032</v>
      </c>
      <c r="B512" s="91"/>
      <c r="C512" s="96" t="s">
        <v>1983</v>
      </c>
      <c r="D512" s="93"/>
      <c r="E512" s="93"/>
      <c r="F512" s="94" t="s">
        <v>70</v>
      </c>
      <c r="G512" s="95">
        <v>1.8</v>
      </c>
      <c r="H512" s="95"/>
      <c r="I512" s="95">
        <v>5020.866</v>
      </c>
      <c r="J512" s="90">
        <v>12.07</v>
      </c>
      <c r="M512" s="22">
        <f>ROUND(ROUND(J512, 2)*I512, 2)</f>
        <v>60601.85</v>
      </c>
      <c r="P512" s="21">
        <v>12.07</v>
      </c>
      <c r="S512" s="22">
        <f>ROUND(ROUND(P512, 2)*I512, 2)</f>
        <v>60601.85</v>
      </c>
    </row>
    <row r="513" spans="1:21" ht="37.950000000000003" customHeight="1" x14ac:dyDescent="0.3">
      <c r="A513" s="10" t="s">
        <v>2035</v>
      </c>
      <c r="B513" s="10" t="s">
        <v>2036</v>
      </c>
      <c r="C513" s="352" t="s">
        <v>2037</v>
      </c>
      <c r="D513" s="353"/>
      <c r="E513" s="353"/>
      <c r="F513" s="353"/>
      <c r="G513" s="353"/>
      <c r="H513" s="353"/>
      <c r="I513" s="354"/>
      <c r="M513" s="6">
        <f>SUM(M514,M517,M520,M523,M526,M529,M532,M535,M538,M541,M544,M547,M550,M553,M556,M559,M562,M565,M568,M571,M574,M577,M580,M583,M586,M589,M592,M595,M598,M601,M604,M607,M610,M613,M616,M619,M622,M625,M628,M631,M634,M637,M640)</f>
        <v>78667.210000000006</v>
      </c>
      <c r="N513" s="6">
        <f>SUM(N514,N517,N520,N523,N526,N529,N532,N535,N538,N541,N544,N547,N550,N553,N556,N559,N562,N565,N568,N571,N574,N577,N580,N583,N586,N589,N592,N595,N598,N601,N604,N607,N610,N613,N616,N619,N622,N625,N628,N631,N634,N637,N640)</f>
        <v>2741836.3199999994</v>
      </c>
      <c r="O513" s="6">
        <f>SUM(O514,O517,O520,O523,O526,O529,O532,O535,O538,O541,O544,O547,O550,O553,O556,O559,O562,O565,O568,O571,O574,O577,O580,O583,O586,O589,O592,O595,O598,O601,O604,O607,O610,O613,O616,O619,O622,O625,O628,O631,O634,O637,O640)</f>
        <v>2820503.5300000003</v>
      </c>
      <c r="S513" s="6">
        <f>SUM(S514,S517,S520,S523,S526,S529,S532,S535,S538,S541,S544,S547,S550,S553,S556,S559,S562,S565,S568,S571,S574,S577,S580,S583,S586,S589,S592,S595,S598,S601,S604,S607,S610,S613,S616,S619,S622,S625,S628,S631,S634,S637,S640)</f>
        <v>427754.08999999997</v>
      </c>
      <c r="T513" s="6">
        <f>SUM(T514,T517,T520,T523,T526,T529,T532,T535,T538,T541,T544,T547,T550,T553,T556,T559,T562,T565,T568,T571,T574,T577,T580,T583,T586,T589,T592,T595,T598,T601,T604,T607,T610,T613,T616,T619,T622,T625,T628,T631,T634,T637,T640)</f>
        <v>2741836.3199999994</v>
      </c>
      <c r="U513" s="6">
        <f>SUM(U514,U517,U520,U523,U526,U529,U532,U535,U538,U541,U544,U547,U550,U553,U556,U559,U562,U565,U568,U571,U574,U577,U580,U583,U586,U589,U592,U595,U598,U601,U604,U607,U610,U613,U616,U619,U622,U625,U628,U631,U634,U637,U640)</f>
        <v>3169590.4099999997</v>
      </c>
    </row>
    <row r="514" spans="1:21" ht="36" x14ac:dyDescent="0.3">
      <c r="A514" s="107" t="s">
        <v>2038</v>
      </c>
      <c r="B514" s="107" t="s">
        <v>2039</v>
      </c>
      <c r="C514" s="113" t="s">
        <v>2040</v>
      </c>
      <c r="D514" s="109"/>
      <c r="E514" s="109" t="s">
        <v>63</v>
      </c>
      <c r="F514" s="109" t="s">
        <v>64</v>
      </c>
      <c r="G514" s="114">
        <v>1</v>
      </c>
      <c r="H514" s="114"/>
      <c r="I514" s="114">
        <v>0</v>
      </c>
      <c r="J514" s="115">
        <f>IFERROR(ROUND(SUM(M515,M516)/I514, 2),0)</f>
        <v>0</v>
      </c>
      <c r="K514" s="15">
        <v>306</v>
      </c>
      <c r="L514" s="14">
        <f>J514+ROUND(K514, 2)</f>
        <v>306</v>
      </c>
      <c r="M514" s="14">
        <f>ROUND(J514*I514, 2)</f>
        <v>0</v>
      </c>
      <c r="N514" s="14">
        <f>ROUND(I514*ROUND(K514, 2), 2)</f>
        <v>0</v>
      </c>
      <c r="O514" s="14">
        <f>M514+N514</f>
        <v>0</v>
      </c>
      <c r="P514" s="14">
        <f>IFERROR(ROUND(SUM(S515,S516)/I514, 2),0)</f>
        <v>0</v>
      </c>
      <c r="Q514" s="15">
        <v>278</v>
      </c>
      <c r="R514" s="14">
        <f>P514+ROUND(Q514, 2)</f>
        <v>278</v>
      </c>
      <c r="S514" s="14">
        <f>ROUND(P514*I514, 2)</f>
        <v>0</v>
      </c>
      <c r="T514" s="14">
        <f>ROUND(I514*ROUND(Q514, 2), 2)</f>
        <v>0</v>
      </c>
      <c r="U514" s="14">
        <f>S514+T514</f>
        <v>0</v>
      </c>
    </row>
    <row r="515" spans="1:21" ht="75.45" customHeight="1" x14ac:dyDescent="0.3">
      <c r="A515" s="107" t="s">
        <v>2044</v>
      </c>
      <c r="B515" s="107"/>
      <c r="C515" s="108" t="s">
        <v>1091</v>
      </c>
      <c r="D515" s="109"/>
      <c r="E515" s="109" t="s">
        <v>2045</v>
      </c>
      <c r="F515" s="110" t="s">
        <v>70</v>
      </c>
      <c r="G515" s="111">
        <v>0.3</v>
      </c>
      <c r="H515" s="111"/>
      <c r="I515" s="111">
        <v>0</v>
      </c>
      <c r="J515" s="112">
        <v>388.89</v>
      </c>
      <c r="M515" s="22">
        <f>ROUND(ROUND(J515, 2)*I515, 2)</f>
        <v>0</v>
      </c>
      <c r="P515" s="21">
        <v>388.89</v>
      </c>
      <c r="S515" s="22">
        <f>ROUND(ROUND(P515, 2)*I515, 2)</f>
        <v>0</v>
      </c>
    </row>
    <row r="516" spans="1:21" ht="18" x14ac:dyDescent="0.3">
      <c r="A516" s="107" t="s">
        <v>2050</v>
      </c>
      <c r="B516" s="107"/>
      <c r="C516" s="108" t="s">
        <v>433</v>
      </c>
      <c r="D516" s="109"/>
      <c r="E516" s="109"/>
      <c r="F516" s="110" t="s">
        <v>70</v>
      </c>
      <c r="G516" s="111">
        <v>0.15</v>
      </c>
      <c r="H516" s="111"/>
      <c r="I516" s="111">
        <v>0</v>
      </c>
      <c r="J516" s="112">
        <v>88.8</v>
      </c>
      <c r="M516" s="22">
        <f>ROUND(ROUND(J516, 2)*I516, 2)</f>
        <v>0</v>
      </c>
      <c r="P516" s="21">
        <v>88.8</v>
      </c>
      <c r="S516" s="22">
        <f>ROUND(ROUND(P516, 2)*I516, 2)</f>
        <v>0</v>
      </c>
    </row>
    <row r="517" spans="1:21" ht="36" x14ac:dyDescent="0.3">
      <c r="A517" s="107" t="s">
        <v>2055</v>
      </c>
      <c r="B517" s="107" t="s">
        <v>2039</v>
      </c>
      <c r="C517" s="113" t="s">
        <v>2040</v>
      </c>
      <c r="D517" s="109"/>
      <c r="E517" s="109" t="s">
        <v>63</v>
      </c>
      <c r="F517" s="109" t="s">
        <v>64</v>
      </c>
      <c r="G517" s="114">
        <v>1</v>
      </c>
      <c r="H517" s="114"/>
      <c r="I517" s="114">
        <v>0</v>
      </c>
      <c r="J517" s="115">
        <f>IFERROR(ROUND(SUM(M518,M519)/I517, 2),0)</f>
        <v>0</v>
      </c>
      <c r="K517" s="15">
        <v>306</v>
      </c>
      <c r="L517" s="14">
        <f>J517+ROUND(K517, 2)</f>
        <v>306</v>
      </c>
      <c r="M517" s="14">
        <f>ROUND(J517*I517, 2)</f>
        <v>0</v>
      </c>
      <c r="N517" s="14">
        <f>ROUND(I517*ROUND(K517, 2), 2)</f>
        <v>0</v>
      </c>
      <c r="O517" s="14">
        <f>M517+N517</f>
        <v>0</v>
      </c>
      <c r="P517" s="14">
        <f>IFERROR(ROUND(SUM(S518,S519)/I517, 2),0)</f>
        <v>0</v>
      </c>
      <c r="Q517" s="15">
        <v>278</v>
      </c>
      <c r="R517" s="14">
        <f>P517+ROUND(Q517, 2)</f>
        <v>278</v>
      </c>
      <c r="S517" s="14">
        <f>ROUND(P517*I517, 2)</f>
        <v>0</v>
      </c>
      <c r="T517" s="14">
        <f>ROUND(I517*ROUND(Q517, 2), 2)</f>
        <v>0</v>
      </c>
      <c r="U517" s="14">
        <f>S517+T517</f>
        <v>0</v>
      </c>
    </row>
    <row r="518" spans="1:21" ht="18" x14ac:dyDescent="0.3">
      <c r="A518" s="107" t="s">
        <v>2057</v>
      </c>
      <c r="B518" s="107"/>
      <c r="C518" s="108" t="s">
        <v>433</v>
      </c>
      <c r="D518" s="109"/>
      <c r="E518" s="109"/>
      <c r="F518" s="110" t="s">
        <v>70</v>
      </c>
      <c r="G518" s="111">
        <v>0.15</v>
      </c>
      <c r="H518" s="111"/>
      <c r="I518" s="111">
        <v>0</v>
      </c>
      <c r="J518" s="112">
        <v>88.8</v>
      </c>
      <c r="M518" s="22">
        <f>ROUND(ROUND(J518, 2)*I518, 2)</f>
        <v>0</v>
      </c>
      <c r="P518" s="21">
        <v>88.8</v>
      </c>
      <c r="S518" s="22">
        <f>ROUND(ROUND(P518, 2)*I518, 2)</f>
        <v>0</v>
      </c>
    </row>
    <row r="519" spans="1:21" ht="36" x14ac:dyDescent="0.3">
      <c r="A519" s="107" t="s">
        <v>2062</v>
      </c>
      <c r="B519" s="107"/>
      <c r="C519" s="108" t="s">
        <v>2063</v>
      </c>
      <c r="D519" s="109"/>
      <c r="E519" s="109" t="s">
        <v>2064</v>
      </c>
      <c r="F519" s="110" t="s">
        <v>70</v>
      </c>
      <c r="G519" s="111">
        <v>0.3</v>
      </c>
      <c r="H519" s="111"/>
      <c r="I519" s="111">
        <v>0</v>
      </c>
      <c r="J519" s="112">
        <v>226.67</v>
      </c>
      <c r="M519" s="22">
        <f>ROUND(ROUND(J519, 2)*I519, 2)</f>
        <v>0</v>
      </c>
      <c r="P519" s="21">
        <v>226.67</v>
      </c>
      <c r="S519" s="22">
        <f>ROUND(ROUND(P519, 2)*I519, 2)</f>
        <v>0</v>
      </c>
    </row>
    <row r="520" spans="1:21" ht="36" x14ac:dyDescent="0.3">
      <c r="A520" s="107" t="s">
        <v>2070</v>
      </c>
      <c r="B520" s="107" t="s">
        <v>2039</v>
      </c>
      <c r="C520" s="113" t="s">
        <v>2040</v>
      </c>
      <c r="D520" s="109"/>
      <c r="E520" s="109" t="s">
        <v>63</v>
      </c>
      <c r="F520" s="109" t="s">
        <v>64</v>
      </c>
      <c r="G520" s="114">
        <v>1</v>
      </c>
      <c r="H520" s="114"/>
      <c r="I520" s="114">
        <v>0</v>
      </c>
      <c r="J520" s="115">
        <f>IFERROR(ROUND(SUM(M521,M522)/I520, 2),0)</f>
        <v>0</v>
      </c>
      <c r="K520" s="15">
        <v>306</v>
      </c>
      <c r="L520" s="14">
        <f>J520+ROUND(K520, 2)</f>
        <v>306</v>
      </c>
      <c r="M520" s="14">
        <f>ROUND(J520*I520, 2)</f>
        <v>0</v>
      </c>
      <c r="N520" s="14">
        <f>ROUND(I520*ROUND(K520, 2), 2)</f>
        <v>0</v>
      </c>
      <c r="O520" s="14">
        <f>M520+N520</f>
        <v>0</v>
      </c>
      <c r="P520" s="14">
        <f>IFERROR(ROUND(SUM(S521,S522)/I520, 2),0)</f>
        <v>0</v>
      </c>
      <c r="Q520" s="15">
        <v>278</v>
      </c>
      <c r="R520" s="14">
        <f>P520+ROUND(Q520, 2)</f>
        <v>278</v>
      </c>
      <c r="S520" s="14">
        <f>ROUND(P520*I520, 2)</f>
        <v>0</v>
      </c>
      <c r="T520" s="14">
        <f>ROUND(I520*ROUND(Q520, 2), 2)</f>
        <v>0</v>
      </c>
      <c r="U520" s="14">
        <f>S520+T520</f>
        <v>0</v>
      </c>
    </row>
    <row r="521" spans="1:21" ht="99.45" customHeight="1" x14ac:dyDescent="0.3">
      <c r="A521" s="107" t="s">
        <v>2072</v>
      </c>
      <c r="B521" s="107"/>
      <c r="C521" s="108" t="s">
        <v>2063</v>
      </c>
      <c r="D521" s="109"/>
      <c r="E521" s="109" t="s">
        <v>2073</v>
      </c>
      <c r="F521" s="110" t="s">
        <v>70</v>
      </c>
      <c r="G521" s="111">
        <v>0.3</v>
      </c>
      <c r="H521" s="111"/>
      <c r="I521" s="111">
        <v>0</v>
      </c>
      <c r="J521" s="112">
        <v>226.67</v>
      </c>
      <c r="M521" s="22">
        <f>ROUND(ROUND(J521, 2)*I521, 2)</f>
        <v>0</v>
      </c>
      <c r="P521" s="21">
        <v>226.67</v>
      </c>
      <c r="S521" s="22">
        <f>ROUND(ROUND(P521, 2)*I521, 2)</f>
        <v>0</v>
      </c>
    </row>
    <row r="522" spans="1:21" ht="18" x14ac:dyDescent="0.3">
      <c r="A522" s="107" t="s">
        <v>2078</v>
      </c>
      <c r="B522" s="107"/>
      <c r="C522" s="108" t="s">
        <v>433</v>
      </c>
      <c r="D522" s="109"/>
      <c r="E522" s="109"/>
      <c r="F522" s="110" t="s">
        <v>70</v>
      </c>
      <c r="G522" s="111">
        <v>0.15</v>
      </c>
      <c r="H522" s="111"/>
      <c r="I522" s="111">
        <v>0</v>
      </c>
      <c r="J522" s="112">
        <v>88.8</v>
      </c>
      <c r="M522" s="22">
        <f>ROUND(ROUND(J522, 2)*I522, 2)</f>
        <v>0</v>
      </c>
      <c r="P522" s="21">
        <v>88.8</v>
      </c>
      <c r="S522" s="22">
        <f>ROUND(ROUND(P522, 2)*I522, 2)</f>
        <v>0</v>
      </c>
    </row>
    <row r="523" spans="1:21" ht="36" x14ac:dyDescent="0.3">
      <c r="A523" s="107" t="s">
        <v>2083</v>
      </c>
      <c r="B523" s="107" t="s">
        <v>2039</v>
      </c>
      <c r="C523" s="113" t="s">
        <v>2040</v>
      </c>
      <c r="D523" s="109"/>
      <c r="E523" s="109" t="s">
        <v>63</v>
      </c>
      <c r="F523" s="109" t="s">
        <v>64</v>
      </c>
      <c r="G523" s="114">
        <v>1</v>
      </c>
      <c r="H523" s="114"/>
      <c r="I523" s="114">
        <v>0</v>
      </c>
      <c r="J523" s="115">
        <f>IFERROR(ROUND(SUM(M524,M525)/I523, 2),0)</f>
        <v>0</v>
      </c>
      <c r="K523" s="15">
        <v>306</v>
      </c>
      <c r="L523" s="14">
        <f>J523+ROUND(K523, 2)</f>
        <v>306</v>
      </c>
      <c r="M523" s="14">
        <f>ROUND(J523*I523, 2)</f>
        <v>0</v>
      </c>
      <c r="N523" s="14">
        <f>ROUND(I523*ROUND(K523, 2), 2)</f>
        <v>0</v>
      </c>
      <c r="O523" s="14">
        <f>M523+N523</f>
        <v>0</v>
      </c>
      <c r="P523" s="14">
        <f>IFERROR(ROUND(SUM(S524,S525)/I523, 2),0)</f>
        <v>0</v>
      </c>
      <c r="Q523" s="15">
        <v>278</v>
      </c>
      <c r="R523" s="14">
        <f>P523+ROUND(Q523, 2)</f>
        <v>278</v>
      </c>
      <c r="S523" s="14">
        <f>ROUND(P523*I523, 2)</f>
        <v>0</v>
      </c>
      <c r="T523" s="14">
        <f>ROUND(I523*ROUND(Q523, 2), 2)</f>
        <v>0</v>
      </c>
      <c r="U523" s="14">
        <f>S523+T523</f>
        <v>0</v>
      </c>
    </row>
    <row r="524" spans="1:21" ht="18" x14ac:dyDescent="0.3">
      <c r="A524" s="107" t="s">
        <v>2085</v>
      </c>
      <c r="B524" s="107"/>
      <c r="C524" s="108" t="s">
        <v>433</v>
      </c>
      <c r="D524" s="109"/>
      <c r="E524" s="109"/>
      <c r="F524" s="110" t="s">
        <v>70</v>
      </c>
      <c r="G524" s="111">
        <v>0.15</v>
      </c>
      <c r="H524" s="111"/>
      <c r="I524" s="111">
        <v>0</v>
      </c>
      <c r="J524" s="112">
        <v>88.8</v>
      </c>
      <c r="M524" s="22">
        <f>ROUND(ROUND(J524, 2)*I524, 2)</f>
        <v>0</v>
      </c>
      <c r="P524" s="21">
        <v>88.8</v>
      </c>
      <c r="S524" s="22">
        <f>ROUND(ROUND(P524, 2)*I524, 2)</f>
        <v>0</v>
      </c>
    </row>
    <row r="525" spans="1:21" ht="85.5" customHeight="1" x14ac:dyDescent="0.3">
      <c r="A525" s="107" t="s">
        <v>2090</v>
      </c>
      <c r="B525" s="107"/>
      <c r="C525" s="108" t="s">
        <v>2063</v>
      </c>
      <c r="D525" s="109"/>
      <c r="E525" s="109" t="s">
        <v>2091</v>
      </c>
      <c r="F525" s="110" t="s">
        <v>70</v>
      </c>
      <c r="G525" s="111">
        <v>0.3</v>
      </c>
      <c r="H525" s="111"/>
      <c r="I525" s="111">
        <v>0</v>
      </c>
      <c r="J525" s="112">
        <v>226.67</v>
      </c>
      <c r="M525" s="22">
        <f>ROUND(ROUND(J525, 2)*I525, 2)</f>
        <v>0</v>
      </c>
      <c r="P525" s="21">
        <v>226.67</v>
      </c>
      <c r="S525" s="22">
        <f>ROUND(ROUND(P525, 2)*I525, 2)</f>
        <v>0</v>
      </c>
    </row>
    <row r="526" spans="1:21" ht="36" x14ac:dyDescent="0.3">
      <c r="A526" s="107" t="s">
        <v>2096</v>
      </c>
      <c r="B526" s="107" t="s">
        <v>2039</v>
      </c>
      <c r="C526" s="113" t="s">
        <v>2040</v>
      </c>
      <c r="D526" s="109"/>
      <c r="E526" s="109" t="s">
        <v>63</v>
      </c>
      <c r="F526" s="109" t="s">
        <v>64</v>
      </c>
      <c r="G526" s="114">
        <v>1</v>
      </c>
      <c r="H526" s="114"/>
      <c r="I526" s="114">
        <v>0</v>
      </c>
      <c r="J526" s="115">
        <f>IFERROR(ROUND(SUM(M527,M528)/I526, 2),0)</f>
        <v>0</v>
      </c>
      <c r="K526" s="15">
        <v>306</v>
      </c>
      <c r="L526" s="14">
        <f>J526+ROUND(K526, 2)</f>
        <v>306</v>
      </c>
      <c r="M526" s="14">
        <f>ROUND(J526*I526, 2)</f>
        <v>0</v>
      </c>
      <c r="N526" s="14">
        <f>ROUND(I526*ROUND(K526, 2), 2)</f>
        <v>0</v>
      </c>
      <c r="O526" s="14">
        <f>M526+N526</f>
        <v>0</v>
      </c>
      <c r="P526" s="14">
        <f>IFERROR(ROUND(SUM(S527,S528)/I526, 2),0)</f>
        <v>0</v>
      </c>
      <c r="Q526" s="15">
        <v>278</v>
      </c>
      <c r="R526" s="14">
        <f>P526+ROUND(Q526, 2)</f>
        <v>278</v>
      </c>
      <c r="S526" s="14">
        <f>ROUND(P526*I526, 2)</f>
        <v>0</v>
      </c>
      <c r="T526" s="14">
        <f>ROUND(I526*ROUND(Q526, 2), 2)</f>
        <v>0</v>
      </c>
      <c r="U526" s="14">
        <f>S526+T526</f>
        <v>0</v>
      </c>
    </row>
    <row r="527" spans="1:21" ht="90" customHeight="1" x14ac:dyDescent="0.3">
      <c r="A527" s="107" t="s">
        <v>2098</v>
      </c>
      <c r="B527" s="107"/>
      <c r="C527" s="108" t="s">
        <v>2063</v>
      </c>
      <c r="D527" s="109"/>
      <c r="E527" s="109" t="s">
        <v>2099</v>
      </c>
      <c r="F527" s="110" t="s">
        <v>70</v>
      </c>
      <c r="G527" s="111">
        <v>0.3</v>
      </c>
      <c r="H527" s="111"/>
      <c r="I527" s="111">
        <v>0</v>
      </c>
      <c r="J527" s="112">
        <v>226.67</v>
      </c>
      <c r="M527" s="22">
        <f>ROUND(ROUND(J527, 2)*I527, 2)</f>
        <v>0</v>
      </c>
      <c r="P527" s="21">
        <v>226.67</v>
      </c>
      <c r="S527" s="22">
        <f>ROUND(ROUND(P527, 2)*I527, 2)</f>
        <v>0</v>
      </c>
    </row>
    <row r="528" spans="1:21" ht="18" x14ac:dyDescent="0.3">
      <c r="A528" s="107" t="s">
        <v>2104</v>
      </c>
      <c r="B528" s="107"/>
      <c r="C528" s="108" t="s">
        <v>433</v>
      </c>
      <c r="D528" s="109"/>
      <c r="E528" s="109"/>
      <c r="F528" s="110" t="s">
        <v>70</v>
      </c>
      <c r="G528" s="111">
        <v>0.15</v>
      </c>
      <c r="H528" s="111"/>
      <c r="I528" s="111">
        <v>0</v>
      </c>
      <c r="J528" s="112">
        <v>88.8</v>
      </c>
      <c r="M528" s="22">
        <f>ROUND(ROUND(J528, 2)*I528, 2)</f>
        <v>0</v>
      </c>
      <c r="P528" s="21">
        <v>88.8</v>
      </c>
      <c r="S528" s="22">
        <f>ROUND(ROUND(P528, 2)*I528, 2)</f>
        <v>0</v>
      </c>
    </row>
    <row r="529" spans="1:21" ht="36" x14ac:dyDescent="0.3">
      <c r="A529" s="107" t="s">
        <v>2109</v>
      </c>
      <c r="B529" s="107" t="s">
        <v>2039</v>
      </c>
      <c r="C529" s="113" t="s">
        <v>2040</v>
      </c>
      <c r="D529" s="109"/>
      <c r="E529" s="109" t="s">
        <v>63</v>
      </c>
      <c r="F529" s="109" t="s">
        <v>64</v>
      </c>
      <c r="G529" s="114">
        <v>1</v>
      </c>
      <c r="H529" s="114"/>
      <c r="I529" s="114">
        <v>0</v>
      </c>
      <c r="J529" s="115">
        <f>IFERROR(ROUND(SUM(M530,M531)/I529, 2),0)</f>
        <v>0</v>
      </c>
      <c r="K529" s="15">
        <v>306</v>
      </c>
      <c r="L529" s="14">
        <f>J529+ROUND(K529, 2)</f>
        <v>306</v>
      </c>
      <c r="M529" s="14">
        <f>ROUND(J529*I529, 2)</f>
        <v>0</v>
      </c>
      <c r="N529" s="14">
        <f>ROUND(I529*ROUND(K529, 2), 2)</f>
        <v>0</v>
      </c>
      <c r="O529" s="14">
        <f>M529+N529</f>
        <v>0</v>
      </c>
      <c r="P529" s="14">
        <f>IFERROR(ROUND(SUM(S530,S531)/I529, 2),0)</f>
        <v>0</v>
      </c>
      <c r="Q529" s="15">
        <v>278</v>
      </c>
      <c r="R529" s="14">
        <f>P529+ROUND(Q529, 2)</f>
        <v>278</v>
      </c>
      <c r="S529" s="14">
        <f>ROUND(P529*I529, 2)</f>
        <v>0</v>
      </c>
      <c r="T529" s="14">
        <f>ROUND(I529*ROUND(Q529, 2), 2)</f>
        <v>0</v>
      </c>
      <c r="U529" s="14">
        <f>S529+T529</f>
        <v>0</v>
      </c>
    </row>
    <row r="530" spans="1:21" ht="18" x14ac:dyDescent="0.3">
      <c r="A530" s="107" t="s">
        <v>2111</v>
      </c>
      <c r="B530" s="107"/>
      <c r="C530" s="108" t="s">
        <v>433</v>
      </c>
      <c r="D530" s="109"/>
      <c r="E530" s="109"/>
      <c r="F530" s="110" t="s">
        <v>70</v>
      </c>
      <c r="G530" s="111">
        <v>0.15</v>
      </c>
      <c r="H530" s="111"/>
      <c r="I530" s="111">
        <v>0</v>
      </c>
      <c r="J530" s="112">
        <v>88.8</v>
      </c>
      <c r="M530" s="22">
        <f>ROUND(ROUND(J530, 2)*I530, 2)</f>
        <v>0</v>
      </c>
      <c r="P530" s="21">
        <v>88.8</v>
      </c>
      <c r="S530" s="22">
        <f>ROUND(ROUND(P530, 2)*I530, 2)</f>
        <v>0</v>
      </c>
    </row>
    <row r="531" spans="1:21" ht="78.45" customHeight="1" x14ac:dyDescent="0.3">
      <c r="A531" s="107" t="s">
        <v>2116</v>
      </c>
      <c r="B531" s="107"/>
      <c r="C531" s="108" t="s">
        <v>2063</v>
      </c>
      <c r="D531" s="109"/>
      <c r="E531" s="109" t="s">
        <v>2117</v>
      </c>
      <c r="F531" s="110" t="s">
        <v>70</v>
      </c>
      <c r="G531" s="111">
        <v>0.3</v>
      </c>
      <c r="H531" s="111"/>
      <c r="I531" s="111">
        <v>0</v>
      </c>
      <c r="J531" s="112">
        <v>226.67</v>
      </c>
      <c r="M531" s="22">
        <f>ROUND(ROUND(J531, 2)*I531, 2)</f>
        <v>0</v>
      </c>
      <c r="P531" s="21">
        <v>226.67</v>
      </c>
      <c r="S531" s="22">
        <f>ROUND(ROUND(P531, 2)*I531, 2)</f>
        <v>0</v>
      </c>
    </row>
    <row r="532" spans="1:21" ht="36" x14ac:dyDescent="0.3">
      <c r="A532" s="107" t="s">
        <v>2122</v>
      </c>
      <c r="B532" s="107" t="s">
        <v>2039</v>
      </c>
      <c r="C532" s="113" t="s">
        <v>2040</v>
      </c>
      <c r="D532" s="109"/>
      <c r="E532" s="109" t="s">
        <v>63</v>
      </c>
      <c r="F532" s="109" t="s">
        <v>64</v>
      </c>
      <c r="G532" s="114">
        <v>1</v>
      </c>
      <c r="H532" s="114"/>
      <c r="I532" s="114">
        <v>0</v>
      </c>
      <c r="J532" s="115">
        <f>IFERROR(ROUND(SUM(M533,M534)/I532, 2),0)</f>
        <v>0</v>
      </c>
      <c r="K532" s="15">
        <v>306</v>
      </c>
      <c r="L532" s="14">
        <f>J532+ROUND(K532, 2)</f>
        <v>306</v>
      </c>
      <c r="M532" s="14">
        <f>ROUND(J532*I532, 2)</f>
        <v>0</v>
      </c>
      <c r="N532" s="14">
        <f>ROUND(I532*ROUND(K532, 2), 2)</f>
        <v>0</v>
      </c>
      <c r="O532" s="14">
        <f>M532+N532</f>
        <v>0</v>
      </c>
      <c r="P532" s="14">
        <f>IFERROR(ROUND(SUM(S533,S534)/I532, 2),0)</f>
        <v>0</v>
      </c>
      <c r="Q532" s="15">
        <v>278</v>
      </c>
      <c r="R532" s="14">
        <f>P532+ROUND(Q532, 2)</f>
        <v>278</v>
      </c>
      <c r="S532" s="14">
        <f>ROUND(P532*I532, 2)</f>
        <v>0</v>
      </c>
      <c r="T532" s="14">
        <f>ROUND(I532*ROUND(Q532, 2), 2)</f>
        <v>0</v>
      </c>
      <c r="U532" s="14">
        <f>S532+T532</f>
        <v>0</v>
      </c>
    </row>
    <row r="533" spans="1:21" ht="94.5" customHeight="1" x14ac:dyDescent="0.3">
      <c r="A533" s="107" t="s">
        <v>2124</v>
      </c>
      <c r="B533" s="107"/>
      <c r="C533" s="108" t="s">
        <v>2063</v>
      </c>
      <c r="D533" s="109"/>
      <c r="E533" s="109" t="s">
        <v>2125</v>
      </c>
      <c r="F533" s="110" t="s">
        <v>70</v>
      </c>
      <c r="G533" s="111">
        <v>0.3</v>
      </c>
      <c r="H533" s="111"/>
      <c r="I533" s="111">
        <v>0</v>
      </c>
      <c r="J533" s="112">
        <v>226.67</v>
      </c>
      <c r="M533" s="22">
        <f>ROUND(ROUND(J533, 2)*I533, 2)</f>
        <v>0</v>
      </c>
      <c r="P533" s="21">
        <v>226.67</v>
      </c>
      <c r="S533" s="22">
        <f>ROUND(ROUND(P533, 2)*I533, 2)</f>
        <v>0</v>
      </c>
    </row>
    <row r="534" spans="1:21" ht="18" x14ac:dyDescent="0.3">
      <c r="A534" s="107" t="s">
        <v>2130</v>
      </c>
      <c r="B534" s="107"/>
      <c r="C534" s="108" t="s">
        <v>433</v>
      </c>
      <c r="D534" s="109"/>
      <c r="E534" s="109"/>
      <c r="F534" s="110" t="s">
        <v>70</v>
      </c>
      <c r="G534" s="111">
        <v>0.15</v>
      </c>
      <c r="H534" s="111"/>
      <c r="I534" s="111">
        <v>0</v>
      </c>
      <c r="J534" s="112">
        <v>88.8</v>
      </c>
      <c r="M534" s="22">
        <f>ROUND(ROUND(J534, 2)*I534, 2)</f>
        <v>0</v>
      </c>
      <c r="P534" s="21">
        <v>88.8</v>
      </c>
      <c r="S534" s="22">
        <f>ROUND(ROUND(P534, 2)*I534, 2)</f>
        <v>0</v>
      </c>
    </row>
    <row r="535" spans="1:21" ht="36" x14ac:dyDescent="0.3">
      <c r="A535" s="107" t="s">
        <v>2135</v>
      </c>
      <c r="B535" s="107" t="s">
        <v>2039</v>
      </c>
      <c r="C535" s="113" t="s">
        <v>2040</v>
      </c>
      <c r="D535" s="109"/>
      <c r="E535" s="109" t="s">
        <v>63</v>
      </c>
      <c r="F535" s="109" t="s">
        <v>64</v>
      </c>
      <c r="G535" s="114">
        <v>1</v>
      </c>
      <c r="H535" s="114"/>
      <c r="I535" s="114">
        <v>0</v>
      </c>
      <c r="J535" s="115">
        <f>IFERROR(ROUND(SUM(M536,M537)/I535, 2),0)</f>
        <v>0</v>
      </c>
      <c r="K535" s="15">
        <v>306</v>
      </c>
      <c r="L535" s="14">
        <f>J535+ROUND(K535, 2)</f>
        <v>306</v>
      </c>
      <c r="M535" s="14">
        <f>ROUND(J535*I535, 2)</f>
        <v>0</v>
      </c>
      <c r="N535" s="14">
        <f>ROUND(I535*ROUND(K535, 2), 2)</f>
        <v>0</v>
      </c>
      <c r="O535" s="14">
        <f>M535+N535</f>
        <v>0</v>
      </c>
      <c r="P535" s="14">
        <f>IFERROR(ROUND(SUM(S536,S537)/I535, 2),0)</f>
        <v>0</v>
      </c>
      <c r="Q535" s="15">
        <v>278</v>
      </c>
      <c r="R535" s="14">
        <f>P535+ROUND(Q535, 2)</f>
        <v>278</v>
      </c>
      <c r="S535" s="14">
        <f>ROUND(P535*I535, 2)</f>
        <v>0</v>
      </c>
      <c r="T535" s="14">
        <f>ROUND(I535*ROUND(Q535, 2), 2)</f>
        <v>0</v>
      </c>
      <c r="U535" s="14">
        <f>S535+T535</f>
        <v>0</v>
      </c>
    </row>
    <row r="536" spans="1:21" ht="18" x14ac:dyDescent="0.3">
      <c r="A536" s="107" t="s">
        <v>2137</v>
      </c>
      <c r="B536" s="107"/>
      <c r="C536" s="108" t="s">
        <v>433</v>
      </c>
      <c r="D536" s="109"/>
      <c r="E536" s="109"/>
      <c r="F536" s="110" t="s">
        <v>70</v>
      </c>
      <c r="G536" s="111">
        <v>0.15</v>
      </c>
      <c r="H536" s="111"/>
      <c r="I536" s="111">
        <v>0</v>
      </c>
      <c r="J536" s="112">
        <v>88.8</v>
      </c>
      <c r="M536" s="22">
        <f>ROUND(ROUND(J536, 2)*I536, 2)</f>
        <v>0</v>
      </c>
      <c r="P536" s="21">
        <v>88.8</v>
      </c>
      <c r="S536" s="22">
        <f>ROUND(ROUND(P536, 2)*I536, 2)</f>
        <v>0</v>
      </c>
    </row>
    <row r="537" spans="1:21" ht="90" customHeight="1" x14ac:dyDescent="0.3">
      <c r="A537" s="107" t="s">
        <v>2142</v>
      </c>
      <c r="B537" s="107"/>
      <c r="C537" s="108" t="s">
        <v>2063</v>
      </c>
      <c r="D537" s="109"/>
      <c r="E537" s="109" t="s">
        <v>2143</v>
      </c>
      <c r="F537" s="110" t="s">
        <v>70</v>
      </c>
      <c r="G537" s="111">
        <v>0.3</v>
      </c>
      <c r="H537" s="111"/>
      <c r="I537" s="111">
        <v>0</v>
      </c>
      <c r="J537" s="112">
        <v>226.67</v>
      </c>
      <c r="M537" s="22">
        <f>ROUND(ROUND(J537, 2)*I537, 2)</f>
        <v>0</v>
      </c>
      <c r="P537" s="21">
        <v>226.67</v>
      </c>
      <c r="S537" s="22">
        <f>ROUND(ROUND(P537, 2)*I537, 2)</f>
        <v>0</v>
      </c>
    </row>
    <row r="538" spans="1:21" ht="45" customHeight="1" x14ac:dyDescent="0.3">
      <c r="A538" s="156" t="s">
        <v>2148</v>
      </c>
      <c r="B538" s="156" t="s">
        <v>2149</v>
      </c>
      <c r="C538" s="75" t="s">
        <v>2150</v>
      </c>
      <c r="D538" s="76"/>
      <c r="E538" s="76" t="s">
        <v>2151</v>
      </c>
      <c r="F538" s="76" t="s">
        <v>64</v>
      </c>
      <c r="G538" s="77">
        <v>1</v>
      </c>
      <c r="H538" s="77"/>
      <c r="I538" s="77">
        <v>0.85</v>
      </c>
      <c r="J538" s="14">
        <f>IFERROR(ROUND(SUM(M539,M540)/I538, 2),0)</f>
        <v>13.38</v>
      </c>
      <c r="K538" s="15">
        <v>464</v>
      </c>
      <c r="L538" s="14">
        <f>J538+ROUND(K538, 2)</f>
        <v>477.38</v>
      </c>
      <c r="M538" s="14">
        <f>ROUND(J538*I538, 2)</f>
        <v>11.37</v>
      </c>
      <c r="N538" s="14">
        <f>ROUND(I538*ROUND(K538, 2), 2)</f>
        <v>394.4</v>
      </c>
      <c r="O538" s="14">
        <f>M538+N538</f>
        <v>405.77</v>
      </c>
      <c r="P538" s="14">
        <f>IFERROR(ROUND(SUM(S539,S540)/I538, 2),0)</f>
        <v>75.33</v>
      </c>
      <c r="Q538" s="15">
        <v>464</v>
      </c>
      <c r="R538" s="14">
        <f>P538+ROUND(Q538, 2)</f>
        <v>539.33000000000004</v>
      </c>
      <c r="S538" s="14">
        <f>ROUND(P538*I538, 2)</f>
        <v>64.03</v>
      </c>
      <c r="T538" s="14">
        <f>ROUND(I538*ROUND(Q538, 2), 2)</f>
        <v>394.4</v>
      </c>
      <c r="U538" s="14">
        <f>S538+T538</f>
        <v>458.42999999999995</v>
      </c>
    </row>
    <row r="539" spans="1:21" ht="65.55" customHeight="1" x14ac:dyDescent="0.3">
      <c r="A539" s="107" t="s">
        <v>2154</v>
      </c>
      <c r="B539" s="107"/>
      <c r="C539" s="108" t="s">
        <v>2155</v>
      </c>
      <c r="D539" s="109"/>
      <c r="E539" s="109" t="s">
        <v>2156</v>
      </c>
      <c r="F539" s="110" t="s">
        <v>70</v>
      </c>
      <c r="G539" s="111">
        <v>0.3</v>
      </c>
      <c r="H539" s="111"/>
      <c r="I539" s="111">
        <v>0.255</v>
      </c>
      <c r="J539" s="112">
        <v>0</v>
      </c>
      <c r="K539" s="118"/>
      <c r="L539" s="118"/>
      <c r="M539" s="22">
        <f>ROUND(ROUND(J539, 2)*I539, 2)</f>
        <v>0</v>
      </c>
      <c r="P539" s="21">
        <v>206.5</v>
      </c>
      <c r="S539" s="22">
        <f>ROUND(ROUND(P539, 2)*I539, 2)</f>
        <v>52.66</v>
      </c>
    </row>
    <row r="540" spans="1:21" ht="18" x14ac:dyDescent="0.3">
      <c r="A540" s="107" t="s">
        <v>2160</v>
      </c>
      <c r="B540" s="107"/>
      <c r="C540" s="108" t="s">
        <v>433</v>
      </c>
      <c r="D540" s="109"/>
      <c r="E540" s="109"/>
      <c r="F540" s="110" t="s">
        <v>70</v>
      </c>
      <c r="G540" s="111">
        <v>0.15</v>
      </c>
      <c r="H540" s="111"/>
      <c r="I540" s="111">
        <v>0.128</v>
      </c>
      <c r="J540" s="112">
        <v>88.8</v>
      </c>
      <c r="K540" s="118"/>
      <c r="L540" s="118"/>
      <c r="M540" s="22">
        <f>ROUND(ROUND(J540, 2)*I540, 2)</f>
        <v>11.37</v>
      </c>
      <c r="P540" s="21">
        <v>88.8</v>
      </c>
      <c r="S540" s="22">
        <f>ROUND(ROUND(P540, 2)*I540, 2)</f>
        <v>11.37</v>
      </c>
    </row>
    <row r="541" spans="1:21" ht="40.049999999999997" customHeight="1" x14ac:dyDescent="0.3">
      <c r="A541" s="156" t="s">
        <v>2163</v>
      </c>
      <c r="B541" s="156" t="s">
        <v>2149</v>
      </c>
      <c r="C541" s="75" t="s">
        <v>2150</v>
      </c>
      <c r="D541" s="76"/>
      <c r="E541" s="76" t="s">
        <v>2164</v>
      </c>
      <c r="F541" s="76" t="s">
        <v>64</v>
      </c>
      <c r="G541" s="77">
        <v>1</v>
      </c>
      <c r="H541" s="77"/>
      <c r="I541" s="77">
        <v>1.5</v>
      </c>
      <c r="J541" s="14">
        <f>IFERROR(ROUND(SUM(M542,M543)/I541, 2),0)</f>
        <v>13.32</v>
      </c>
      <c r="K541" s="15">
        <v>464</v>
      </c>
      <c r="L541" s="14">
        <f>J541+ROUND(K541, 2)</f>
        <v>477.32</v>
      </c>
      <c r="M541" s="14">
        <f>ROUND(J541*I541, 2)</f>
        <v>19.98</v>
      </c>
      <c r="N541" s="14">
        <f>ROUND(I541*ROUND(K541, 2), 2)</f>
        <v>696</v>
      </c>
      <c r="O541" s="14">
        <f>M541+N541</f>
        <v>715.98</v>
      </c>
      <c r="P541" s="14">
        <f>IFERROR(ROUND(SUM(S542,S543)/I541, 2),0)</f>
        <v>75.27</v>
      </c>
      <c r="Q541" s="15">
        <v>464</v>
      </c>
      <c r="R541" s="14">
        <f>P541+ROUND(Q541, 2)</f>
        <v>539.27</v>
      </c>
      <c r="S541" s="14">
        <f>ROUND(P541*I541, 2)</f>
        <v>112.91</v>
      </c>
      <c r="T541" s="14">
        <f>ROUND(I541*ROUND(Q541, 2), 2)</f>
        <v>696</v>
      </c>
      <c r="U541" s="14">
        <f>S541+T541</f>
        <v>808.91</v>
      </c>
    </row>
    <row r="542" spans="1:21" ht="18" x14ac:dyDescent="0.3">
      <c r="A542" s="10" t="s">
        <v>2165</v>
      </c>
      <c r="B542" s="10"/>
      <c r="C542" s="24" t="s">
        <v>433</v>
      </c>
      <c r="D542" s="12"/>
      <c r="E542" s="12"/>
      <c r="F542" s="18" t="s">
        <v>70</v>
      </c>
      <c r="G542" s="19">
        <v>0.15</v>
      </c>
      <c r="H542" s="19"/>
      <c r="I542" s="19">
        <v>0.22500000000000001</v>
      </c>
      <c r="J542" s="21">
        <v>88.8</v>
      </c>
      <c r="M542" s="22">
        <f>ROUND(ROUND(J542, 2)*I542, 2)</f>
        <v>19.98</v>
      </c>
      <c r="P542" s="21">
        <v>88.8</v>
      </c>
      <c r="S542" s="22">
        <f>ROUND(ROUND(P542, 2)*I542, 2)</f>
        <v>19.98</v>
      </c>
    </row>
    <row r="543" spans="1:21" ht="73.5" customHeight="1" x14ac:dyDescent="0.3">
      <c r="A543" s="10" t="s">
        <v>2168</v>
      </c>
      <c r="B543" s="10"/>
      <c r="C543" s="24" t="s">
        <v>2155</v>
      </c>
      <c r="D543" s="12"/>
      <c r="E543" s="12" t="s">
        <v>2169</v>
      </c>
      <c r="F543" s="18" t="s">
        <v>70</v>
      </c>
      <c r="G543" s="19">
        <v>0.3</v>
      </c>
      <c r="H543" s="19"/>
      <c r="I543" s="19">
        <v>0.45</v>
      </c>
      <c r="J543" s="21">
        <v>0</v>
      </c>
      <c r="M543" s="22">
        <f>ROUND(ROUND(J543, 2)*I543, 2)</f>
        <v>0</v>
      </c>
      <c r="P543" s="21">
        <v>206.5</v>
      </c>
      <c r="S543" s="22">
        <f>ROUND(ROUND(P543, 2)*I543, 2)</f>
        <v>92.93</v>
      </c>
    </row>
    <row r="544" spans="1:21" ht="41.55" customHeight="1" x14ac:dyDescent="0.3">
      <c r="A544" s="156" t="s">
        <v>2172</v>
      </c>
      <c r="B544" s="156" t="s">
        <v>2149</v>
      </c>
      <c r="C544" s="75" t="s">
        <v>2150</v>
      </c>
      <c r="D544" s="76"/>
      <c r="E544" s="76" t="s">
        <v>2173</v>
      </c>
      <c r="F544" s="76" t="s">
        <v>64</v>
      </c>
      <c r="G544" s="77">
        <v>1</v>
      </c>
      <c r="H544" s="77"/>
      <c r="I544" s="77">
        <v>139.22</v>
      </c>
      <c r="J544" s="14">
        <f>IFERROR(ROUND(SUM(M545,M546)/I544, 2),0)</f>
        <v>13.32</v>
      </c>
      <c r="K544" s="15">
        <v>464</v>
      </c>
      <c r="L544" s="14">
        <f>J544+ROUND(K544, 2)</f>
        <v>477.32</v>
      </c>
      <c r="M544" s="14">
        <f>ROUND(J544*I544, 2)</f>
        <v>1854.41</v>
      </c>
      <c r="N544" s="14">
        <f>ROUND(I544*ROUND(K544, 2), 2)</f>
        <v>64598.080000000002</v>
      </c>
      <c r="O544" s="14">
        <f>M544+N544</f>
        <v>66452.490000000005</v>
      </c>
      <c r="P544" s="14">
        <f>IFERROR(ROUND(SUM(S545,S546)/I544, 2),0)</f>
        <v>68.28</v>
      </c>
      <c r="Q544" s="15">
        <v>464</v>
      </c>
      <c r="R544" s="14">
        <f>P544+ROUND(Q544, 2)</f>
        <v>532.28</v>
      </c>
      <c r="S544" s="14">
        <f>ROUND(P544*I544, 2)</f>
        <v>9505.94</v>
      </c>
      <c r="T544" s="14">
        <f>ROUND(I544*ROUND(Q544, 2), 2)</f>
        <v>64598.080000000002</v>
      </c>
      <c r="U544" s="14">
        <f>S544+T544</f>
        <v>74104.02</v>
      </c>
    </row>
    <row r="545" spans="1:21" ht="78.45" customHeight="1" x14ac:dyDescent="0.3">
      <c r="A545" s="107" t="s">
        <v>2174</v>
      </c>
      <c r="B545" s="107"/>
      <c r="C545" s="108" t="s">
        <v>2155</v>
      </c>
      <c r="D545" s="109"/>
      <c r="E545" s="109" t="s">
        <v>2175</v>
      </c>
      <c r="F545" s="110" t="s">
        <v>70</v>
      </c>
      <c r="G545" s="111">
        <v>0.3</v>
      </c>
      <c r="H545" s="111"/>
      <c r="I545" s="111">
        <v>41.765999999999998</v>
      </c>
      <c r="J545" s="112">
        <v>0</v>
      </c>
      <c r="K545" s="118"/>
      <c r="M545" s="22">
        <f>ROUND(ROUND(J545, 2)*I545, 2)</f>
        <v>0</v>
      </c>
      <c r="P545" s="21">
        <v>183.2</v>
      </c>
      <c r="S545" s="22">
        <f>ROUND(ROUND(P545, 2)*I545, 2)</f>
        <v>7651.53</v>
      </c>
    </row>
    <row r="546" spans="1:21" ht="18" x14ac:dyDescent="0.3">
      <c r="A546" s="107" t="s">
        <v>2178</v>
      </c>
      <c r="B546" s="107"/>
      <c r="C546" s="108" t="s">
        <v>433</v>
      </c>
      <c r="D546" s="109"/>
      <c r="E546" s="109"/>
      <c r="F546" s="110" t="s">
        <v>70</v>
      </c>
      <c r="G546" s="111">
        <v>0.15</v>
      </c>
      <c r="H546" s="111"/>
      <c r="I546" s="111">
        <v>20.882999999999999</v>
      </c>
      <c r="J546" s="112">
        <v>88.8</v>
      </c>
      <c r="K546" s="118"/>
      <c r="M546" s="22">
        <f>ROUND(ROUND(J546, 2)*I546, 2)</f>
        <v>1854.41</v>
      </c>
      <c r="P546" s="21">
        <v>88.8</v>
      </c>
      <c r="S546" s="22">
        <f>ROUND(ROUND(P546, 2)*I546, 2)</f>
        <v>1854.41</v>
      </c>
    </row>
    <row r="547" spans="1:21" ht="40.950000000000003" customHeight="1" x14ac:dyDescent="0.3">
      <c r="A547" s="156" t="s">
        <v>2181</v>
      </c>
      <c r="B547" s="156" t="s">
        <v>2149</v>
      </c>
      <c r="C547" s="75" t="s">
        <v>2150</v>
      </c>
      <c r="D547" s="76"/>
      <c r="E547" s="76" t="s">
        <v>2182</v>
      </c>
      <c r="F547" s="76" t="s">
        <v>64</v>
      </c>
      <c r="G547" s="77">
        <v>1</v>
      </c>
      <c r="H547" s="77"/>
      <c r="I547" s="77">
        <v>143.96</v>
      </c>
      <c r="J547" s="14">
        <f>IFERROR(ROUND(SUM(M548,M549)/I547, 2),0)</f>
        <v>13.32</v>
      </c>
      <c r="K547" s="15">
        <v>464</v>
      </c>
      <c r="L547" s="14">
        <f>J547+ROUND(K547, 2)</f>
        <v>477.32</v>
      </c>
      <c r="M547" s="14">
        <f>ROUND(J547*I547, 2)</f>
        <v>1917.55</v>
      </c>
      <c r="N547" s="14">
        <f>ROUND(I547*ROUND(K547, 2), 2)</f>
        <v>66797.440000000002</v>
      </c>
      <c r="O547" s="14">
        <f>M547+N547</f>
        <v>68714.990000000005</v>
      </c>
      <c r="P547" s="14">
        <f>IFERROR(ROUND(SUM(S548,S549)/I547, 2),0)</f>
        <v>75.27</v>
      </c>
      <c r="Q547" s="15">
        <v>464</v>
      </c>
      <c r="R547" s="14">
        <f>P547+ROUND(Q547, 2)</f>
        <v>539.27</v>
      </c>
      <c r="S547" s="14">
        <f>ROUND(P547*I547, 2)</f>
        <v>10835.87</v>
      </c>
      <c r="T547" s="14">
        <f>ROUND(I547*ROUND(Q547, 2), 2)</f>
        <v>66797.440000000002</v>
      </c>
      <c r="U547" s="14">
        <f>S547+T547</f>
        <v>77633.31</v>
      </c>
    </row>
    <row r="548" spans="1:21" ht="18" x14ac:dyDescent="0.3">
      <c r="A548" s="107" t="s">
        <v>2183</v>
      </c>
      <c r="B548" s="107"/>
      <c r="C548" s="108" t="s">
        <v>433</v>
      </c>
      <c r="D548" s="109"/>
      <c r="E548" s="109"/>
      <c r="F548" s="110" t="s">
        <v>70</v>
      </c>
      <c r="G548" s="111">
        <v>0.15</v>
      </c>
      <c r="H548" s="111"/>
      <c r="I548" s="111">
        <v>21.594000000000001</v>
      </c>
      <c r="J548" s="112">
        <v>88.8</v>
      </c>
      <c r="K548" s="118"/>
      <c r="L548" s="118"/>
      <c r="M548" s="22">
        <f>ROUND(ROUND(J548, 2)*I548, 2)</f>
        <v>1917.55</v>
      </c>
      <c r="P548" s="21">
        <v>88.8</v>
      </c>
      <c r="S548" s="22">
        <f>ROUND(ROUND(P548, 2)*I548, 2)</f>
        <v>1917.55</v>
      </c>
    </row>
    <row r="549" spans="1:21" ht="72" customHeight="1" x14ac:dyDescent="0.3">
      <c r="A549" s="107" t="s">
        <v>2186</v>
      </c>
      <c r="B549" s="107"/>
      <c r="C549" s="108" t="s">
        <v>2187</v>
      </c>
      <c r="D549" s="109"/>
      <c r="E549" s="109" t="s">
        <v>2188</v>
      </c>
      <c r="F549" s="110" t="s">
        <v>70</v>
      </c>
      <c r="G549" s="111">
        <v>0.3</v>
      </c>
      <c r="H549" s="111"/>
      <c r="I549" s="111">
        <v>43.188000000000002</v>
      </c>
      <c r="J549" s="112">
        <v>0</v>
      </c>
      <c r="K549" s="118"/>
      <c r="L549" s="118"/>
      <c r="M549" s="22">
        <f>ROUND(ROUND(J549, 2)*I549, 2)</f>
        <v>0</v>
      </c>
      <c r="P549" s="21">
        <v>206.5</v>
      </c>
      <c r="S549" s="22">
        <f>ROUND(ROUND(P549, 2)*I549, 2)</f>
        <v>8918.32</v>
      </c>
    </row>
    <row r="550" spans="1:21" ht="34.799999999999997" x14ac:dyDescent="0.3">
      <c r="A550" s="156" t="s">
        <v>2192</v>
      </c>
      <c r="B550" s="156" t="s">
        <v>2149</v>
      </c>
      <c r="C550" s="75" t="s">
        <v>2150</v>
      </c>
      <c r="D550" s="76"/>
      <c r="E550" s="76" t="s">
        <v>2193</v>
      </c>
      <c r="F550" s="76" t="s">
        <v>64</v>
      </c>
      <c r="G550" s="77">
        <v>1</v>
      </c>
      <c r="H550" s="77"/>
      <c r="I550" s="77">
        <v>28.93</v>
      </c>
      <c r="J550" s="14">
        <f>IFERROR(ROUND(SUM(M551,M552)/I550, 2),0)</f>
        <v>13.32</v>
      </c>
      <c r="K550" s="15">
        <v>464</v>
      </c>
      <c r="L550" s="14">
        <f>J550+ROUND(K550, 2)</f>
        <v>477.32</v>
      </c>
      <c r="M550" s="14">
        <f>ROUND(J550*I550, 2)</f>
        <v>385.35</v>
      </c>
      <c r="N550" s="14">
        <f>ROUND(I550*ROUND(K550, 2), 2)</f>
        <v>13423.52</v>
      </c>
      <c r="O550" s="14">
        <f>M550+N550</f>
        <v>13808.87</v>
      </c>
      <c r="P550" s="14">
        <f>IFERROR(ROUND(SUM(S551,S552)/I550, 2),0)</f>
        <v>75.27</v>
      </c>
      <c r="Q550" s="15">
        <v>464</v>
      </c>
      <c r="R550" s="14">
        <f>P550+ROUND(Q550, 2)</f>
        <v>539.27</v>
      </c>
      <c r="S550" s="14">
        <f>ROUND(P550*I550, 2)</f>
        <v>2177.56</v>
      </c>
      <c r="T550" s="14">
        <f>ROUND(I550*ROUND(Q550, 2), 2)</f>
        <v>13423.52</v>
      </c>
      <c r="U550" s="14">
        <f>S550+T550</f>
        <v>15601.08</v>
      </c>
    </row>
    <row r="551" spans="1:21" ht="77.55" customHeight="1" x14ac:dyDescent="0.3">
      <c r="A551" s="107" t="s">
        <v>2194</v>
      </c>
      <c r="B551" s="107"/>
      <c r="C551" s="108" t="s">
        <v>2187</v>
      </c>
      <c r="D551" s="109"/>
      <c r="E551" s="109" t="s">
        <v>2195</v>
      </c>
      <c r="F551" s="110" t="s">
        <v>70</v>
      </c>
      <c r="G551" s="111">
        <v>0.3</v>
      </c>
      <c r="H551" s="111"/>
      <c r="I551" s="111">
        <v>8.6790000000000003</v>
      </c>
      <c r="J551" s="112">
        <v>0</v>
      </c>
      <c r="K551" s="118"/>
      <c r="M551" s="22">
        <f>ROUND(ROUND(J551, 2)*I551, 2)</f>
        <v>0</v>
      </c>
      <c r="P551" s="21">
        <v>206.5</v>
      </c>
      <c r="S551" s="22">
        <f>ROUND(ROUND(P551, 2)*I551, 2)</f>
        <v>1792.21</v>
      </c>
    </row>
    <row r="552" spans="1:21" ht="18" x14ac:dyDescent="0.3">
      <c r="A552" s="107" t="s">
        <v>2198</v>
      </c>
      <c r="B552" s="107"/>
      <c r="C552" s="108" t="s">
        <v>433</v>
      </c>
      <c r="D552" s="109"/>
      <c r="E552" s="109"/>
      <c r="F552" s="110" t="s">
        <v>70</v>
      </c>
      <c r="G552" s="111">
        <v>0.15</v>
      </c>
      <c r="H552" s="111"/>
      <c r="I552" s="111">
        <v>4.34</v>
      </c>
      <c r="J552" s="112">
        <v>88.8</v>
      </c>
      <c r="K552" s="118"/>
      <c r="M552" s="22">
        <f>ROUND(ROUND(J552, 2)*I552, 2)</f>
        <v>385.39</v>
      </c>
      <c r="P552" s="21">
        <v>88.8</v>
      </c>
      <c r="S552" s="22">
        <f>ROUND(ROUND(P552, 2)*I552, 2)</f>
        <v>385.39</v>
      </c>
    </row>
    <row r="553" spans="1:21" ht="45" customHeight="1" x14ac:dyDescent="0.3">
      <c r="A553" s="156" t="s">
        <v>2201</v>
      </c>
      <c r="B553" s="156" t="s">
        <v>2149</v>
      </c>
      <c r="C553" s="75" t="s">
        <v>2150</v>
      </c>
      <c r="D553" s="76"/>
      <c r="E553" s="76" t="s">
        <v>2202</v>
      </c>
      <c r="F553" s="76" t="s">
        <v>64</v>
      </c>
      <c r="G553" s="77">
        <v>1</v>
      </c>
      <c r="H553" s="77"/>
      <c r="I553" s="77">
        <v>28.7</v>
      </c>
      <c r="J553" s="14">
        <f>IFERROR(ROUND(SUM(M554,M555)/I553, 2),0)</f>
        <v>13.32</v>
      </c>
      <c r="K553" s="15">
        <v>464</v>
      </c>
      <c r="L553" s="14">
        <f>J553+ROUND(K553, 2)</f>
        <v>477.32</v>
      </c>
      <c r="M553" s="14">
        <f>ROUND(J553*I553, 2)</f>
        <v>382.28</v>
      </c>
      <c r="N553" s="14">
        <f>ROUND(I553*ROUND(K553, 2), 2)</f>
        <v>13316.8</v>
      </c>
      <c r="O553" s="14">
        <f>M553+N553</f>
        <v>13699.08</v>
      </c>
      <c r="P553" s="14">
        <f>IFERROR(ROUND(SUM(S554,S555)/I553, 2),0)</f>
        <v>75.27</v>
      </c>
      <c r="Q553" s="15">
        <v>464</v>
      </c>
      <c r="R553" s="14">
        <f>P553+ROUND(Q553, 2)</f>
        <v>539.27</v>
      </c>
      <c r="S553" s="14">
        <f>ROUND(P553*I553, 2)</f>
        <v>2160.25</v>
      </c>
      <c r="T553" s="14">
        <f>ROUND(I553*ROUND(Q553, 2), 2)</f>
        <v>13316.8</v>
      </c>
      <c r="U553" s="14">
        <f>S553+T553</f>
        <v>15477.05</v>
      </c>
    </row>
    <row r="554" spans="1:21" ht="18" x14ac:dyDescent="0.3">
      <c r="A554" s="107" t="s">
        <v>2203</v>
      </c>
      <c r="B554" s="107"/>
      <c r="C554" s="108" t="s">
        <v>433</v>
      </c>
      <c r="D554" s="109"/>
      <c r="E554" s="109"/>
      <c r="F554" s="110" t="s">
        <v>70</v>
      </c>
      <c r="G554" s="111">
        <v>0.15</v>
      </c>
      <c r="H554" s="111"/>
      <c r="I554" s="111">
        <v>4.3049999999999997</v>
      </c>
      <c r="J554" s="112">
        <v>88.8</v>
      </c>
      <c r="K554" s="118"/>
      <c r="M554" s="22">
        <f>ROUND(ROUND(J554, 2)*I554, 2)</f>
        <v>382.28</v>
      </c>
      <c r="P554" s="21">
        <v>88.8</v>
      </c>
      <c r="S554" s="22">
        <f>ROUND(ROUND(P554, 2)*I554, 2)</f>
        <v>382.28</v>
      </c>
    </row>
    <row r="555" spans="1:21" ht="75" customHeight="1" x14ac:dyDescent="0.3">
      <c r="A555" s="107" t="s">
        <v>2206</v>
      </c>
      <c r="B555" s="107"/>
      <c r="C555" s="108" t="s">
        <v>2187</v>
      </c>
      <c r="D555" s="109"/>
      <c r="E555" s="109" t="s">
        <v>2207</v>
      </c>
      <c r="F555" s="110" t="s">
        <v>70</v>
      </c>
      <c r="G555" s="111">
        <v>0.3</v>
      </c>
      <c r="H555" s="111"/>
      <c r="I555" s="111">
        <v>8.61</v>
      </c>
      <c r="J555" s="112">
        <v>0</v>
      </c>
      <c r="K555" s="118"/>
      <c r="M555" s="22">
        <f>ROUND(ROUND(J555, 2)*I555, 2)</f>
        <v>0</v>
      </c>
      <c r="P555" s="21">
        <v>206.5</v>
      </c>
      <c r="S555" s="22">
        <f>ROUND(ROUND(P555, 2)*I555, 2)</f>
        <v>1777.97</v>
      </c>
    </row>
    <row r="556" spans="1:21" ht="43.95" customHeight="1" x14ac:dyDescent="0.3">
      <c r="A556" s="156" t="s">
        <v>2210</v>
      </c>
      <c r="B556" s="156" t="s">
        <v>2149</v>
      </c>
      <c r="C556" s="75" t="s">
        <v>2150</v>
      </c>
      <c r="D556" s="76"/>
      <c r="E556" s="76" t="s">
        <v>2211</v>
      </c>
      <c r="F556" s="76" t="s">
        <v>64</v>
      </c>
      <c r="G556" s="77">
        <v>1</v>
      </c>
      <c r="H556" s="77"/>
      <c r="I556" s="77">
        <v>29.42</v>
      </c>
      <c r="J556" s="14">
        <f>IFERROR(ROUND(SUM(M557,M558)/I556, 2),0)</f>
        <v>13.32</v>
      </c>
      <c r="K556" s="15">
        <v>464</v>
      </c>
      <c r="L556" s="14">
        <f>J556+ROUND(K556, 2)</f>
        <v>477.32</v>
      </c>
      <c r="M556" s="14">
        <f>ROUND(J556*I556, 2)</f>
        <v>391.87</v>
      </c>
      <c r="N556" s="14">
        <f>ROUND(I556*ROUND(K556, 2), 2)</f>
        <v>13650.88</v>
      </c>
      <c r="O556" s="14">
        <f>M556+N556</f>
        <v>14042.75</v>
      </c>
      <c r="P556" s="14">
        <f>IFERROR(ROUND(SUM(S557,S558)/I556, 2),0)</f>
        <v>75.27</v>
      </c>
      <c r="Q556" s="15">
        <v>464</v>
      </c>
      <c r="R556" s="14">
        <f>P556+ROUND(Q556, 2)</f>
        <v>539.27</v>
      </c>
      <c r="S556" s="14">
        <f>ROUND(P556*I556, 2)</f>
        <v>2214.44</v>
      </c>
      <c r="T556" s="14">
        <f>ROUND(I556*ROUND(Q556, 2), 2)</f>
        <v>13650.88</v>
      </c>
      <c r="U556" s="14">
        <f>S556+T556</f>
        <v>15865.32</v>
      </c>
    </row>
    <row r="557" spans="1:21" ht="75" customHeight="1" x14ac:dyDescent="0.3">
      <c r="A557" s="107" t="s">
        <v>2212</v>
      </c>
      <c r="B557" s="107"/>
      <c r="C557" s="108" t="s">
        <v>2187</v>
      </c>
      <c r="D557" s="109"/>
      <c r="E557" s="109" t="s">
        <v>2213</v>
      </c>
      <c r="F557" s="110" t="s">
        <v>70</v>
      </c>
      <c r="G557" s="111">
        <v>0.3</v>
      </c>
      <c r="H557" s="111"/>
      <c r="I557" s="111">
        <v>8.8260000000000005</v>
      </c>
      <c r="J557" s="112">
        <v>0</v>
      </c>
      <c r="K557" s="118"/>
      <c r="M557" s="22">
        <f>ROUND(ROUND(J557, 2)*I557, 2)</f>
        <v>0</v>
      </c>
      <c r="P557" s="21">
        <v>206.5</v>
      </c>
      <c r="S557" s="22">
        <f>ROUND(ROUND(P557, 2)*I557, 2)</f>
        <v>1822.57</v>
      </c>
    </row>
    <row r="558" spans="1:21" ht="18" x14ac:dyDescent="0.3">
      <c r="A558" s="107" t="s">
        <v>2216</v>
      </c>
      <c r="B558" s="107"/>
      <c r="C558" s="108" t="s">
        <v>433</v>
      </c>
      <c r="D558" s="109"/>
      <c r="E558" s="109"/>
      <c r="F558" s="110" t="s">
        <v>70</v>
      </c>
      <c r="G558" s="111">
        <v>0.15</v>
      </c>
      <c r="H558" s="111"/>
      <c r="I558" s="111">
        <v>4.4130000000000003</v>
      </c>
      <c r="J558" s="112">
        <v>88.8</v>
      </c>
      <c r="K558" s="118"/>
      <c r="M558" s="22">
        <f>ROUND(ROUND(J558, 2)*I558, 2)</f>
        <v>391.87</v>
      </c>
      <c r="P558" s="21">
        <v>88.8</v>
      </c>
      <c r="S558" s="22">
        <f>ROUND(ROUND(P558, 2)*I558, 2)</f>
        <v>391.87</v>
      </c>
    </row>
    <row r="559" spans="1:21" ht="46.5" customHeight="1" x14ac:dyDescent="0.3">
      <c r="A559" s="156" t="s">
        <v>2219</v>
      </c>
      <c r="B559" s="156" t="s">
        <v>2149</v>
      </c>
      <c r="C559" s="75" t="s">
        <v>2150</v>
      </c>
      <c r="D559" s="76"/>
      <c r="E559" s="76" t="s">
        <v>2220</v>
      </c>
      <c r="F559" s="76" t="s">
        <v>64</v>
      </c>
      <c r="G559" s="77">
        <v>1</v>
      </c>
      <c r="H559" s="77"/>
      <c r="I559" s="77">
        <v>316.79000000000002</v>
      </c>
      <c r="J559" s="14">
        <f>IFERROR(ROUND(SUM(M560,M561)/I559, 2),0)</f>
        <v>13.32</v>
      </c>
      <c r="K559" s="15">
        <v>464</v>
      </c>
      <c r="L559" s="14">
        <f>J559+ROUND(K559, 2)</f>
        <v>477.32</v>
      </c>
      <c r="M559" s="14">
        <f>ROUND(J559*I559, 2)</f>
        <v>4219.6400000000003</v>
      </c>
      <c r="N559" s="14">
        <f>ROUND(I559*ROUND(K559, 2), 2)</f>
        <v>146990.56</v>
      </c>
      <c r="O559" s="14">
        <f>M559+N559</f>
        <v>151210.20000000001</v>
      </c>
      <c r="P559" s="14">
        <f>IFERROR(ROUND(SUM(S560,S561)/I559, 2),0)</f>
        <v>75.27</v>
      </c>
      <c r="Q559" s="15">
        <v>464</v>
      </c>
      <c r="R559" s="14">
        <f>P559+ROUND(Q559, 2)</f>
        <v>539.27</v>
      </c>
      <c r="S559" s="14">
        <f>ROUND(P559*I559, 2)</f>
        <v>23844.78</v>
      </c>
      <c r="T559" s="14">
        <f>ROUND(I559*ROUND(Q559, 2), 2)</f>
        <v>146990.56</v>
      </c>
      <c r="U559" s="14">
        <f>S559+T559</f>
        <v>170835.34</v>
      </c>
    </row>
    <row r="560" spans="1:21" ht="18" x14ac:dyDescent="0.3">
      <c r="A560" s="107" t="s">
        <v>2221</v>
      </c>
      <c r="B560" s="107"/>
      <c r="C560" s="108" t="s">
        <v>433</v>
      </c>
      <c r="D560" s="109"/>
      <c r="E560" s="109"/>
      <c r="F560" s="110" t="s">
        <v>70</v>
      </c>
      <c r="G560" s="111">
        <v>0.15</v>
      </c>
      <c r="H560" s="111"/>
      <c r="I560" s="111">
        <v>47.518999999999998</v>
      </c>
      <c r="J560" s="112">
        <v>88.8</v>
      </c>
      <c r="K560" s="118"/>
      <c r="M560" s="22">
        <f>ROUND(ROUND(J560, 2)*I560, 2)</f>
        <v>4219.6899999999996</v>
      </c>
      <c r="P560" s="21">
        <v>88.8</v>
      </c>
      <c r="S560" s="22">
        <f>ROUND(ROUND(P560, 2)*I560, 2)</f>
        <v>4219.6899999999996</v>
      </c>
    </row>
    <row r="561" spans="1:21" ht="82.5" customHeight="1" x14ac:dyDescent="0.3">
      <c r="A561" s="107" t="s">
        <v>2224</v>
      </c>
      <c r="B561" s="107"/>
      <c r="C561" s="108" t="s">
        <v>2155</v>
      </c>
      <c r="D561" s="109"/>
      <c r="E561" s="109" t="s">
        <v>2225</v>
      </c>
      <c r="F561" s="110" t="s">
        <v>70</v>
      </c>
      <c r="G561" s="111">
        <v>0.3</v>
      </c>
      <c r="H561" s="111"/>
      <c r="I561" s="111">
        <v>95.037000000000006</v>
      </c>
      <c r="J561" s="112">
        <v>0</v>
      </c>
      <c r="K561" s="118"/>
      <c r="M561" s="22">
        <f>ROUND(ROUND(J561, 2)*I561, 2)</f>
        <v>0</v>
      </c>
      <c r="P561" s="21">
        <v>206.5</v>
      </c>
      <c r="S561" s="22">
        <f>ROUND(ROUND(P561, 2)*I561, 2)</f>
        <v>19625.14</v>
      </c>
    </row>
    <row r="562" spans="1:21" ht="49.95" customHeight="1" x14ac:dyDescent="0.3">
      <c r="A562" s="156" t="s">
        <v>2228</v>
      </c>
      <c r="B562" s="156" t="s">
        <v>2149</v>
      </c>
      <c r="C562" s="75" t="s">
        <v>2150</v>
      </c>
      <c r="D562" s="76"/>
      <c r="E562" s="76" t="s">
        <v>2229</v>
      </c>
      <c r="F562" s="76" t="s">
        <v>64</v>
      </c>
      <c r="G562" s="77">
        <v>1</v>
      </c>
      <c r="H562" s="77"/>
      <c r="I562" s="77">
        <v>564.55999999999995</v>
      </c>
      <c r="J562" s="14">
        <f>IFERROR(ROUND(SUM(M563,M564)/I562, 2),0)</f>
        <v>13.32</v>
      </c>
      <c r="K562" s="15">
        <v>464</v>
      </c>
      <c r="L562" s="14">
        <f>J562+ROUND(K562, 2)</f>
        <v>477.32</v>
      </c>
      <c r="M562" s="14">
        <f>ROUND(J562*I562, 2)</f>
        <v>7519.94</v>
      </c>
      <c r="N562" s="14">
        <f>ROUND(I562*ROUND(K562, 2), 2)</f>
        <v>261955.84</v>
      </c>
      <c r="O562" s="14">
        <f>M562+N562</f>
        <v>269475.77999999997</v>
      </c>
      <c r="P562" s="14">
        <f>IFERROR(ROUND(SUM(S563,S564)/I562, 2),0)</f>
        <v>68.28</v>
      </c>
      <c r="Q562" s="15">
        <v>464</v>
      </c>
      <c r="R562" s="14">
        <f>P562+ROUND(Q562, 2)</f>
        <v>532.28</v>
      </c>
      <c r="S562" s="14">
        <f>ROUND(P562*I562, 2)</f>
        <v>38548.160000000003</v>
      </c>
      <c r="T562" s="14">
        <f>ROUND(I562*ROUND(Q562, 2), 2)</f>
        <v>261955.84</v>
      </c>
      <c r="U562" s="14">
        <f>S562+T562</f>
        <v>300504</v>
      </c>
    </row>
    <row r="563" spans="1:21" ht="72" customHeight="1" x14ac:dyDescent="0.3">
      <c r="A563" s="107" t="s">
        <v>2230</v>
      </c>
      <c r="B563" s="107"/>
      <c r="C563" s="108" t="s">
        <v>2187</v>
      </c>
      <c r="D563" s="109"/>
      <c r="E563" s="109" t="s">
        <v>2231</v>
      </c>
      <c r="F563" s="110" t="s">
        <v>70</v>
      </c>
      <c r="G563" s="111">
        <v>0.3</v>
      </c>
      <c r="H563" s="111"/>
      <c r="I563" s="111">
        <v>169.36799999999999</v>
      </c>
      <c r="J563" s="112">
        <v>0</v>
      </c>
      <c r="K563" s="118"/>
      <c r="M563" s="22">
        <f>ROUND(ROUND(J563, 2)*I563, 2)</f>
        <v>0</v>
      </c>
      <c r="P563" s="21">
        <v>183.2</v>
      </c>
      <c r="S563" s="22">
        <f>ROUND(ROUND(P563, 2)*I563, 2)</f>
        <v>31028.22</v>
      </c>
    </row>
    <row r="564" spans="1:21" ht="18" x14ac:dyDescent="0.3">
      <c r="A564" s="107" t="s">
        <v>2234</v>
      </c>
      <c r="B564" s="107"/>
      <c r="C564" s="108" t="s">
        <v>433</v>
      </c>
      <c r="D564" s="109"/>
      <c r="E564" s="109"/>
      <c r="F564" s="110" t="s">
        <v>70</v>
      </c>
      <c r="G564" s="111">
        <v>0.15</v>
      </c>
      <c r="H564" s="111"/>
      <c r="I564" s="111">
        <v>84.683999999999997</v>
      </c>
      <c r="J564" s="112">
        <v>88.8</v>
      </c>
      <c r="K564" s="118"/>
      <c r="M564" s="22">
        <f>ROUND(ROUND(J564, 2)*I564, 2)</f>
        <v>7519.94</v>
      </c>
      <c r="P564" s="21">
        <v>88.8</v>
      </c>
      <c r="S564" s="22">
        <f>ROUND(ROUND(P564, 2)*I564, 2)</f>
        <v>7519.94</v>
      </c>
    </row>
    <row r="565" spans="1:21" ht="42.45" customHeight="1" x14ac:dyDescent="0.3">
      <c r="A565" s="156" t="s">
        <v>2237</v>
      </c>
      <c r="B565" s="156" t="s">
        <v>2149</v>
      </c>
      <c r="C565" s="75" t="s">
        <v>2150</v>
      </c>
      <c r="D565" s="76"/>
      <c r="E565" s="76" t="s">
        <v>2238</v>
      </c>
      <c r="F565" s="76" t="s">
        <v>64</v>
      </c>
      <c r="G565" s="77">
        <v>1</v>
      </c>
      <c r="H565" s="77"/>
      <c r="I565" s="77">
        <v>32.17</v>
      </c>
      <c r="J565" s="14">
        <f>IFERROR(ROUND(SUM(M566,M567)/I565, 2),0)</f>
        <v>12</v>
      </c>
      <c r="K565" s="15">
        <v>464</v>
      </c>
      <c r="L565" s="14">
        <f>J565+ROUND(K565, 2)</f>
        <v>476</v>
      </c>
      <c r="M565" s="14">
        <f>ROUND(J565*I565, 2)</f>
        <v>386.04</v>
      </c>
      <c r="N565" s="14">
        <f>ROUND(I565*ROUND(K565, 2), 2)</f>
        <v>14926.88</v>
      </c>
      <c r="O565" s="14">
        <f>M565+N565</f>
        <v>15312.92</v>
      </c>
      <c r="P565" s="14">
        <f>IFERROR(ROUND(SUM(S566,S567)/I565, 2),0)</f>
        <v>73.95</v>
      </c>
      <c r="Q565" s="15">
        <v>464</v>
      </c>
      <c r="R565" s="14">
        <f>P565+ROUND(Q565, 2)</f>
        <v>537.95000000000005</v>
      </c>
      <c r="S565" s="14">
        <f>ROUND(P565*I565, 2)</f>
        <v>2378.9699999999998</v>
      </c>
      <c r="T565" s="14">
        <f>ROUND(I565*ROUND(Q565, 2), 2)</f>
        <v>14926.88</v>
      </c>
      <c r="U565" s="14">
        <f>S565+T565</f>
        <v>17305.849999999999</v>
      </c>
    </row>
    <row r="566" spans="1:21" ht="18" x14ac:dyDescent="0.3">
      <c r="A566" s="107" t="s">
        <v>2239</v>
      </c>
      <c r="B566" s="107"/>
      <c r="C566" s="108" t="s">
        <v>2240</v>
      </c>
      <c r="D566" s="109"/>
      <c r="E566" s="109"/>
      <c r="F566" s="110" t="s">
        <v>70</v>
      </c>
      <c r="G566" s="111">
        <v>0.15</v>
      </c>
      <c r="H566" s="111"/>
      <c r="I566" s="111">
        <v>4.8259999999999996</v>
      </c>
      <c r="J566" s="112">
        <v>80</v>
      </c>
      <c r="K566" s="118"/>
      <c r="M566" s="22">
        <f>ROUND(ROUND(J566, 2)*I566, 2)</f>
        <v>386.08</v>
      </c>
      <c r="P566" s="21">
        <v>80</v>
      </c>
      <c r="S566" s="22">
        <f>ROUND(ROUND(P566, 2)*I566, 2)</f>
        <v>386.08</v>
      </c>
    </row>
    <row r="567" spans="1:21" ht="72.45" customHeight="1" x14ac:dyDescent="0.3">
      <c r="A567" s="107" t="s">
        <v>2244</v>
      </c>
      <c r="B567" s="107"/>
      <c r="C567" s="108" t="s">
        <v>2187</v>
      </c>
      <c r="D567" s="109"/>
      <c r="E567" s="109" t="s">
        <v>2245</v>
      </c>
      <c r="F567" s="110" t="s">
        <v>70</v>
      </c>
      <c r="G567" s="111">
        <v>0.3</v>
      </c>
      <c r="H567" s="111"/>
      <c r="I567" s="111">
        <v>9.6509999999999998</v>
      </c>
      <c r="J567" s="112">
        <v>0</v>
      </c>
      <c r="K567" s="118"/>
      <c r="M567" s="22">
        <f>ROUND(ROUND(J567, 2)*I567, 2)</f>
        <v>0</v>
      </c>
      <c r="P567" s="21">
        <v>206.5</v>
      </c>
      <c r="S567" s="22">
        <f>ROUND(ROUND(P567, 2)*I567, 2)</f>
        <v>1992.93</v>
      </c>
    </row>
    <row r="568" spans="1:21" ht="34.799999999999997" x14ac:dyDescent="0.3">
      <c r="A568" s="156" t="s">
        <v>2248</v>
      </c>
      <c r="B568" s="156" t="s">
        <v>2149</v>
      </c>
      <c r="C568" s="75" t="s">
        <v>2150</v>
      </c>
      <c r="D568" s="76"/>
      <c r="E568" s="76" t="s">
        <v>2249</v>
      </c>
      <c r="F568" s="76" t="s">
        <v>64</v>
      </c>
      <c r="G568" s="77">
        <v>1</v>
      </c>
      <c r="H568" s="77"/>
      <c r="I568" s="77">
        <v>38.729999999999997</v>
      </c>
      <c r="J568" s="14">
        <f>IFERROR(ROUND(SUM(M569,M570)/I568, 2),0)</f>
        <v>13.32</v>
      </c>
      <c r="K568" s="15">
        <v>464</v>
      </c>
      <c r="L568" s="14">
        <f>J568+ROUND(K568, 2)</f>
        <v>477.32</v>
      </c>
      <c r="M568" s="14">
        <f>ROUND(J568*I568, 2)</f>
        <v>515.88</v>
      </c>
      <c r="N568" s="14">
        <f>ROUND(I568*ROUND(K568, 2), 2)</f>
        <v>17970.72</v>
      </c>
      <c r="O568" s="14">
        <f>M568+N568</f>
        <v>18486.600000000002</v>
      </c>
      <c r="P568" s="14">
        <f>IFERROR(ROUND(SUM(S569,S570)/I568, 2),0)</f>
        <v>75.27</v>
      </c>
      <c r="Q568" s="15">
        <v>464</v>
      </c>
      <c r="R568" s="14">
        <f>P568+ROUND(Q568, 2)</f>
        <v>539.27</v>
      </c>
      <c r="S568" s="14">
        <f>ROUND(P568*I568, 2)</f>
        <v>2915.21</v>
      </c>
      <c r="T568" s="14">
        <f>ROUND(I568*ROUND(Q568, 2), 2)</f>
        <v>17970.72</v>
      </c>
      <c r="U568" s="14">
        <f>S568+T568</f>
        <v>20885.93</v>
      </c>
    </row>
    <row r="569" spans="1:21" ht="66" customHeight="1" x14ac:dyDescent="0.3">
      <c r="A569" s="107" t="s">
        <v>2250</v>
      </c>
      <c r="B569" s="107"/>
      <c r="C569" s="108" t="s">
        <v>2187</v>
      </c>
      <c r="D569" s="109"/>
      <c r="E569" s="109" t="s">
        <v>2251</v>
      </c>
      <c r="F569" s="110" t="s">
        <v>70</v>
      </c>
      <c r="G569" s="111">
        <v>0.3</v>
      </c>
      <c r="H569" s="111"/>
      <c r="I569" s="111">
        <v>11.619</v>
      </c>
      <c r="J569" s="112">
        <v>0</v>
      </c>
      <c r="K569" s="118"/>
      <c r="M569" s="22">
        <f>ROUND(ROUND(J569, 2)*I569, 2)</f>
        <v>0</v>
      </c>
      <c r="P569" s="21">
        <v>206.5</v>
      </c>
      <c r="S569" s="22">
        <f>ROUND(ROUND(P569, 2)*I569, 2)</f>
        <v>2399.3200000000002</v>
      </c>
    </row>
    <row r="570" spans="1:21" ht="18" x14ac:dyDescent="0.3">
      <c r="A570" s="107" t="s">
        <v>2254</v>
      </c>
      <c r="B570" s="107"/>
      <c r="C570" s="108" t="s">
        <v>433</v>
      </c>
      <c r="D570" s="109"/>
      <c r="E570" s="109"/>
      <c r="F570" s="110" t="s">
        <v>70</v>
      </c>
      <c r="G570" s="111">
        <v>0.15</v>
      </c>
      <c r="H570" s="111"/>
      <c r="I570" s="111">
        <v>5.81</v>
      </c>
      <c r="J570" s="112">
        <v>88.8</v>
      </c>
      <c r="K570" s="118"/>
      <c r="M570" s="22">
        <f>ROUND(ROUND(J570, 2)*I570, 2)</f>
        <v>515.92999999999995</v>
      </c>
      <c r="P570" s="21">
        <v>88.8</v>
      </c>
      <c r="S570" s="22">
        <f>ROUND(ROUND(P570, 2)*I570, 2)</f>
        <v>515.92999999999995</v>
      </c>
    </row>
    <row r="571" spans="1:21" ht="46.5" customHeight="1" x14ac:dyDescent="0.3">
      <c r="A571" s="156" t="s">
        <v>2257</v>
      </c>
      <c r="B571" s="156" t="s">
        <v>2149</v>
      </c>
      <c r="C571" s="75" t="s">
        <v>2150</v>
      </c>
      <c r="D571" s="76"/>
      <c r="E571" s="76" t="s">
        <v>2211</v>
      </c>
      <c r="F571" s="76" t="s">
        <v>64</v>
      </c>
      <c r="G571" s="77">
        <v>1</v>
      </c>
      <c r="H571" s="77"/>
      <c r="I571" s="77">
        <v>38.74</v>
      </c>
      <c r="J571" s="14">
        <f>IFERROR(ROUND(SUM(M572,M573)/I571, 2),0)</f>
        <v>13.32</v>
      </c>
      <c r="K571" s="15">
        <v>464</v>
      </c>
      <c r="L571" s="14">
        <f>J571+ROUND(K571, 2)</f>
        <v>477.32</v>
      </c>
      <c r="M571" s="14">
        <f>ROUND(J571*I571, 2)</f>
        <v>516.02</v>
      </c>
      <c r="N571" s="14">
        <f>ROUND(I571*ROUND(K571, 2), 2)</f>
        <v>17975.36</v>
      </c>
      <c r="O571" s="14">
        <f>M571+N571</f>
        <v>18491.38</v>
      </c>
      <c r="P571" s="14">
        <f>IFERROR(ROUND(SUM(S572,S573)/I571, 2),0)</f>
        <v>75.27</v>
      </c>
      <c r="Q571" s="15">
        <v>464</v>
      </c>
      <c r="R571" s="14">
        <f>P571+ROUND(Q571, 2)</f>
        <v>539.27</v>
      </c>
      <c r="S571" s="14">
        <f>ROUND(P571*I571, 2)</f>
        <v>2915.96</v>
      </c>
      <c r="T571" s="14">
        <f>ROUND(I571*ROUND(Q571, 2), 2)</f>
        <v>17975.36</v>
      </c>
      <c r="U571" s="14">
        <f>S571+T571</f>
        <v>20891.32</v>
      </c>
    </row>
    <row r="572" spans="1:21" ht="18" x14ac:dyDescent="0.3">
      <c r="A572" s="107" t="s">
        <v>2258</v>
      </c>
      <c r="B572" s="107"/>
      <c r="C572" s="108" t="s">
        <v>433</v>
      </c>
      <c r="D572" s="109"/>
      <c r="E572" s="109"/>
      <c r="F572" s="110" t="s">
        <v>70</v>
      </c>
      <c r="G572" s="111">
        <v>0.15</v>
      </c>
      <c r="H572" s="111"/>
      <c r="I572" s="111">
        <v>5.8109999999999999</v>
      </c>
      <c r="J572" s="112">
        <v>88.8</v>
      </c>
      <c r="K572" s="118"/>
      <c r="M572" s="22">
        <f>ROUND(ROUND(J572, 2)*I572, 2)</f>
        <v>516.02</v>
      </c>
      <c r="P572" s="21">
        <v>88.8</v>
      </c>
      <c r="S572" s="22">
        <f>ROUND(ROUND(P572, 2)*I572, 2)</f>
        <v>516.02</v>
      </c>
    </row>
    <row r="573" spans="1:21" ht="73.05" customHeight="1" x14ac:dyDescent="0.3">
      <c r="A573" s="107" t="s">
        <v>2261</v>
      </c>
      <c r="B573" s="107"/>
      <c r="C573" s="108" t="s">
        <v>2187</v>
      </c>
      <c r="D573" s="109"/>
      <c r="E573" s="109" t="s">
        <v>2262</v>
      </c>
      <c r="F573" s="110" t="s">
        <v>70</v>
      </c>
      <c r="G573" s="111">
        <v>0.3</v>
      </c>
      <c r="H573" s="111"/>
      <c r="I573" s="111">
        <v>11.622</v>
      </c>
      <c r="J573" s="112">
        <v>0</v>
      </c>
      <c r="K573" s="118"/>
      <c r="M573" s="22">
        <f>ROUND(ROUND(J573, 2)*I573, 2)</f>
        <v>0</v>
      </c>
      <c r="P573" s="21">
        <v>206.5</v>
      </c>
      <c r="S573" s="22">
        <f>ROUND(ROUND(P573, 2)*I573, 2)</f>
        <v>2399.94</v>
      </c>
    </row>
    <row r="574" spans="1:21" ht="49.95" customHeight="1" x14ac:dyDescent="0.3">
      <c r="A574" s="156" t="s">
        <v>2265</v>
      </c>
      <c r="B574" s="156" t="s">
        <v>2149</v>
      </c>
      <c r="C574" s="75" t="s">
        <v>2150</v>
      </c>
      <c r="D574" s="76"/>
      <c r="E574" s="76" t="s">
        <v>2266</v>
      </c>
      <c r="F574" s="76" t="s">
        <v>64</v>
      </c>
      <c r="G574" s="77">
        <v>1</v>
      </c>
      <c r="H574" s="77"/>
      <c r="I574" s="77">
        <v>33.549999999999997</v>
      </c>
      <c r="J574" s="14">
        <f>IFERROR(ROUND(SUM(M575,M576)/I574, 2),0)</f>
        <v>13.32</v>
      </c>
      <c r="K574" s="15">
        <v>464</v>
      </c>
      <c r="L574" s="14">
        <f>J574+ROUND(K574, 2)</f>
        <v>477.32</v>
      </c>
      <c r="M574" s="14">
        <f>ROUND(J574*I574, 2)</f>
        <v>446.89</v>
      </c>
      <c r="N574" s="14">
        <f>ROUND(I574*ROUND(K574, 2), 2)</f>
        <v>15567.2</v>
      </c>
      <c r="O574" s="14">
        <f>M574+N574</f>
        <v>16014.09</v>
      </c>
      <c r="P574" s="14">
        <f>IFERROR(ROUND(SUM(S575,S576)/I574, 2),0)</f>
        <v>75.27</v>
      </c>
      <c r="Q574" s="15">
        <v>464</v>
      </c>
      <c r="R574" s="14">
        <f>P574+ROUND(Q574, 2)</f>
        <v>539.27</v>
      </c>
      <c r="S574" s="14">
        <f>ROUND(P574*I574, 2)</f>
        <v>2525.31</v>
      </c>
      <c r="T574" s="14">
        <f>ROUND(I574*ROUND(Q574, 2), 2)</f>
        <v>15567.2</v>
      </c>
      <c r="U574" s="14">
        <f>S574+T574</f>
        <v>18092.510000000002</v>
      </c>
    </row>
    <row r="575" spans="1:21" ht="76.95" customHeight="1" x14ac:dyDescent="0.3">
      <c r="A575" s="10" t="s">
        <v>2267</v>
      </c>
      <c r="B575" s="10"/>
      <c r="C575" s="24" t="s">
        <v>2187</v>
      </c>
      <c r="D575" s="12"/>
      <c r="E575" s="12" t="s">
        <v>2268</v>
      </c>
      <c r="F575" s="18" t="s">
        <v>70</v>
      </c>
      <c r="G575" s="19">
        <v>0.3</v>
      </c>
      <c r="H575" s="19"/>
      <c r="I575" s="19">
        <v>10.065</v>
      </c>
      <c r="J575" s="21">
        <v>0</v>
      </c>
      <c r="M575" s="22">
        <f>ROUND(ROUND(J575, 2)*I575, 2)</f>
        <v>0</v>
      </c>
      <c r="P575" s="21">
        <v>206.5</v>
      </c>
      <c r="S575" s="22">
        <f>ROUND(ROUND(P575, 2)*I575, 2)</f>
        <v>2078.42</v>
      </c>
    </row>
    <row r="576" spans="1:21" ht="18" x14ac:dyDescent="0.3">
      <c r="A576" s="10" t="s">
        <v>2271</v>
      </c>
      <c r="B576" s="10"/>
      <c r="C576" s="24" t="s">
        <v>433</v>
      </c>
      <c r="D576" s="12"/>
      <c r="E576" s="12"/>
      <c r="F576" s="18" t="s">
        <v>70</v>
      </c>
      <c r="G576" s="19">
        <v>0.15</v>
      </c>
      <c r="H576" s="19"/>
      <c r="I576" s="19">
        <v>5.0330000000000004</v>
      </c>
      <c r="J576" s="21">
        <v>88.8</v>
      </c>
      <c r="M576" s="22">
        <f>ROUND(ROUND(J576, 2)*I576, 2)</f>
        <v>446.93</v>
      </c>
      <c r="P576" s="21">
        <v>88.8</v>
      </c>
      <c r="S576" s="22">
        <f>ROUND(ROUND(P576, 2)*I576, 2)</f>
        <v>446.93</v>
      </c>
    </row>
    <row r="577" spans="1:21" ht="38.549999999999997" customHeight="1" x14ac:dyDescent="0.3">
      <c r="A577" s="156" t="s">
        <v>2274</v>
      </c>
      <c r="B577" s="156" t="s">
        <v>2149</v>
      </c>
      <c r="C577" s="75" t="s">
        <v>2150</v>
      </c>
      <c r="D577" s="76"/>
      <c r="E577" s="76" t="s">
        <v>2275</v>
      </c>
      <c r="F577" s="76" t="s">
        <v>64</v>
      </c>
      <c r="G577" s="77">
        <v>1</v>
      </c>
      <c r="H577" s="77"/>
      <c r="I577" s="77">
        <v>1504.31</v>
      </c>
      <c r="J577" s="14">
        <f>IFERROR(ROUND(SUM(M578,M579)/I577, 2),0)</f>
        <v>13.32</v>
      </c>
      <c r="K577" s="15">
        <v>464</v>
      </c>
      <c r="L577" s="14">
        <f>J577+ROUND(K577, 2)</f>
        <v>477.32</v>
      </c>
      <c r="M577" s="14">
        <f>ROUND(J577*I577, 2)</f>
        <v>20037.41</v>
      </c>
      <c r="N577" s="14">
        <f>ROUND(I577*ROUND(K577, 2), 2)</f>
        <v>697999.84</v>
      </c>
      <c r="O577" s="14">
        <f>M577+N577</f>
        <v>718037.25</v>
      </c>
      <c r="P577" s="14">
        <f>IFERROR(ROUND(SUM(S578,S579)/I577, 2),0)</f>
        <v>75.27</v>
      </c>
      <c r="Q577" s="15">
        <v>464</v>
      </c>
      <c r="R577" s="14">
        <f>P577+ROUND(Q577, 2)</f>
        <v>539.27</v>
      </c>
      <c r="S577" s="14">
        <f>ROUND(P577*I577, 2)</f>
        <v>113229.41</v>
      </c>
      <c r="T577" s="14">
        <f>ROUND(I577*ROUND(Q577, 2), 2)</f>
        <v>697999.84</v>
      </c>
      <c r="U577" s="14">
        <f>S577+T577</f>
        <v>811229.25</v>
      </c>
    </row>
    <row r="578" spans="1:21" ht="18" x14ac:dyDescent="0.3">
      <c r="A578" s="107" t="s">
        <v>2276</v>
      </c>
      <c r="B578" s="107"/>
      <c r="C578" s="108" t="s">
        <v>433</v>
      </c>
      <c r="D578" s="109"/>
      <c r="E578" s="109"/>
      <c r="F578" s="110" t="s">
        <v>70</v>
      </c>
      <c r="G578" s="111">
        <v>0.15</v>
      </c>
      <c r="H578" s="111"/>
      <c r="I578" s="111">
        <v>225.64699999999999</v>
      </c>
      <c r="J578" s="112">
        <v>88.8</v>
      </c>
      <c r="K578" s="118"/>
      <c r="M578" s="22">
        <f>ROUND(ROUND(J578, 2)*I578, 2)</f>
        <v>20037.45</v>
      </c>
      <c r="P578" s="21">
        <v>88.8</v>
      </c>
      <c r="S578" s="22">
        <f>ROUND(ROUND(P578, 2)*I578, 2)</f>
        <v>20037.45</v>
      </c>
    </row>
    <row r="579" spans="1:21" ht="93" customHeight="1" x14ac:dyDescent="0.3">
      <c r="A579" s="107" t="s">
        <v>2279</v>
      </c>
      <c r="B579" s="107"/>
      <c r="C579" s="108" t="s">
        <v>2187</v>
      </c>
      <c r="D579" s="109"/>
      <c r="E579" s="109" t="s">
        <v>2280</v>
      </c>
      <c r="F579" s="110" t="s">
        <v>70</v>
      </c>
      <c r="G579" s="111">
        <v>0.3</v>
      </c>
      <c r="H579" s="111"/>
      <c r="I579" s="111">
        <v>451.29300000000001</v>
      </c>
      <c r="J579" s="112">
        <v>0</v>
      </c>
      <c r="K579" s="118"/>
      <c r="M579" s="22">
        <f>ROUND(ROUND(J579, 2)*I579, 2)</f>
        <v>0</v>
      </c>
      <c r="P579" s="21">
        <v>206.5</v>
      </c>
      <c r="S579" s="22">
        <f>ROUND(ROUND(P579, 2)*I579, 2)</f>
        <v>93192</v>
      </c>
    </row>
    <row r="580" spans="1:21" ht="42.45" customHeight="1" x14ac:dyDescent="0.3">
      <c r="A580" s="156" t="s">
        <v>2283</v>
      </c>
      <c r="B580" s="156" t="s">
        <v>2149</v>
      </c>
      <c r="C580" s="75" t="s">
        <v>2150</v>
      </c>
      <c r="D580" s="76"/>
      <c r="E580" s="76" t="s">
        <v>2284</v>
      </c>
      <c r="F580" s="76" t="s">
        <v>64</v>
      </c>
      <c r="G580" s="77">
        <v>1</v>
      </c>
      <c r="H580" s="77"/>
      <c r="I580" s="77">
        <v>229.48</v>
      </c>
      <c r="J580" s="14">
        <f>IFERROR(ROUND(SUM(M581,M582)/I580, 2),0)</f>
        <v>13.32</v>
      </c>
      <c r="K580" s="15">
        <v>464</v>
      </c>
      <c r="L580" s="14">
        <f>J580+ROUND(K580, 2)</f>
        <v>477.32</v>
      </c>
      <c r="M580" s="14">
        <f>ROUND(J580*I580, 2)</f>
        <v>3056.67</v>
      </c>
      <c r="N580" s="14">
        <f>ROUND(I580*ROUND(K580, 2), 2)</f>
        <v>106478.72</v>
      </c>
      <c r="O580" s="14">
        <f>M580+N580</f>
        <v>109535.39</v>
      </c>
      <c r="P580" s="14">
        <f>IFERROR(ROUND(SUM(S581,S582)/I580, 2),0)</f>
        <v>68.28</v>
      </c>
      <c r="Q580" s="15">
        <v>464</v>
      </c>
      <c r="R580" s="14">
        <f>P580+ROUND(Q580, 2)</f>
        <v>532.28</v>
      </c>
      <c r="S580" s="14">
        <f>ROUND(P580*I580, 2)</f>
        <v>15668.89</v>
      </c>
      <c r="T580" s="14">
        <f>ROUND(I580*ROUND(Q580, 2), 2)</f>
        <v>106478.72</v>
      </c>
      <c r="U580" s="14">
        <f>S580+T580</f>
        <v>122147.61</v>
      </c>
    </row>
    <row r="581" spans="1:21" ht="63.45" customHeight="1" x14ac:dyDescent="0.3">
      <c r="A581" s="107" t="s">
        <v>2285</v>
      </c>
      <c r="B581" s="107"/>
      <c r="C581" s="108" t="s">
        <v>2155</v>
      </c>
      <c r="D581" s="109"/>
      <c r="E581" s="109" t="s">
        <v>2286</v>
      </c>
      <c r="F581" s="110" t="s">
        <v>70</v>
      </c>
      <c r="G581" s="111">
        <v>0.3</v>
      </c>
      <c r="H581" s="111"/>
      <c r="I581" s="111">
        <v>68.843999999999994</v>
      </c>
      <c r="J581" s="112">
        <v>0</v>
      </c>
      <c r="K581" s="118"/>
      <c r="M581" s="22">
        <f>ROUND(ROUND(J581, 2)*I581, 2)</f>
        <v>0</v>
      </c>
      <c r="P581" s="21">
        <v>183.2</v>
      </c>
      <c r="S581" s="22">
        <f>ROUND(ROUND(P581, 2)*I581, 2)</f>
        <v>12612.22</v>
      </c>
    </row>
    <row r="582" spans="1:21" ht="18" x14ac:dyDescent="0.3">
      <c r="A582" s="107" t="s">
        <v>2289</v>
      </c>
      <c r="B582" s="107"/>
      <c r="C582" s="108" t="s">
        <v>433</v>
      </c>
      <c r="D582" s="109"/>
      <c r="E582" s="109"/>
      <c r="F582" s="110" t="s">
        <v>70</v>
      </c>
      <c r="G582" s="111">
        <v>0.15</v>
      </c>
      <c r="H582" s="111"/>
      <c r="I582" s="111">
        <v>34.421999999999997</v>
      </c>
      <c r="J582" s="112">
        <v>88.8</v>
      </c>
      <c r="K582" s="118"/>
      <c r="M582" s="22">
        <f>ROUND(ROUND(J582, 2)*I582, 2)</f>
        <v>3056.67</v>
      </c>
      <c r="P582" s="21">
        <v>88.8</v>
      </c>
      <c r="S582" s="22">
        <f>ROUND(ROUND(P582, 2)*I582, 2)</f>
        <v>3056.67</v>
      </c>
    </row>
    <row r="583" spans="1:21" ht="41.55" customHeight="1" x14ac:dyDescent="0.3">
      <c r="A583" s="156" t="s">
        <v>2292</v>
      </c>
      <c r="B583" s="156" t="s">
        <v>2149</v>
      </c>
      <c r="C583" s="75" t="s">
        <v>2150</v>
      </c>
      <c r="D583" s="76"/>
      <c r="E583" s="76" t="s">
        <v>2293</v>
      </c>
      <c r="F583" s="76" t="s">
        <v>64</v>
      </c>
      <c r="G583" s="77">
        <v>1</v>
      </c>
      <c r="H583" s="77"/>
      <c r="I583" s="77">
        <v>16.88</v>
      </c>
      <c r="J583" s="14">
        <f>IFERROR(ROUND(SUM(M584,M585)/I583, 2),0)</f>
        <v>13.32</v>
      </c>
      <c r="K583" s="15">
        <v>464</v>
      </c>
      <c r="L583" s="14">
        <f>J583+ROUND(K583, 2)</f>
        <v>477.32</v>
      </c>
      <c r="M583" s="14">
        <f>ROUND(J583*I583, 2)</f>
        <v>224.84</v>
      </c>
      <c r="N583" s="14">
        <f>ROUND(I583*ROUND(K583, 2), 2)</f>
        <v>7832.32</v>
      </c>
      <c r="O583" s="14">
        <f>M583+N583</f>
        <v>8057.16</v>
      </c>
      <c r="P583" s="14">
        <f>IFERROR(ROUND(SUM(S584,S585)/I583, 2),0)</f>
        <v>75.27</v>
      </c>
      <c r="Q583" s="15">
        <v>464</v>
      </c>
      <c r="R583" s="14">
        <f>P583+ROUND(Q583, 2)</f>
        <v>539.27</v>
      </c>
      <c r="S583" s="14">
        <f>ROUND(P583*I583, 2)</f>
        <v>1270.56</v>
      </c>
      <c r="T583" s="14">
        <f>ROUND(I583*ROUND(Q583, 2), 2)</f>
        <v>7832.32</v>
      </c>
      <c r="U583" s="14">
        <f>S583+T583</f>
        <v>9102.8799999999992</v>
      </c>
    </row>
    <row r="584" spans="1:21" ht="18" x14ac:dyDescent="0.3">
      <c r="A584" s="107" t="s">
        <v>2294</v>
      </c>
      <c r="B584" s="107"/>
      <c r="C584" s="108" t="s">
        <v>433</v>
      </c>
      <c r="D584" s="109"/>
      <c r="E584" s="109"/>
      <c r="F584" s="110" t="s">
        <v>70</v>
      </c>
      <c r="G584" s="111">
        <v>0.15</v>
      </c>
      <c r="H584" s="111"/>
      <c r="I584" s="111">
        <v>2.532</v>
      </c>
      <c r="J584" s="112">
        <v>88.8</v>
      </c>
      <c r="K584" s="118"/>
      <c r="M584" s="22">
        <f>ROUND(ROUND(J584, 2)*I584, 2)</f>
        <v>224.84</v>
      </c>
      <c r="P584" s="21">
        <v>88.8</v>
      </c>
      <c r="S584" s="22">
        <f>ROUND(ROUND(P584, 2)*I584, 2)</f>
        <v>224.84</v>
      </c>
    </row>
    <row r="585" spans="1:21" ht="69" customHeight="1" x14ac:dyDescent="0.3">
      <c r="A585" s="107" t="s">
        <v>2297</v>
      </c>
      <c r="B585" s="107"/>
      <c r="C585" s="108" t="s">
        <v>2155</v>
      </c>
      <c r="D585" s="109"/>
      <c r="E585" s="109" t="s">
        <v>2298</v>
      </c>
      <c r="F585" s="110" t="s">
        <v>70</v>
      </c>
      <c r="G585" s="111">
        <v>0.3</v>
      </c>
      <c r="H585" s="111"/>
      <c r="I585" s="111">
        <v>5.0640000000000001</v>
      </c>
      <c r="J585" s="112">
        <v>0</v>
      </c>
      <c r="K585" s="118"/>
      <c r="M585" s="22">
        <f>ROUND(ROUND(J585, 2)*I585, 2)</f>
        <v>0</v>
      </c>
      <c r="P585" s="21">
        <v>206.5</v>
      </c>
      <c r="S585" s="22">
        <f>ROUND(ROUND(P585, 2)*I585, 2)</f>
        <v>1045.72</v>
      </c>
    </row>
    <row r="586" spans="1:21" ht="43.5" customHeight="1" x14ac:dyDescent="0.3">
      <c r="A586" s="156" t="s">
        <v>2301</v>
      </c>
      <c r="B586" s="156" t="s">
        <v>2149</v>
      </c>
      <c r="C586" s="75" t="s">
        <v>2150</v>
      </c>
      <c r="D586" s="76"/>
      <c r="E586" s="76" t="s">
        <v>2302</v>
      </c>
      <c r="F586" s="76" t="s">
        <v>64</v>
      </c>
      <c r="G586" s="77">
        <v>1</v>
      </c>
      <c r="H586" s="77"/>
      <c r="I586" s="77">
        <v>107.24</v>
      </c>
      <c r="J586" s="14">
        <f>IFERROR(ROUND(SUM(M587,M588)/I586, 2),0)</f>
        <v>13.32</v>
      </c>
      <c r="K586" s="15">
        <v>464</v>
      </c>
      <c r="L586" s="14">
        <f>J586+ROUND(K586, 2)</f>
        <v>477.32</v>
      </c>
      <c r="M586" s="14">
        <f>ROUND(J586*I586, 2)</f>
        <v>1428.44</v>
      </c>
      <c r="N586" s="14">
        <f>ROUND(I586*ROUND(K586, 2), 2)</f>
        <v>49759.360000000001</v>
      </c>
      <c r="O586" s="14">
        <f>M586+N586</f>
        <v>51187.8</v>
      </c>
      <c r="P586" s="14">
        <f>IFERROR(ROUND(SUM(S587,S588)/I586, 2),0)</f>
        <v>68.31</v>
      </c>
      <c r="Q586" s="15">
        <v>464</v>
      </c>
      <c r="R586" s="14">
        <f>P586+ROUND(Q586, 2)</f>
        <v>532.30999999999995</v>
      </c>
      <c r="S586" s="14">
        <f>ROUND(P586*I586, 2)</f>
        <v>7325.56</v>
      </c>
      <c r="T586" s="14">
        <f>ROUND(I586*ROUND(Q586, 2), 2)</f>
        <v>49759.360000000001</v>
      </c>
      <c r="U586" s="14">
        <f>S586+T586</f>
        <v>57084.92</v>
      </c>
    </row>
    <row r="587" spans="1:21" ht="83.55" customHeight="1" x14ac:dyDescent="0.3">
      <c r="A587" s="107" t="s">
        <v>2303</v>
      </c>
      <c r="B587" s="107"/>
      <c r="C587" s="108" t="s">
        <v>2187</v>
      </c>
      <c r="D587" s="109"/>
      <c r="E587" s="109" t="s">
        <v>2304</v>
      </c>
      <c r="F587" s="110" t="s">
        <v>70</v>
      </c>
      <c r="G587" s="111">
        <v>0.3</v>
      </c>
      <c r="H587" s="111"/>
      <c r="I587" s="111">
        <v>32.171999999999997</v>
      </c>
      <c r="J587" s="112">
        <v>0</v>
      </c>
      <c r="K587" s="118"/>
      <c r="M587" s="22">
        <f>ROUND(ROUND(J587, 2)*I587, 2)</f>
        <v>0</v>
      </c>
      <c r="P587" s="21">
        <v>183.3</v>
      </c>
      <c r="S587" s="22">
        <f>ROUND(ROUND(P587, 2)*I587, 2)</f>
        <v>5897.13</v>
      </c>
    </row>
    <row r="588" spans="1:21" ht="18" x14ac:dyDescent="0.3">
      <c r="A588" s="107" t="s">
        <v>2307</v>
      </c>
      <c r="B588" s="107"/>
      <c r="C588" s="108" t="s">
        <v>433</v>
      </c>
      <c r="D588" s="109"/>
      <c r="E588" s="109"/>
      <c r="F588" s="110" t="s">
        <v>70</v>
      </c>
      <c r="G588" s="111">
        <v>0.15</v>
      </c>
      <c r="H588" s="111"/>
      <c r="I588" s="111">
        <v>16.085999999999999</v>
      </c>
      <c r="J588" s="112">
        <v>88.8</v>
      </c>
      <c r="K588" s="118"/>
      <c r="M588" s="22">
        <f>ROUND(ROUND(J588, 2)*I588, 2)</f>
        <v>1428.44</v>
      </c>
      <c r="P588" s="21">
        <v>88.8</v>
      </c>
      <c r="S588" s="22">
        <f>ROUND(ROUND(P588, 2)*I588, 2)</f>
        <v>1428.44</v>
      </c>
    </row>
    <row r="589" spans="1:21" ht="34.799999999999997" x14ac:dyDescent="0.3">
      <c r="A589" s="156" t="s">
        <v>2310</v>
      </c>
      <c r="B589" s="156" t="s">
        <v>2149</v>
      </c>
      <c r="C589" s="75" t="s">
        <v>2150</v>
      </c>
      <c r="D589" s="76"/>
      <c r="E589" s="76" t="s">
        <v>2311</v>
      </c>
      <c r="F589" s="76" t="s">
        <v>64</v>
      </c>
      <c r="G589" s="77">
        <v>1</v>
      </c>
      <c r="H589" s="77"/>
      <c r="I589" s="77">
        <v>3.42</v>
      </c>
      <c r="J589" s="14">
        <f>IFERROR(ROUND(SUM(M590,M591)/I589, 2),0)</f>
        <v>13.32</v>
      </c>
      <c r="K589" s="15">
        <v>464</v>
      </c>
      <c r="L589" s="14">
        <f>J589+ROUND(K589, 2)</f>
        <v>477.32</v>
      </c>
      <c r="M589" s="14">
        <f>ROUND(J589*I589, 2)</f>
        <v>45.55</v>
      </c>
      <c r="N589" s="14">
        <f>ROUND(I589*ROUND(K589, 2), 2)</f>
        <v>1586.88</v>
      </c>
      <c r="O589" s="14">
        <f>M589+N589</f>
        <v>1632.43</v>
      </c>
      <c r="P589" s="14">
        <f>IFERROR(ROUND(SUM(S590,S591)/I589, 2),0)</f>
        <v>75.27</v>
      </c>
      <c r="Q589" s="15">
        <v>464</v>
      </c>
      <c r="R589" s="14">
        <f>P589+ROUND(Q589, 2)</f>
        <v>539.27</v>
      </c>
      <c r="S589" s="14">
        <f>ROUND(P589*I589, 2)</f>
        <v>257.42</v>
      </c>
      <c r="T589" s="14">
        <f>ROUND(I589*ROUND(Q589, 2), 2)</f>
        <v>1586.88</v>
      </c>
      <c r="U589" s="14">
        <f>S589+T589</f>
        <v>1844.3000000000002</v>
      </c>
    </row>
    <row r="590" spans="1:21" ht="18" x14ac:dyDescent="0.3">
      <c r="A590" s="107" t="s">
        <v>2312</v>
      </c>
      <c r="B590" s="107"/>
      <c r="C590" s="108" t="s">
        <v>433</v>
      </c>
      <c r="D590" s="109"/>
      <c r="E590" s="109"/>
      <c r="F590" s="110" t="s">
        <v>70</v>
      </c>
      <c r="G590" s="111">
        <v>0.15</v>
      </c>
      <c r="H590" s="111"/>
      <c r="I590" s="111">
        <v>0.51300000000000001</v>
      </c>
      <c r="J590" s="112">
        <v>88.8</v>
      </c>
      <c r="K590" s="118"/>
      <c r="M590" s="22">
        <f>ROUND(ROUND(J590, 2)*I590, 2)</f>
        <v>45.55</v>
      </c>
      <c r="P590" s="21">
        <v>88.8</v>
      </c>
      <c r="S590" s="22">
        <f>ROUND(ROUND(P590, 2)*I590, 2)</f>
        <v>45.55</v>
      </c>
    </row>
    <row r="591" spans="1:21" ht="64.05" customHeight="1" x14ac:dyDescent="0.3">
      <c r="A591" s="107" t="s">
        <v>2315</v>
      </c>
      <c r="B591" s="107"/>
      <c r="C591" s="108" t="s">
        <v>2187</v>
      </c>
      <c r="D591" s="109"/>
      <c r="E591" s="109" t="s">
        <v>2316</v>
      </c>
      <c r="F591" s="110" t="s">
        <v>70</v>
      </c>
      <c r="G591" s="111">
        <v>0.3</v>
      </c>
      <c r="H591" s="111"/>
      <c r="I591" s="111">
        <v>1.026</v>
      </c>
      <c r="J591" s="112">
        <v>0</v>
      </c>
      <c r="K591" s="118"/>
      <c r="M591" s="22">
        <f>ROUND(ROUND(J591, 2)*I591, 2)</f>
        <v>0</v>
      </c>
      <c r="P591" s="21">
        <v>206.5</v>
      </c>
      <c r="S591" s="22">
        <f>ROUND(ROUND(P591, 2)*I591, 2)</f>
        <v>211.87</v>
      </c>
    </row>
    <row r="592" spans="1:21" ht="47.55" customHeight="1" x14ac:dyDescent="0.3">
      <c r="A592" s="157" t="s">
        <v>2319</v>
      </c>
      <c r="B592" s="157" t="s">
        <v>2149</v>
      </c>
      <c r="C592" s="104" t="s">
        <v>2150</v>
      </c>
      <c r="D592" s="105"/>
      <c r="E592" s="105" t="s">
        <v>2320</v>
      </c>
      <c r="F592" s="105" t="s">
        <v>64</v>
      </c>
      <c r="G592" s="106">
        <v>1</v>
      </c>
      <c r="H592" s="106"/>
      <c r="I592" s="106">
        <v>357.68</v>
      </c>
      <c r="J592" s="14">
        <f>IFERROR(ROUND(SUM(M593,M594)/I592, 2),0)</f>
        <v>13.32</v>
      </c>
      <c r="K592" s="15">
        <v>464</v>
      </c>
      <c r="L592" s="14">
        <f>J592+ROUND(K592, 2)</f>
        <v>477.32</v>
      </c>
      <c r="M592" s="14">
        <f>ROUND(J592*I592, 2)</f>
        <v>4764.3</v>
      </c>
      <c r="N592" s="14">
        <f>ROUND(I592*ROUND(K592, 2), 2)</f>
        <v>165963.51999999999</v>
      </c>
      <c r="O592" s="14">
        <f>M592+N592</f>
        <v>170727.81999999998</v>
      </c>
      <c r="P592" s="14">
        <f>IFERROR(ROUND(SUM(S593,S594)/I592, 2),0)</f>
        <v>75.27</v>
      </c>
      <c r="Q592" s="15">
        <v>464</v>
      </c>
      <c r="R592" s="14">
        <f>P592+ROUND(Q592, 2)</f>
        <v>539.27</v>
      </c>
      <c r="S592" s="14">
        <f>ROUND(P592*I592, 2)</f>
        <v>26922.57</v>
      </c>
      <c r="T592" s="14">
        <f>ROUND(I592*ROUND(Q592, 2), 2)</f>
        <v>165963.51999999999</v>
      </c>
      <c r="U592" s="14">
        <f>S592+T592</f>
        <v>192886.09</v>
      </c>
    </row>
    <row r="593" spans="1:21" ht="73.5" customHeight="1" x14ac:dyDescent="0.3">
      <c r="A593" s="107" t="s">
        <v>2321</v>
      </c>
      <c r="B593" s="107"/>
      <c r="C593" s="108" t="s">
        <v>2155</v>
      </c>
      <c r="D593" s="109"/>
      <c r="E593" s="109" t="s">
        <v>2175</v>
      </c>
      <c r="F593" s="110" t="s">
        <v>70</v>
      </c>
      <c r="G593" s="111">
        <v>0.3</v>
      </c>
      <c r="H593" s="111"/>
      <c r="I593" s="111">
        <v>107.304</v>
      </c>
      <c r="J593" s="112">
        <v>0</v>
      </c>
      <c r="K593" s="118"/>
      <c r="M593" s="22">
        <f>ROUND(ROUND(J593, 2)*I593, 2)</f>
        <v>0</v>
      </c>
      <c r="P593" s="21">
        <v>206.5</v>
      </c>
      <c r="S593" s="22">
        <f>ROUND(ROUND(P593, 2)*I593, 2)</f>
        <v>22158.28</v>
      </c>
    </row>
    <row r="594" spans="1:21" ht="18" x14ac:dyDescent="0.3">
      <c r="A594" s="107" t="s">
        <v>2324</v>
      </c>
      <c r="B594" s="107"/>
      <c r="C594" s="108" t="s">
        <v>433</v>
      </c>
      <c r="D594" s="109"/>
      <c r="E594" s="109"/>
      <c r="F594" s="110" t="s">
        <v>70</v>
      </c>
      <c r="G594" s="111">
        <v>0.15</v>
      </c>
      <c r="H594" s="111"/>
      <c r="I594" s="111">
        <v>53.652000000000001</v>
      </c>
      <c r="J594" s="112">
        <v>88.8</v>
      </c>
      <c r="K594" s="118"/>
      <c r="M594" s="22">
        <f>ROUND(ROUND(J594, 2)*I594, 2)</f>
        <v>4764.3</v>
      </c>
      <c r="P594" s="21">
        <v>88.8</v>
      </c>
      <c r="S594" s="22">
        <f>ROUND(ROUND(P594, 2)*I594, 2)</f>
        <v>4764.3</v>
      </c>
    </row>
    <row r="595" spans="1:21" ht="43.95" customHeight="1" x14ac:dyDescent="0.3">
      <c r="A595" s="156" t="s">
        <v>2327</v>
      </c>
      <c r="B595" s="156" t="s">
        <v>2149</v>
      </c>
      <c r="C595" s="75" t="s">
        <v>2150</v>
      </c>
      <c r="D595" s="76"/>
      <c r="E595" s="76" t="s">
        <v>2328</v>
      </c>
      <c r="F595" s="76" t="s">
        <v>64</v>
      </c>
      <c r="G595" s="77">
        <v>1</v>
      </c>
      <c r="H595" s="77"/>
      <c r="I595" s="77">
        <v>577.95000000000005</v>
      </c>
      <c r="J595" s="14">
        <f>IFERROR(ROUND(SUM(M596,M597)/I595, 2),0)</f>
        <v>13.32</v>
      </c>
      <c r="K595" s="15">
        <v>464</v>
      </c>
      <c r="L595" s="14">
        <f>J595+ROUND(K595, 2)</f>
        <v>477.32</v>
      </c>
      <c r="M595" s="14">
        <f>ROUND(J595*I595, 2)</f>
        <v>7698.29</v>
      </c>
      <c r="N595" s="14">
        <f>ROUND(I595*ROUND(K595, 2), 2)</f>
        <v>268168.8</v>
      </c>
      <c r="O595" s="14">
        <f>M595+N595</f>
        <v>275867.08999999997</v>
      </c>
      <c r="P595" s="14">
        <f>IFERROR(ROUND(SUM(S596,S597)/I595, 2),0)</f>
        <v>75.27</v>
      </c>
      <c r="Q595" s="15">
        <v>464</v>
      </c>
      <c r="R595" s="14">
        <f>P595+ROUND(Q595, 2)</f>
        <v>539.27</v>
      </c>
      <c r="S595" s="14">
        <f>ROUND(P595*I595, 2)</f>
        <v>43502.3</v>
      </c>
      <c r="T595" s="14">
        <f>ROUND(I595*ROUND(Q595, 2), 2)</f>
        <v>268168.8</v>
      </c>
      <c r="U595" s="14">
        <f>S595+T595</f>
        <v>311671.09999999998</v>
      </c>
    </row>
    <row r="596" spans="1:21" ht="18" x14ac:dyDescent="0.3">
      <c r="A596" s="107" t="s">
        <v>2329</v>
      </c>
      <c r="B596" s="107"/>
      <c r="C596" s="108" t="s">
        <v>433</v>
      </c>
      <c r="D596" s="109"/>
      <c r="E596" s="109"/>
      <c r="F596" s="110" t="s">
        <v>70</v>
      </c>
      <c r="G596" s="111">
        <v>0.15</v>
      </c>
      <c r="H596" s="111"/>
      <c r="I596" s="111">
        <v>86.692999999999998</v>
      </c>
      <c r="J596" s="112">
        <v>88.8</v>
      </c>
      <c r="K596" s="118"/>
      <c r="M596" s="22">
        <f>ROUND(ROUND(J596, 2)*I596, 2)</f>
        <v>7698.34</v>
      </c>
      <c r="P596" s="21">
        <v>88.8</v>
      </c>
      <c r="S596" s="22">
        <f>ROUND(ROUND(P596, 2)*I596, 2)</f>
        <v>7698.34</v>
      </c>
    </row>
    <row r="597" spans="1:21" ht="85.05" customHeight="1" x14ac:dyDescent="0.3">
      <c r="A597" s="107" t="s">
        <v>2332</v>
      </c>
      <c r="B597" s="107"/>
      <c r="C597" s="108" t="s">
        <v>2155</v>
      </c>
      <c r="D597" s="109"/>
      <c r="E597" s="109" t="s">
        <v>2225</v>
      </c>
      <c r="F597" s="110" t="s">
        <v>70</v>
      </c>
      <c r="G597" s="111">
        <v>0.3</v>
      </c>
      <c r="H597" s="111"/>
      <c r="I597" s="111">
        <v>173.38499999999999</v>
      </c>
      <c r="J597" s="112">
        <v>0</v>
      </c>
      <c r="K597" s="118"/>
      <c r="M597" s="22">
        <f>ROUND(ROUND(J597, 2)*I597, 2)</f>
        <v>0</v>
      </c>
      <c r="P597" s="21">
        <v>206.5</v>
      </c>
      <c r="S597" s="22">
        <f>ROUND(ROUND(P597, 2)*I597, 2)</f>
        <v>35804</v>
      </c>
    </row>
    <row r="598" spans="1:21" ht="42.45" customHeight="1" x14ac:dyDescent="0.3">
      <c r="A598" s="156" t="s">
        <v>2335</v>
      </c>
      <c r="B598" s="156" t="s">
        <v>2149</v>
      </c>
      <c r="C598" s="75" t="s">
        <v>2150</v>
      </c>
      <c r="D598" s="76"/>
      <c r="E598" s="76" t="s">
        <v>2336</v>
      </c>
      <c r="F598" s="76" t="s">
        <v>64</v>
      </c>
      <c r="G598" s="77">
        <v>1</v>
      </c>
      <c r="H598" s="77"/>
      <c r="I598" s="77">
        <v>0.73</v>
      </c>
      <c r="J598" s="14">
        <f>IFERROR(ROUND(SUM(M599,M600)/I598, 2),0)</f>
        <v>13.38</v>
      </c>
      <c r="K598" s="15">
        <v>464</v>
      </c>
      <c r="L598" s="14">
        <f>J598+ROUND(K598, 2)</f>
        <v>477.38</v>
      </c>
      <c r="M598" s="14">
        <f>ROUND(J598*I598, 2)</f>
        <v>9.77</v>
      </c>
      <c r="N598" s="14">
        <f>ROUND(I598*ROUND(K598, 2), 2)</f>
        <v>338.72</v>
      </c>
      <c r="O598" s="14">
        <f>M598+N598</f>
        <v>348.49</v>
      </c>
      <c r="P598" s="14">
        <f>IFERROR(ROUND(SUM(S599,S600)/I598, 2),0)</f>
        <v>75.33</v>
      </c>
      <c r="Q598" s="15">
        <v>464</v>
      </c>
      <c r="R598" s="14">
        <f>P598+ROUND(Q598, 2)</f>
        <v>539.33000000000004</v>
      </c>
      <c r="S598" s="14">
        <f>ROUND(P598*I598, 2)</f>
        <v>54.99</v>
      </c>
      <c r="T598" s="14">
        <f>ROUND(I598*ROUND(Q598, 2), 2)</f>
        <v>338.72</v>
      </c>
      <c r="U598" s="14">
        <f>S598+T598</f>
        <v>393.71000000000004</v>
      </c>
    </row>
    <row r="599" spans="1:21" ht="75" customHeight="1" x14ac:dyDescent="0.3">
      <c r="A599" s="107" t="s">
        <v>2337</v>
      </c>
      <c r="B599" s="107"/>
      <c r="C599" s="108" t="s">
        <v>2155</v>
      </c>
      <c r="D599" s="109"/>
      <c r="E599" s="109" t="s">
        <v>2156</v>
      </c>
      <c r="F599" s="110" t="s">
        <v>70</v>
      </c>
      <c r="G599" s="111">
        <v>0.3</v>
      </c>
      <c r="H599" s="111"/>
      <c r="I599" s="111">
        <v>0.219</v>
      </c>
      <c r="J599" s="112">
        <v>0</v>
      </c>
      <c r="K599" s="118"/>
      <c r="M599" s="22">
        <f>ROUND(ROUND(J599, 2)*I599, 2)</f>
        <v>0</v>
      </c>
      <c r="P599" s="21">
        <v>206.5</v>
      </c>
      <c r="S599" s="22">
        <f>ROUND(ROUND(P599, 2)*I599, 2)</f>
        <v>45.22</v>
      </c>
    </row>
    <row r="600" spans="1:21" ht="18" x14ac:dyDescent="0.3">
      <c r="A600" s="107" t="s">
        <v>2340</v>
      </c>
      <c r="B600" s="107"/>
      <c r="C600" s="108" t="s">
        <v>433</v>
      </c>
      <c r="D600" s="109"/>
      <c r="E600" s="109"/>
      <c r="F600" s="110" t="s">
        <v>70</v>
      </c>
      <c r="G600" s="111">
        <v>0.15</v>
      </c>
      <c r="H600" s="111"/>
      <c r="I600" s="111">
        <v>0.11</v>
      </c>
      <c r="J600" s="112">
        <v>88.8</v>
      </c>
      <c r="K600" s="118"/>
      <c r="M600" s="22">
        <f>ROUND(ROUND(J600, 2)*I600, 2)</f>
        <v>9.77</v>
      </c>
      <c r="P600" s="21">
        <v>88.8</v>
      </c>
      <c r="S600" s="22">
        <f>ROUND(ROUND(P600, 2)*I600, 2)</f>
        <v>9.77</v>
      </c>
    </row>
    <row r="601" spans="1:21" ht="34.799999999999997" x14ac:dyDescent="0.3">
      <c r="A601" s="156" t="s">
        <v>2343</v>
      </c>
      <c r="B601" s="156" t="s">
        <v>2149</v>
      </c>
      <c r="C601" s="75" t="s">
        <v>2150</v>
      </c>
      <c r="D601" s="76"/>
      <c r="E601" s="76" t="s">
        <v>2344</v>
      </c>
      <c r="F601" s="76" t="s">
        <v>64</v>
      </c>
      <c r="G601" s="77">
        <v>1</v>
      </c>
      <c r="H601" s="77"/>
      <c r="I601" s="77">
        <v>1.5</v>
      </c>
      <c r="J601" s="14">
        <f>IFERROR(ROUND(SUM(M602,M603)/I601, 2),0)</f>
        <v>13.32</v>
      </c>
      <c r="K601" s="15">
        <v>464</v>
      </c>
      <c r="L601" s="14">
        <f>J601+ROUND(K601, 2)</f>
        <v>477.32</v>
      </c>
      <c r="M601" s="14">
        <f>ROUND(J601*I601, 2)</f>
        <v>19.98</v>
      </c>
      <c r="N601" s="14">
        <f>ROUND(I601*ROUND(K601, 2), 2)</f>
        <v>696</v>
      </c>
      <c r="O601" s="14">
        <f>M601+N601</f>
        <v>715.98</v>
      </c>
      <c r="P601" s="14">
        <f>IFERROR(ROUND(SUM(S602,S603)/I601, 2),0)</f>
        <v>75.27</v>
      </c>
      <c r="Q601" s="15">
        <v>464</v>
      </c>
      <c r="R601" s="14">
        <f>P601+ROUND(Q601, 2)</f>
        <v>539.27</v>
      </c>
      <c r="S601" s="14">
        <f>ROUND(P601*I601, 2)</f>
        <v>112.91</v>
      </c>
      <c r="T601" s="14">
        <f>ROUND(I601*ROUND(Q601, 2), 2)</f>
        <v>696</v>
      </c>
      <c r="U601" s="14">
        <f>S601+T601</f>
        <v>808.91</v>
      </c>
    </row>
    <row r="602" spans="1:21" ht="18" x14ac:dyDescent="0.3">
      <c r="A602" s="107" t="s">
        <v>2345</v>
      </c>
      <c r="B602" s="107"/>
      <c r="C602" s="108" t="s">
        <v>433</v>
      </c>
      <c r="D602" s="109"/>
      <c r="E602" s="109"/>
      <c r="F602" s="110" t="s">
        <v>70</v>
      </c>
      <c r="G602" s="111">
        <v>0.15</v>
      </c>
      <c r="H602" s="111"/>
      <c r="I602" s="111">
        <v>0.22500000000000001</v>
      </c>
      <c r="J602" s="112">
        <v>88.8</v>
      </c>
      <c r="K602" s="118"/>
      <c r="M602" s="22">
        <f>ROUND(ROUND(J602, 2)*I602, 2)</f>
        <v>19.98</v>
      </c>
      <c r="P602" s="21">
        <v>88.8</v>
      </c>
      <c r="S602" s="22">
        <f>ROUND(ROUND(P602, 2)*I602, 2)</f>
        <v>19.98</v>
      </c>
    </row>
    <row r="603" spans="1:21" ht="76.95" customHeight="1" x14ac:dyDescent="0.3">
      <c r="A603" s="107" t="s">
        <v>2348</v>
      </c>
      <c r="B603" s="107"/>
      <c r="C603" s="108" t="s">
        <v>2155</v>
      </c>
      <c r="D603" s="109"/>
      <c r="E603" s="109" t="s">
        <v>2169</v>
      </c>
      <c r="F603" s="110" t="s">
        <v>70</v>
      </c>
      <c r="G603" s="111">
        <v>0.3</v>
      </c>
      <c r="H603" s="111"/>
      <c r="I603" s="111">
        <v>0.45</v>
      </c>
      <c r="J603" s="112">
        <v>0</v>
      </c>
      <c r="K603" s="118"/>
      <c r="M603" s="22">
        <f>ROUND(ROUND(J603, 2)*I603, 2)</f>
        <v>0</v>
      </c>
      <c r="P603" s="21">
        <v>206.5</v>
      </c>
      <c r="S603" s="22">
        <f>ROUND(ROUND(P603, 2)*I603, 2)</f>
        <v>92.93</v>
      </c>
    </row>
    <row r="604" spans="1:21" ht="51" customHeight="1" x14ac:dyDescent="0.3">
      <c r="A604" s="156" t="s">
        <v>2351</v>
      </c>
      <c r="B604" s="156" t="s">
        <v>2149</v>
      </c>
      <c r="C604" s="75" t="s">
        <v>2150</v>
      </c>
      <c r="D604" s="76"/>
      <c r="E604" s="76" t="s">
        <v>2352</v>
      </c>
      <c r="F604" s="76" t="s">
        <v>64</v>
      </c>
      <c r="G604" s="77">
        <v>1</v>
      </c>
      <c r="H604" s="77"/>
      <c r="I604" s="77">
        <v>79.66</v>
      </c>
      <c r="J604" s="14">
        <f>IFERROR(ROUND(SUM(M605,M606)/I604, 2),0)</f>
        <v>13.32</v>
      </c>
      <c r="K604" s="15">
        <v>464</v>
      </c>
      <c r="L604" s="14">
        <f>J604+ROUND(K604, 2)</f>
        <v>477.32</v>
      </c>
      <c r="M604" s="14">
        <f>ROUND(J604*I604, 2)</f>
        <v>1061.07</v>
      </c>
      <c r="N604" s="14">
        <f>ROUND(I604*ROUND(K604, 2), 2)</f>
        <v>36962.239999999998</v>
      </c>
      <c r="O604" s="14">
        <f>M604+N604</f>
        <v>38023.31</v>
      </c>
      <c r="P604" s="14">
        <f>IFERROR(ROUND(SUM(S605,S606)/I604, 2),0)</f>
        <v>68.28</v>
      </c>
      <c r="Q604" s="15">
        <v>464</v>
      </c>
      <c r="R604" s="14">
        <f>P604+ROUND(Q604, 2)</f>
        <v>532.28</v>
      </c>
      <c r="S604" s="14">
        <f>ROUND(P604*I604, 2)</f>
        <v>5439.18</v>
      </c>
      <c r="T604" s="14">
        <f>ROUND(I604*ROUND(Q604, 2), 2)</f>
        <v>36962.239999999998</v>
      </c>
      <c r="U604" s="14">
        <f>S604+T604</f>
        <v>42401.42</v>
      </c>
    </row>
    <row r="605" spans="1:21" ht="90" customHeight="1" x14ac:dyDescent="0.3">
      <c r="A605" s="107" t="s">
        <v>2353</v>
      </c>
      <c r="B605" s="107"/>
      <c r="C605" s="108" t="s">
        <v>2187</v>
      </c>
      <c r="D605" s="109"/>
      <c r="E605" s="109" t="s">
        <v>2231</v>
      </c>
      <c r="F605" s="110" t="s">
        <v>70</v>
      </c>
      <c r="G605" s="111">
        <v>0.3</v>
      </c>
      <c r="H605" s="111"/>
      <c r="I605" s="111">
        <v>23.898</v>
      </c>
      <c r="J605" s="112">
        <v>0</v>
      </c>
      <c r="K605" s="118"/>
      <c r="M605" s="22">
        <f>ROUND(ROUND(J605, 2)*I605, 2)</f>
        <v>0</v>
      </c>
      <c r="P605" s="21">
        <v>183.2</v>
      </c>
      <c r="S605" s="22">
        <f>ROUND(ROUND(P605, 2)*I605, 2)</f>
        <v>4378.1099999999997</v>
      </c>
    </row>
    <row r="606" spans="1:21" ht="18" x14ac:dyDescent="0.3">
      <c r="A606" s="107" t="s">
        <v>2356</v>
      </c>
      <c r="B606" s="107"/>
      <c r="C606" s="108" t="s">
        <v>433</v>
      </c>
      <c r="D606" s="109"/>
      <c r="E606" s="109"/>
      <c r="F606" s="110" t="s">
        <v>70</v>
      </c>
      <c r="G606" s="111">
        <v>0.15</v>
      </c>
      <c r="H606" s="111"/>
      <c r="I606" s="111">
        <v>11.949</v>
      </c>
      <c r="J606" s="112">
        <v>88.8</v>
      </c>
      <c r="K606" s="118"/>
      <c r="M606" s="22">
        <f>ROUND(ROUND(J606, 2)*I606, 2)</f>
        <v>1061.07</v>
      </c>
      <c r="P606" s="21">
        <v>88.8</v>
      </c>
      <c r="S606" s="22">
        <f>ROUND(ROUND(P606, 2)*I606, 2)</f>
        <v>1061.07</v>
      </c>
    </row>
    <row r="607" spans="1:21" ht="42.45" customHeight="1" x14ac:dyDescent="0.3">
      <c r="A607" s="156" t="s">
        <v>2359</v>
      </c>
      <c r="B607" s="156" t="s">
        <v>2149</v>
      </c>
      <c r="C607" s="75" t="s">
        <v>2150</v>
      </c>
      <c r="D607" s="76"/>
      <c r="E607" s="76" t="s">
        <v>2360</v>
      </c>
      <c r="F607" s="76" t="s">
        <v>64</v>
      </c>
      <c r="G607" s="77">
        <v>1</v>
      </c>
      <c r="H607" s="77"/>
      <c r="I607" s="77">
        <v>80.790000000000006</v>
      </c>
      <c r="J607" s="14">
        <f>IFERROR(ROUND(SUM(M608,M609)/I607, 2),0)</f>
        <v>13.32</v>
      </c>
      <c r="K607" s="15">
        <v>464</v>
      </c>
      <c r="L607" s="14">
        <f>J607+ROUND(K607, 2)</f>
        <v>477.32</v>
      </c>
      <c r="M607" s="14">
        <f>ROUND(J607*I607, 2)</f>
        <v>1076.1199999999999</v>
      </c>
      <c r="N607" s="14">
        <f>ROUND(I607*ROUND(K607, 2), 2)</f>
        <v>37486.559999999998</v>
      </c>
      <c r="O607" s="14">
        <f>M607+N607</f>
        <v>38562.68</v>
      </c>
      <c r="P607" s="14">
        <f>IFERROR(ROUND(SUM(S608,S609)/I607, 2),0)</f>
        <v>75.27</v>
      </c>
      <c r="Q607" s="15">
        <v>464</v>
      </c>
      <c r="R607" s="14">
        <f>P607+ROUND(Q607, 2)</f>
        <v>539.27</v>
      </c>
      <c r="S607" s="14">
        <f>ROUND(P607*I607, 2)</f>
        <v>6081.06</v>
      </c>
      <c r="T607" s="14">
        <f>ROUND(I607*ROUND(Q607, 2), 2)</f>
        <v>37486.559999999998</v>
      </c>
      <c r="U607" s="14">
        <f>S607+T607</f>
        <v>43567.619999999995</v>
      </c>
    </row>
    <row r="608" spans="1:21" ht="18" x14ac:dyDescent="0.3">
      <c r="A608" s="107" t="s">
        <v>2361</v>
      </c>
      <c r="B608" s="107"/>
      <c r="C608" s="108" t="s">
        <v>433</v>
      </c>
      <c r="D608" s="109"/>
      <c r="E608" s="109"/>
      <c r="F608" s="110" t="s">
        <v>70</v>
      </c>
      <c r="G608" s="111">
        <v>0.15</v>
      </c>
      <c r="H608" s="111"/>
      <c r="I608" s="111">
        <v>12.119</v>
      </c>
      <c r="J608" s="112">
        <v>88.8</v>
      </c>
      <c r="K608" s="118"/>
      <c r="M608" s="22">
        <f>ROUND(ROUND(J608, 2)*I608, 2)</f>
        <v>1076.17</v>
      </c>
      <c r="P608" s="21">
        <v>88.8</v>
      </c>
      <c r="S608" s="22">
        <f>ROUND(ROUND(P608, 2)*I608, 2)</f>
        <v>1076.17</v>
      </c>
    </row>
    <row r="609" spans="1:21" ht="57" customHeight="1" x14ac:dyDescent="0.3">
      <c r="A609" s="107" t="s">
        <v>2364</v>
      </c>
      <c r="B609" s="107"/>
      <c r="C609" s="108" t="s">
        <v>2187</v>
      </c>
      <c r="D609" s="109"/>
      <c r="E609" s="109" t="s">
        <v>2188</v>
      </c>
      <c r="F609" s="110" t="s">
        <v>70</v>
      </c>
      <c r="G609" s="111">
        <v>0.3</v>
      </c>
      <c r="H609" s="111"/>
      <c r="I609" s="111">
        <v>24.236999999999998</v>
      </c>
      <c r="J609" s="112">
        <v>0</v>
      </c>
      <c r="K609" s="118"/>
      <c r="M609" s="22">
        <f>ROUND(ROUND(J609, 2)*I609, 2)</f>
        <v>0</v>
      </c>
      <c r="P609" s="21">
        <v>206.5</v>
      </c>
      <c r="S609" s="22">
        <f>ROUND(ROUND(P609, 2)*I609, 2)</f>
        <v>5004.9399999999996</v>
      </c>
    </row>
    <row r="610" spans="1:21" ht="52.5" customHeight="1" x14ac:dyDescent="0.3">
      <c r="A610" s="156" t="s">
        <v>2367</v>
      </c>
      <c r="B610" s="156" t="s">
        <v>2149</v>
      </c>
      <c r="C610" s="75" t="s">
        <v>2150</v>
      </c>
      <c r="D610" s="76"/>
      <c r="E610" s="76" t="s">
        <v>2368</v>
      </c>
      <c r="F610" s="76" t="s">
        <v>64</v>
      </c>
      <c r="G610" s="77">
        <v>1</v>
      </c>
      <c r="H610" s="77"/>
      <c r="I610" s="77">
        <v>26.92</v>
      </c>
      <c r="J610" s="14">
        <f>IFERROR(ROUND(SUM(M611,M612)/I610, 2),0)</f>
        <v>13.32</v>
      </c>
      <c r="K610" s="15">
        <v>464</v>
      </c>
      <c r="L610" s="14">
        <f>J610+ROUND(K610, 2)</f>
        <v>477.32</v>
      </c>
      <c r="M610" s="14">
        <f>ROUND(J610*I610, 2)</f>
        <v>358.57</v>
      </c>
      <c r="N610" s="14">
        <f>ROUND(I610*ROUND(K610, 2), 2)</f>
        <v>12490.88</v>
      </c>
      <c r="O610" s="14">
        <f>M610+N610</f>
        <v>12849.449999999999</v>
      </c>
      <c r="P610" s="14">
        <f>IFERROR(ROUND(SUM(S611,S612)/I610, 2),0)</f>
        <v>75.27</v>
      </c>
      <c r="Q610" s="15">
        <v>464</v>
      </c>
      <c r="R610" s="14">
        <f>P610+ROUND(Q610, 2)</f>
        <v>539.27</v>
      </c>
      <c r="S610" s="14">
        <f>ROUND(P610*I610, 2)</f>
        <v>2026.27</v>
      </c>
      <c r="T610" s="14">
        <f>ROUND(I610*ROUND(Q610, 2), 2)</f>
        <v>12490.88</v>
      </c>
      <c r="U610" s="14">
        <f>S610+T610</f>
        <v>14517.15</v>
      </c>
    </row>
    <row r="611" spans="1:21" ht="76.95" customHeight="1" x14ac:dyDescent="0.3">
      <c r="A611" s="107" t="s">
        <v>2369</v>
      </c>
      <c r="B611" s="107"/>
      <c r="C611" s="108" t="s">
        <v>2187</v>
      </c>
      <c r="D611" s="109"/>
      <c r="E611" s="109" t="s">
        <v>2370</v>
      </c>
      <c r="F611" s="110" t="s">
        <v>70</v>
      </c>
      <c r="G611" s="111">
        <v>0.3</v>
      </c>
      <c r="H611" s="111"/>
      <c r="I611" s="111">
        <v>8.0760000000000005</v>
      </c>
      <c r="J611" s="112">
        <v>0</v>
      </c>
      <c r="K611" s="118"/>
      <c r="M611" s="22">
        <f>ROUND(ROUND(J611, 2)*I611, 2)</f>
        <v>0</v>
      </c>
      <c r="P611" s="21">
        <v>206.5</v>
      </c>
      <c r="S611" s="22">
        <f>ROUND(ROUND(P611, 2)*I611, 2)</f>
        <v>1667.69</v>
      </c>
    </row>
    <row r="612" spans="1:21" ht="18" x14ac:dyDescent="0.3">
      <c r="A612" s="107" t="s">
        <v>2373</v>
      </c>
      <c r="B612" s="107"/>
      <c r="C612" s="108" t="s">
        <v>433</v>
      </c>
      <c r="D612" s="109"/>
      <c r="E612" s="109"/>
      <c r="F612" s="110" t="s">
        <v>70</v>
      </c>
      <c r="G612" s="111">
        <v>0.15</v>
      </c>
      <c r="H612" s="111"/>
      <c r="I612" s="111">
        <v>4.0380000000000003</v>
      </c>
      <c r="J612" s="112">
        <v>88.8</v>
      </c>
      <c r="K612" s="118"/>
      <c r="M612" s="22">
        <f>ROUND(ROUND(J612, 2)*I612, 2)</f>
        <v>358.57</v>
      </c>
      <c r="P612" s="21">
        <v>88.8</v>
      </c>
      <c r="S612" s="22">
        <f>ROUND(ROUND(P612, 2)*I612, 2)</f>
        <v>358.57</v>
      </c>
    </row>
    <row r="613" spans="1:21" ht="43.95" customHeight="1" x14ac:dyDescent="0.3">
      <c r="A613" s="156" t="s">
        <v>2376</v>
      </c>
      <c r="B613" s="156" t="s">
        <v>2149</v>
      </c>
      <c r="C613" s="75" t="s">
        <v>2150</v>
      </c>
      <c r="D613" s="76"/>
      <c r="E613" s="76" t="s">
        <v>2377</v>
      </c>
      <c r="F613" s="76" t="s">
        <v>64</v>
      </c>
      <c r="G613" s="77">
        <v>1</v>
      </c>
      <c r="H613" s="77"/>
      <c r="I613" s="77">
        <v>28.35</v>
      </c>
      <c r="J613" s="14">
        <f>IFERROR(ROUND(SUM(M614,M615)/I613, 2),0)</f>
        <v>13.32</v>
      </c>
      <c r="K613" s="15">
        <v>464</v>
      </c>
      <c r="L613" s="14">
        <f>J613+ROUND(K613, 2)</f>
        <v>477.32</v>
      </c>
      <c r="M613" s="14">
        <f>ROUND(J613*I613, 2)</f>
        <v>377.62</v>
      </c>
      <c r="N613" s="14">
        <f>ROUND(I613*ROUND(K613, 2), 2)</f>
        <v>13154.4</v>
      </c>
      <c r="O613" s="14">
        <f>M613+N613</f>
        <v>13532.02</v>
      </c>
      <c r="P613" s="14">
        <f>IFERROR(ROUND(SUM(S614,S615)/I613, 2),0)</f>
        <v>75.27</v>
      </c>
      <c r="Q613" s="15">
        <v>464</v>
      </c>
      <c r="R613" s="14">
        <f>P613+ROUND(Q613, 2)</f>
        <v>539.27</v>
      </c>
      <c r="S613" s="14">
        <f>ROUND(P613*I613, 2)</f>
        <v>2133.9</v>
      </c>
      <c r="T613" s="14">
        <f>ROUND(I613*ROUND(Q613, 2), 2)</f>
        <v>13154.4</v>
      </c>
      <c r="U613" s="14">
        <f>S613+T613</f>
        <v>15288.3</v>
      </c>
    </row>
    <row r="614" spans="1:21" ht="18" x14ac:dyDescent="0.3">
      <c r="A614" s="107" t="s">
        <v>2378</v>
      </c>
      <c r="B614" s="107"/>
      <c r="C614" s="108" t="s">
        <v>433</v>
      </c>
      <c r="D614" s="109"/>
      <c r="E614" s="109"/>
      <c r="F614" s="110" t="s">
        <v>70</v>
      </c>
      <c r="G614" s="111">
        <v>0.15</v>
      </c>
      <c r="H614" s="111"/>
      <c r="I614" s="111">
        <v>4.2530000000000001</v>
      </c>
      <c r="J614" s="112">
        <v>88.8</v>
      </c>
      <c r="K614" s="118"/>
      <c r="M614" s="22">
        <f>ROUND(ROUND(J614, 2)*I614, 2)</f>
        <v>377.67</v>
      </c>
      <c r="P614" s="21">
        <v>88.8</v>
      </c>
      <c r="S614" s="22">
        <f>ROUND(ROUND(P614, 2)*I614, 2)</f>
        <v>377.67</v>
      </c>
    </row>
    <row r="615" spans="1:21" ht="77.55" customHeight="1" x14ac:dyDescent="0.3">
      <c r="A615" s="107" t="s">
        <v>2381</v>
      </c>
      <c r="B615" s="107"/>
      <c r="C615" s="108" t="s">
        <v>2187</v>
      </c>
      <c r="D615" s="109"/>
      <c r="E615" s="109" t="s">
        <v>2382</v>
      </c>
      <c r="F615" s="110" t="s">
        <v>70</v>
      </c>
      <c r="G615" s="111">
        <v>0.3</v>
      </c>
      <c r="H615" s="111"/>
      <c r="I615" s="111">
        <v>8.5050000000000008</v>
      </c>
      <c r="J615" s="112">
        <v>0</v>
      </c>
      <c r="K615" s="118"/>
      <c r="M615" s="22">
        <f>ROUND(ROUND(J615, 2)*I615, 2)</f>
        <v>0</v>
      </c>
      <c r="P615" s="21">
        <v>206.5</v>
      </c>
      <c r="S615" s="22">
        <f>ROUND(ROUND(P615, 2)*I615, 2)</f>
        <v>1756.28</v>
      </c>
    </row>
    <row r="616" spans="1:21" ht="42.45" customHeight="1" x14ac:dyDescent="0.3">
      <c r="A616" s="156" t="s">
        <v>2385</v>
      </c>
      <c r="B616" s="156" t="s">
        <v>2149</v>
      </c>
      <c r="C616" s="75" t="s">
        <v>2150</v>
      </c>
      <c r="D616" s="76"/>
      <c r="E616" s="76" t="s">
        <v>2386</v>
      </c>
      <c r="F616" s="76" t="s">
        <v>64</v>
      </c>
      <c r="G616" s="77">
        <v>1</v>
      </c>
      <c r="H616" s="77"/>
      <c r="I616" s="77">
        <v>26.03</v>
      </c>
      <c r="J616" s="14">
        <f>IFERROR(ROUND(SUM(M617,M618)/I616, 2),0)</f>
        <v>13.32</v>
      </c>
      <c r="K616" s="15">
        <v>464</v>
      </c>
      <c r="L616" s="14">
        <f>J616+ROUND(K616, 2)</f>
        <v>477.32</v>
      </c>
      <c r="M616" s="14">
        <f>ROUND(J616*I616, 2)</f>
        <v>346.72</v>
      </c>
      <c r="N616" s="14">
        <f>ROUND(I616*ROUND(K616, 2), 2)</f>
        <v>12077.92</v>
      </c>
      <c r="O616" s="14">
        <f>M616+N616</f>
        <v>12424.64</v>
      </c>
      <c r="P616" s="14">
        <f>IFERROR(ROUND(SUM(S617,S618)/I616, 2),0)</f>
        <v>75.27</v>
      </c>
      <c r="Q616" s="15">
        <v>464</v>
      </c>
      <c r="R616" s="14">
        <f>P616+ROUND(Q616, 2)</f>
        <v>539.27</v>
      </c>
      <c r="S616" s="14">
        <f>ROUND(P616*I616, 2)</f>
        <v>1959.28</v>
      </c>
      <c r="T616" s="14">
        <f>ROUND(I616*ROUND(Q616, 2), 2)</f>
        <v>12077.92</v>
      </c>
      <c r="U616" s="14">
        <f>S616+T616</f>
        <v>14037.2</v>
      </c>
    </row>
    <row r="617" spans="1:21" ht="75" customHeight="1" x14ac:dyDescent="0.3">
      <c r="A617" s="107" t="s">
        <v>2387</v>
      </c>
      <c r="B617" s="107"/>
      <c r="C617" s="108" t="s">
        <v>2187</v>
      </c>
      <c r="D617" s="109"/>
      <c r="E617" s="109" t="s">
        <v>2207</v>
      </c>
      <c r="F617" s="110" t="s">
        <v>70</v>
      </c>
      <c r="G617" s="111">
        <v>0.3</v>
      </c>
      <c r="H617" s="111"/>
      <c r="I617" s="111">
        <v>7.8090000000000002</v>
      </c>
      <c r="J617" s="112">
        <v>0</v>
      </c>
      <c r="K617" s="118"/>
      <c r="L617" s="118"/>
      <c r="M617" s="22">
        <f>ROUND(ROUND(J617, 2)*I617, 2)</f>
        <v>0</v>
      </c>
      <c r="P617" s="21">
        <v>206.5</v>
      </c>
      <c r="S617" s="22">
        <f>ROUND(ROUND(P617, 2)*I617, 2)</f>
        <v>1612.56</v>
      </c>
    </row>
    <row r="618" spans="1:21" ht="18" x14ac:dyDescent="0.3">
      <c r="A618" s="107" t="s">
        <v>2390</v>
      </c>
      <c r="B618" s="107"/>
      <c r="C618" s="108" t="s">
        <v>433</v>
      </c>
      <c r="D618" s="109"/>
      <c r="E618" s="109"/>
      <c r="F618" s="110" t="s">
        <v>70</v>
      </c>
      <c r="G618" s="111">
        <v>0.15</v>
      </c>
      <c r="H618" s="111"/>
      <c r="I618" s="111">
        <v>3.9049999999999998</v>
      </c>
      <c r="J618" s="112">
        <v>88.8</v>
      </c>
      <c r="K618" s="118"/>
      <c r="L618" s="118"/>
      <c r="M618" s="22">
        <f>ROUND(ROUND(J618, 2)*I618, 2)</f>
        <v>346.76</v>
      </c>
      <c r="P618" s="21">
        <v>88.8</v>
      </c>
      <c r="S618" s="22">
        <f>ROUND(ROUND(P618, 2)*I618, 2)</f>
        <v>346.76</v>
      </c>
    </row>
    <row r="619" spans="1:21" ht="34.799999999999997" x14ac:dyDescent="0.3">
      <c r="A619" s="156" t="s">
        <v>2393</v>
      </c>
      <c r="B619" s="156" t="s">
        <v>2149</v>
      </c>
      <c r="C619" s="75" t="s">
        <v>2150</v>
      </c>
      <c r="D619" s="76"/>
      <c r="E619" s="76" t="s">
        <v>2394</v>
      </c>
      <c r="F619" s="76" t="s">
        <v>64</v>
      </c>
      <c r="G619" s="77">
        <v>1</v>
      </c>
      <c r="H619" s="77"/>
      <c r="I619" s="77">
        <v>34.79</v>
      </c>
      <c r="J619" s="14">
        <f>IFERROR(ROUND(SUM(M620,M621)/I619, 2),0)</f>
        <v>13.32</v>
      </c>
      <c r="K619" s="15">
        <v>464</v>
      </c>
      <c r="L619" s="14">
        <f>J619+ROUND(K619, 2)</f>
        <v>477.32</v>
      </c>
      <c r="M619" s="14">
        <f>ROUND(J619*I619, 2)</f>
        <v>463.4</v>
      </c>
      <c r="N619" s="14">
        <f>ROUND(I619*ROUND(K619, 2), 2)</f>
        <v>16142.56</v>
      </c>
      <c r="O619" s="14">
        <f>M619+N619</f>
        <v>16605.96</v>
      </c>
      <c r="P619" s="14">
        <f>IFERROR(ROUND(SUM(S620,S621)/I619, 2),0)</f>
        <v>75.27</v>
      </c>
      <c r="Q619" s="15">
        <v>464</v>
      </c>
      <c r="R619" s="14">
        <f>P619+ROUND(Q619, 2)</f>
        <v>539.27</v>
      </c>
      <c r="S619" s="14">
        <f>ROUND(P619*I619, 2)</f>
        <v>2618.64</v>
      </c>
      <c r="T619" s="14">
        <f>ROUND(I619*ROUND(Q619, 2), 2)</f>
        <v>16142.56</v>
      </c>
      <c r="U619" s="14">
        <f>S619+T619</f>
        <v>18761.2</v>
      </c>
    </row>
    <row r="620" spans="1:21" ht="18" x14ac:dyDescent="0.3">
      <c r="A620" s="107" t="s">
        <v>2395</v>
      </c>
      <c r="B620" s="107"/>
      <c r="C620" s="108" t="s">
        <v>433</v>
      </c>
      <c r="D620" s="109"/>
      <c r="E620" s="109"/>
      <c r="F620" s="110" t="s">
        <v>70</v>
      </c>
      <c r="G620" s="111">
        <v>0.15</v>
      </c>
      <c r="H620" s="111"/>
      <c r="I620" s="111">
        <v>5.2190000000000003</v>
      </c>
      <c r="J620" s="112">
        <v>88.8</v>
      </c>
      <c r="K620" s="118"/>
      <c r="L620" s="118"/>
      <c r="M620" s="22">
        <f>ROUND(ROUND(J620, 2)*I620, 2)</f>
        <v>463.45</v>
      </c>
      <c r="P620" s="21">
        <v>88.8</v>
      </c>
      <c r="S620" s="22">
        <f>ROUND(ROUND(P620, 2)*I620, 2)</f>
        <v>463.45</v>
      </c>
    </row>
    <row r="621" spans="1:21" ht="73.5" customHeight="1" x14ac:dyDescent="0.3">
      <c r="A621" s="107" t="s">
        <v>2398</v>
      </c>
      <c r="B621" s="107"/>
      <c r="C621" s="108" t="s">
        <v>2399</v>
      </c>
      <c r="D621" s="109"/>
      <c r="E621" s="109" t="s">
        <v>2251</v>
      </c>
      <c r="F621" s="110" t="s">
        <v>70</v>
      </c>
      <c r="G621" s="111">
        <v>0.3</v>
      </c>
      <c r="H621" s="111"/>
      <c r="I621" s="111">
        <v>10.436999999999999</v>
      </c>
      <c r="J621" s="112">
        <v>0</v>
      </c>
      <c r="K621" s="118"/>
      <c r="L621" s="118"/>
      <c r="M621" s="22">
        <f>ROUND(ROUND(J621, 2)*I621, 2)</f>
        <v>0</v>
      </c>
      <c r="P621" s="21">
        <v>206.5</v>
      </c>
      <c r="S621" s="22">
        <f>ROUND(ROUND(P621, 2)*I621, 2)</f>
        <v>2155.2399999999998</v>
      </c>
    </row>
    <row r="622" spans="1:21" ht="34.799999999999997" x14ac:dyDescent="0.3">
      <c r="A622" s="156" t="s">
        <v>2403</v>
      </c>
      <c r="B622" s="156" t="s">
        <v>2149</v>
      </c>
      <c r="C622" s="75" t="s">
        <v>2150</v>
      </c>
      <c r="D622" s="76"/>
      <c r="E622" s="76" t="s">
        <v>2404</v>
      </c>
      <c r="F622" s="76" t="s">
        <v>64</v>
      </c>
      <c r="G622" s="77">
        <v>1</v>
      </c>
      <c r="H622" s="77"/>
      <c r="I622" s="77">
        <v>58.73</v>
      </c>
      <c r="J622" s="14">
        <f>IFERROR(ROUND(SUM(M623,M624)/I622, 2),0)</f>
        <v>13.32</v>
      </c>
      <c r="K622" s="15">
        <v>464</v>
      </c>
      <c r="L622" s="14">
        <f>J622+ROUND(K622, 2)</f>
        <v>477.32</v>
      </c>
      <c r="M622" s="14">
        <f>ROUND(J622*I622, 2)</f>
        <v>782.28</v>
      </c>
      <c r="N622" s="14">
        <f>ROUND(I622*ROUND(K622, 2), 2)</f>
        <v>27250.720000000001</v>
      </c>
      <c r="O622" s="14">
        <f>M622+N622</f>
        <v>28033</v>
      </c>
      <c r="P622" s="14">
        <f>IFERROR(ROUND(SUM(S623,S624)/I622, 2),0)</f>
        <v>75.27</v>
      </c>
      <c r="Q622" s="15">
        <v>464</v>
      </c>
      <c r="R622" s="14">
        <f>P622+ROUND(Q622, 2)</f>
        <v>539.27</v>
      </c>
      <c r="S622" s="14">
        <f>ROUND(P622*I622, 2)</f>
        <v>4420.6099999999997</v>
      </c>
      <c r="T622" s="14">
        <f>ROUND(I622*ROUND(Q622, 2), 2)</f>
        <v>27250.720000000001</v>
      </c>
      <c r="U622" s="14">
        <f>S622+T622</f>
        <v>31671.33</v>
      </c>
    </row>
    <row r="623" spans="1:21" ht="76.05" customHeight="1" x14ac:dyDescent="0.3">
      <c r="A623" s="107" t="s">
        <v>2405</v>
      </c>
      <c r="B623" s="107"/>
      <c r="C623" s="108" t="s">
        <v>2187</v>
      </c>
      <c r="D623" s="109"/>
      <c r="E623" s="109" t="s">
        <v>2406</v>
      </c>
      <c r="F623" s="110" t="s">
        <v>70</v>
      </c>
      <c r="G623" s="111">
        <v>0.3</v>
      </c>
      <c r="H623" s="111"/>
      <c r="I623" s="111">
        <v>17.619</v>
      </c>
      <c r="J623" s="112">
        <v>0</v>
      </c>
      <c r="K623" s="118"/>
      <c r="M623" s="22">
        <f>ROUND(ROUND(J623, 2)*I623, 2)</f>
        <v>0</v>
      </c>
      <c r="P623" s="21">
        <v>206.5</v>
      </c>
      <c r="S623" s="22">
        <f>ROUND(ROUND(P623, 2)*I623, 2)</f>
        <v>3638.32</v>
      </c>
    </row>
    <row r="624" spans="1:21" ht="18" x14ac:dyDescent="0.3">
      <c r="A624" s="107" t="s">
        <v>2409</v>
      </c>
      <c r="B624" s="107"/>
      <c r="C624" s="108" t="s">
        <v>433</v>
      </c>
      <c r="D624" s="109"/>
      <c r="E624" s="109"/>
      <c r="F624" s="110" t="s">
        <v>70</v>
      </c>
      <c r="G624" s="111">
        <v>0.15</v>
      </c>
      <c r="H624" s="111"/>
      <c r="I624" s="111">
        <v>8.81</v>
      </c>
      <c r="J624" s="112">
        <v>88.8</v>
      </c>
      <c r="K624" s="118"/>
      <c r="M624" s="22">
        <f>ROUND(ROUND(J624, 2)*I624, 2)</f>
        <v>782.33</v>
      </c>
      <c r="P624" s="21">
        <v>88.8</v>
      </c>
      <c r="S624" s="22">
        <f>ROUND(ROUND(P624, 2)*I624, 2)</f>
        <v>782.33</v>
      </c>
    </row>
    <row r="625" spans="1:21" ht="42.45" customHeight="1" x14ac:dyDescent="0.3">
      <c r="A625" s="156" t="s">
        <v>2412</v>
      </c>
      <c r="B625" s="156" t="s">
        <v>2149</v>
      </c>
      <c r="C625" s="75" t="s">
        <v>2150</v>
      </c>
      <c r="D625" s="76"/>
      <c r="E625" s="76" t="s">
        <v>2413</v>
      </c>
      <c r="F625" s="76" t="s">
        <v>64</v>
      </c>
      <c r="G625" s="77">
        <v>1</v>
      </c>
      <c r="H625" s="77"/>
      <c r="I625" s="77">
        <v>30.71</v>
      </c>
      <c r="J625" s="14">
        <f>IFERROR(ROUND(SUM(M626,M627)/I625, 2),0)</f>
        <v>13.32</v>
      </c>
      <c r="K625" s="15">
        <v>464</v>
      </c>
      <c r="L625" s="14">
        <f>J625+ROUND(K625, 2)</f>
        <v>477.32</v>
      </c>
      <c r="M625" s="14">
        <f>ROUND(J625*I625, 2)</f>
        <v>409.06</v>
      </c>
      <c r="N625" s="14">
        <f>ROUND(I625*ROUND(K625, 2), 2)</f>
        <v>14249.44</v>
      </c>
      <c r="O625" s="14">
        <f>M625+N625</f>
        <v>14658.5</v>
      </c>
      <c r="P625" s="14">
        <f>IFERROR(ROUND(SUM(S626,S627)/I625, 2),0)</f>
        <v>75.27</v>
      </c>
      <c r="Q625" s="15">
        <v>464</v>
      </c>
      <c r="R625" s="14">
        <f>P625+ROUND(Q625, 2)</f>
        <v>539.27</v>
      </c>
      <c r="S625" s="14">
        <f>ROUND(P625*I625, 2)</f>
        <v>2311.54</v>
      </c>
      <c r="T625" s="14">
        <f>ROUND(I625*ROUND(Q625, 2), 2)</f>
        <v>14249.44</v>
      </c>
      <c r="U625" s="14">
        <f>S625+T625</f>
        <v>16560.98</v>
      </c>
    </row>
    <row r="626" spans="1:21" ht="18" x14ac:dyDescent="0.3">
      <c r="A626" s="107" t="s">
        <v>2414</v>
      </c>
      <c r="B626" s="107"/>
      <c r="C626" s="108" t="s">
        <v>433</v>
      </c>
      <c r="D626" s="109"/>
      <c r="E626" s="109"/>
      <c r="F626" s="110" t="s">
        <v>70</v>
      </c>
      <c r="G626" s="111">
        <v>0.15</v>
      </c>
      <c r="H626" s="111"/>
      <c r="I626" s="111">
        <v>4.6070000000000002</v>
      </c>
      <c r="J626" s="112">
        <v>88.8</v>
      </c>
      <c r="K626" s="118"/>
      <c r="M626" s="22">
        <f>ROUND(ROUND(J626, 2)*I626, 2)</f>
        <v>409.1</v>
      </c>
      <c r="P626" s="21">
        <v>88.8</v>
      </c>
      <c r="S626" s="22">
        <f>ROUND(ROUND(P626, 2)*I626, 2)</f>
        <v>409.1</v>
      </c>
    </row>
    <row r="627" spans="1:21" ht="57.45" customHeight="1" x14ac:dyDescent="0.3">
      <c r="A627" s="107" t="s">
        <v>2417</v>
      </c>
      <c r="B627" s="107"/>
      <c r="C627" s="108" t="s">
        <v>2187</v>
      </c>
      <c r="D627" s="109"/>
      <c r="E627" s="109" t="s">
        <v>2268</v>
      </c>
      <c r="F627" s="110" t="s">
        <v>70</v>
      </c>
      <c r="G627" s="111">
        <v>0.3</v>
      </c>
      <c r="H627" s="111"/>
      <c r="I627" s="111">
        <v>9.2129999999999992</v>
      </c>
      <c r="J627" s="112">
        <v>0</v>
      </c>
      <c r="K627" s="118"/>
      <c r="M627" s="22">
        <f>ROUND(ROUND(J627, 2)*I627, 2)</f>
        <v>0</v>
      </c>
      <c r="P627" s="21">
        <v>206.5</v>
      </c>
      <c r="S627" s="22">
        <f>ROUND(ROUND(P627, 2)*I627, 2)</f>
        <v>1902.48</v>
      </c>
    </row>
    <row r="628" spans="1:21" ht="46.05" customHeight="1" x14ac:dyDescent="0.3">
      <c r="A628" s="156" t="s">
        <v>2420</v>
      </c>
      <c r="B628" s="156" t="s">
        <v>2149</v>
      </c>
      <c r="C628" s="75" t="s">
        <v>2150</v>
      </c>
      <c r="D628" s="76"/>
      <c r="E628" s="76" t="s">
        <v>2421</v>
      </c>
      <c r="F628" s="76" t="s">
        <v>64</v>
      </c>
      <c r="G628" s="77">
        <v>1</v>
      </c>
      <c r="H628" s="77"/>
      <c r="I628" s="77">
        <v>1281.17</v>
      </c>
      <c r="J628" s="14">
        <f>IFERROR(ROUND(SUM(M629,M630)/I628, 2),0)</f>
        <v>13.32</v>
      </c>
      <c r="K628" s="15">
        <v>464</v>
      </c>
      <c r="L628" s="14">
        <f>J628+ROUND(K628, 2)</f>
        <v>477.32</v>
      </c>
      <c r="M628" s="14">
        <f>ROUND(J628*I628, 2)</f>
        <v>17065.18</v>
      </c>
      <c r="N628" s="14">
        <f>ROUND(I628*ROUND(K628, 2), 2)</f>
        <v>594462.88</v>
      </c>
      <c r="O628" s="14">
        <f>M628+N628</f>
        <v>611528.06000000006</v>
      </c>
      <c r="P628" s="14">
        <f>IFERROR(ROUND(SUM(S629,S630)/I628, 2),0)</f>
        <v>68.28</v>
      </c>
      <c r="Q628" s="15">
        <v>464</v>
      </c>
      <c r="R628" s="14">
        <f>P628+ROUND(Q628, 2)</f>
        <v>532.28</v>
      </c>
      <c r="S628" s="14">
        <f>ROUND(P628*I628, 2)</f>
        <v>87478.29</v>
      </c>
      <c r="T628" s="14">
        <f>ROUND(I628*ROUND(Q628, 2), 2)</f>
        <v>594462.88</v>
      </c>
      <c r="U628" s="14">
        <f>S628+T628</f>
        <v>681941.17</v>
      </c>
    </row>
    <row r="629" spans="1:21" ht="26.55" customHeight="1" x14ac:dyDescent="0.3">
      <c r="A629" s="107" t="s">
        <v>2422</v>
      </c>
      <c r="B629" s="107"/>
      <c r="C629" s="108" t="s">
        <v>2155</v>
      </c>
      <c r="D629" s="109"/>
      <c r="E629" s="109"/>
      <c r="F629" s="110" t="s">
        <v>70</v>
      </c>
      <c r="G629" s="111">
        <v>0.3</v>
      </c>
      <c r="H629" s="111"/>
      <c r="I629" s="111">
        <v>384.351</v>
      </c>
      <c r="J629" s="112">
        <v>0</v>
      </c>
      <c r="K629" s="118"/>
      <c r="L629" s="118"/>
      <c r="M629" s="22">
        <f>ROUND(ROUND(J629, 2)*I629, 2)</f>
        <v>0</v>
      </c>
      <c r="P629" s="21">
        <v>183.2</v>
      </c>
      <c r="S629" s="22">
        <f>ROUND(ROUND(P629, 2)*I629, 2)</f>
        <v>70413.100000000006</v>
      </c>
    </row>
    <row r="630" spans="1:21" ht="18" x14ac:dyDescent="0.3">
      <c r="A630" s="107" t="s">
        <v>2425</v>
      </c>
      <c r="B630" s="107"/>
      <c r="C630" s="108" t="s">
        <v>433</v>
      </c>
      <c r="D630" s="109"/>
      <c r="E630" s="109"/>
      <c r="F630" s="110" t="s">
        <v>70</v>
      </c>
      <c r="G630" s="111">
        <v>0.15</v>
      </c>
      <c r="H630" s="111"/>
      <c r="I630" s="111">
        <v>192.17599999999999</v>
      </c>
      <c r="J630" s="112">
        <v>88.8</v>
      </c>
      <c r="K630" s="118"/>
      <c r="L630" s="118"/>
      <c r="M630" s="22">
        <f>ROUND(ROUND(J630, 2)*I630, 2)</f>
        <v>17065.23</v>
      </c>
      <c r="P630" s="21">
        <v>88.8</v>
      </c>
      <c r="S630" s="22">
        <f>ROUND(ROUND(P630, 2)*I630, 2)</f>
        <v>17065.23</v>
      </c>
    </row>
    <row r="631" spans="1:21" ht="43.95" customHeight="1" x14ac:dyDescent="0.3">
      <c r="A631" s="156" t="s">
        <v>2428</v>
      </c>
      <c r="B631" s="156" t="s">
        <v>2149</v>
      </c>
      <c r="C631" s="75" t="s">
        <v>2150</v>
      </c>
      <c r="D631" s="76"/>
      <c r="E631" s="76" t="s">
        <v>2429</v>
      </c>
      <c r="F631" s="76" t="s">
        <v>64</v>
      </c>
      <c r="G631" s="77">
        <v>1</v>
      </c>
      <c r="H631" s="77"/>
      <c r="I631" s="77">
        <v>8.82</v>
      </c>
      <c r="J631" s="14">
        <f>IFERROR(ROUND(SUM(M632,M633)/I631, 2),0)</f>
        <v>13.32</v>
      </c>
      <c r="K631" s="15">
        <v>464</v>
      </c>
      <c r="L631" s="14">
        <f>J631+ROUND(K631, 2)</f>
        <v>477.32</v>
      </c>
      <c r="M631" s="14">
        <f>ROUND(J631*I631, 2)</f>
        <v>117.48</v>
      </c>
      <c r="N631" s="14">
        <f>ROUND(I631*ROUND(K631, 2), 2)</f>
        <v>4092.48</v>
      </c>
      <c r="O631" s="14">
        <f>M631+N631</f>
        <v>4209.96</v>
      </c>
      <c r="P631" s="14">
        <f>IFERROR(ROUND(SUM(S632,S633)/I631, 2),0)</f>
        <v>75.27</v>
      </c>
      <c r="Q631" s="15">
        <v>464</v>
      </c>
      <c r="R631" s="14">
        <f>P631+ROUND(Q631, 2)</f>
        <v>539.27</v>
      </c>
      <c r="S631" s="14">
        <f>ROUND(P631*I631, 2)</f>
        <v>663.88</v>
      </c>
      <c r="T631" s="14">
        <f>ROUND(I631*ROUND(Q631, 2), 2)</f>
        <v>4092.48</v>
      </c>
      <c r="U631" s="14">
        <f>S631+T631</f>
        <v>4756.3599999999997</v>
      </c>
    </row>
    <row r="632" spans="1:21" ht="18" x14ac:dyDescent="0.3">
      <c r="A632" s="107" t="s">
        <v>2430</v>
      </c>
      <c r="B632" s="107"/>
      <c r="C632" s="108" t="s">
        <v>433</v>
      </c>
      <c r="D632" s="109"/>
      <c r="E632" s="109"/>
      <c r="F632" s="110" t="s">
        <v>70</v>
      </c>
      <c r="G632" s="111">
        <v>0.15</v>
      </c>
      <c r="H632" s="111"/>
      <c r="I632" s="111">
        <v>1.323</v>
      </c>
      <c r="J632" s="112">
        <v>88.8</v>
      </c>
      <c r="K632" s="118"/>
      <c r="L632" s="118"/>
      <c r="M632" s="22">
        <f>ROUND(ROUND(J632, 2)*I632, 2)</f>
        <v>117.48</v>
      </c>
      <c r="P632" s="21">
        <v>88.8</v>
      </c>
      <c r="S632" s="22">
        <f>ROUND(ROUND(P632, 2)*I632, 2)</f>
        <v>117.48</v>
      </c>
    </row>
    <row r="633" spans="1:21" ht="75" customHeight="1" x14ac:dyDescent="0.3">
      <c r="A633" s="107" t="s">
        <v>2433</v>
      </c>
      <c r="B633" s="107"/>
      <c r="C633" s="108" t="s">
        <v>2155</v>
      </c>
      <c r="D633" s="109"/>
      <c r="E633" s="109" t="s">
        <v>2286</v>
      </c>
      <c r="F633" s="110" t="s">
        <v>70</v>
      </c>
      <c r="G633" s="111">
        <v>0.3</v>
      </c>
      <c r="H633" s="111"/>
      <c r="I633" s="111">
        <v>2.6459999999999999</v>
      </c>
      <c r="J633" s="112">
        <v>0</v>
      </c>
      <c r="K633" s="118"/>
      <c r="L633" s="118"/>
      <c r="M633" s="22">
        <f>ROUND(ROUND(J633, 2)*I633, 2)</f>
        <v>0</v>
      </c>
      <c r="P633" s="21">
        <v>206.5</v>
      </c>
      <c r="S633" s="22">
        <f>ROUND(ROUND(P633, 2)*I633, 2)</f>
        <v>546.4</v>
      </c>
    </row>
    <row r="634" spans="1:21" ht="34.799999999999997" x14ac:dyDescent="0.3">
      <c r="A634" s="156" t="s">
        <v>2436</v>
      </c>
      <c r="B634" s="156" t="s">
        <v>2149</v>
      </c>
      <c r="C634" s="75" t="s">
        <v>2150</v>
      </c>
      <c r="D634" s="76"/>
      <c r="E634" s="76" t="s">
        <v>2437</v>
      </c>
      <c r="F634" s="76" t="s">
        <v>64</v>
      </c>
      <c r="G634" s="77">
        <v>1</v>
      </c>
      <c r="H634" s="77"/>
      <c r="I634" s="77">
        <v>24.88</v>
      </c>
      <c r="J634" s="14">
        <f>IFERROR(ROUND(SUM(M635,M636)/I634, 2),0)</f>
        <v>13.32</v>
      </c>
      <c r="K634" s="15">
        <v>464</v>
      </c>
      <c r="L634" s="14">
        <f>J634+ROUND(K634, 2)</f>
        <v>477.32</v>
      </c>
      <c r="M634" s="14">
        <f>ROUND(J634*I634, 2)</f>
        <v>331.4</v>
      </c>
      <c r="N634" s="14">
        <f>ROUND(I634*ROUND(K634, 2), 2)</f>
        <v>11544.32</v>
      </c>
      <c r="O634" s="14">
        <f>M634+N634</f>
        <v>11875.72</v>
      </c>
      <c r="P634" s="14">
        <f>IFERROR(ROUND(SUM(S635,S636)/I634, 2),0)</f>
        <v>75.27</v>
      </c>
      <c r="Q634" s="15">
        <v>464</v>
      </c>
      <c r="R634" s="14">
        <f>P634+ROUND(Q634, 2)</f>
        <v>539.27</v>
      </c>
      <c r="S634" s="14">
        <f>ROUND(P634*I634, 2)</f>
        <v>1872.72</v>
      </c>
      <c r="T634" s="14">
        <f>ROUND(I634*ROUND(Q634, 2), 2)</f>
        <v>11544.32</v>
      </c>
      <c r="U634" s="14">
        <f>S634+T634</f>
        <v>13417.039999999999</v>
      </c>
    </row>
    <row r="635" spans="1:21" ht="62.55" customHeight="1" x14ac:dyDescent="0.3">
      <c r="A635" s="121" t="s">
        <v>2438</v>
      </c>
      <c r="B635" s="121"/>
      <c r="C635" s="122" t="s">
        <v>2155</v>
      </c>
      <c r="D635" s="123"/>
      <c r="E635" s="123" t="s">
        <v>2439</v>
      </c>
      <c r="F635" s="124" t="s">
        <v>70</v>
      </c>
      <c r="G635" s="126">
        <v>0.3</v>
      </c>
      <c r="H635" s="126"/>
      <c r="I635" s="126">
        <v>7.4640000000000004</v>
      </c>
      <c r="J635" s="127">
        <v>0</v>
      </c>
      <c r="K635" s="128"/>
      <c r="L635" s="128"/>
      <c r="M635" s="22">
        <f>ROUND(ROUND(J635, 2)*I635, 2)</f>
        <v>0</v>
      </c>
      <c r="P635" s="21">
        <v>206.5</v>
      </c>
      <c r="S635" s="22">
        <f>ROUND(ROUND(P635, 2)*I635, 2)</f>
        <v>1541.32</v>
      </c>
    </row>
    <row r="636" spans="1:21" ht="18" x14ac:dyDescent="0.3">
      <c r="A636" s="121" t="s">
        <v>2442</v>
      </c>
      <c r="B636" s="121"/>
      <c r="C636" s="122" t="s">
        <v>433</v>
      </c>
      <c r="D636" s="123"/>
      <c r="E636" s="123"/>
      <c r="F636" s="124" t="s">
        <v>70</v>
      </c>
      <c r="G636" s="126">
        <v>0.15</v>
      </c>
      <c r="H636" s="126"/>
      <c r="I636" s="126">
        <v>3.7320000000000002</v>
      </c>
      <c r="J636" s="127">
        <v>88.8</v>
      </c>
      <c r="K636" s="128"/>
      <c r="L636" s="128"/>
      <c r="M636" s="22">
        <f>ROUND(ROUND(J636, 2)*I636, 2)</f>
        <v>331.4</v>
      </c>
      <c r="P636" s="21">
        <v>88.8</v>
      </c>
      <c r="S636" s="22">
        <f>ROUND(ROUND(P636, 2)*I636, 2)</f>
        <v>331.4</v>
      </c>
    </row>
    <row r="637" spans="1:21" ht="34.799999999999997" x14ac:dyDescent="0.3">
      <c r="A637" s="156" t="s">
        <v>2445</v>
      </c>
      <c r="B637" s="156" t="s">
        <v>2149</v>
      </c>
      <c r="C637" s="75" t="s">
        <v>2150</v>
      </c>
      <c r="D637" s="76"/>
      <c r="E637" s="76" t="s">
        <v>2446</v>
      </c>
      <c r="F637" s="76" t="s">
        <v>64</v>
      </c>
      <c r="G637" s="77">
        <v>1</v>
      </c>
      <c r="H637" s="77"/>
      <c r="I637" s="77">
        <v>28.85</v>
      </c>
      <c r="J637" s="14">
        <f>IFERROR(ROUND(SUM(M638,M639)/I637, 2),0)</f>
        <v>13.32</v>
      </c>
      <c r="K637" s="15">
        <v>464</v>
      </c>
      <c r="L637" s="14">
        <f>J637+ROUND(K637, 2)</f>
        <v>477.32</v>
      </c>
      <c r="M637" s="14">
        <f>ROUND(J637*I637, 2)</f>
        <v>384.28</v>
      </c>
      <c r="N637" s="14">
        <f>ROUND(I637*ROUND(K637, 2), 2)</f>
        <v>13386.4</v>
      </c>
      <c r="O637" s="14">
        <f>M637+N637</f>
        <v>13770.68</v>
      </c>
      <c r="P637" s="14">
        <f>IFERROR(ROUND(SUM(S638,S639)/I637, 2),0)</f>
        <v>68.28</v>
      </c>
      <c r="Q637" s="15">
        <v>464</v>
      </c>
      <c r="R637" s="14">
        <f>P637+ROUND(Q637, 2)</f>
        <v>532.28</v>
      </c>
      <c r="S637" s="14">
        <f>ROUND(P637*I637, 2)</f>
        <v>1969.88</v>
      </c>
      <c r="T637" s="14">
        <f>ROUND(I637*ROUND(Q637, 2), 2)</f>
        <v>13386.4</v>
      </c>
      <c r="U637" s="14">
        <f>S637+T637</f>
        <v>15356.279999999999</v>
      </c>
    </row>
    <row r="638" spans="1:21" ht="18" x14ac:dyDescent="0.3">
      <c r="A638" s="121" t="s">
        <v>2447</v>
      </c>
      <c r="B638" s="121"/>
      <c r="C638" s="122" t="s">
        <v>433</v>
      </c>
      <c r="D638" s="123"/>
      <c r="E638" s="123"/>
      <c r="F638" s="124" t="s">
        <v>70</v>
      </c>
      <c r="G638" s="126">
        <v>0.15</v>
      </c>
      <c r="H638" s="126"/>
      <c r="I638" s="126">
        <v>4.3280000000000003</v>
      </c>
      <c r="J638" s="127">
        <v>88.8</v>
      </c>
      <c r="K638" s="128"/>
      <c r="L638" s="128"/>
      <c r="M638" s="22">
        <f>ROUND(ROUND(J638, 2)*I638, 2)</f>
        <v>384.33</v>
      </c>
      <c r="P638" s="21">
        <v>88.8</v>
      </c>
      <c r="S638" s="22">
        <f>ROUND(ROUND(P638, 2)*I638, 2)</f>
        <v>384.33</v>
      </c>
    </row>
    <row r="639" spans="1:21" ht="76.05" customHeight="1" x14ac:dyDescent="0.3">
      <c r="A639" s="121" t="s">
        <v>2450</v>
      </c>
      <c r="B639" s="121"/>
      <c r="C639" s="122" t="s">
        <v>2187</v>
      </c>
      <c r="D639" s="123"/>
      <c r="E639" s="123" t="s">
        <v>2451</v>
      </c>
      <c r="F639" s="124" t="s">
        <v>70</v>
      </c>
      <c r="G639" s="126">
        <v>0.3</v>
      </c>
      <c r="H639" s="126"/>
      <c r="I639" s="126">
        <v>8.6549999999999994</v>
      </c>
      <c r="J639" s="127">
        <v>0</v>
      </c>
      <c r="K639" s="128"/>
      <c r="L639" s="128"/>
      <c r="M639" s="22">
        <f>ROUND(ROUND(J639, 2)*I639, 2)</f>
        <v>0</v>
      </c>
      <c r="P639" s="21">
        <v>183.2</v>
      </c>
      <c r="S639" s="22">
        <f>ROUND(ROUND(P639, 2)*I639, 2)</f>
        <v>1585.6</v>
      </c>
    </row>
    <row r="640" spans="1:21" ht="34.799999999999997" x14ac:dyDescent="0.3">
      <c r="A640" s="156" t="s">
        <v>2454</v>
      </c>
      <c r="B640" s="156" t="s">
        <v>2149</v>
      </c>
      <c r="C640" s="75" t="s">
        <v>2150</v>
      </c>
      <c r="D640" s="76"/>
      <c r="E640" s="76" t="s">
        <v>2455</v>
      </c>
      <c r="F640" s="76" t="s">
        <v>64</v>
      </c>
      <c r="G640" s="77">
        <v>1</v>
      </c>
      <c r="H640" s="77"/>
      <c r="I640" s="77">
        <v>3.12</v>
      </c>
      <c r="J640" s="14">
        <f>IFERROR(ROUND(SUM(M641,M642)/I640, 2),0)</f>
        <v>13.32</v>
      </c>
      <c r="K640" s="15">
        <v>464</v>
      </c>
      <c r="L640" s="14">
        <f>J640+ROUND(K640, 2)</f>
        <v>477.32</v>
      </c>
      <c r="M640" s="14">
        <f>ROUND(J640*I640, 2)</f>
        <v>41.56</v>
      </c>
      <c r="N640" s="14">
        <f>ROUND(I640*ROUND(K640, 2), 2)</f>
        <v>1447.68</v>
      </c>
      <c r="O640" s="14">
        <f>M640+N640</f>
        <v>1489.24</v>
      </c>
      <c r="P640" s="14">
        <f>IFERROR(ROUND(SUM(S641,S642)/I640, 2),0)</f>
        <v>75.27</v>
      </c>
      <c r="Q640" s="15">
        <v>464</v>
      </c>
      <c r="R640" s="14">
        <f>P640+ROUND(Q640, 2)</f>
        <v>539.27</v>
      </c>
      <c r="S640" s="14">
        <f>ROUND(P640*I640, 2)</f>
        <v>234.84</v>
      </c>
      <c r="T640" s="14">
        <f>ROUND(I640*ROUND(Q640, 2), 2)</f>
        <v>1447.68</v>
      </c>
      <c r="U640" s="14">
        <f>S640+T640</f>
        <v>1682.52</v>
      </c>
    </row>
    <row r="641" spans="1:21" ht="58.95" customHeight="1" x14ac:dyDescent="0.3">
      <c r="A641" s="121" t="s">
        <v>2456</v>
      </c>
      <c r="B641" s="121"/>
      <c r="C641" s="122" t="s">
        <v>2187</v>
      </c>
      <c r="D641" s="123"/>
      <c r="E641" s="123" t="s">
        <v>2316</v>
      </c>
      <c r="F641" s="124" t="s">
        <v>70</v>
      </c>
      <c r="G641" s="126">
        <v>0.3</v>
      </c>
      <c r="H641" s="126"/>
      <c r="I641" s="126">
        <v>0.93600000000000005</v>
      </c>
      <c r="J641" s="127">
        <v>0</v>
      </c>
      <c r="K641" s="128"/>
      <c r="L641" s="128"/>
      <c r="M641" s="22">
        <f>ROUND(ROUND(J641, 2)*I641, 2)</f>
        <v>0</v>
      </c>
      <c r="P641" s="21">
        <v>206.5</v>
      </c>
      <c r="S641" s="22">
        <f>ROUND(ROUND(P641, 2)*I641, 2)</f>
        <v>193.28</v>
      </c>
    </row>
    <row r="642" spans="1:21" ht="18" x14ac:dyDescent="0.3">
      <c r="A642" s="121" t="s">
        <v>2459</v>
      </c>
      <c r="B642" s="121"/>
      <c r="C642" s="122" t="s">
        <v>433</v>
      </c>
      <c r="D642" s="123"/>
      <c r="E642" s="123"/>
      <c r="F642" s="124" t="s">
        <v>70</v>
      </c>
      <c r="G642" s="126">
        <v>0.15</v>
      </c>
      <c r="H642" s="126"/>
      <c r="I642" s="126">
        <v>0.46800000000000003</v>
      </c>
      <c r="J642" s="127">
        <v>88.8</v>
      </c>
      <c r="K642" s="128"/>
      <c r="L642" s="128"/>
      <c r="M642" s="22">
        <f>ROUND(ROUND(J642, 2)*I642, 2)</f>
        <v>41.56</v>
      </c>
      <c r="P642" s="21">
        <v>88.8</v>
      </c>
      <c r="S642" s="22">
        <f>ROUND(ROUND(P642, 2)*I642, 2)</f>
        <v>41.56</v>
      </c>
    </row>
    <row r="643" spans="1:21" ht="16.95" customHeight="1" x14ac:dyDescent="0.3">
      <c r="A643" s="10" t="s">
        <v>2462</v>
      </c>
      <c r="B643" s="10" t="s">
        <v>2463</v>
      </c>
      <c r="C643" s="352" t="s">
        <v>2464</v>
      </c>
      <c r="D643" s="353"/>
      <c r="E643" s="353"/>
      <c r="F643" s="353"/>
      <c r="G643" s="353"/>
      <c r="H643" s="353"/>
      <c r="I643" s="354"/>
      <c r="M643" s="6">
        <f>SUM(M644,M646,M648,M650,M652,M654,M656,M658,M660,M662,M664,M678,M691,M703,M715)</f>
        <v>19358677.419999998</v>
      </c>
      <c r="N643" s="6">
        <f>SUM(N644,N646,N648,N650,N652,N654,N656,N658,N660,N662,N664,N678,N691,N703,N715)</f>
        <v>4064165.0399999991</v>
      </c>
      <c r="O643" s="6">
        <f>SUM(O644,O646,O648,O650,O652,O654,O656,O658,O660,O662,O664,O678,O691,O703,O715)</f>
        <v>23422842.460000001</v>
      </c>
      <c r="S643" s="6">
        <f>SUM(S644,S646,S648,S650,S652,S654,S656,S658,S660,S662,S664,S678,S691,S703,S715)</f>
        <v>9422514.9199999999</v>
      </c>
      <c r="T643" s="6">
        <f>SUM(T644,T646,T648,T650,T652,T654,T656,T658,T660,T662,T664,T678,T691,T703,T715)</f>
        <v>4064165.0399999991</v>
      </c>
      <c r="U643" s="6">
        <f>SUM(U644,U646,U648,U650,U652,U654,U656,U658,U660,U662,U664,U678,U691,U703,U715)</f>
        <v>13486679.960000001</v>
      </c>
    </row>
    <row r="644" spans="1:21" ht="34.799999999999997" x14ac:dyDescent="0.3">
      <c r="A644" s="156" t="s">
        <v>2465</v>
      </c>
      <c r="B644" s="156" t="s">
        <v>2466</v>
      </c>
      <c r="C644" s="75" t="s">
        <v>2467</v>
      </c>
      <c r="D644" s="76"/>
      <c r="E644" s="76" t="s">
        <v>2468</v>
      </c>
      <c r="F644" s="76" t="s">
        <v>64</v>
      </c>
      <c r="G644" s="77">
        <v>1</v>
      </c>
      <c r="H644" s="77"/>
      <c r="I644" s="77">
        <v>433.87</v>
      </c>
      <c r="J644" s="14">
        <f>IFERROR(ROUND(SUM(M645)/I644, 2),0)</f>
        <v>0</v>
      </c>
      <c r="K644" s="15">
        <v>837</v>
      </c>
      <c r="L644" s="14">
        <f>J644+ROUND(K644, 2)</f>
        <v>837</v>
      </c>
      <c r="M644" s="14">
        <f>ROUND(J644*I644, 2)</f>
        <v>0</v>
      </c>
      <c r="N644" s="14">
        <f>ROUND(I644*ROUND(K644, 2), 2)</f>
        <v>363149.19</v>
      </c>
      <c r="O644" s="14">
        <f>M644+N644</f>
        <v>363149.19</v>
      </c>
      <c r="P644" s="14">
        <f>IFERROR(ROUND(SUM(S645)/I644, 2),0)</f>
        <v>2300</v>
      </c>
      <c r="Q644" s="15">
        <v>837</v>
      </c>
      <c r="R644" s="14">
        <f>P644+ROUND(Q644, 2)</f>
        <v>3137</v>
      </c>
      <c r="S644" s="14">
        <f>ROUND(P644*I644, 2)</f>
        <v>997901</v>
      </c>
      <c r="T644" s="14">
        <f>ROUND(I644*ROUND(Q644, 2), 2)</f>
        <v>363149.19</v>
      </c>
      <c r="U644" s="14">
        <f>S644+T644</f>
        <v>1361050.19</v>
      </c>
    </row>
    <row r="645" spans="1:21" ht="94.5" customHeight="1" x14ac:dyDescent="0.3">
      <c r="A645" s="121" t="s">
        <v>2471</v>
      </c>
      <c r="B645" s="121"/>
      <c r="C645" s="122" t="s">
        <v>2472</v>
      </c>
      <c r="D645" s="123"/>
      <c r="E645" s="123" t="s">
        <v>2473</v>
      </c>
      <c r="F645" s="124" t="s">
        <v>64</v>
      </c>
      <c r="G645" s="126">
        <v>1</v>
      </c>
      <c r="H645" s="126"/>
      <c r="I645" s="126">
        <v>433.87</v>
      </c>
      <c r="J645" s="127">
        <v>0</v>
      </c>
      <c r="K645" s="128"/>
      <c r="L645" s="128"/>
      <c r="M645" s="22">
        <f>ROUND(ROUND(J645, 2)*I645, 2)</f>
        <v>0</v>
      </c>
      <c r="P645" s="21">
        <v>2300</v>
      </c>
      <c r="S645" s="22">
        <f>ROUND(ROUND(P645, 2)*I645, 2)</f>
        <v>997901</v>
      </c>
    </row>
    <row r="646" spans="1:21" ht="34.799999999999997" x14ac:dyDescent="0.3">
      <c r="A646" s="156" t="s">
        <v>2477</v>
      </c>
      <c r="B646" s="156" t="s">
        <v>2466</v>
      </c>
      <c r="C646" s="75" t="s">
        <v>2467</v>
      </c>
      <c r="D646" s="76"/>
      <c r="E646" s="76" t="s">
        <v>2478</v>
      </c>
      <c r="F646" s="76" t="s">
        <v>64</v>
      </c>
      <c r="G646" s="77">
        <v>1</v>
      </c>
      <c r="H646" s="77"/>
      <c r="I646" s="77">
        <v>1422.4</v>
      </c>
      <c r="J646" s="14">
        <f>IFERROR(ROUND(SUM(M647)/I646, 2),0)</f>
        <v>7126.9</v>
      </c>
      <c r="K646" s="15">
        <v>837</v>
      </c>
      <c r="L646" s="14">
        <f>J646+ROUND(K646, 2)</f>
        <v>7963.9</v>
      </c>
      <c r="M646" s="14">
        <f>ROUND(J646*I646, 2)</f>
        <v>10137302.560000001</v>
      </c>
      <c r="N646" s="14">
        <f>ROUND(I646*ROUND(K646, 2), 2)</f>
        <v>1190548.8</v>
      </c>
      <c r="O646" s="14">
        <f>M646+N646</f>
        <v>11327851.360000001</v>
      </c>
      <c r="P646" s="14">
        <f>IFERROR(ROUND(SUM(S647)/I646, 2),0)</f>
        <v>2530</v>
      </c>
      <c r="Q646" s="15">
        <v>837</v>
      </c>
      <c r="R646" s="14">
        <f>P646+ROUND(Q646, 2)</f>
        <v>3367</v>
      </c>
      <c r="S646" s="14">
        <f>ROUND(P646*I646, 2)</f>
        <v>3598672</v>
      </c>
      <c r="T646" s="14">
        <f>ROUND(I646*ROUND(Q646, 2), 2)</f>
        <v>1190548.8</v>
      </c>
      <c r="U646" s="14">
        <f>S646+T646</f>
        <v>4789220.8</v>
      </c>
    </row>
    <row r="647" spans="1:21" ht="90.45" customHeight="1" x14ac:dyDescent="0.3">
      <c r="A647" s="121" t="s">
        <v>2479</v>
      </c>
      <c r="B647" s="121"/>
      <c r="C647" s="122" t="s">
        <v>2480</v>
      </c>
      <c r="D647" s="123"/>
      <c r="E647" s="123" t="s">
        <v>2481</v>
      </c>
      <c r="F647" s="124" t="s">
        <v>64</v>
      </c>
      <c r="G647" s="126">
        <v>1.1000000000000001</v>
      </c>
      <c r="H647" s="126"/>
      <c r="I647" s="126">
        <v>1564.64</v>
      </c>
      <c r="J647" s="127">
        <v>6479</v>
      </c>
      <c r="K647" s="128"/>
      <c r="L647" s="128"/>
      <c r="M647" s="22">
        <f>ROUND(ROUND(J647, 2)*I647, 2)</f>
        <v>10137302.560000001</v>
      </c>
      <c r="P647" s="21">
        <v>2300</v>
      </c>
      <c r="S647" s="22">
        <f>ROUND(ROUND(P647, 2)*I647, 2)</f>
        <v>3598672</v>
      </c>
    </row>
    <row r="648" spans="1:21" ht="45" customHeight="1" x14ac:dyDescent="0.3">
      <c r="A648" s="156" t="s">
        <v>2485</v>
      </c>
      <c r="B648" s="156" t="s">
        <v>2466</v>
      </c>
      <c r="C648" s="75" t="s">
        <v>2467</v>
      </c>
      <c r="D648" s="76"/>
      <c r="E648" s="76" t="s">
        <v>2486</v>
      </c>
      <c r="F648" s="76" t="s">
        <v>64</v>
      </c>
      <c r="G648" s="77">
        <v>1</v>
      </c>
      <c r="H648" s="77"/>
      <c r="I648" s="77">
        <v>34.450000000000003</v>
      </c>
      <c r="J648" s="14">
        <f>IFERROR(ROUND(SUM(M649)/I648, 2),0)</f>
        <v>855.89</v>
      </c>
      <c r="K648" s="15">
        <v>837</v>
      </c>
      <c r="L648" s="14">
        <f>J648+ROUND(K648, 2)</f>
        <v>1692.8899999999999</v>
      </c>
      <c r="M648" s="14">
        <f>ROUND(J648*I648, 2)</f>
        <v>29485.41</v>
      </c>
      <c r="N648" s="14">
        <f>ROUND(I648*ROUND(K648, 2), 2)</f>
        <v>28834.65</v>
      </c>
      <c r="O648" s="14">
        <f>M648+N648</f>
        <v>58320.06</v>
      </c>
      <c r="P648" s="14">
        <f>IFERROR(ROUND(SUM(S649)/I648, 2),0)</f>
        <v>855.89</v>
      </c>
      <c r="Q648" s="15">
        <v>837</v>
      </c>
      <c r="R648" s="14">
        <f>P648+ROUND(Q648, 2)</f>
        <v>1692.8899999999999</v>
      </c>
      <c r="S648" s="14">
        <f>ROUND(P648*I648, 2)</f>
        <v>29485.41</v>
      </c>
      <c r="T648" s="14">
        <f>ROUND(I648*ROUND(Q648, 2), 2)</f>
        <v>28834.65</v>
      </c>
      <c r="U648" s="14">
        <f>S648+T648</f>
        <v>58320.06</v>
      </c>
    </row>
    <row r="649" spans="1:21" ht="91.05" customHeight="1" x14ac:dyDescent="0.3">
      <c r="A649" s="107" t="s">
        <v>2487</v>
      </c>
      <c r="B649" s="107"/>
      <c r="C649" s="162" t="s">
        <v>2488</v>
      </c>
      <c r="D649" s="109"/>
      <c r="E649" s="109" t="s">
        <v>2489</v>
      </c>
      <c r="F649" s="110" t="s">
        <v>64</v>
      </c>
      <c r="G649" s="111">
        <v>1.1000000000000001</v>
      </c>
      <c r="H649" s="111"/>
      <c r="I649" s="111">
        <v>37.895000000000003</v>
      </c>
      <c r="J649" s="112">
        <v>778.08</v>
      </c>
      <c r="K649" s="118"/>
      <c r="L649" s="118"/>
      <c r="M649" s="22">
        <f>ROUND(ROUND(J649, 2)*I649, 2)</f>
        <v>29485.34</v>
      </c>
      <c r="P649" s="21">
        <v>778.08</v>
      </c>
      <c r="S649" s="22">
        <f>ROUND(ROUND(P649, 2)*I649, 2)</f>
        <v>29485.34</v>
      </c>
    </row>
    <row r="650" spans="1:21" ht="34.799999999999997" x14ac:dyDescent="0.3">
      <c r="A650" s="156" t="s">
        <v>2493</v>
      </c>
      <c r="B650" s="156" t="s">
        <v>2466</v>
      </c>
      <c r="C650" s="75" t="s">
        <v>2467</v>
      </c>
      <c r="D650" s="76"/>
      <c r="E650" s="76" t="s">
        <v>2494</v>
      </c>
      <c r="F650" s="76" t="s">
        <v>64</v>
      </c>
      <c r="G650" s="77">
        <v>1</v>
      </c>
      <c r="H650" s="77"/>
      <c r="I650" s="77">
        <v>83.7</v>
      </c>
      <c r="J650" s="14">
        <f>IFERROR(ROUND(SUM(M651)/I650, 2),0)</f>
        <v>902.98</v>
      </c>
      <c r="K650" s="15">
        <v>837</v>
      </c>
      <c r="L650" s="14">
        <f>J650+ROUND(K650, 2)</f>
        <v>1739.98</v>
      </c>
      <c r="M650" s="14">
        <f>ROUND(J650*I650, 2)</f>
        <v>75579.429999999993</v>
      </c>
      <c r="N650" s="14">
        <f>ROUND(I650*ROUND(K650, 2), 2)</f>
        <v>70056.899999999994</v>
      </c>
      <c r="O650" s="14">
        <f>M650+N650</f>
        <v>145636.32999999999</v>
      </c>
      <c r="P650" s="14">
        <f>IFERROR(ROUND(SUM(S651)/I650, 2),0)</f>
        <v>902.98</v>
      </c>
      <c r="Q650" s="15">
        <v>837</v>
      </c>
      <c r="R650" s="14">
        <f>P650+ROUND(Q650, 2)</f>
        <v>1739.98</v>
      </c>
      <c r="S650" s="14">
        <f>ROUND(P650*I650, 2)</f>
        <v>75579.429999999993</v>
      </c>
      <c r="T650" s="14">
        <f>ROUND(I650*ROUND(Q650, 2), 2)</f>
        <v>70056.899999999994</v>
      </c>
      <c r="U650" s="14">
        <f>S650+T650</f>
        <v>145636.32999999999</v>
      </c>
    </row>
    <row r="651" spans="1:21" ht="36" x14ac:dyDescent="0.3">
      <c r="A651" s="107" t="s">
        <v>2495</v>
      </c>
      <c r="B651" s="107"/>
      <c r="C651" s="163" t="s">
        <v>2496</v>
      </c>
      <c r="D651" s="109"/>
      <c r="E651" s="109"/>
      <c r="F651" s="110" t="s">
        <v>64</v>
      </c>
      <c r="G651" s="111">
        <v>1.1000000000000001</v>
      </c>
      <c r="H651" s="111"/>
      <c r="I651" s="111">
        <v>92.07</v>
      </c>
      <c r="J651" s="112">
        <v>820.89</v>
      </c>
      <c r="K651" s="118"/>
      <c r="L651" s="118"/>
      <c r="M651" s="22">
        <f>ROUND(ROUND(J651, 2)*I651, 2)</f>
        <v>75579.34</v>
      </c>
      <c r="P651" s="21">
        <v>820.89</v>
      </c>
      <c r="S651" s="22">
        <f>ROUND(ROUND(P651, 2)*I651, 2)</f>
        <v>75579.34</v>
      </c>
    </row>
    <row r="652" spans="1:21" ht="34.799999999999997" x14ac:dyDescent="0.3">
      <c r="A652" s="156" t="s">
        <v>2500</v>
      </c>
      <c r="B652" s="156" t="s">
        <v>2466</v>
      </c>
      <c r="C652" s="75" t="s">
        <v>2467</v>
      </c>
      <c r="D652" s="76"/>
      <c r="E652" s="76" t="s">
        <v>2501</v>
      </c>
      <c r="F652" s="76" t="s">
        <v>64</v>
      </c>
      <c r="G652" s="77">
        <v>1</v>
      </c>
      <c r="H652" s="77"/>
      <c r="I652" s="77">
        <v>54.99</v>
      </c>
      <c r="J652" s="14">
        <f>IFERROR(ROUND(SUM(M653)/I652, 2),0)</f>
        <v>901.26</v>
      </c>
      <c r="K652" s="15">
        <v>837</v>
      </c>
      <c r="L652" s="14">
        <f>J652+ROUND(K652, 2)</f>
        <v>1738.26</v>
      </c>
      <c r="M652" s="14">
        <f>ROUND(J652*I652, 2)</f>
        <v>49560.29</v>
      </c>
      <c r="N652" s="14">
        <f>ROUND(I652*ROUND(K652, 2), 2)</f>
        <v>46026.63</v>
      </c>
      <c r="O652" s="14">
        <f>M652+N652</f>
        <v>95586.92</v>
      </c>
      <c r="P652" s="14">
        <f>IFERROR(ROUND(SUM(S653)/I652, 2),0)</f>
        <v>901.26</v>
      </c>
      <c r="Q652" s="15">
        <v>837</v>
      </c>
      <c r="R652" s="14">
        <f>P652+ROUND(Q652, 2)</f>
        <v>1738.26</v>
      </c>
      <c r="S652" s="14">
        <f>ROUND(P652*I652, 2)</f>
        <v>49560.29</v>
      </c>
      <c r="T652" s="14">
        <f>ROUND(I652*ROUND(Q652, 2), 2)</f>
        <v>46026.63</v>
      </c>
      <c r="U652" s="14">
        <f>S652+T652</f>
        <v>95586.92</v>
      </c>
    </row>
    <row r="653" spans="1:21" ht="36" x14ac:dyDescent="0.3">
      <c r="A653" s="10" t="s">
        <v>2502</v>
      </c>
      <c r="B653" s="10"/>
      <c r="C653" s="17" t="s">
        <v>2503</v>
      </c>
      <c r="D653" s="12"/>
      <c r="E653" s="12"/>
      <c r="F653" s="18" t="s">
        <v>64</v>
      </c>
      <c r="G653" s="19">
        <v>1.1000000000000001</v>
      </c>
      <c r="H653" s="20"/>
      <c r="I653" s="20">
        <v>60.488999999999997</v>
      </c>
      <c r="J653" s="21">
        <v>819.33</v>
      </c>
      <c r="M653" s="22">
        <f>ROUND(ROUND(J653, 2)*I653, 2)</f>
        <v>49560.45</v>
      </c>
      <c r="P653" s="21">
        <v>819.33</v>
      </c>
      <c r="S653" s="22">
        <f>ROUND(ROUND(P653, 2)*I653, 2)</f>
        <v>49560.45</v>
      </c>
    </row>
    <row r="654" spans="1:21" ht="34.799999999999997" x14ac:dyDescent="0.3">
      <c r="A654" s="156" t="s">
        <v>2507</v>
      </c>
      <c r="B654" s="156" t="s">
        <v>2466</v>
      </c>
      <c r="C654" s="75" t="s">
        <v>2467</v>
      </c>
      <c r="D654" s="76"/>
      <c r="E654" s="76" t="s">
        <v>2508</v>
      </c>
      <c r="F654" s="76" t="s">
        <v>64</v>
      </c>
      <c r="G654" s="77">
        <v>1</v>
      </c>
      <c r="H654" s="77"/>
      <c r="I654" s="77">
        <v>388.35</v>
      </c>
      <c r="J654" s="14">
        <f>IFERROR(ROUND(SUM(M655)/I654, 2),0)</f>
        <v>0</v>
      </c>
      <c r="K654" s="15">
        <v>837</v>
      </c>
      <c r="L654" s="14">
        <f>J654+ROUND(K654, 2)</f>
        <v>837</v>
      </c>
      <c r="M654" s="14">
        <f>ROUND(J654*I654, 2)</f>
        <v>0</v>
      </c>
      <c r="N654" s="14">
        <f>ROUND(I654*ROUND(K654, 2), 2)</f>
        <v>325048.95</v>
      </c>
      <c r="O654" s="14">
        <f>M654+N654</f>
        <v>325048.95</v>
      </c>
      <c r="P654" s="14">
        <f>IFERROR(ROUND(SUM(S655)/I654, 2),0)</f>
        <v>2300</v>
      </c>
      <c r="Q654" s="15">
        <v>837</v>
      </c>
      <c r="R654" s="14">
        <f>P654+ROUND(Q654, 2)</f>
        <v>3137</v>
      </c>
      <c r="S654" s="14">
        <f>ROUND(P654*I654, 2)</f>
        <v>893205</v>
      </c>
      <c r="T654" s="14">
        <f>ROUND(I654*ROUND(Q654, 2), 2)</f>
        <v>325048.95</v>
      </c>
      <c r="U654" s="14">
        <f>S654+T654</f>
        <v>1218253.95</v>
      </c>
    </row>
    <row r="655" spans="1:21" ht="94.5" customHeight="1" x14ac:dyDescent="0.3">
      <c r="A655" s="10" t="s">
        <v>2509</v>
      </c>
      <c r="B655" s="10"/>
      <c r="C655" s="24" t="s">
        <v>2472</v>
      </c>
      <c r="D655" s="12"/>
      <c r="E655" s="123" t="s">
        <v>2510</v>
      </c>
      <c r="F655" s="124" t="s">
        <v>64</v>
      </c>
      <c r="G655" s="126">
        <v>1</v>
      </c>
      <c r="H655" s="126"/>
      <c r="I655" s="126">
        <v>388.35</v>
      </c>
      <c r="J655" s="127">
        <v>0</v>
      </c>
      <c r="K655" s="128"/>
      <c r="L655" s="128"/>
      <c r="M655" s="22">
        <f>ROUND(ROUND(J655, 2)*I655, 2)</f>
        <v>0</v>
      </c>
      <c r="P655" s="21">
        <v>2300</v>
      </c>
      <c r="S655" s="22">
        <f>ROUND(ROUND(P655, 2)*I655, 2)</f>
        <v>893205</v>
      </c>
    </row>
    <row r="656" spans="1:21" ht="34.799999999999997" x14ac:dyDescent="0.3">
      <c r="A656" s="156" t="s">
        <v>2513</v>
      </c>
      <c r="B656" s="156" t="s">
        <v>2466</v>
      </c>
      <c r="C656" s="75" t="s">
        <v>2467</v>
      </c>
      <c r="D656" s="76"/>
      <c r="E656" s="76" t="s">
        <v>2514</v>
      </c>
      <c r="F656" s="76" t="s">
        <v>64</v>
      </c>
      <c r="G656" s="77">
        <v>1</v>
      </c>
      <c r="H656" s="77"/>
      <c r="I656" s="77">
        <v>1200.01</v>
      </c>
      <c r="J656" s="14">
        <f>IFERROR(ROUND(SUM(M657)/I656, 2),0)</f>
        <v>7126.9</v>
      </c>
      <c r="K656" s="15">
        <v>837</v>
      </c>
      <c r="L656" s="14">
        <f>J656+ROUND(K656, 2)</f>
        <v>7963.9</v>
      </c>
      <c r="M656" s="14">
        <f>ROUND(J656*I656, 2)</f>
        <v>8552351.2699999996</v>
      </c>
      <c r="N656" s="14">
        <f>ROUND(I656*ROUND(K656, 2), 2)</f>
        <v>1004408.37</v>
      </c>
      <c r="O656" s="14">
        <f>M656+N656</f>
        <v>9556759.6399999987</v>
      </c>
      <c r="P656" s="14">
        <f>IFERROR(ROUND(SUM(S657)/I656, 2),0)</f>
        <v>2530</v>
      </c>
      <c r="Q656" s="15">
        <v>837</v>
      </c>
      <c r="R656" s="14">
        <f>P656+ROUND(Q656, 2)</f>
        <v>3367</v>
      </c>
      <c r="S656" s="14">
        <f>ROUND(P656*I656, 2)</f>
        <v>3036025.3</v>
      </c>
      <c r="T656" s="14">
        <f>ROUND(I656*ROUND(Q656, 2), 2)</f>
        <v>1004408.37</v>
      </c>
      <c r="U656" s="14">
        <f>S656+T656</f>
        <v>4040433.67</v>
      </c>
    </row>
    <row r="657" spans="1:21" ht="65.55" customHeight="1" x14ac:dyDescent="0.3">
      <c r="A657" s="10" t="s">
        <v>2515</v>
      </c>
      <c r="B657" s="10"/>
      <c r="C657" s="24" t="s">
        <v>2480</v>
      </c>
      <c r="D657" s="12"/>
      <c r="E657" s="123" t="s">
        <v>2481</v>
      </c>
      <c r="F657" s="124" t="s">
        <v>64</v>
      </c>
      <c r="G657" s="126">
        <v>1.1000000000000001</v>
      </c>
      <c r="H657" s="126"/>
      <c r="I657" s="126">
        <v>1320.011</v>
      </c>
      <c r="J657" s="127">
        <v>6479</v>
      </c>
      <c r="K657" s="128"/>
      <c r="L657" s="128"/>
      <c r="M657" s="22">
        <f>ROUND(ROUND(J657, 2)*I657, 2)</f>
        <v>8552351.2699999996</v>
      </c>
      <c r="P657" s="21">
        <v>2300</v>
      </c>
      <c r="S657" s="22">
        <f>ROUND(ROUND(P657, 2)*I657, 2)</f>
        <v>3036025.3</v>
      </c>
    </row>
    <row r="658" spans="1:21" ht="34.799999999999997" x14ac:dyDescent="0.3">
      <c r="A658" s="156" t="s">
        <v>2518</v>
      </c>
      <c r="B658" s="156" t="s">
        <v>2466</v>
      </c>
      <c r="C658" s="75" t="s">
        <v>2467</v>
      </c>
      <c r="D658" s="76"/>
      <c r="E658" s="76" t="s">
        <v>2519</v>
      </c>
      <c r="F658" s="76" t="s">
        <v>64</v>
      </c>
      <c r="G658" s="77">
        <v>1</v>
      </c>
      <c r="H658" s="77"/>
      <c r="I658" s="77">
        <v>163.46</v>
      </c>
      <c r="J658" s="14">
        <f>IFERROR(ROUND(SUM(M659)/I658, 2),0)</f>
        <v>855.89</v>
      </c>
      <c r="K658" s="15">
        <v>837</v>
      </c>
      <c r="L658" s="14">
        <f>J658+ROUND(K658, 2)</f>
        <v>1692.8899999999999</v>
      </c>
      <c r="M658" s="14">
        <f>ROUND(J658*I658, 2)</f>
        <v>139903.78</v>
      </c>
      <c r="N658" s="14">
        <f>ROUND(I658*ROUND(K658, 2), 2)</f>
        <v>136816.01999999999</v>
      </c>
      <c r="O658" s="14">
        <f>M658+N658</f>
        <v>276719.8</v>
      </c>
      <c r="P658" s="14">
        <f>IFERROR(ROUND(SUM(S659)/I658, 2),0)</f>
        <v>855.89</v>
      </c>
      <c r="Q658" s="15">
        <v>837</v>
      </c>
      <c r="R658" s="14">
        <f>P658+ROUND(Q658, 2)</f>
        <v>1692.8899999999999</v>
      </c>
      <c r="S658" s="14">
        <f>ROUND(P658*I658, 2)</f>
        <v>139903.78</v>
      </c>
      <c r="T658" s="14">
        <f>ROUND(I658*ROUND(Q658, 2), 2)</f>
        <v>136816.01999999999</v>
      </c>
      <c r="U658" s="14">
        <f>S658+T658</f>
        <v>276719.8</v>
      </c>
    </row>
    <row r="659" spans="1:21" ht="71.55" customHeight="1" x14ac:dyDescent="0.3">
      <c r="A659" s="10" t="s">
        <v>2520</v>
      </c>
      <c r="B659" s="10"/>
      <c r="C659" s="17" t="s">
        <v>2488</v>
      </c>
      <c r="D659" s="12"/>
      <c r="E659" s="123" t="s">
        <v>2489</v>
      </c>
      <c r="F659" s="124" t="s">
        <v>64</v>
      </c>
      <c r="G659" s="126">
        <v>1.1000000000000001</v>
      </c>
      <c r="H659" s="126"/>
      <c r="I659" s="126">
        <v>179.80600000000001</v>
      </c>
      <c r="J659" s="127">
        <v>778.08</v>
      </c>
      <c r="K659" s="128"/>
      <c r="L659" s="128"/>
      <c r="M659" s="22">
        <f>ROUND(ROUND(J659, 2)*I659, 2)</f>
        <v>139903.45000000001</v>
      </c>
      <c r="P659" s="21">
        <v>778.08</v>
      </c>
      <c r="S659" s="22">
        <f>ROUND(ROUND(P659, 2)*I659, 2)</f>
        <v>139903.45000000001</v>
      </c>
    </row>
    <row r="660" spans="1:21" ht="34.799999999999997" x14ac:dyDescent="0.3">
      <c r="A660" s="156" t="s">
        <v>2523</v>
      </c>
      <c r="B660" s="156" t="s">
        <v>2466</v>
      </c>
      <c r="C660" s="75" t="s">
        <v>2467</v>
      </c>
      <c r="D660" s="76"/>
      <c r="E660" s="76" t="s">
        <v>2524</v>
      </c>
      <c r="F660" s="76" t="s">
        <v>64</v>
      </c>
      <c r="G660" s="77">
        <v>1</v>
      </c>
      <c r="H660" s="77"/>
      <c r="I660" s="77">
        <v>92.54</v>
      </c>
      <c r="J660" s="14">
        <f>IFERROR(ROUND(SUM(M661)/I660, 2),0)</f>
        <v>902.98</v>
      </c>
      <c r="K660" s="15">
        <v>837</v>
      </c>
      <c r="L660" s="14">
        <f>J660+ROUND(K660, 2)</f>
        <v>1739.98</v>
      </c>
      <c r="M660" s="14">
        <f>ROUND(J660*I660, 2)</f>
        <v>83561.77</v>
      </c>
      <c r="N660" s="14">
        <f>ROUND(I660*ROUND(K660, 2), 2)</f>
        <v>77455.98</v>
      </c>
      <c r="O660" s="14">
        <f>M660+N660</f>
        <v>161017.75</v>
      </c>
      <c r="P660" s="14">
        <f>IFERROR(ROUND(SUM(S661)/I660, 2),0)</f>
        <v>902.98</v>
      </c>
      <c r="Q660" s="15">
        <v>837</v>
      </c>
      <c r="R660" s="14">
        <f>P660+ROUND(Q660, 2)</f>
        <v>1739.98</v>
      </c>
      <c r="S660" s="14">
        <f>ROUND(P660*I660, 2)</f>
        <v>83561.77</v>
      </c>
      <c r="T660" s="14">
        <f>ROUND(I660*ROUND(Q660, 2), 2)</f>
        <v>77455.98</v>
      </c>
      <c r="U660" s="14">
        <f>S660+T660</f>
        <v>161017.75</v>
      </c>
    </row>
    <row r="661" spans="1:21" ht="36" x14ac:dyDescent="0.3">
      <c r="A661" s="10" t="s">
        <v>2525</v>
      </c>
      <c r="B661" s="10"/>
      <c r="C661" s="17" t="s">
        <v>2496</v>
      </c>
      <c r="D661" s="12"/>
      <c r="E661" s="12"/>
      <c r="F661" s="18" t="s">
        <v>64</v>
      </c>
      <c r="G661" s="19">
        <v>1.1000000000000001</v>
      </c>
      <c r="H661" s="20"/>
      <c r="I661" s="20">
        <v>101.794</v>
      </c>
      <c r="J661" s="21">
        <v>820.89</v>
      </c>
      <c r="M661" s="22">
        <f>ROUND(ROUND(J661, 2)*I661, 2)</f>
        <v>83561.679999999993</v>
      </c>
      <c r="P661" s="21">
        <v>820.89</v>
      </c>
      <c r="S661" s="22">
        <f>ROUND(ROUND(P661, 2)*I661, 2)</f>
        <v>83561.679999999993</v>
      </c>
    </row>
    <row r="662" spans="1:21" ht="34.799999999999997" x14ac:dyDescent="0.3">
      <c r="A662" s="156" t="s">
        <v>2528</v>
      </c>
      <c r="B662" s="156" t="s">
        <v>2466</v>
      </c>
      <c r="C662" s="75" t="s">
        <v>2467</v>
      </c>
      <c r="D662" s="76"/>
      <c r="E662" s="76" t="s">
        <v>2529</v>
      </c>
      <c r="F662" s="76" t="s">
        <v>64</v>
      </c>
      <c r="G662" s="77">
        <v>1</v>
      </c>
      <c r="H662" s="77"/>
      <c r="I662" s="77">
        <v>67.19</v>
      </c>
      <c r="J662" s="14">
        <f>IFERROR(ROUND(SUM(M663)/I662, 2),0)</f>
        <v>901.26</v>
      </c>
      <c r="K662" s="15">
        <v>837</v>
      </c>
      <c r="L662" s="14">
        <f>J662+ROUND(K662, 2)</f>
        <v>1738.26</v>
      </c>
      <c r="M662" s="14">
        <f>ROUND(J662*I662, 2)</f>
        <v>60555.66</v>
      </c>
      <c r="N662" s="14">
        <f>ROUND(I662*ROUND(K662, 2), 2)</f>
        <v>56238.03</v>
      </c>
      <c r="O662" s="14">
        <f>M662+N662</f>
        <v>116793.69</v>
      </c>
      <c r="P662" s="14">
        <f>IFERROR(ROUND(SUM(S663)/I662, 2),0)</f>
        <v>901.26</v>
      </c>
      <c r="Q662" s="15">
        <v>837</v>
      </c>
      <c r="R662" s="14">
        <f>P662+ROUND(Q662, 2)</f>
        <v>1738.26</v>
      </c>
      <c r="S662" s="14">
        <f>ROUND(P662*I662, 2)</f>
        <v>60555.66</v>
      </c>
      <c r="T662" s="14">
        <f>ROUND(I662*ROUND(Q662, 2), 2)</f>
        <v>56238.03</v>
      </c>
      <c r="U662" s="14">
        <f>S662+T662</f>
        <v>116793.69</v>
      </c>
    </row>
    <row r="663" spans="1:21" ht="36" x14ac:dyDescent="0.3">
      <c r="A663" s="10" t="s">
        <v>2530</v>
      </c>
      <c r="B663" s="10"/>
      <c r="C663" s="17" t="s">
        <v>2503</v>
      </c>
      <c r="D663" s="12"/>
      <c r="E663" s="12"/>
      <c r="F663" s="18" t="s">
        <v>64</v>
      </c>
      <c r="G663" s="19">
        <v>1.1000000000000001</v>
      </c>
      <c r="H663" s="20"/>
      <c r="I663" s="20">
        <v>73.909000000000006</v>
      </c>
      <c r="J663" s="21">
        <v>819.33</v>
      </c>
      <c r="M663" s="22">
        <f>ROUND(ROUND(J663, 2)*I663, 2)</f>
        <v>60555.86</v>
      </c>
      <c r="P663" s="21">
        <v>819.33</v>
      </c>
      <c r="S663" s="22">
        <f>ROUND(ROUND(P663, 2)*I663, 2)</f>
        <v>60555.86</v>
      </c>
    </row>
    <row r="664" spans="1:21" ht="34.799999999999997" x14ac:dyDescent="0.3">
      <c r="A664" s="156" t="s">
        <v>2533</v>
      </c>
      <c r="B664" s="156" t="s">
        <v>2534</v>
      </c>
      <c r="C664" s="75" t="s">
        <v>2535</v>
      </c>
      <c r="D664" s="76"/>
      <c r="E664" s="76" t="s">
        <v>2536</v>
      </c>
      <c r="F664" s="76" t="s">
        <v>64</v>
      </c>
      <c r="G664" s="77">
        <v>1</v>
      </c>
      <c r="H664" s="77"/>
      <c r="I664" s="77">
        <v>37.700000000000003</v>
      </c>
      <c r="J664" s="14">
        <f>IFERROR(ROUND(SUM(M665,M666,M667,M668,M669,M670,M671,M672,M673,M674,M675,M676,M677)/I664, 2),0)</f>
        <v>611.15</v>
      </c>
      <c r="K664" s="15">
        <v>1199</v>
      </c>
      <c r="L664" s="14">
        <f>J664+ROUND(K664, 2)</f>
        <v>1810.15</v>
      </c>
      <c r="M664" s="14">
        <f>ROUND(J664*I664, 2)</f>
        <v>23040.36</v>
      </c>
      <c r="N664" s="14">
        <f>ROUND(I664*ROUND(K664, 2), 2)</f>
        <v>45202.3</v>
      </c>
      <c r="O664" s="14">
        <f>M664+N664</f>
        <v>68242.66</v>
      </c>
      <c r="P664" s="14">
        <f>IFERROR(ROUND(SUM(S665,S666,S667,S668,S669,S670,S671,S672,S673,S674,S675,S676,S677)/I664, 2),0)</f>
        <v>611.15</v>
      </c>
      <c r="Q664" s="15">
        <v>1199</v>
      </c>
      <c r="R664" s="14">
        <f>P664+ROUND(Q664, 2)</f>
        <v>1810.15</v>
      </c>
      <c r="S664" s="14">
        <f>ROUND(P664*I664, 2)</f>
        <v>23040.36</v>
      </c>
      <c r="T664" s="14">
        <f>ROUND(I664*ROUND(Q664, 2), 2)</f>
        <v>45202.3</v>
      </c>
      <c r="U664" s="14">
        <f>S664+T664</f>
        <v>68242.66</v>
      </c>
    </row>
    <row r="665" spans="1:21" ht="18" x14ac:dyDescent="0.3">
      <c r="A665" s="10" t="s">
        <v>2539</v>
      </c>
      <c r="B665" s="10"/>
      <c r="C665" s="24" t="s">
        <v>2540</v>
      </c>
      <c r="D665" s="12"/>
      <c r="E665" s="12"/>
      <c r="F665" s="18" t="s">
        <v>116</v>
      </c>
      <c r="G665" s="19">
        <v>0.3</v>
      </c>
      <c r="H665" s="19"/>
      <c r="I665" s="19">
        <v>11.31</v>
      </c>
      <c r="J665" s="21">
        <v>5.6</v>
      </c>
      <c r="M665" s="22">
        <f t="shared" ref="M665:M677" si="10">ROUND(ROUND(J665, 2)*I665, 2)</f>
        <v>63.34</v>
      </c>
      <c r="P665" s="21">
        <v>5.6</v>
      </c>
      <c r="S665" s="22">
        <f t="shared" ref="S665:S677" si="11">ROUND(ROUND(P665, 2)*I665, 2)</f>
        <v>63.34</v>
      </c>
    </row>
    <row r="666" spans="1:21" ht="18" x14ac:dyDescent="0.3">
      <c r="A666" s="121" t="s">
        <v>2544</v>
      </c>
      <c r="B666" s="121"/>
      <c r="C666" s="122" t="s">
        <v>2545</v>
      </c>
      <c r="D666" s="123"/>
      <c r="E666" s="123"/>
      <c r="F666" s="124" t="s">
        <v>116</v>
      </c>
      <c r="G666" s="126">
        <v>15</v>
      </c>
      <c r="H666" s="126"/>
      <c r="I666" s="126">
        <v>565.5</v>
      </c>
      <c r="J666" s="127">
        <v>0.95</v>
      </c>
      <c r="K666" s="128"/>
      <c r="L666" s="128"/>
      <c r="M666" s="22">
        <f t="shared" si="10"/>
        <v>537.23</v>
      </c>
      <c r="P666" s="21">
        <v>0.95</v>
      </c>
      <c r="S666" s="22">
        <f t="shared" si="11"/>
        <v>537.23</v>
      </c>
    </row>
    <row r="667" spans="1:21" ht="18" x14ac:dyDescent="0.3">
      <c r="A667" s="121" t="s">
        <v>2549</v>
      </c>
      <c r="B667" s="121"/>
      <c r="C667" s="122" t="s">
        <v>1920</v>
      </c>
      <c r="D667" s="123"/>
      <c r="E667" s="123"/>
      <c r="F667" s="124" t="s">
        <v>116</v>
      </c>
      <c r="G667" s="126">
        <v>30</v>
      </c>
      <c r="H667" s="126"/>
      <c r="I667" s="126">
        <v>1131</v>
      </c>
      <c r="J667" s="127">
        <v>0.28000000000000003</v>
      </c>
      <c r="K667" s="128"/>
      <c r="L667" s="128"/>
      <c r="M667" s="22">
        <f t="shared" si="10"/>
        <v>316.68</v>
      </c>
      <c r="P667" s="21">
        <v>0.28000000000000003</v>
      </c>
      <c r="S667" s="22">
        <f t="shared" si="11"/>
        <v>316.68</v>
      </c>
    </row>
    <row r="668" spans="1:21" ht="36" x14ac:dyDescent="0.3">
      <c r="A668" s="121" t="s">
        <v>2552</v>
      </c>
      <c r="B668" s="121"/>
      <c r="C668" s="165" t="s">
        <v>2553</v>
      </c>
      <c r="D668" s="123"/>
      <c r="E668" s="123"/>
      <c r="F668" s="124" t="s">
        <v>116</v>
      </c>
      <c r="G668" s="126">
        <v>3.6</v>
      </c>
      <c r="H668" s="126"/>
      <c r="I668" s="126">
        <v>135.72</v>
      </c>
      <c r="J668" s="127">
        <v>15.9</v>
      </c>
      <c r="K668" s="128"/>
      <c r="L668" s="128"/>
      <c r="M668" s="22">
        <f t="shared" si="10"/>
        <v>2157.9499999999998</v>
      </c>
      <c r="P668" s="21">
        <v>15.9</v>
      </c>
      <c r="S668" s="22">
        <f t="shared" si="11"/>
        <v>2157.9499999999998</v>
      </c>
    </row>
    <row r="669" spans="1:21" ht="18" x14ac:dyDescent="0.3">
      <c r="A669" s="121" t="s">
        <v>2557</v>
      </c>
      <c r="B669" s="121"/>
      <c r="C669" s="164" t="s">
        <v>1753</v>
      </c>
      <c r="D669" s="123"/>
      <c r="E669" s="123"/>
      <c r="F669" s="124" t="s">
        <v>70</v>
      </c>
      <c r="G669" s="126">
        <v>0.35</v>
      </c>
      <c r="H669" s="126"/>
      <c r="I669" s="126">
        <v>13.195</v>
      </c>
      <c r="J669" s="127">
        <v>55</v>
      </c>
      <c r="K669" s="128"/>
      <c r="L669" s="128"/>
      <c r="M669" s="22">
        <f t="shared" si="10"/>
        <v>725.73</v>
      </c>
      <c r="P669" s="21">
        <v>55</v>
      </c>
      <c r="S669" s="22">
        <f t="shared" si="11"/>
        <v>725.73</v>
      </c>
    </row>
    <row r="670" spans="1:21" ht="18" x14ac:dyDescent="0.3">
      <c r="A670" s="121" t="s">
        <v>2560</v>
      </c>
      <c r="B670" s="121"/>
      <c r="C670" s="164" t="s">
        <v>2561</v>
      </c>
      <c r="D670" s="123"/>
      <c r="E670" s="123"/>
      <c r="F670" s="124" t="s">
        <v>87</v>
      </c>
      <c r="G670" s="126">
        <v>1.05</v>
      </c>
      <c r="H670" s="126"/>
      <c r="I670" s="126">
        <v>39.585000000000001</v>
      </c>
      <c r="J670" s="127">
        <v>4.5999999999999996</v>
      </c>
      <c r="K670" s="128"/>
      <c r="L670" s="128"/>
      <c r="M670" s="22">
        <f t="shared" si="10"/>
        <v>182.09</v>
      </c>
      <c r="P670" s="21">
        <v>4.5999999999999996</v>
      </c>
      <c r="S670" s="22">
        <f t="shared" si="11"/>
        <v>182.09</v>
      </c>
    </row>
    <row r="671" spans="1:21" ht="18" x14ac:dyDescent="0.3">
      <c r="A671" s="121" t="s">
        <v>2565</v>
      </c>
      <c r="B671" s="121"/>
      <c r="C671" s="164" t="s">
        <v>2566</v>
      </c>
      <c r="D671" s="123"/>
      <c r="E671" s="123"/>
      <c r="F671" s="124" t="s">
        <v>87</v>
      </c>
      <c r="G671" s="126">
        <v>1.25</v>
      </c>
      <c r="H671" s="126"/>
      <c r="I671" s="126">
        <v>47.125</v>
      </c>
      <c r="J671" s="127">
        <v>2.8</v>
      </c>
      <c r="K671" s="128"/>
      <c r="L671" s="128"/>
      <c r="M671" s="22">
        <f t="shared" si="10"/>
        <v>131.94999999999999</v>
      </c>
      <c r="P671" s="21">
        <v>2.8</v>
      </c>
      <c r="S671" s="22">
        <f t="shared" si="11"/>
        <v>131.94999999999999</v>
      </c>
    </row>
    <row r="672" spans="1:21" ht="18" x14ac:dyDescent="0.3">
      <c r="A672" s="121" t="s">
        <v>2570</v>
      </c>
      <c r="B672" s="121"/>
      <c r="C672" s="164" t="s">
        <v>2571</v>
      </c>
      <c r="D672" s="123"/>
      <c r="E672" s="123"/>
      <c r="F672" s="124" t="s">
        <v>87</v>
      </c>
      <c r="G672" s="126">
        <v>0.3</v>
      </c>
      <c r="H672" s="126"/>
      <c r="I672" s="126">
        <v>11.31</v>
      </c>
      <c r="J672" s="127">
        <v>44.13</v>
      </c>
      <c r="K672" s="128"/>
      <c r="L672" s="128"/>
      <c r="M672" s="22">
        <f t="shared" si="10"/>
        <v>499.11</v>
      </c>
      <c r="P672" s="21">
        <v>44.13</v>
      </c>
      <c r="S672" s="22">
        <f t="shared" si="11"/>
        <v>499.11</v>
      </c>
    </row>
    <row r="673" spans="1:21" ht="18" x14ac:dyDescent="0.3">
      <c r="A673" s="121" t="s">
        <v>2575</v>
      </c>
      <c r="B673" s="121"/>
      <c r="C673" s="164" t="s">
        <v>2576</v>
      </c>
      <c r="D673" s="123"/>
      <c r="E673" s="123"/>
      <c r="F673" s="124" t="s">
        <v>87</v>
      </c>
      <c r="G673" s="126">
        <v>4.7</v>
      </c>
      <c r="H673" s="126"/>
      <c r="I673" s="126">
        <v>177.19</v>
      </c>
      <c r="J673" s="127">
        <v>66.98</v>
      </c>
      <c r="K673" s="128"/>
      <c r="L673" s="128"/>
      <c r="M673" s="22">
        <f t="shared" si="10"/>
        <v>11868.19</v>
      </c>
      <c r="P673" s="21">
        <v>66.98</v>
      </c>
      <c r="S673" s="22">
        <f t="shared" si="11"/>
        <v>11868.19</v>
      </c>
    </row>
    <row r="674" spans="1:21" ht="18" x14ac:dyDescent="0.3">
      <c r="A674" s="121" t="s">
        <v>2580</v>
      </c>
      <c r="B674" s="121"/>
      <c r="C674" s="165" t="s">
        <v>2581</v>
      </c>
      <c r="D674" s="123"/>
      <c r="E674" s="123"/>
      <c r="F674" s="124" t="s">
        <v>116</v>
      </c>
      <c r="G674" s="126">
        <v>4.2</v>
      </c>
      <c r="H674" s="126"/>
      <c r="I674" s="126">
        <v>158.34</v>
      </c>
      <c r="J674" s="127">
        <v>4.92</v>
      </c>
      <c r="K674" s="128"/>
      <c r="L674" s="128"/>
      <c r="M674" s="22">
        <f t="shared" si="10"/>
        <v>779.03</v>
      </c>
      <c r="P674" s="21">
        <v>4.92</v>
      </c>
      <c r="S674" s="22">
        <f t="shared" si="11"/>
        <v>779.03</v>
      </c>
    </row>
    <row r="675" spans="1:21" ht="18" x14ac:dyDescent="0.3">
      <c r="A675" s="121" t="s">
        <v>2585</v>
      </c>
      <c r="B675" s="121"/>
      <c r="C675" s="164" t="s">
        <v>433</v>
      </c>
      <c r="D675" s="123"/>
      <c r="E675" s="123"/>
      <c r="F675" s="124" t="s">
        <v>70</v>
      </c>
      <c r="G675" s="126">
        <v>0.1</v>
      </c>
      <c r="H675" s="126"/>
      <c r="I675" s="126">
        <v>3.77</v>
      </c>
      <c r="J675" s="127">
        <v>88.8</v>
      </c>
      <c r="K675" s="128"/>
      <c r="L675" s="128"/>
      <c r="M675" s="22">
        <f t="shared" si="10"/>
        <v>334.78</v>
      </c>
      <c r="P675" s="21">
        <v>88.8</v>
      </c>
      <c r="S675" s="22">
        <f t="shared" si="11"/>
        <v>334.78</v>
      </c>
    </row>
    <row r="676" spans="1:21" ht="36" x14ac:dyDescent="0.3">
      <c r="A676" s="121" t="s">
        <v>2588</v>
      </c>
      <c r="B676" s="121"/>
      <c r="C676" s="164" t="s">
        <v>1767</v>
      </c>
      <c r="D676" s="123"/>
      <c r="E676" s="123"/>
      <c r="F676" s="124" t="s">
        <v>64</v>
      </c>
      <c r="G676" s="126">
        <v>1.05</v>
      </c>
      <c r="H676" s="126"/>
      <c r="I676" s="126">
        <v>39.585000000000001</v>
      </c>
      <c r="J676" s="127">
        <v>135.53</v>
      </c>
      <c r="K676" s="128"/>
      <c r="L676" s="128"/>
      <c r="M676" s="22">
        <f t="shared" si="10"/>
        <v>5364.96</v>
      </c>
      <c r="P676" s="21">
        <v>135.53</v>
      </c>
      <c r="S676" s="22">
        <f t="shared" si="11"/>
        <v>5364.96</v>
      </c>
    </row>
    <row r="677" spans="1:21" ht="18" x14ac:dyDescent="0.3">
      <c r="A677" s="107" t="s">
        <v>2591</v>
      </c>
      <c r="B677" s="107"/>
      <c r="C677" s="155" t="s">
        <v>2592</v>
      </c>
      <c r="D677" s="109"/>
      <c r="E677" s="109"/>
      <c r="F677" s="110" t="s">
        <v>116</v>
      </c>
      <c r="G677" s="111">
        <v>0.75</v>
      </c>
      <c r="H677" s="111"/>
      <c r="I677" s="111">
        <v>28.274999999999999</v>
      </c>
      <c r="J677" s="112">
        <v>2.8</v>
      </c>
      <c r="K677" s="118"/>
      <c r="L677" s="118"/>
      <c r="M677" s="22">
        <f t="shared" si="10"/>
        <v>79.17</v>
      </c>
      <c r="P677" s="21">
        <v>2.8</v>
      </c>
      <c r="S677" s="22">
        <f t="shared" si="11"/>
        <v>79.17</v>
      </c>
    </row>
    <row r="678" spans="1:21" ht="34.799999999999997" x14ac:dyDescent="0.3">
      <c r="A678" s="156" t="s">
        <v>2596</v>
      </c>
      <c r="B678" s="156" t="s">
        <v>2534</v>
      </c>
      <c r="C678" s="75" t="s">
        <v>2535</v>
      </c>
      <c r="D678" s="76"/>
      <c r="E678" s="76" t="s">
        <v>2597</v>
      </c>
      <c r="F678" s="76" t="s">
        <v>64</v>
      </c>
      <c r="G678" s="77">
        <v>1</v>
      </c>
      <c r="H678" s="77"/>
      <c r="I678" s="77">
        <v>31.97</v>
      </c>
      <c r="J678" s="14">
        <f>IFERROR(ROUND(SUM(M679,M680,M681,M682,M683,M684,M685,M686,M687,M688,M689,M690)/I678, 2),0)</f>
        <v>467.16</v>
      </c>
      <c r="K678" s="15">
        <v>1199</v>
      </c>
      <c r="L678" s="14">
        <f>J678+ROUND(K678, 2)</f>
        <v>1666.16</v>
      </c>
      <c r="M678" s="14">
        <f>ROUND(J678*I678, 2)</f>
        <v>14935.11</v>
      </c>
      <c r="N678" s="14">
        <f>ROUND(I678*ROUND(K678, 2), 2)</f>
        <v>38332.03</v>
      </c>
      <c r="O678" s="14">
        <f>M678+N678</f>
        <v>53267.14</v>
      </c>
      <c r="P678" s="14">
        <f>IFERROR(ROUND(SUM(S679,S680,S681,S682,S683,S684,S685,S686,S687,S688,S689,S690)/I678, 2),0)</f>
        <v>2063.5300000000002</v>
      </c>
      <c r="Q678" s="15">
        <v>1199</v>
      </c>
      <c r="R678" s="14">
        <f>P678+ROUND(Q678, 2)</f>
        <v>3262.53</v>
      </c>
      <c r="S678" s="14">
        <f>ROUND(P678*I678, 2)</f>
        <v>65971.05</v>
      </c>
      <c r="T678" s="14">
        <f>ROUND(I678*ROUND(Q678, 2), 2)</f>
        <v>38332.03</v>
      </c>
      <c r="U678" s="14">
        <f>S678+T678</f>
        <v>104303.08</v>
      </c>
    </row>
    <row r="679" spans="1:21" ht="18" x14ac:dyDescent="0.3">
      <c r="A679" s="121" t="s">
        <v>2598</v>
      </c>
      <c r="B679" s="121"/>
      <c r="C679" s="122" t="s">
        <v>2592</v>
      </c>
      <c r="D679" s="123"/>
      <c r="E679" s="123"/>
      <c r="F679" s="124" t="s">
        <v>116</v>
      </c>
      <c r="G679" s="126">
        <v>0.75</v>
      </c>
      <c r="H679" s="126"/>
      <c r="I679" s="126">
        <v>23.978000000000002</v>
      </c>
      <c r="J679" s="127">
        <v>2.8</v>
      </c>
      <c r="K679" s="128"/>
      <c r="L679" s="128"/>
      <c r="M679" s="22">
        <f t="shared" ref="M679:M690" si="12">ROUND(ROUND(J679, 2)*I679, 2)</f>
        <v>67.14</v>
      </c>
      <c r="P679" s="21">
        <v>2.8</v>
      </c>
      <c r="S679" s="22">
        <f t="shared" ref="S679:S690" si="13">ROUND(ROUND(P679, 2)*I679, 2)</f>
        <v>67.14</v>
      </c>
    </row>
    <row r="680" spans="1:21" ht="18" x14ac:dyDescent="0.3">
      <c r="A680" s="121" t="s">
        <v>2601</v>
      </c>
      <c r="B680" s="121"/>
      <c r="C680" s="164" t="s">
        <v>433</v>
      </c>
      <c r="D680" s="123"/>
      <c r="E680" s="123"/>
      <c r="F680" s="124" t="s">
        <v>70</v>
      </c>
      <c r="G680" s="126">
        <v>0.1</v>
      </c>
      <c r="H680" s="126"/>
      <c r="I680" s="126">
        <v>3.1970000000000001</v>
      </c>
      <c r="J680" s="127">
        <v>88.8</v>
      </c>
      <c r="K680" s="128"/>
      <c r="L680" s="128"/>
      <c r="M680" s="22">
        <f t="shared" si="12"/>
        <v>283.89</v>
      </c>
      <c r="P680" s="21">
        <v>88.8</v>
      </c>
      <c r="S680" s="22">
        <f t="shared" si="13"/>
        <v>283.89</v>
      </c>
    </row>
    <row r="681" spans="1:21" ht="18" x14ac:dyDescent="0.3">
      <c r="A681" s="121" t="s">
        <v>2604</v>
      </c>
      <c r="B681" s="121"/>
      <c r="C681" s="165" t="s">
        <v>2581</v>
      </c>
      <c r="D681" s="123"/>
      <c r="E681" s="123"/>
      <c r="F681" s="124" t="s">
        <v>116</v>
      </c>
      <c r="G681" s="126">
        <v>4.2</v>
      </c>
      <c r="H681" s="126"/>
      <c r="I681" s="126">
        <v>134.274</v>
      </c>
      <c r="J681" s="127">
        <v>4.92</v>
      </c>
      <c r="K681" s="128"/>
      <c r="L681" s="128"/>
      <c r="M681" s="22">
        <f t="shared" si="12"/>
        <v>660.63</v>
      </c>
      <c r="P681" s="21">
        <v>4.92</v>
      </c>
      <c r="S681" s="22">
        <f t="shared" si="13"/>
        <v>660.63</v>
      </c>
    </row>
    <row r="682" spans="1:21" ht="18" x14ac:dyDescent="0.3">
      <c r="A682" s="121" t="s">
        <v>2607</v>
      </c>
      <c r="B682" s="121"/>
      <c r="C682" s="164" t="s">
        <v>2571</v>
      </c>
      <c r="D682" s="123"/>
      <c r="E682" s="123"/>
      <c r="F682" s="124" t="s">
        <v>87</v>
      </c>
      <c r="G682" s="126">
        <v>0.3</v>
      </c>
      <c r="H682" s="126"/>
      <c r="I682" s="126">
        <v>9.5909999999999993</v>
      </c>
      <c r="J682" s="127">
        <v>44.13</v>
      </c>
      <c r="K682" s="128"/>
      <c r="L682" s="128"/>
      <c r="M682" s="22">
        <f t="shared" si="12"/>
        <v>423.25</v>
      </c>
      <c r="P682" s="21">
        <v>44.13</v>
      </c>
      <c r="S682" s="22">
        <f t="shared" si="13"/>
        <v>423.25</v>
      </c>
    </row>
    <row r="683" spans="1:21" ht="18" x14ac:dyDescent="0.3">
      <c r="A683" s="121" t="s">
        <v>2610</v>
      </c>
      <c r="B683" s="121"/>
      <c r="C683" s="164" t="s">
        <v>2576</v>
      </c>
      <c r="D683" s="123"/>
      <c r="E683" s="123"/>
      <c r="F683" s="124" t="s">
        <v>87</v>
      </c>
      <c r="G683" s="126">
        <v>4.7</v>
      </c>
      <c r="H683" s="126"/>
      <c r="I683" s="126">
        <v>150.25899999999999</v>
      </c>
      <c r="J683" s="127">
        <v>66.98</v>
      </c>
      <c r="K683" s="128"/>
      <c r="L683" s="128"/>
      <c r="M683" s="22">
        <f t="shared" si="12"/>
        <v>10064.35</v>
      </c>
      <c r="P683" s="21">
        <v>66.98</v>
      </c>
      <c r="S683" s="22">
        <f t="shared" si="13"/>
        <v>10064.35</v>
      </c>
    </row>
    <row r="684" spans="1:21" ht="18" x14ac:dyDescent="0.3">
      <c r="A684" s="121" t="s">
        <v>2613</v>
      </c>
      <c r="B684" s="121"/>
      <c r="C684" s="164" t="s">
        <v>2566</v>
      </c>
      <c r="D684" s="123"/>
      <c r="E684" s="123"/>
      <c r="F684" s="124" t="s">
        <v>87</v>
      </c>
      <c r="G684" s="126">
        <v>1.25</v>
      </c>
      <c r="H684" s="126"/>
      <c r="I684" s="126">
        <v>39.963000000000001</v>
      </c>
      <c r="J684" s="127">
        <v>2.8</v>
      </c>
      <c r="K684" s="128"/>
      <c r="L684" s="128"/>
      <c r="M684" s="22">
        <f t="shared" si="12"/>
        <v>111.9</v>
      </c>
      <c r="P684" s="21">
        <v>2.8</v>
      </c>
      <c r="S684" s="22">
        <f t="shared" si="13"/>
        <v>111.9</v>
      </c>
    </row>
    <row r="685" spans="1:21" ht="18" x14ac:dyDescent="0.3">
      <c r="A685" s="121" t="s">
        <v>2616</v>
      </c>
      <c r="B685" s="121"/>
      <c r="C685" s="164" t="s">
        <v>2561</v>
      </c>
      <c r="D685" s="123"/>
      <c r="E685" s="123"/>
      <c r="F685" s="124" t="s">
        <v>87</v>
      </c>
      <c r="G685" s="126">
        <v>1.05</v>
      </c>
      <c r="H685" s="126"/>
      <c r="I685" s="126">
        <v>33.569000000000003</v>
      </c>
      <c r="J685" s="127">
        <v>4.5999999999999996</v>
      </c>
      <c r="K685" s="128"/>
      <c r="L685" s="128"/>
      <c r="M685" s="22">
        <f t="shared" si="12"/>
        <v>154.41999999999999</v>
      </c>
      <c r="P685" s="21">
        <v>4.5999999999999996</v>
      </c>
      <c r="S685" s="22">
        <f t="shared" si="13"/>
        <v>154.41999999999999</v>
      </c>
    </row>
    <row r="686" spans="1:21" ht="18" x14ac:dyDescent="0.3">
      <c r="A686" s="121" t="s">
        <v>2619</v>
      </c>
      <c r="B686" s="121"/>
      <c r="C686" s="164" t="s">
        <v>1797</v>
      </c>
      <c r="D686" s="123"/>
      <c r="E686" s="123"/>
      <c r="F686" s="124" t="s">
        <v>64</v>
      </c>
      <c r="G686" s="126">
        <v>1.05</v>
      </c>
      <c r="H686" s="126"/>
      <c r="I686" s="126">
        <v>33.569000000000003</v>
      </c>
      <c r="J686" s="127">
        <v>0</v>
      </c>
      <c r="K686" s="128"/>
      <c r="L686" s="128"/>
      <c r="M686" s="22">
        <f t="shared" si="12"/>
        <v>0</v>
      </c>
      <c r="P686" s="21">
        <v>1520.33</v>
      </c>
      <c r="S686" s="22">
        <f t="shared" si="13"/>
        <v>51035.96</v>
      </c>
    </row>
    <row r="687" spans="1:21" ht="18" x14ac:dyDescent="0.3">
      <c r="A687" s="121" t="s">
        <v>2622</v>
      </c>
      <c r="B687" s="121"/>
      <c r="C687" s="164" t="s">
        <v>1753</v>
      </c>
      <c r="D687" s="123"/>
      <c r="E687" s="123"/>
      <c r="F687" s="124" t="s">
        <v>70</v>
      </c>
      <c r="G687" s="126">
        <v>0.35</v>
      </c>
      <c r="H687" s="126"/>
      <c r="I687" s="126">
        <v>11.19</v>
      </c>
      <c r="J687" s="127">
        <v>55</v>
      </c>
      <c r="K687" s="128"/>
      <c r="L687" s="128"/>
      <c r="M687" s="22">
        <f t="shared" si="12"/>
        <v>615.45000000000005</v>
      </c>
      <c r="P687" s="21">
        <v>55</v>
      </c>
      <c r="S687" s="22">
        <f t="shared" si="13"/>
        <v>615.45000000000005</v>
      </c>
    </row>
    <row r="688" spans="1:21" ht="36" x14ac:dyDescent="0.3">
      <c r="A688" s="121" t="s">
        <v>2625</v>
      </c>
      <c r="B688" s="121"/>
      <c r="C688" s="165" t="s">
        <v>2553</v>
      </c>
      <c r="D688" s="123"/>
      <c r="E688" s="123"/>
      <c r="F688" s="124" t="s">
        <v>116</v>
      </c>
      <c r="G688" s="126">
        <v>3.6</v>
      </c>
      <c r="H688" s="126"/>
      <c r="I688" s="126">
        <v>115.092</v>
      </c>
      <c r="J688" s="127">
        <v>15.9</v>
      </c>
      <c r="K688" s="128"/>
      <c r="L688" s="128"/>
      <c r="M688" s="22">
        <f t="shared" si="12"/>
        <v>1829.96</v>
      </c>
      <c r="P688" s="21">
        <v>15.9</v>
      </c>
      <c r="S688" s="22">
        <f t="shared" si="13"/>
        <v>1829.96</v>
      </c>
    </row>
    <row r="689" spans="1:21" ht="18" x14ac:dyDescent="0.3">
      <c r="A689" s="121" t="s">
        <v>2628</v>
      </c>
      <c r="B689" s="121"/>
      <c r="C689" s="164" t="s">
        <v>1920</v>
      </c>
      <c r="D689" s="123"/>
      <c r="E689" s="123"/>
      <c r="F689" s="124" t="s">
        <v>116</v>
      </c>
      <c r="G689" s="126">
        <v>30</v>
      </c>
      <c r="H689" s="126"/>
      <c r="I689" s="126">
        <v>959.1</v>
      </c>
      <c r="J689" s="127">
        <v>0.28000000000000003</v>
      </c>
      <c r="K689" s="128"/>
      <c r="L689" s="128"/>
      <c r="M689" s="22">
        <f t="shared" si="12"/>
        <v>268.55</v>
      </c>
      <c r="P689" s="21">
        <v>0.28000000000000003</v>
      </c>
      <c r="S689" s="22">
        <f t="shared" si="13"/>
        <v>268.55</v>
      </c>
    </row>
    <row r="690" spans="1:21" ht="18" x14ac:dyDescent="0.3">
      <c r="A690" s="121" t="s">
        <v>2631</v>
      </c>
      <c r="B690" s="121"/>
      <c r="C690" s="164" t="s">
        <v>2545</v>
      </c>
      <c r="D690" s="123"/>
      <c r="E690" s="123"/>
      <c r="F690" s="124" t="s">
        <v>116</v>
      </c>
      <c r="G690" s="126">
        <v>15</v>
      </c>
      <c r="H690" s="126"/>
      <c r="I690" s="126">
        <v>479.55</v>
      </c>
      <c r="J690" s="127">
        <v>0.95</v>
      </c>
      <c r="K690" s="128"/>
      <c r="L690" s="128"/>
      <c r="M690" s="22">
        <f t="shared" si="12"/>
        <v>455.57</v>
      </c>
      <c r="P690" s="21">
        <v>0.95</v>
      </c>
      <c r="S690" s="22">
        <f t="shared" si="13"/>
        <v>455.57</v>
      </c>
    </row>
    <row r="691" spans="1:21" ht="34.799999999999997" x14ac:dyDescent="0.3">
      <c r="A691" s="158" t="s">
        <v>2634</v>
      </c>
      <c r="B691" s="158" t="s">
        <v>2534</v>
      </c>
      <c r="C691" s="159" t="s">
        <v>2535</v>
      </c>
      <c r="D691" s="160"/>
      <c r="E691" s="160" t="s">
        <v>2635</v>
      </c>
      <c r="F691" s="160" t="s">
        <v>64</v>
      </c>
      <c r="G691" s="161">
        <v>1</v>
      </c>
      <c r="H691" s="161"/>
      <c r="I691" s="161">
        <v>246.36</v>
      </c>
      <c r="J691" s="14">
        <f>IFERROR(ROUND(SUM(M692,M693,M694,M695,M696,M697,M698,M699,M700,M701,M702)/I691, 2),0)</f>
        <v>583.02</v>
      </c>
      <c r="K691" s="15">
        <v>1199</v>
      </c>
      <c r="L691" s="14">
        <f>J691+ROUND(K691, 2)</f>
        <v>1782.02</v>
      </c>
      <c r="M691" s="14">
        <f>ROUND(J691*I691, 2)</f>
        <v>143632.81</v>
      </c>
      <c r="N691" s="14">
        <f>ROUND(I691*ROUND(K691, 2), 2)</f>
        <v>295385.64</v>
      </c>
      <c r="O691" s="14">
        <f>M691+N691</f>
        <v>439018.45</v>
      </c>
      <c r="P691" s="14">
        <f>IFERROR(ROUND(SUM(S692,S693,S694,S695,S696,S697,S698,S699,S700,S701,S702)/I691, 2),0)</f>
        <v>583.02</v>
      </c>
      <c r="Q691" s="15">
        <v>1199</v>
      </c>
      <c r="R691" s="14">
        <f>P691+ROUND(Q691, 2)</f>
        <v>1782.02</v>
      </c>
      <c r="S691" s="14">
        <f>ROUND(P691*I691, 2)</f>
        <v>143632.81</v>
      </c>
      <c r="T691" s="14">
        <f>ROUND(I691*ROUND(Q691, 2), 2)</f>
        <v>295385.64</v>
      </c>
      <c r="U691" s="14">
        <f>S691+T691</f>
        <v>439018.45</v>
      </c>
    </row>
    <row r="692" spans="1:21" ht="18" x14ac:dyDescent="0.3">
      <c r="A692" s="121" t="s">
        <v>2636</v>
      </c>
      <c r="B692" s="121"/>
      <c r="C692" s="164" t="s">
        <v>2540</v>
      </c>
      <c r="D692" s="123"/>
      <c r="E692" s="123"/>
      <c r="F692" s="124" t="s">
        <v>116</v>
      </c>
      <c r="G692" s="126">
        <v>0.3</v>
      </c>
      <c r="H692" s="126"/>
      <c r="I692" s="126">
        <v>73.908000000000001</v>
      </c>
      <c r="J692" s="127">
        <v>5.6</v>
      </c>
      <c r="K692" s="128"/>
      <c r="L692" s="128"/>
      <c r="M692" s="22">
        <f t="shared" ref="M692:M702" si="14">ROUND(ROUND(J692, 2)*I692, 2)</f>
        <v>413.88</v>
      </c>
      <c r="P692" s="21">
        <v>5.6</v>
      </c>
      <c r="S692" s="22">
        <f t="shared" ref="S692:S702" si="15">ROUND(ROUND(P692, 2)*I692, 2)</f>
        <v>413.88</v>
      </c>
    </row>
    <row r="693" spans="1:21" ht="18" x14ac:dyDescent="0.3">
      <c r="A693" s="121" t="s">
        <v>2639</v>
      </c>
      <c r="B693" s="121"/>
      <c r="C693" s="164" t="s">
        <v>2545</v>
      </c>
      <c r="D693" s="123"/>
      <c r="E693" s="123"/>
      <c r="F693" s="124" t="s">
        <v>116</v>
      </c>
      <c r="G693" s="126">
        <v>15</v>
      </c>
      <c r="H693" s="126"/>
      <c r="I693" s="126">
        <v>3695.4</v>
      </c>
      <c r="J693" s="127">
        <v>0.95</v>
      </c>
      <c r="K693" s="128"/>
      <c r="L693" s="128"/>
      <c r="M693" s="22">
        <f t="shared" si="14"/>
        <v>3510.63</v>
      </c>
      <c r="P693" s="21">
        <v>0.95</v>
      </c>
      <c r="S693" s="22">
        <f t="shared" si="15"/>
        <v>3510.63</v>
      </c>
    </row>
    <row r="694" spans="1:21" ht="18" x14ac:dyDescent="0.3">
      <c r="A694" s="121" t="s">
        <v>2642</v>
      </c>
      <c r="B694" s="121"/>
      <c r="C694" s="164" t="s">
        <v>1920</v>
      </c>
      <c r="D694" s="123"/>
      <c r="E694" s="123"/>
      <c r="F694" s="124" t="s">
        <v>116</v>
      </c>
      <c r="G694" s="126">
        <v>30</v>
      </c>
      <c r="H694" s="126"/>
      <c r="I694" s="126">
        <v>7390.8</v>
      </c>
      <c r="J694" s="127">
        <v>0.28000000000000003</v>
      </c>
      <c r="K694" s="128"/>
      <c r="L694" s="128"/>
      <c r="M694" s="22">
        <f t="shared" si="14"/>
        <v>2069.42</v>
      </c>
      <c r="P694" s="21">
        <v>0.28000000000000003</v>
      </c>
      <c r="S694" s="22">
        <f t="shared" si="15"/>
        <v>2069.42</v>
      </c>
    </row>
    <row r="695" spans="1:21" ht="36" x14ac:dyDescent="0.3">
      <c r="A695" s="121" t="s">
        <v>2645</v>
      </c>
      <c r="B695" s="121"/>
      <c r="C695" s="165" t="s">
        <v>2553</v>
      </c>
      <c r="D695" s="123"/>
      <c r="E695" s="123"/>
      <c r="F695" s="124" t="s">
        <v>116</v>
      </c>
      <c r="G695" s="126">
        <v>3.6</v>
      </c>
      <c r="H695" s="126"/>
      <c r="I695" s="126">
        <v>886.89599999999996</v>
      </c>
      <c r="J695" s="127">
        <v>15.9</v>
      </c>
      <c r="K695" s="128"/>
      <c r="L695" s="128"/>
      <c r="M695" s="22">
        <f t="shared" si="14"/>
        <v>14101.65</v>
      </c>
      <c r="P695" s="21">
        <v>15.9</v>
      </c>
      <c r="S695" s="22">
        <f t="shared" si="15"/>
        <v>14101.65</v>
      </c>
    </row>
    <row r="696" spans="1:21" ht="18" x14ac:dyDescent="0.3">
      <c r="A696" s="121" t="s">
        <v>2648</v>
      </c>
      <c r="B696" s="121"/>
      <c r="C696" s="164" t="s">
        <v>2561</v>
      </c>
      <c r="D696" s="123"/>
      <c r="E696" s="123"/>
      <c r="F696" s="124" t="s">
        <v>87</v>
      </c>
      <c r="G696" s="126">
        <v>1.05</v>
      </c>
      <c r="H696" s="126"/>
      <c r="I696" s="126">
        <v>258.678</v>
      </c>
      <c r="J696" s="127">
        <v>4.5999999999999996</v>
      </c>
      <c r="K696" s="128"/>
      <c r="L696" s="128"/>
      <c r="M696" s="22">
        <f t="shared" si="14"/>
        <v>1189.92</v>
      </c>
      <c r="P696" s="21">
        <v>4.5999999999999996</v>
      </c>
      <c r="S696" s="22">
        <f t="shared" si="15"/>
        <v>1189.92</v>
      </c>
    </row>
    <row r="697" spans="1:21" ht="18" x14ac:dyDescent="0.3">
      <c r="A697" s="121" t="s">
        <v>2651</v>
      </c>
      <c r="B697" s="121"/>
      <c r="C697" s="164" t="s">
        <v>2566</v>
      </c>
      <c r="D697" s="123"/>
      <c r="E697" s="123"/>
      <c r="F697" s="124" t="s">
        <v>87</v>
      </c>
      <c r="G697" s="126">
        <v>1.25</v>
      </c>
      <c r="H697" s="126"/>
      <c r="I697" s="126">
        <v>307.95</v>
      </c>
      <c r="J697" s="127">
        <v>2.8</v>
      </c>
      <c r="K697" s="128"/>
      <c r="L697" s="128"/>
      <c r="M697" s="22">
        <f t="shared" si="14"/>
        <v>862.26</v>
      </c>
      <c r="P697" s="21">
        <v>2.8</v>
      </c>
      <c r="S697" s="22">
        <f t="shared" si="15"/>
        <v>862.26</v>
      </c>
    </row>
    <row r="698" spans="1:21" ht="18" x14ac:dyDescent="0.3">
      <c r="A698" s="121" t="s">
        <v>2654</v>
      </c>
      <c r="B698" s="121"/>
      <c r="C698" s="164" t="s">
        <v>2571</v>
      </c>
      <c r="D698" s="123"/>
      <c r="E698" s="123"/>
      <c r="F698" s="124" t="s">
        <v>87</v>
      </c>
      <c r="G698" s="126">
        <v>0.3</v>
      </c>
      <c r="H698" s="126"/>
      <c r="I698" s="126">
        <v>73.908000000000001</v>
      </c>
      <c r="J698" s="127">
        <v>44.13</v>
      </c>
      <c r="K698" s="128"/>
      <c r="L698" s="128"/>
      <c r="M698" s="22">
        <f t="shared" si="14"/>
        <v>3261.56</v>
      </c>
      <c r="P698" s="21">
        <v>44.13</v>
      </c>
      <c r="S698" s="22">
        <f t="shared" si="15"/>
        <v>3261.56</v>
      </c>
    </row>
    <row r="699" spans="1:21" ht="18" x14ac:dyDescent="0.3">
      <c r="A699" s="121" t="s">
        <v>2657</v>
      </c>
      <c r="B699" s="121"/>
      <c r="C699" s="164" t="s">
        <v>2576</v>
      </c>
      <c r="D699" s="123"/>
      <c r="E699" s="123"/>
      <c r="F699" s="124" t="s">
        <v>87</v>
      </c>
      <c r="G699" s="126">
        <v>4.7</v>
      </c>
      <c r="H699" s="126"/>
      <c r="I699" s="126">
        <v>1157.8920000000001</v>
      </c>
      <c r="J699" s="127">
        <v>66.98</v>
      </c>
      <c r="K699" s="128"/>
      <c r="L699" s="128"/>
      <c r="M699" s="22">
        <f t="shared" si="14"/>
        <v>77555.61</v>
      </c>
      <c r="P699" s="21">
        <v>66.98</v>
      </c>
      <c r="S699" s="22">
        <f t="shared" si="15"/>
        <v>77555.61</v>
      </c>
    </row>
    <row r="700" spans="1:21" ht="18" x14ac:dyDescent="0.3">
      <c r="A700" s="121" t="s">
        <v>2660</v>
      </c>
      <c r="B700" s="121"/>
      <c r="C700" s="165" t="s">
        <v>2581</v>
      </c>
      <c r="D700" s="123"/>
      <c r="E700" s="123"/>
      <c r="F700" s="124" t="s">
        <v>116</v>
      </c>
      <c r="G700" s="126">
        <v>4.2</v>
      </c>
      <c r="H700" s="126"/>
      <c r="I700" s="126">
        <v>1034.712</v>
      </c>
      <c r="J700" s="127">
        <v>4.92</v>
      </c>
      <c r="K700" s="128"/>
      <c r="L700" s="128"/>
      <c r="M700" s="22">
        <f t="shared" si="14"/>
        <v>5090.78</v>
      </c>
      <c r="P700" s="21">
        <v>4.92</v>
      </c>
      <c r="S700" s="22">
        <f t="shared" si="15"/>
        <v>5090.78</v>
      </c>
    </row>
    <row r="701" spans="1:21" ht="36" x14ac:dyDescent="0.3">
      <c r="A701" s="121" t="s">
        <v>2663</v>
      </c>
      <c r="B701" s="121"/>
      <c r="C701" s="164" t="s">
        <v>1767</v>
      </c>
      <c r="D701" s="123"/>
      <c r="E701" s="123"/>
      <c r="F701" s="124" t="s">
        <v>64</v>
      </c>
      <c r="G701" s="126">
        <v>1.05</v>
      </c>
      <c r="H701" s="126"/>
      <c r="I701" s="126">
        <v>258.678</v>
      </c>
      <c r="J701" s="127">
        <v>135.53</v>
      </c>
      <c r="K701" s="128"/>
      <c r="L701" s="128"/>
      <c r="M701" s="22">
        <f t="shared" si="14"/>
        <v>35058.629999999997</v>
      </c>
      <c r="P701" s="21">
        <v>135.53</v>
      </c>
      <c r="S701" s="22">
        <f t="shared" si="15"/>
        <v>35058.629999999997</v>
      </c>
    </row>
    <row r="702" spans="1:21" ht="18" x14ac:dyDescent="0.3">
      <c r="A702" s="121" t="s">
        <v>2666</v>
      </c>
      <c r="B702" s="121"/>
      <c r="C702" s="164" t="s">
        <v>2592</v>
      </c>
      <c r="D702" s="123"/>
      <c r="E702" s="123"/>
      <c r="F702" s="124" t="s">
        <v>116</v>
      </c>
      <c r="G702" s="126">
        <v>0.75</v>
      </c>
      <c r="H702" s="126"/>
      <c r="I702" s="126">
        <v>184.77</v>
      </c>
      <c r="J702" s="127">
        <v>2.8</v>
      </c>
      <c r="K702" s="128"/>
      <c r="L702" s="128"/>
      <c r="M702" s="22">
        <f t="shared" si="14"/>
        <v>517.36</v>
      </c>
      <c r="P702" s="21">
        <v>2.8</v>
      </c>
      <c r="S702" s="22">
        <f t="shared" si="15"/>
        <v>517.36</v>
      </c>
    </row>
    <row r="703" spans="1:21" ht="34.799999999999997" x14ac:dyDescent="0.3">
      <c r="A703" s="156" t="s">
        <v>2669</v>
      </c>
      <c r="B703" s="156" t="s">
        <v>2534</v>
      </c>
      <c r="C703" s="75" t="s">
        <v>2535</v>
      </c>
      <c r="D703" s="76"/>
      <c r="E703" s="76" t="s">
        <v>2670</v>
      </c>
      <c r="F703" s="76" t="s">
        <v>64</v>
      </c>
      <c r="G703" s="77">
        <v>1</v>
      </c>
      <c r="H703" s="77"/>
      <c r="I703" s="77">
        <v>110.66</v>
      </c>
      <c r="J703" s="14">
        <f>IFERROR(ROUND(SUM(M704,M705,M706,M707,M708,M709,M710,M711,M712,M713,M714)/I703, 2),0)</f>
        <v>440.71</v>
      </c>
      <c r="K703" s="15">
        <v>1199</v>
      </c>
      <c r="L703" s="14">
        <f>J703+ROUND(K703, 2)</f>
        <v>1639.71</v>
      </c>
      <c r="M703" s="14">
        <f>ROUND(J703*I703, 2)</f>
        <v>48768.97</v>
      </c>
      <c r="N703" s="14">
        <f>ROUND(I703*ROUND(K703, 2), 2)</f>
        <v>132681.34</v>
      </c>
      <c r="O703" s="14">
        <f>M703+N703</f>
        <v>181450.31</v>
      </c>
      <c r="P703" s="14">
        <f>IFERROR(ROUND(SUM(S704,S705,S706,S707,S708,S709,S710,S711,S712,S713,S714)/I703, 2),0)</f>
        <v>2037.06</v>
      </c>
      <c r="Q703" s="15">
        <v>1199</v>
      </c>
      <c r="R703" s="14">
        <f>P703+ROUND(Q703, 2)</f>
        <v>3236.06</v>
      </c>
      <c r="S703" s="14">
        <f>ROUND(P703*I703, 2)</f>
        <v>225421.06</v>
      </c>
      <c r="T703" s="14">
        <f>ROUND(I703*ROUND(Q703, 2), 2)</f>
        <v>132681.34</v>
      </c>
      <c r="U703" s="14">
        <f>S703+T703</f>
        <v>358102.4</v>
      </c>
    </row>
    <row r="704" spans="1:21" ht="18" x14ac:dyDescent="0.3">
      <c r="A704" s="166" t="s">
        <v>2671</v>
      </c>
      <c r="B704" s="166"/>
      <c r="C704" s="164" t="s">
        <v>2592</v>
      </c>
      <c r="D704" s="167"/>
      <c r="E704" s="167"/>
      <c r="F704" s="124" t="s">
        <v>116</v>
      </c>
      <c r="G704" s="126">
        <v>0.75</v>
      </c>
      <c r="H704" s="126"/>
      <c r="I704" s="126">
        <v>82.995000000000005</v>
      </c>
      <c r="J704" s="127">
        <v>2.8</v>
      </c>
      <c r="K704" s="128"/>
      <c r="L704" s="128"/>
      <c r="M704" s="22">
        <f t="shared" ref="M704:M714" si="16">ROUND(ROUND(J704, 2)*I704, 2)</f>
        <v>232.39</v>
      </c>
      <c r="P704" s="21">
        <v>2.8</v>
      </c>
      <c r="S704" s="22">
        <f t="shared" ref="S704:S714" si="17">ROUND(ROUND(P704, 2)*I704, 2)</f>
        <v>232.39</v>
      </c>
    </row>
    <row r="705" spans="1:21" ht="18" x14ac:dyDescent="0.3">
      <c r="A705" s="166" t="s">
        <v>2674</v>
      </c>
      <c r="B705" s="166"/>
      <c r="C705" s="165" t="s">
        <v>2581</v>
      </c>
      <c r="D705" s="167"/>
      <c r="E705" s="167"/>
      <c r="F705" s="124" t="s">
        <v>116</v>
      </c>
      <c r="G705" s="126">
        <v>4.2</v>
      </c>
      <c r="H705" s="126"/>
      <c r="I705" s="126">
        <v>464.77199999999999</v>
      </c>
      <c r="J705" s="127">
        <v>4.92</v>
      </c>
      <c r="K705" s="128"/>
      <c r="L705" s="128"/>
      <c r="M705" s="22">
        <f t="shared" si="16"/>
        <v>2286.6799999999998</v>
      </c>
      <c r="P705" s="21">
        <v>4.92</v>
      </c>
      <c r="S705" s="22">
        <f t="shared" si="17"/>
        <v>2286.6799999999998</v>
      </c>
    </row>
    <row r="706" spans="1:21" ht="18" x14ac:dyDescent="0.3">
      <c r="A706" s="166" t="s">
        <v>2677</v>
      </c>
      <c r="B706" s="166"/>
      <c r="C706" s="164" t="s">
        <v>2571</v>
      </c>
      <c r="D706" s="167"/>
      <c r="E706" s="167"/>
      <c r="F706" s="124" t="s">
        <v>87</v>
      </c>
      <c r="G706" s="126">
        <v>0.3</v>
      </c>
      <c r="H706" s="126"/>
      <c r="I706" s="126">
        <v>33.198</v>
      </c>
      <c r="J706" s="127">
        <v>44.13</v>
      </c>
      <c r="K706" s="128"/>
      <c r="L706" s="128"/>
      <c r="M706" s="22">
        <f t="shared" si="16"/>
        <v>1465.03</v>
      </c>
      <c r="P706" s="21">
        <v>44.13</v>
      </c>
      <c r="S706" s="22">
        <f t="shared" si="17"/>
        <v>1465.03</v>
      </c>
    </row>
    <row r="707" spans="1:21" ht="18" x14ac:dyDescent="0.3">
      <c r="A707" s="166" t="s">
        <v>2680</v>
      </c>
      <c r="B707" s="166"/>
      <c r="C707" s="164" t="s">
        <v>2576</v>
      </c>
      <c r="D707" s="167"/>
      <c r="E707" s="167"/>
      <c r="F707" s="124" t="s">
        <v>87</v>
      </c>
      <c r="G707" s="126">
        <v>4.7</v>
      </c>
      <c r="H707" s="126"/>
      <c r="I707" s="126">
        <v>520.10199999999998</v>
      </c>
      <c r="J707" s="127">
        <v>66.98</v>
      </c>
      <c r="K707" s="128"/>
      <c r="L707" s="128"/>
      <c r="M707" s="22">
        <f t="shared" si="16"/>
        <v>34836.43</v>
      </c>
      <c r="P707" s="21">
        <v>66.98</v>
      </c>
      <c r="S707" s="22">
        <f t="shared" si="17"/>
        <v>34836.43</v>
      </c>
    </row>
    <row r="708" spans="1:21" ht="18" x14ac:dyDescent="0.3">
      <c r="A708" s="166" t="s">
        <v>2683</v>
      </c>
      <c r="B708" s="166"/>
      <c r="C708" s="164" t="s">
        <v>2566</v>
      </c>
      <c r="D708" s="167"/>
      <c r="E708" s="167"/>
      <c r="F708" s="124" t="s">
        <v>87</v>
      </c>
      <c r="G708" s="126">
        <v>1.25</v>
      </c>
      <c r="H708" s="126"/>
      <c r="I708" s="126">
        <v>138.32499999999999</v>
      </c>
      <c r="J708" s="127">
        <v>2.8</v>
      </c>
      <c r="K708" s="128"/>
      <c r="L708" s="128"/>
      <c r="M708" s="22">
        <f t="shared" si="16"/>
        <v>387.31</v>
      </c>
      <c r="P708" s="21">
        <v>2.8</v>
      </c>
      <c r="S708" s="22">
        <f t="shared" si="17"/>
        <v>387.31</v>
      </c>
    </row>
    <row r="709" spans="1:21" ht="18" x14ac:dyDescent="0.3">
      <c r="A709" s="166" t="s">
        <v>2686</v>
      </c>
      <c r="B709" s="166"/>
      <c r="C709" s="164" t="s">
        <v>2561</v>
      </c>
      <c r="D709" s="167"/>
      <c r="E709" s="167"/>
      <c r="F709" s="124" t="s">
        <v>87</v>
      </c>
      <c r="G709" s="126">
        <v>1.05</v>
      </c>
      <c r="H709" s="126"/>
      <c r="I709" s="126">
        <v>116.193</v>
      </c>
      <c r="J709" s="127">
        <v>4.5999999999999996</v>
      </c>
      <c r="K709" s="128"/>
      <c r="L709" s="128"/>
      <c r="M709" s="22">
        <f t="shared" si="16"/>
        <v>534.49</v>
      </c>
      <c r="P709" s="21">
        <v>4.5999999999999996</v>
      </c>
      <c r="S709" s="22">
        <f t="shared" si="17"/>
        <v>534.49</v>
      </c>
    </row>
    <row r="710" spans="1:21" ht="18" x14ac:dyDescent="0.3">
      <c r="A710" s="166" t="s">
        <v>2689</v>
      </c>
      <c r="B710" s="166"/>
      <c r="C710" s="164" t="s">
        <v>1797</v>
      </c>
      <c r="D710" s="167"/>
      <c r="E710" s="167"/>
      <c r="F710" s="124" t="s">
        <v>64</v>
      </c>
      <c r="G710" s="126">
        <v>1.05</v>
      </c>
      <c r="H710" s="126"/>
      <c r="I710" s="126">
        <v>116.193</v>
      </c>
      <c r="J710" s="127">
        <v>0</v>
      </c>
      <c r="K710" s="128"/>
      <c r="L710" s="128"/>
      <c r="M710" s="22">
        <f t="shared" si="16"/>
        <v>0</v>
      </c>
      <c r="P710" s="21">
        <v>1520.33</v>
      </c>
      <c r="S710" s="22">
        <f t="shared" si="17"/>
        <v>176651.7</v>
      </c>
    </row>
    <row r="711" spans="1:21" ht="36" x14ac:dyDescent="0.3">
      <c r="A711" s="166" t="s">
        <v>2692</v>
      </c>
      <c r="B711" s="166"/>
      <c r="C711" s="165" t="s">
        <v>2553</v>
      </c>
      <c r="D711" s="167"/>
      <c r="E711" s="167"/>
      <c r="F711" s="124" t="s">
        <v>116</v>
      </c>
      <c r="G711" s="126">
        <v>3.6</v>
      </c>
      <c r="H711" s="126"/>
      <c r="I711" s="126">
        <v>398.37599999999998</v>
      </c>
      <c r="J711" s="127">
        <v>15.9</v>
      </c>
      <c r="K711" s="128"/>
      <c r="L711" s="128"/>
      <c r="M711" s="22">
        <f t="shared" si="16"/>
        <v>6334.18</v>
      </c>
      <c r="P711" s="21">
        <v>15.9</v>
      </c>
      <c r="S711" s="22">
        <f t="shared" si="17"/>
        <v>6334.18</v>
      </c>
    </row>
    <row r="712" spans="1:21" ht="18" x14ac:dyDescent="0.3">
      <c r="A712" s="166" t="s">
        <v>2695</v>
      </c>
      <c r="B712" s="166"/>
      <c r="C712" s="164" t="s">
        <v>1920</v>
      </c>
      <c r="D712" s="167"/>
      <c r="E712" s="167"/>
      <c r="F712" s="124" t="s">
        <v>116</v>
      </c>
      <c r="G712" s="126">
        <v>30</v>
      </c>
      <c r="H712" s="126"/>
      <c r="I712" s="126">
        <v>3319.8</v>
      </c>
      <c r="J712" s="127">
        <v>0.28000000000000003</v>
      </c>
      <c r="K712" s="128"/>
      <c r="L712" s="128"/>
      <c r="M712" s="22">
        <f t="shared" si="16"/>
        <v>929.54</v>
      </c>
      <c r="P712" s="21">
        <v>0.28000000000000003</v>
      </c>
      <c r="S712" s="22">
        <f t="shared" si="17"/>
        <v>929.54</v>
      </c>
    </row>
    <row r="713" spans="1:21" ht="18" x14ac:dyDescent="0.3">
      <c r="A713" s="166" t="s">
        <v>2698</v>
      </c>
      <c r="B713" s="166"/>
      <c r="C713" s="164" t="s">
        <v>2545</v>
      </c>
      <c r="D713" s="167"/>
      <c r="E713" s="167"/>
      <c r="F713" s="124" t="s">
        <v>116</v>
      </c>
      <c r="G713" s="126">
        <v>15</v>
      </c>
      <c r="H713" s="126"/>
      <c r="I713" s="126">
        <v>1659.9</v>
      </c>
      <c r="J713" s="127">
        <v>0.95</v>
      </c>
      <c r="K713" s="128"/>
      <c r="L713" s="128"/>
      <c r="M713" s="22">
        <f t="shared" si="16"/>
        <v>1576.91</v>
      </c>
      <c r="P713" s="21">
        <v>0.95</v>
      </c>
      <c r="S713" s="22">
        <f t="shared" si="17"/>
        <v>1576.91</v>
      </c>
    </row>
    <row r="714" spans="1:21" ht="18" x14ac:dyDescent="0.3">
      <c r="A714" s="166" t="s">
        <v>2701</v>
      </c>
      <c r="B714" s="166"/>
      <c r="C714" s="164" t="s">
        <v>2540</v>
      </c>
      <c r="D714" s="167"/>
      <c r="E714" s="167"/>
      <c r="F714" s="124" t="s">
        <v>116</v>
      </c>
      <c r="G714" s="126">
        <v>0.3</v>
      </c>
      <c r="H714" s="126"/>
      <c r="I714" s="126">
        <v>33.198</v>
      </c>
      <c r="J714" s="127">
        <v>5.6</v>
      </c>
      <c r="K714" s="128"/>
      <c r="L714" s="128"/>
      <c r="M714" s="22">
        <f t="shared" si="16"/>
        <v>185.91</v>
      </c>
      <c r="P714" s="21">
        <v>5.6</v>
      </c>
      <c r="S714" s="22">
        <f t="shared" si="17"/>
        <v>185.91</v>
      </c>
    </row>
    <row r="715" spans="1:21" ht="61.5" customHeight="1" x14ac:dyDescent="0.3">
      <c r="A715" s="156" t="s">
        <v>2704</v>
      </c>
      <c r="B715" s="156" t="s">
        <v>2705</v>
      </c>
      <c r="C715" s="75" t="s">
        <v>2706</v>
      </c>
      <c r="D715" s="76"/>
      <c r="E715" s="76" t="s">
        <v>81</v>
      </c>
      <c r="F715" s="76" t="s">
        <v>64</v>
      </c>
      <c r="G715" s="77">
        <v>1</v>
      </c>
      <c r="H715" s="77"/>
      <c r="I715" s="77">
        <v>2099.0100000000002</v>
      </c>
      <c r="J715" s="14">
        <v>0</v>
      </c>
      <c r="K715" s="15">
        <v>121</v>
      </c>
      <c r="L715" s="14">
        <f>J715+ROUND(K715, 2)</f>
        <v>121</v>
      </c>
      <c r="M715" s="14">
        <v>0</v>
      </c>
      <c r="N715" s="14">
        <f>ROUND(I715*ROUND(K715, 2), 2)</f>
        <v>253980.21</v>
      </c>
      <c r="O715" s="14">
        <f>M715+N715</f>
        <v>253980.21</v>
      </c>
      <c r="P715" s="14">
        <v>0</v>
      </c>
      <c r="Q715" s="15">
        <v>121</v>
      </c>
      <c r="R715" s="14">
        <f>P715+ROUND(Q715, 2)</f>
        <v>121</v>
      </c>
      <c r="S715" s="14">
        <v>0</v>
      </c>
      <c r="T715" s="14">
        <f>ROUND(I715*ROUND(Q715, 2), 2)</f>
        <v>253980.21</v>
      </c>
      <c r="U715" s="14">
        <f>S715+T715</f>
        <v>253980.21</v>
      </c>
    </row>
    <row r="716" spans="1:21" ht="16.95" customHeight="1" x14ac:dyDescent="0.3">
      <c r="A716" s="10" t="s">
        <v>2709</v>
      </c>
      <c r="B716" s="10" t="s">
        <v>2710</v>
      </c>
      <c r="C716" s="352" t="s">
        <v>2711</v>
      </c>
      <c r="D716" s="353"/>
      <c r="E716" s="353"/>
      <c r="F716" s="353"/>
      <c r="G716" s="353"/>
      <c r="H716" s="353"/>
      <c r="I716" s="354"/>
      <c r="M716" s="6">
        <f>SUM(M717,M719,M721,M723,M725,M727,M729,M731,M733,M735,M737,M739,M741,M743,M745,M747,M749,M751,M753,M755,M757,M759,M761,M763,M765,M767)</f>
        <v>10326</v>
      </c>
      <c r="N716" s="6">
        <f>SUM(N717,N719,N721,N723,N725,N727,N729,N731,N733,N735,N737,N739,N741,N743,N745,N747,N749,N751,N753,N755,N757,N759,N761,N763,N765,N767)</f>
        <v>323829</v>
      </c>
      <c r="O716" s="6">
        <f>SUM(O717,O719,O721,O723,O725,O727,O729,O731,O733,O735,O737,O739,O741,O743,O745,O747,O749,O751,O753,O755,O757,O759,O761,O763,O765,O767)</f>
        <v>334155</v>
      </c>
      <c r="S716" s="6">
        <f>SUM(S717,S719,S721,S723,S725,S727,S729,S731,S733,S735,S737,S739,S741,S743,S745,S747,S749,S751,S753,S755,S757,S759,S761,S763,S765,S767)</f>
        <v>4787263.3199999994</v>
      </c>
      <c r="T716" s="6">
        <f>SUM(T717,T719,T721,T723,T725,T727,T729,T731,T733,T735,T737,T739,T741,T743,T745,T747,T749,T751,T753,T755,T757,T759,T761,T763,T765,T767)</f>
        <v>1013198</v>
      </c>
      <c r="U716" s="6">
        <f>SUM(U717,U719,U721,U723,U725,U727,U729,U731,U733,U735,U737,U739,U741,U743,U745,U747,U749,U751,U753,U755,U757,U759,U761,U763,U765,U767)</f>
        <v>5800461.3199999984</v>
      </c>
    </row>
    <row r="717" spans="1:21" ht="51" customHeight="1" x14ac:dyDescent="0.3">
      <c r="A717" s="10" t="s">
        <v>2712</v>
      </c>
      <c r="B717" s="10" t="s">
        <v>2713</v>
      </c>
      <c r="C717" s="11" t="s">
        <v>2714</v>
      </c>
      <c r="D717" s="12"/>
      <c r="E717" s="12" t="s">
        <v>2715</v>
      </c>
      <c r="F717" s="12" t="s">
        <v>116</v>
      </c>
      <c r="G717" s="13">
        <v>1</v>
      </c>
      <c r="H717" s="13"/>
      <c r="I717" s="13">
        <v>10</v>
      </c>
      <c r="J717" s="14">
        <f>IFERROR(ROUND(SUM(M718)/I717, 2),0)</f>
        <v>0</v>
      </c>
      <c r="K717" s="15">
        <v>3271</v>
      </c>
      <c r="L717" s="14">
        <f>J717+ROUND(K717, 2)</f>
        <v>3271</v>
      </c>
      <c r="M717" s="14">
        <f>ROUND(J717*I717, 2)</f>
        <v>0</v>
      </c>
      <c r="N717" s="14">
        <f>ROUND(I717*ROUND(K717, 2), 2)</f>
        <v>32710</v>
      </c>
      <c r="O717" s="14">
        <f>M717+N717</f>
        <v>32710</v>
      </c>
      <c r="P717" s="14">
        <f>IFERROR(ROUND(SUM(S718)/I717, 2),0)</f>
        <v>39406.67</v>
      </c>
      <c r="Q717" s="15">
        <v>9309</v>
      </c>
      <c r="R717" s="14">
        <f>P717+ROUND(Q717, 2)</f>
        <v>48715.67</v>
      </c>
      <c r="S717" s="14">
        <f>ROUND(P717*I717, 2)</f>
        <v>394066.7</v>
      </c>
      <c r="T717" s="14">
        <f>ROUND(I717*ROUND(Q717, 2), 2)</f>
        <v>93090</v>
      </c>
      <c r="U717" s="14">
        <f>S717+T717</f>
        <v>487156.7</v>
      </c>
    </row>
    <row r="718" spans="1:21" ht="238.05" customHeight="1" x14ac:dyDescent="0.3">
      <c r="A718" s="10" t="s">
        <v>2718</v>
      </c>
      <c r="B718" s="10"/>
      <c r="C718" s="24" t="s">
        <v>2719</v>
      </c>
      <c r="D718" s="12"/>
      <c r="E718" s="12" t="s">
        <v>2720</v>
      </c>
      <c r="F718" s="18" t="s">
        <v>116</v>
      </c>
      <c r="G718" s="19">
        <v>1</v>
      </c>
      <c r="H718" s="20"/>
      <c r="I718" s="20">
        <v>10</v>
      </c>
      <c r="J718" s="21">
        <v>0</v>
      </c>
      <c r="M718" s="22">
        <f>ROUND(ROUND(J718, 2)*I718, 2)</f>
        <v>0</v>
      </c>
      <c r="P718" s="21">
        <v>39406.67</v>
      </c>
      <c r="S718" s="22">
        <f>ROUND(ROUND(P718, 2)*I718, 2)</f>
        <v>394066.7</v>
      </c>
    </row>
    <row r="719" spans="1:21" ht="36" x14ac:dyDescent="0.3">
      <c r="A719" s="10" t="s">
        <v>2724</v>
      </c>
      <c r="B719" s="10" t="s">
        <v>2713</v>
      </c>
      <c r="C719" s="11" t="s">
        <v>2714</v>
      </c>
      <c r="D719" s="12"/>
      <c r="E719" s="12" t="s">
        <v>2725</v>
      </c>
      <c r="F719" s="12" t="s">
        <v>116</v>
      </c>
      <c r="G719" s="13">
        <v>1</v>
      </c>
      <c r="H719" s="13"/>
      <c r="I719" s="13">
        <v>4</v>
      </c>
      <c r="J719" s="14">
        <f>IFERROR(ROUND(SUM(M720)/I719, 2),0)</f>
        <v>0</v>
      </c>
      <c r="K719" s="15">
        <v>3271</v>
      </c>
      <c r="L719" s="14">
        <f>J719+ROUND(K719, 2)</f>
        <v>3271</v>
      </c>
      <c r="M719" s="14">
        <f>ROUND(J719*I719, 2)</f>
        <v>0</v>
      </c>
      <c r="N719" s="14">
        <f>ROUND(I719*ROUND(K719, 2), 2)</f>
        <v>13084</v>
      </c>
      <c r="O719" s="14">
        <f>M719+N719</f>
        <v>13084</v>
      </c>
      <c r="P719" s="14">
        <f>IFERROR(ROUND(SUM(S720)/I719, 2),0)</f>
        <v>39406.67</v>
      </c>
      <c r="Q719" s="15">
        <v>9309</v>
      </c>
      <c r="R719" s="14">
        <f>P719+ROUND(Q719, 2)</f>
        <v>48715.67</v>
      </c>
      <c r="S719" s="14">
        <f>ROUND(P719*I719, 2)</f>
        <v>157626.68</v>
      </c>
      <c r="T719" s="14">
        <f>ROUND(I719*ROUND(Q719, 2), 2)</f>
        <v>37236</v>
      </c>
      <c r="U719" s="14">
        <f>S719+T719</f>
        <v>194862.68</v>
      </c>
    </row>
    <row r="720" spans="1:21" ht="252" customHeight="1" x14ac:dyDescent="0.3">
      <c r="A720" s="10" t="s">
        <v>2726</v>
      </c>
      <c r="B720" s="10"/>
      <c r="C720" s="24" t="s">
        <v>2719</v>
      </c>
      <c r="D720" s="12"/>
      <c r="E720" s="12" t="s">
        <v>2727</v>
      </c>
      <c r="F720" s="18" t="s">
        <v>116</v>
      </c>
      <c r="G720" s="19">
        <v>1</v>
      </c>
      <c r="H720" s="20"/>
      <c r="I720" s="20">
        <v>4</v>
      </c>
      <c r="J720" s="21">
        <v>0</v>
      </c>
      <c r="M720" s="22">
        <f>ROUND(ROUND(J720, 2)*I720, 2)</f>
        <v>0</v>
      </c>
      <c r="P720" s="21">
        <v>39406.67</v>
      </c>
      <c r="S720" s="22">
        <f>ROUND(ROUND(P720, 2)*I720, 2)</f>
        <v>157626.68</v>
      </c>
    </row>
    <row r="721" spans="1:21" ht="36" x14ac:dyDescent="0.3">
      <c r="A721" s="10" t="s">
        <v>2730</v>
      </c>
      <c r="B721" s="10" t="s">
        <v>2713</v>
      </c>
      <c r="C721" s="11" t="s">
        <v>2714</v>
      </c>
      <c r="D721" s="12"/>
      <c r="E721" s="12" t="s">
        <v>2731</v>
      </c>
      <c r="F721" s="12" t="s">
        <v>116</v>
      </c>
      <c r="G721" s="13">
        <v>1</v>
      </c>
      <c r="H721" s="13"/>
      <c r="I721" s="13">
        <v>1</v>
      </c>
      <c r="J721" s="14">
        <f>IFERROR(ROUND(SUM(M722)/I721, 2),0)</f>
        <v>0</v>
      </c>
      <c r="K721" s="15">
        <v>3271</v>
      </c>
      <c r="L721" s="14">
        <f>J721+ROUND(K721, 2)</f>
        <v>3271</v>
      </c>
      <c r="M721" s="14">
        <f>ROUND(J721*I721, 2)</f>
        <v>0</v>
      </c>
      <c r="N721" s="14">
        <f>ROUND(I721*ROUND(K721, 2), 2)</f>
        <v>3271</v>
      </c>
      <c r="O721" s="14">
        <f>M721+N721</f>
        <v>3271</v>
      </c>
      <c r="P721" s="14">
        <f>IFERROR(ROUND(SUM(S722)/I721, 2),0)</f>
        <v>39406.67</v>
      </c>
      <c r="Q721" s="15">
        <v>9309</v>
      </c>
      <c r="R721" s="14">
        <f>P721+ROUND(Q721, 2)</f>
        <v>48715.67</v>
      </c>
      <c r="S721" s="14">
        <f>ROUND(P721*I721, 2)</f>
        <v>39406.67</v>
      </c>
      <c r="T721" s="14">
        <f>ROUND(I721*ROUND(Q721, 2), 2)</f>
        <v>9309</v>
      </c>
      <c r="U721" s="14">
        <f>S721+T721</f>
        <v>48715.67</v>
      </c>
    </row>
    <row r="722" spans="1:21" ht="174.45" customHeight="1" x14ac:dyDescent="0.3">
      <c r="A722" s="10" t="s">
        <v>2732</v>
      </c>
      <c r="B722" s="10"/>
      <c r="C722" s="24" t="s">
        <v>2719</v>
      </c>
      <c r="D722" s="12"/>
      <c r="E722" s="12" t="s">
        <v>2733</v>
      </c>
      <c r="F722" s="18" t="s">
        <v>116</v>
      </c>
      <c r="G722" s="19">
        <v>1</v>
      </c>
      <c r="H722" s="20"/>
      <c r="I722" s="20">
        <v>1</v>
      </c>
      <c r="J722" s="21">
        <v>0</v>
      </c>
      <c r="M722" s="22">
        <f>ROUND(ROUND(J722, 2)*I722, 2)</f>
        <v>0</v>
      </c>
      <c r="P722" s="21">
        <v>39406.67</v>
      </c>
      <c r="S722" s="22">
        <f>ROUND(ROUND(P722, 2)*I722, 2)</f>
        <v>39406.67</v>
      </c>
    </row>
    <row r="723" spans="1:21" ht="36" x14ac:dyDescent="0.3">
      <c r="A723" s="10" t="s">
        <v>2736</v>
      </c>
      <c r="B723" s="10" t="s">
        <v>2713</v>
      </c>
      <c r="C723" s="11" t="s">
        <v>2714</v>
      </c>
      <c r="D723" s="12"/>
      <c r="E723" s="12" t="s">
        <v>2737</v>
      </c>
      <c r="F723" s="12" t="s">
        <v>116</v>
      </c>
      <c r="G723" s="13">
        <v>1</v>
      </c>
      <c r="H723" s="13"/>
      <c r="I723" s="13">
        <v>1</v>
      </c>
      <c r="J723" s="14">
        <f>IFERROR(ROUND(SUM(M724)/I723, 2),0)</f>
        <v>0</v>
      </c>
      <c r="K723" s="15">
        <v>3271</v>
      </c>
      <c r="L723" s="14">
        <f>J723+ROUND(K723, 2)</f>
        <v>3271</v>
      </c>
      <c r="M723" s="14">
        <f>ROUND(J723*I723, 2)</f>
        <v>0</v>
      </c>
      <c r="N723" s="14">
        <f>ROUND(I723*ROUND(K723, 2), 2)</f>
        <v>3271</v>
      </c>
      <c r="O723" s="14">
        <f>M723+N723</f>
        <v>3271</v>
      </c>
      <c r="P723" s="14">
        <f>IFERROR(ROUND(SUM(S724)/I723, 2),0)</f>
        <v>39406.67</v>
      </c>
      <c r="Q723" s="15">
        <v>9309</v>
      </c>
      <c r="R723" s="14">
        <f>P723+ROUND(Q723, 2)</f>
        <v>48715.67</v>
      </c>
      <c r="S723" s="14">
        <f>ROUND(P723*I723, 2)</f>
        <v>39406.67</v>
      </c>
      <c r="T723" s="14">
        <f>ROUND(I723*ROUND(Q723, 2), 2)</f>
        <v>9309</v>
      </c>
      <c r="U723" s="14">
        <f>S723+T723</f>
        <v>48715.67</v>
      </c>
    </row>
    <row r="724" spans="1:21" ht="175.95" customHeight="1" x14ac:dyDescent="0.3">
      <c r="A724" s="10" t="s">
        <v>2738</v>
      </c>
      <c r="B724" s="10"/>
      <c r="C724" s="24" t="s">
        <v>2719</v>
      </c>
      <c r="D724" s="12"/>
      <c r="E724" s="12" t="s">
        <v>2739</v>
      </c>
      <c r="F724" s="18" t="s">
        <v>116</v>
      </c>
      <c r="G724" s="19">
        <v>1</v>
      </c>
      <c r="H724" s="20"/>
      <c r="I724" s="20">
        <v>1</v>
      </c>
      <c r="J724" s="21">
        <v>0</v>
      </c>
      <c r="M724" s="22">
        <f>ROUND(ROUND(J724, 2)*I724, 2)</f>
        <v>0</v>
      </c>
      <c r="P724" s="21">
        <v>39406.67</v>
      </c>
      <c r="S724" s="22">
        <f>ROUND(ROUND(P724, 2)*I724, 2)</f>
        <v>39406.67</v>
      </c>
    </row>
    <row r="725" spans="1:21" ht="36" x14ac:dyDescent="0.3">
      <c r="A725" s="10" t="s">
        <v>2742</v>
      </c>
      <c r="B725" s="10" t="s">
        <v>2713</v>
      </c>
      <c r="C725" s="11" t="s">
        <v>2714</v>
      </c>
      <c r="D725" s="12"/>
      <c r="E725" s="12" t="s">
        <v>2743</v>
      </c>
      <c r="F725" s="12" t="s">
        <v>116</v>
      </c>
      <c r="G725" s="13">
        <v>1</v>
      </c>
      <c r="H725" s="13"/>
      <c r="I725" s="13">
        <v>5</v>
      </c>
      <c r="J725" s="14">
        <f>IFERROR(ROUND(SUM(M726)/I725, 2),0)</f>
        <v>0</v>
      </c>
      <c r="K725" s="15">
        <v>3271</v>
      </c>
      <c r="L725" s="14">
        <f>J725+ROUND(K725, 2)</f>
        <v>3271</v>
      </c>
      <c r="M725" s="14">
        <f>ROUND(J725*I725, 2)</f>
        <v>0</v>
      </c>
      <c r="N725" s="14">
        <f>ROUND(I725*ROUND(K725, 2), 2)</f>
        <v>16355</v>
      </c>
      <c r="O725" s="14">
        <f>M725+N725</f>
        <v>16355</v>
      </c>
      <c r="P725" s="14">
        <f>IFERROR(ROUND(SUM(S726)/I725, 2),0)</f>
        <v>39406.67</v>
      </c>
      <c r="Q725" s="15">
        <v>9309</v>
      </c>
      <c r="R725" s="14">
        <f>P725+ROUND(Q725, 2)</f>
        <v>48715.67</v>
      </c>
      <c r="S725" s="14">
        <f>ROUND(P725*I725, 2)</f>
        <v>197033.35</v>
      </c>
      <c r="T725" s="14">
        <f>ROUND(I725*ROUND(Q725, 2), 2)</f>
        <v>46545</v>
      </c>
      <c r="U725" s="14">
        <f>S725+T725</f>
        <v>243578.35</v>
      </c>
    </row>
    <row r="726" spans="1:21" ht="214.5" customHeight="1" x14ac:dyDescent="0.3">
      <c r="A726" s="10" t="s">
        <v>2744</v>
      </c>
      <c r="B726" s="10"/>
      <c r="C726" s="24" t="s">
        <v>2745</v>
      </c>
      <c r="D726" s="12"/>
      <c r="E726" s="12" t="s">
        <v>2746</v>
      </c>
      <c r="F726" s="18" t="s">
        <v>116</v>
      </c>
      <c r="G726" s="19">
        <v>1</v>
      </c>
      <c r="H726" s="20"/>
      <c r="I726" s="20">
        <v>5</v>
      </c>
      <c r="J726" s="21">
        <v>0</v>
      </c>
      <c r="M726" s="22">
        <f>ROUND(ROUND(J726, 2)*I726, 2)</f>
        <v>0</v>
      </c>
      <c r="P726" s="21">
        <v>39406.67</v>
      </c>
      <c r="S726" s="22">
        <f>ROUND(ROUND(P726, 2)*I726, 2)</f>
        <v>197033.35</v>
      </c>
    </row>
    <row r="727" spans="1:21" ht="36" x14ac:dyDescent="0.3">
      <c r="A727" s="10" t="s">
        <v>2750</v>
      </c>
      <c r="B727" s="10" t="s">
        <v>2713</v>
      </c>
      <c r="C727" s="11" t="s">
        <v>2714</v>
      </c>
      <c r="D727" s="12"/>
      <c r="E727" s="12" t="s">
        <v>2751</v>
      </c>
      <c r="F727" s="12" t="s">
        <v>116</v>
      </c>
      <c r="G727" s="13">
        <v>1</v>
      </c>
      <c r="H727" s="13"/>
      <c r="I727" s="13">
        <v>3</v>
      </c>
      <c r="J727" s="14">
        <f>IFERROR(ROUND(SUM(M728)/I727, 2),0)</f>
        <v>0</v>
      </c>
      <c r="K727" s="15">
        <v>3271</v>
      </c>
      <c r="L727" s="14">
        <f>J727+ROUND(K727, 2)</f>
        <v>3271</v>
      </c>
      <c r="M727" s="14">
        <f>ROUND(J727*I727, 2)</f>
        <v>0</v>
      </c>
      <c r="N727" s="14">
        <f>ROUND(I727*ROUND(K727, 2), 2)</f>
        <v>9813</v>
      </c>
      <c r="O727" s="14">
        <f>M727+N727</f>
        <v>9813</v>
      </c>
      <c r="P727" s="14">
        <f>IFERROR(ROUND(SUM(S728)/I727, 2),0)</f>
        <v>40386.67</v>
      </c>
      <c r="Q727" s="15">
        <v>9309</v>
      </c>
      <c r="R727" s="14">
        <f>P727+ROUND(Q727, 2)</f>
        <v>49695.67</v>
      </c>
      <c r="S727" s="14">
        <f>ROUND(P727*I727, 2)</f>
        <v>121160.01</v>
      </c>
      <c r="T727" s="14">
        <f>ROUND(I727*ROUND(Q727, 2), 2)</f>
        <v>27927</v>
      </c>
      <c r="U727" s="14">
        <f>S727+T727</f>
        <v>149087.01</v>
      </c>
    </row>
    <row r="728" spans="1:21" ht="199.5" customHeight="1" x14ac:dyDescent="0.3">
      <c r="A728" s="10" t="s">
        <v>2752</v>
      </c>
      <c r="B728" s="10"/>
      <c r="C728" s="24" t="s">
        <v>2719</v>
      </c>
      <c r="D728" s="12"/>
      <c r="E728" s="12" t="s">
        <v>2753</v>
      </c>
      <c r="F728" s="18" t="s">
        <v>116</v>
      </c>
      <c r="G728" s="19">
        <v>1</v>
      </c>
      <c r="H728" s="20"/>
      <c r="I728" s="20">
        <v>3</v>
      </c>
      <c r="J728" s="21">
        <v>0</v>
      </c>
      <c r="M728" s="22">
        <f>ROUND(ROUND(J728, 2)*I728, 2)</f>
        <v>0</v>
      </c>
      <c r="P728" s="21">
        <v>40386.67</v>
      </c>
      <c r="S728" s="22">
        <f>ROUND(ROUND(P728, 2)*I728, 2)</f>
        <v>121160.01</v>
      </c>
    </row>
    <row r="729" spans="1:21" ht="36" x14ac:dyDescent="0.3">
      <c r="A729" s="10" t="s">
        <v>2756</v>
      </c>
      <c r="B729" s="10" t="s">
        <v>2713</v>
      </c>
      <c r="C729" s="11" t="s">
        <v>2714</v>
      </c>
      <c r="D729" s="12"/>
      <c r="E729" s="12" t="s">
        <v>2757</v>
      </c>
      <c r="F729" s="12" t="s">
        <v>116</v>
      </c>
      <c r="G729" s="13">
        <v>1</v>
      </c>
      <c r="H729" s="13"/>
      <c r="I729" s="13">
        <v>6</v>
      </c>
      <c r="J729" s="14">
        <f>IFERROR(ROUND(SUM(M730)/I729, 2),0)</f>
        <v>0</v>
      </c>
      <c r="K729" s="15">
        <v>3271</v>
      </c>
      <c r="L729" s="14">
        <f>J729+ROUND(K729, 2)</f>
        <v>3271</v>
      </c>
      <c r="M729" s="14">
        <f>ROUND(J729*I729, 2)</f>
        <v>0</v>
      </c>
      <c r="N729" s="14">
        <f>ROUND(I729*ROUND(K729, 2), 2)</f>
        <v>19626</v>
      </c>
      <c r="O729" s="14">
        <f>M729+N729</f>
        <v>19626</v>
      </c>
      <c r="P729" s="14">
        <f>IFERROR(ROUND(SUM(S730)/I729, 2),0)</f>
        <v>38496.67</v>
      </c>
      <c r="Q729" s="15">
        <v>9309</v>
      </c>
      <c r="R729" s="14">
        <f>P729+ROUND(Q729, 2)</f>
        <v>47805.67</v>
      </c>
      <c r="S729" s="14">
        <f>ROUND(P729*I729, 2)</f>
        <v>230980.02</v>
      </c>
      <c r="T729" s="14">
        <f>ROUND(I729*ROUND(Q729, 2), 2)</f>
        <v>55854</v>
      </c>
      <c r="U729" s="14">
        <f>S729+T729</f>
        <v>286834.02</v>
      </c>
    </row>
    <row r="730" spans="1:21" ht="90.45" customHeight="1" x14ac:dyDescent="0.3">
      <c r="A730" s="10" t="s">
        <v>2758</v>
      </c>
      <c r="B730" s="10"/>
      <c r="C730" s="24" t="s">
        <v>2719</v>
      </c>
      <c r="D730" s="12"/>
      <c r="E730" s="12" t="s">
        <v>2759</v>
      </c>
      <c r="F730" s="18" t="s">
        <v>116</v>
      </c>
      <c r="G730" s="19">
        <v>1</v>
      </c>
      <c r="H730" s="20"/>
      <c r="I730" s="20">
        <v>6</v>
      </c>
      <c r="J730" s="21">
        <v>0</v>
      </c>
      <c r="M730" s="22">
        <f>ROUND(ROUND(J730, 2)*I730, 2)</f>
        <v>0</v>
      </c>
      <c r="P730" s="21">
        <v>38496.67</v>
      </c>
      <c r="S730" s="22">
        <f>ROUND(ROUND(P730, 2)*I730, 2)</f>
        <v>230980.02</v>
      </c>
    </row>
    <row r="731" spans="1:21" ht="36" x14ac:dyDescent="0.3">
      <c r="A731" s="10" t="s">
        <v>2762</v>
      </c>
      <c r="B731" s="10" t="s">
        <v>2713</v>
      </c>
      <c r="C731" s="11" t="s">
        <v>2714</v>
      </c>
      <c r="D731" s="12"/>
      <c r="E731" s="12" t="s">
        <v>2763</v>
      </c>
      <c r="F731" s="12" t="s">
        <v>116</v>
      </c>
      <c r="G731" s="13">
        <v>1</v>
      </c>
      <c r="H731" s="13"/>
      <c r="I731" s="13">
        <v>4</v>
      </c>
      <c r="J731" s="14">
        <f>IFERROR(ROUND(SUM(M732)/I731, 2),0)</f>
        <v>0</v>
      </c>
      <c r="K731" s="15">
        <v>3271</v>
      </c>
      <c r="L731" s="14">
        <f>J731+ROUND(K731, 2)</f>
        <v>3271</v>
      </c>
      <c r="M731" s="14">
        <f>ROUND(J731*I731, 2)</f>
        <v>0</v>
      </c>
      <c r="N731" s="14">
        <f>ROUND(I731*ROUND(K731, 2), 2)</f>
        <v>13084</v>
      </c>
      <c r="O731" s="14">
        <f>M731+N731</f>
        <v>13084</v>
      </c>
      <c r="P731" s="14">
        <f>IFERROR(ROUND(SUM(S732)/I731, 2),0)</f>
        <v>38496.67</v>
      </c>
      <c r="Q731" s="15">
        <v>9309</v>
      </c>
      <c r="R731" s="14">
        <f>P731+ROUND(Q731, 2)</f>
        <v>47805.67</v>
      </c>
      <c r="S731" s="14">
        <f>ROUND(P731*I731, 2)</f>
        <v>153986.68</v>
      </c>
      <c r="T731" s="14">
        <f>ROUND(I731*ROUND(Q731, 2), 2)</f>
        <v>37236</v>
      </c>
      <c r="U731" s="14">
        <f>S731+T731</f>
        <v>191222.68</v>
      </c>
    </row>
    <row r="732" spans="1:21" ht="142.94999999999999" customHeight="1" x14ac:dyDescent="0.3">
      <c r="A732" s="10" t="s">
        <v>2764</v>
      </c>
      <c r="B732" s="10"/>
      <c r="C732" s="24" t="s">
        <v>2719</v>
      </c>
      <c r="D732" s="12"/>
      <c r="E732" s="12" t="s">
        <v>2765</v>
      </c>
      <c r="F732" s="18" t="s">
        <v>116</v>
      </c>
      <c r="G732" s="19">
        <v>1</v>
      </c>
      <c r="H732" s="20"/>
      <c r="I732" s="20">
        <v>4</v>
      </c>
      <c r="J732" s="21">
        <v>0</v>
      </c>
      <c r="M732" s="22">
        <f>ROUND(ROUND(J732, 2)*I732, 2)</f>
        <v>0</v>
      </c>
      <c r="P732" s="21">
        <v>38496.67</v>
      </c>
      <c r="S732" s="22">
        <f>ROUND(ROUND(P732, 2)*I732, 2)</f>
        <v>153986.68</v>
      </c>
    </row>
    <row r="733" spans="1:21" ht="36" x14ac:dyDescent="0.3">
      <c r="A733" s="10" t="s">
        <v>2768</v>
      </c>
      <c r="B733" s="10" t="s">
        <v>2713</v>
      </c>
      <c r="C733" s="11" t="s">
        <v>2714</v>
      </c>
      <c r="D733" s="12"/>
      <c r="E733" s="12" t="s">
        <v>2769</v>
      </c>
      <c r="F733" s="12" t="s">
        <v>116</v>
      </c>
      <c r="G733" s="13">
        <v>1</v>
      </c>
      <c r="H733" s="13"/>
      <c r="I733" s="13">
        <v>10</v>
      </c>
      <c r="J733" s="14">
        <f>IFERROR(ROUND(SUM(M734)/I733, 2),0)</f>
        <v>0</v>
      </c>
      <c r="K733" s="15">
        <v>3271</v>
      </c>
      <c r="L733" s="14">
        <f>J733+ROUND(K733, 2)</f>
        <v>3271</v>
      </c>
      <c r="M733" s="14">
        <f>ROUND(J733*I733, 2)</f>
        <v>0</v>
      </c>
      <c r="N733" s="14">
        <f>ROUND(I733*ROUND(K733, 2), 2)</f>
        <v>32710</v>
      </c>
      <c r="O733" s="14">
        <f>M733+N733</f>
        <v>32710</v>
      </c>
      <c r="P733" s="14">
        <f>IFERROR(ROUND(SUM(S734)/I733, 2),0)</f>
        <v>37736.67</v>
      </c>
      <c r="Q733" s="15">
        <v>9309</v>
      </c>
      <c r="R733" s="14">
        <f>P733+ROUND(Q733, 2)</f>
        <v>47045.67</v>
      </c>
      <c r="S733" s="14">
        <f>ROUND(P733*I733, 2)</f>
        <v>377366.7</v>
      </c>
      <c r="T733" s="14">
        <f>ROUND(I733*ROUND(Q733, 2), 2)</f>
        <v>93090</v>
      </c>
      <c r="U733" s="14">
        <f>S733+T733</f>
        <v>470456.7</v>
      </c>
    </row>
    <row r="734" spans="1:21" ht="166.05" customHeight="1" x14ac:dyDescent="0.3">
      <c r="A734" s="10" t="s">
        <v>2770</v>
      </c>
      <c r="B734" s="10"/>
      <c r="C734" s="24" t="s">
        <v>2745</v>
      </c>
      <c r="D734" s="12"/>
      <c r="E734" s="12" t="s">
        <v>2771</v>
      </c>
      <c r="F734" s="18" t="s">
        <v>116</v>
      </c>
      <c r="G734" s="19">
        <v>1</v>
      </c>
      <c r="H734" s="20"/>
      <c r="I734" s="20">
        <v>10</v>
      </c>
      <c r="J734" s="21">
        <v>0</v>
      </c>
      <c r="M734" s="22">
        <f>ROUND(ROUND(J734, 2)*I734, 2)</f>
        <v>0</v>
      </c>
      <c r="P734" s="21">
        <v>37736.67</v>
      </c>
      <c r="S734" s="22">
        <f>ROUND(ROUND(P734, 2)*I734, 2)</f>
        <v>377366.7</v>
      </c>
    </row>
    <row r="735" spans="1:21" ht="36" x14ac:dyDescent="0.3">
      <c r="A735" s="10" t="s">
        <v>2774</v>
      </c>
      <c r="B735" s="10" t="s">
        <v>2713</v>
      </c>
      <c r="C735" s="11" t="s">
        <v>2714</v>
      </c>
      <c r="D735" s="12"/>
      <c r="E735" s="12" t="s">
        <v>2775</v>
      </c>
      <c r="F735" s="12" t="s">
        <v>116</v>
      </c>
      <c r="G735" s="13">
        <v>1</v>
      </c>
      <c r="H735" s="13"/>
      <c r="I735" s="13">
        <v>4</v>
      </c>
      <c r="J735" s="14">
        <f>IFERROR(ROUND(SUM(M736)/I735, 2),0)</f>
        <v>0</v>
      </c>
      <c r="K735" s="15">
        <v>3271</v>
      </c>
      <c r="L735" s="14">
        <f>J735+ROUND(K735, 2)</f>
        <v>3271</v>
      </c>
      <c r="M735" s="14">
        <f>ROUND(J735*I735, 2)</f>
        <v>0</v>
      </c>
      <c r="N735" s="14">
        <f>ROUND(I735*ROUND(K735, 2), 2)</f>
        <v>13084</v>
      </c>
      <c r="O735" s="14">
        <f>M735+N735</f>
        <v>13084</v>
      </c>
      <c r="P735" s="14">
        <f>IFERROR(ROUND(SUM(S736)/I735, 2),0)</f>
        <v>37736.67</v>
      </c>
      <c r="Q735" s="15">
        <v>9309</v>
      </c>
      <c r="R735" s="14">
        <f>P735+ROUND(Q735, 2)</f>
        <v>47045.67</v>
      </c>
      <c r="S735" s="14">
        <f>ROUND(P735*I735, 2)</f>
        <v>150946.68</v>
      </c>
      <c r="T735" s="14">
        <f>ROUND(I735*ROUND(Q735, 2), 2)</f>
        <v>37236</v>
      </c>
      <c r="U735" s="14">
        <f>S735+T735</f>
        <v>188182.68</v>
      </c>
    </row>
    <row r="736" spans="1:21" ht="132" customHeight="1" x14ac:dyDescent="0.3">
      <c r="A736" s="10" t="s">
        <v>2776</v>
      </c>
      <c r="B736" s="10"/>
      <c r="C736" s="24" t="s">
        <v>2719</v>
      </c>
      <c r="D736" s="12"/>
      <c r="E736" s="12" t="s">
        <v>2777</v>
      </c>
      <c r="F736" s="18" t="s">
        <v>116</v>
      </c>
      <c r="G736" s="19">
        <v>1</v>
      </c>
      <c r="H736" s="20"/>
      <c r="I736" s="20">
        <v>4</v>
      </c>
      <c r="J736" s="21">
        <v>0</v>
      </c>
      <c r="M736" s="22">
        <f>ROUND(ROUND(J736, 2)*I736, 2)</f>
        <v>0</v>
      </c>
      <c r="P736" s="21">
        <v>37736.67</v>
      </c>
      <c r="S736" s="22">
        <f>ROUND(ROUND(P736, 2)*I736, 2)</f>
        <v>150946.68</v>
      </c>
    </row>
    <row r="737" spans="1:21" ht="36" x14ac:dyDescent="0.3">
      <c r="A737" s="10" t="s">
        <v>2780</v>
      </c>
      <c r="B737" s="10" t="s">
        <v>2713</v>
      </c>
      <c r="C737" s="11" t="s">
        <v>2714</v>
      </c>
      <c r="D737" s="12"/>
      <c r="E737" s="12" t="s">
        <v>2781</v>
      </c>
      <c r="F737" s="12" t="s">
        <v>116</v>
      </c>
      <c r="G737" s="13">
        <v>1</v>
      </c>
      <c r="H737" s="13"/>
      <c r="I737" s="13">
        <v>5</v>
      </c>
      <c r="J737" s="14">
        <f>IFERROR(ROUND(SUM(M738)/I737, 2),0)</f>
        <v>0</v>
      </c>
      <c r="K737" s="15">
        <v>3271</v>
      </c>
      <c r="L737" s="14">
        <f>J737+ROUND(K737, 2)</f>
        <v>3271</v>
      </c>
      <c r="M737" s="14">
        <f>ROUND(J737*I737, 2)</f>
        <v>0</v>
      </c>
      <c r="N737" s="14">
        <f>ROUND(I737*ROUND(K737, 2), 2)</f>
        <v>16355</v>
      </c>
      <c r="O737" s="14">
        <f>M737+N737</f>
        <v>16355</v>
      </c>
      <c r="P737" s="14">
        <f>IFERROR(ROUND(SUM(S738)/I737, 2),0)</f>
        <v>56520.67</v>
      </c>
      <c r="Q737" s="15">
        <v>10751</v>
      </c>
      <c r="R737" s="14">
        <f>P737+ROUND(Q737, 2)</f>
        <v>67271.67</v>
      </c>
      <c r="S737" s="14">
        <f>ROUND(P737*I737, 2)</f>
        <v>282603.34999999998</v>
      </c>
      <c r="T737" s="14">
        <f>ROUND(I737*ROUND(Q737, 2), 2)</f>
        <v>53755</v>
      </c>
      <c r="U737" s="14">
        <f>S737+T737</f>
        <v>336358.35</v>
      </c>
    </row>
    <row r="738" spans="1:21" ht="172.95" customHeight="1" x14ac:dyDescent="0.3">
      <c r="A738" s="10" t="s">
        <v>2782</v>
      </c>
      <c r="B738" s="10"/>
      <c r="C738" s="24" t="s">
        <v>2745</v>
      </c>
      <c r="D738" s="12"/>
      <c r="E738" s="12" t="s">
        <v>2783</v>
      </c>
      <c r="F738" s="18" t="s">
        <v>116</v>
      </c>
      <c r="G738" s="19">
        <v>1</v>
      </c>
      <c r="H738" s="20"/>
      <c r="I738" s="20">
        <v>5</v>
      </c>
      <c r="J738" s="21">
        <v>0</v>
      </c>
      <c r="M738" s="22">
        <f>ROUND(ROUND(J738, 2)*I738, 2)</f>
        <v>0</v>
      </c>
      <c r="P738" s="21">
        <v>56520.67</v>
      </c>
      <c r="S738" s="22">
        <f>ROUND(ROUND(P738, 2)*I738, 2)</f>
        <v>282603.34999999998</v>
      </c>
    </row>
    <row r="739" spans="1:21" ht="36" x14ac:dyDescent="0.3">
      <c r="A739" s="10" t="s">
        <v>2786</v>
      </c>
      <c r="B739" s="10" t="s">
        <v>2713</v>
      </c>
      <c r="C739" s="11" t="s">
        <v>2714</v>
      </c>
      <c r="D739" s="12"/>
      <c r="E739" s="12" t="s">
        <v>2787</v>
      </c>
      <c r="F739" s="12" t="s">
        <v>116</v>
      </c>
      <c r="G739" s="13">
        <v>1</v>
      </c>
      <c r="H739" s="13"/>
      <c r="I739" s="13">
        <v>1</v>
      </c>
      <c r="J739" s="14">
        <f>IFERROR(ROUND(SUM(M740)/I739, 2),0)</f>
        <v>0</v>
      </c>
      <c r="K739" s="15">
        <v>3271</v>
      </c>
      <c r="L739" s="14">
        <f>J739+ROUND(K739, 2)</f>
        <v>3271</v>
      </c>
      <c r="M739" s="14">
        <f>ROUND(J739*I739, 2)</f>
        <v>0</v>
      </c>
      <c r="N739" s="14">
        <f>ROUND(I739*ROUND(K739, 2), 2)</f>
        <v>3271</v>
      </c>
      <c r="O739" s="14">
        <f>M739+N739</f>
        <v>3271</v>
      </c>
      <c r="P739" s="14">
        <f>IFERROR(ROUND(SUM(S740)/I739, 2),0)</f>
        <v>56520.67</v>
      </c>
      <c r="Q739" s="15">
        <v>10751</v>
      </c>
      <c r="R739" s="14">
        <f>P739+ROUND(Q739, 2)</f>
        <v>67271.67</v>
      </c>
      <c r="S739" s="14">
        <f>ROUND(P739*I739, 2)</f>
        <v>56520.67</v>
      </c>
      <c r="T739" s="14">
        <f>ROUND(I739*ROUND(Q739, 2), 2)</f>
        <v>10751</v>
      </c>
      <c r="U739" s="14">
        <f>S739+T739</f>
        <v>67271.67</v>
      </c>
    </row>
    <row r="740" spans="1:21" ht="155.55000000000001" customHeight="1" x14ac:dyDescent="0.3">
      <c r="A740" s="10" t="s">
        <v>2788</v>
      </c>
      <c r="B740" s="10"/>
      <c r="C740" s="24" t="s">
        <v>2719</v>
      </c>
      <c r="D740" s="12"/>
      <c r="E740" s="12" t="s">
        <v>2789</v>
      </c>
      <c r="F740" s="18" t="s">
        <v>116</v>
      </c>
      <c r="G740" s="19">
        <v>1</v>
      </c>
      <c r="H740" s="20"/>
      <c r="I740" s="20">
        <v>1</v>
      </c>
      <c r="J740" s="21">
        <v>0</v>
      </c>
      <c r="M740" s="22">
        <f>ROUND(ROUND(J740, 2)*I740, 2)</f>
        <v>0</v>
      </c>
      <c r="P740" s="21">
        <v>56520.67</v>
      </c>
      <c r="S740" s="22">
        <f>ROUND(ROUND(P740, 2)*I740, 2)</f>
        <v>56520.67</v>
      </c>
    </row>
    <row r="741" spans="1:21" ht="36" x14ac:dyDescent="0.3">
      <c r="A741" s="10" t="s">
        <v>2792</v>
      </c>
      <c r="B741" s="10" t="s">
        <v>2713</v>
      </c>
      <c r="C741" s="11" t="s">
        <v>2714</v>
      </c>
      <c r="D741" s="12"/>
      <c r="E741" s="12" t="s">
        <v>2793</v>
      </c>
      <c r="F741" s="12" t="s">
        <v>116</v>
      </c>
      <c r="G741" s="13">
        <v>1</v>
      </c>
      <c r="H741" s="13"/>
      <c r="I741" s="13">
        <v>5</v>
      </c>
      <c r="J741" s="14">
        <f>IFERROR(ROUND(SUM(M742)/I741, 2),0)</f>
        <v>0</v>
      </c>
      <c r="K741" s="15">
        <v>3271</v>
      </c>
      <c r="L741" s="14">
        <f>J741+ROUND(K741, 2)</f>
        <v>3271</v>
      </c>
      <c r="M741" s="14">
        <f>ROUND(J741*I741, 2)</f>
        <v>0</v>
      </c>
      <c r="N741" s="14">
        <f>ROUND(I741*ROUND(K741, 2), 2)</f>
        <v>16355</v>
      </c>
      <c r="O741" s="14">
        <f>M741+N741</f>
        <v>16355</v>
      </c>
      <c r="P741" s="14">
        <f>IFERROR(ROUND(SUM(S742)/I741, 2),0)</f>
        <v>39406.67</v>
      </c>
      <c r="Q741" s="15">
        <v>9309</v>
      </c>
      <c r="R741" s="14">
        <f>P741+ROUND(Q741, 2)</f>
        <v>48715.67</v>
      </c>
      <c r="S741" s="14">
        <f>ROUND(P741*I741, 2)</f>
        <v>197033.35</v>
      </c>
      <c r="T741" s="14">
        <f>ROUND(I741*ROUND(Q741, 2), 2)</f>
        <v>46545</v>
      </c>
      <c r="U741" s="14">
        <f>S741+T741</f>
        <v>243578.35</v>
      </c>
    </row>
    <row r="742" spans="1:21" ht="141" customHeight="1" x14ac:dyDescent="0.3">
      <c r="A742" s="10" t="s">
        <v>2794</v>
      </c>
      <c r="B742" s="10"/>
      <c r="C742" s="24" t="s">
        <v>2745</v>
      </c>
      <c r="D742" s="12"/>
      <c r="E742" s="12" t="s">
        <v>2795</v>
      </c>
      <c r="F742" s="18" t="s">
        <v>116</v>
      </c>
      <c r="G742" s="19">
        <v>1</v>
      </c>
      <c r="H742" s="20"/>
      <c r="I742" s="20">
        <v>5</v>
      </c>
      <c r="J742" s="21">
        <v>0</v>
      </c>
      <c r="M742" s="22">
        <f>ROUND(ROUND(J742, 2)*I742, 2)</f>
        <v>0</v>
      </c>
      <c r="P742" s="21">
        <v>39406.67</v>
      </c>
      <c r="S742" s="22">
        <f>ROUND(ROUND(P742, 2)*I742, 2)</f>
        <v>197033.35</v>
      </c>
    </row>
    <row r="743" spans="1:21" ht="36" x14ac:dyDescent="0.3">
      <c r="A743" s="10" t="s">
        <v>2798</v>
      </c>
      <c r="B743" s="10" t="s">
        <v>2713</v>
      </c>
      <c r="C743" s="11" t="s">
        <v>2714</v>
      </c>
      <c r="D743" s="12"/>
      <c r="E743" s="12" t="s">
        <v>2799</v>
      </c>
      <c r="F743" s="12" t="s">
        <v>116</v>
      </c>
      <c r="G743" s="13">
        <v>1</v>
      </c>
      <c r="H743" s="13"/>
      <c r="I743" s="13">
        <v>3</v>
      </c>
      <c r="J743" s="14">
        <f>IFERROR(ROUND(SUM(M744)/I743, 2),0)</f>
        <v>3442</v>
      </c>
      <c r="K743" s="15">
        <v>3271</v>
      </c>
      <c r="L743" s="14">
        <f>J743+ROUND(K743, 2)</f>
        <v>6713</v>
      </c>
      <c r="M743" s="14">
        <f>ROUND(J743*I743, 2)</f>
        <v>10326</v>
      </c>
      <c r="N743" s="14">
        <f>ROUND(I743*ROUND(K743, 2), 2)</f>
        <v>9813</v>
      </c>
      <c r="O743" s="14">
        <f>M743+N743</f>
        <v>20139</v>
      </c>
      <c r="P743" s="14">
        <f>IFERROR(ROUND(SUM(S744)/I743, 2),0)</f>
        <v>39406.67</v>
      </c>
      <c r="Q743" s="15">
        <v>9309</v>
      </c>
      <c r="R743" s="14">
        <f>P743+ROUND(Q743, 2)</f>
        <v>48715.67</v>
      </c>
      <c r="S743" s="14">
        <f>ROUND(P743*I743, 2)</f>
        <v>118220.01</v>
      </c>
      <c r="T743" s="14">
        <f>ROUND(I743*ROUND(Q743, 2), 2)</f>
        <v>27927</v>
      </c>
      <c r="U743" s="14">
        <f>S743+T743</f>
        <v>146147.01</v>
      </c>
    </row>
    <row r="744" spans="1:21" ht="142.05000000000001" customHeight="1" x14ac:dyDescent="0.3">
      <c r="A744" s="10" t="s">
        <v>2800</v>
      </c>
      <c r="B744" s="10"/>
      <c r="C744" s="24" t="s">
        <v>2801</v>
      </c>
      <c r="D744" s="12"/>
      <c r="E744" s="12" t="s">
        <v>2802</v>
      </c>
      <c r="F744" s="18" t="s">
        <v>116</v>
      </c>
      <c r="G744" s="19">
        <v>1</v>
      </c>
      <c r="H744" s="20"/>
      <c r="I744" s="20">
        <v>3</v>
      </c>
      <c r="J744" s="21">
        <v>3442</v>
      </c>
      <c r="M744" s="22">
        <f>ROUND(ROUND(J744, 2)*I744, 2)</f>
        <v>10326</v>
      </c>
      <c r="P744" s="21">
        <v>39406.67</v>
      </c>
      <c r="S744" s="22">
        <f>ROUND(ROUND(P744, 2)*I744, 2)</f>
        <v>118220.01</v>
      </c>
    </row>
    <row r="745" spans="1:21" ht="36" x14ac:dyDescent="0.3">
      <c r="A745" s="10" t="s">
        <v>2806</v>
      </c>
      <c r="B745" s="10" t="s">
        <v>2713</v>
      </c>
      <c r="C745" s="11" t="s">
        <v>2714</v>
      </c>
      <c r="D745" s="12"/>
      <c r="E745" s="12" t="s">
        <v>2807</v>
      </c>
      <c r="F745" s="12" t="s">
        <v>116</v>
      </c>
      <c r="G745" s="13">
        <v>1</v>
      </c>
      <c r="H745" s="13"/>
      <c r="I745" s="13">
        <v>15</v>
      </c>
      <c r="J745" s="14">
        <f>IFERROR(ROUND(SUM(M746)/I745, 2),0)</f>
        <v>0</v>
      </c>
      <c r="K745" s="15">
        <v>3271</v>
      </c>
      <c r="L745" s="14">
        <f>J745+ROUND(K745, 2)</f>
        <v>3271</v>
      </c>
      <c r="M745" s="14">
        <f>ROUND(J745*I745, 2)</f>
        <v>0</v>
      </c>
      <c r="N745" s="14">
        <f>ROUND(I745*ROUND(K745, 2), 2)</f>
        <v>49065</v>
      </c>
      <c r="O745" s="14">
        <f>M745+N745</f>
        <v>49065</v>
      </c>
      <c r="P745" s="14">
        <f>IFERROR(ROUND(SUM(S746)/I745, 2),0)</f>
        <v>56520.67</v>
      </c>
      <c r="Q745" s="15">
        <v>10751</v>
      </c>
      <c r="R745" s="14">
        <f>P745+ROUND(Q745, 2)</f>
        <v>67271.67</v>
      </c>
      <c r="S745" s="14">
        <f>ROUND(P745*I745, 2)</f>
        <v>847810.05</v>
      </c>
      <c r="T745" s="14">
        <f>ROUND(I745*ROUND(Q745, 2), 2)</f>
        <v>161265</v>
      </c>
      <c r="U745" s="14">
        <f>S745+T745</f>
        <v>1009075.05</v>
      </c>
    </row>
    <row r="746" spans="1:21" ht="133.5" customHeight="1" x14ac:dyDescent="0.3">
      <c r="A746" s="10" t="s">
        <v>2808</v>
      </c>
      <c r="B746" s="10"/>
      <c r="C746" s="24" t="s">
        <v>2745</v>
      </c>
      <c r="D746" s="12"/>
      <c r="E746" s="12" t="s">
        <v>2809</v>
      </c>
      <c r="F746" s="18" t="s">
        <v>116</v>
      </c>
      <c r="G746" s="19">
        <v>1</v>
      </c>
      <c r="H746" s="20"/>
      <c r="I746" s="20">
        <v>15</v>
      </c>
      <c r="J746" s="21">
        <v>0</v>
      </c>
      <c r="M746" s="22">
        <f>ROUND(ROUND(J746, 2)*I746, 2)</f>
        <v>0</v>
      </c>
      <c r="P746" s="21">
        <v>56520.67</v>
      </c>
      <c r="S746" s="22">
        <f>ROUND(ROUND(P746, 2)*I746, 2)</f>
        <v>847810.05</v>
      </c>
    </row>
    <row r="747" spans="1:21" ht="36" x14ac:dyDescent="0.3">
      <c r="A747" s="10" t="s">
        <v>2812</v>
      </c>
      <c r="B747" s="10" t="s">
        <v>2713</v>
      </c>
      <c r="C747" s="11" t="s">
        <v>2714</v>
      </c>
      <c r="D747" s="12"/>
      <c r="E747" s="12" t="s">
        <v>2813</v>
      </c>
      <c r="F747" s="12" t="s">
        <v>116</v>
      </c>
      <c r="G747" s="13">
        <v>1</v>
      </c>
      <c r="H747" s="13"/>
      <c r="I747" s="13">
        <v>4</v>
      </c>
      <c r="J747" s="14">
        <f>IFERROR(ROUND(SUM(M748)/I747, 2),0)</f>
        <v>0</v>
      </c>
      <c r="K747" s="15">
        <v>3271</v>
      </c>
      <c r="L747" s="14">
        <f>J747+ROUND(K747, 2)</f>
        <v>3271</v>
      </c>
      <c r="M747" s="14">
        <f>ROUND(J747*I747, 2)</f>
        <v>0</v>
      </c>
      <c r="N747" s="14">
        <f>ROUND(I747*ROUND(K747, 2), 2)</f>
        <v>13084</v>
      </c>
      <c r="O747" s="14">
        <f>M747+N747</f>
        <v>13084</v>
      </c>
      <c r="P747" s="14">
        <f>IFERROR(ROUND(SUM(S748)/I747, 2),0)</f>
        <v>56520.67</v>
      </c>
      <c r="Q747" s="15">
        <v>10751</v>
      </c>
      <c r="R747" s="14">
        <f>P747+ROUND(Q747, 2)</f>
        <v>67271.67</v>
      </c>
      <c r="S747" s="14">
        <f>ROUND(P747*I747, 2)</f>
        <v>226082.68</v>
      </c>
      <c r="T747" s="14">
        <f>ROUND(I747*ROUND(Q747, 2), 2)</f>
        <v>43004</v>
      </c>
      <c r="U747" s="14">
        <f>S747+T747</f>
        <v>269086.68</v>
      </c>
    </row>
    <row r="748" spans="1:21" ht="168.45" customHeight="1" x14ac:dyDescent="0.3">
      <c r="A748" s="10" t="s">
        <v>2814</v>
      </c>
      <c r="B748" s="10"/>
      <c r="C748" s="24" t="s">
        <v>2719</v>
      </c>
      <c r="D748" s="12"/>
      <c r="E748" s="12" t="s">
        <v>2815</v>
      </c>
      <c r="F748" s="18" t="s">
        <v>116</v>
      </c>
      <c r="G748" s="19">
        <v>1</v>
      </c>
      <c r="H748" s="20"/>
      <c r="I748" s="20">
        <v>4</v>
      </c>
      <c r="J748" s="21">
        <v>0</v>
      </c>
      <c r="M748" s="22">
        <f>ROUND(ROUND(J748, 2)*I748, 2)</f>
        <v>0</v>
      </c>
      <c r="P748" s="21">
        <v>56520.67</v>
      </c>
      <c r="S748" s="22">
        <f>ROUND(ROUND(P748, 2)*I748, 2)</f>
        <v>226082.68</v>
      </c>
    </row>
    <row r="749" spans="1:21" ht="36" x14ac:dyDescent="0.3">
      <c r="A749" s="10" t="s">
        <v>2818</v>
      </c>
      <c r="B749" s="10" t="s">
        <v>2713</v>
      </c>
      <c r="C749" s="11" t="s">
        <v>2714</v>
      </c>
      <c r="D749" s="12"/>
      <c r="E749" s="12" t="s">
        <v>2819</v>
      </c>
      <c r="F749" s="12" t="s">
        <v>116</v>
      </c>
      <c r="G749" s="13">
        <v>1</v>
      </c>
      <c r="H749" s="13"/>
      <c r="I749" s="13">
        <v>2</v>
      </c>
      <c r="J749" s="14">
        <f>IFERROR(ROUND(SUM(M750)/I749, 2),0)</f>
        <v>0</v>
      </c>
      <c r="K749" s="15">
        <v>3271</v>
      </c>
      <c r="L749" s="14">
        <f>J749+ROUND(K749, 2)</f>
        <v>3271</v>
      </c>
      <c r="M749" s="14">
        <f>ROUND(J749*I749, 2)</f>
        <v>0</v>
      </c>
      <c r="N749" s="14">
        <f>ROUND(I749*ROUND(K749, 2), 2)</f>
        <v>6542</v>
      </c>
      <c r="O749" s="14">
        <f>M749+N749</f>
        <v>6542</v>
      </c>
      <c r="P749" s="14">
        <f>IFERROR(ROUND(SUM(S750)/I749, 2),0)</f>
        <v>63045</v>
      </c>
      <c r="Q749" s="15">
        <v>10751</v>
      </c>
      <c r="R749" s="14">
        <f>P749+ROUND(Q749, 2)</f>
        <v>73796</v>
      </c>
      <c r="S749" s="14">
        <f>ROUND(P749*I749, 2)</f>
        <v>126090</v>
      </c>
      <c r="T749" s="14">
        <f>ROUND(I749*ROUND(Q749, 2), 2)</f>
        <v>21502</v>
      </c>
      <c r="U749" s="14">
        <f>S749+T749</f>
        <v>147592</v>
      </c>
    </row>
    <row r="750" spans="1:21" ht="148.05000000000001" customHeight="1" x14ac:dyDescent="0.3">
      <c r="A750" s="10" t="s">
        <v>2820</v>
      </c>
      <c r="B750" s="10"/>
      <c r="C750" s="24" t="s">
        <v>2745</v>
      </c>
      <c r="D750" s="12"/>
      <c r="E750" s="12" t="s">
        <v>2821</v>
      </c>
      <c r="F750" s="18" t="s">
        <v>116</v>
      </c>
      <c r="G750" s="19">
        <v>1</v>
      </c>
      <c r="H750" s="20"/>
      <c r="I750" s="20">
        <v>2</v>
      </c>
      <c r="J750" s="21">
        <v>0</v>
      </c>
      <c r="M750" s="22">
        <f>ROUND(ROUND(J750, 2)*I750, 2)</f>
        <v>0</v>
      </c>
      <c r="P750" s="21">
        <v>63045</v>
      </c>
      <c r="S750" s="22">
        <f>ROUND(ROUND(P750, 2)*I750, 2)</f>
        <v>126090</v>
      </c>
    </row>
    <row r="751" spans="1:21" ht="36" x14ac:dyDescent="0.3">
      <c r="A751" s="10" t="s">
        <v>2824</v>
      </c>
      <c r="B751" s="10" t="s">
        <v>2713</v>
      </c>
      <c r="C751" s="11" t="s">
        <v>2714</v>
      </c>
      <c r="D751" s="12"/>
      <c r="E751" s="12" t="s">
        <v>2825</v>
      </c>
      <c r="F751" s="12" t="s">
        <v>116</v>
      </c>
      <c r="G751" s="13">
        <v>1</v>
      </c>
      <c r="H751" s="13"/>
      <c r="I751" s="13">
        <v>2</v>
      </c>
      <c r="J751" s="14">
        <f>IFERROR(ROUND(SUM(M752)/I751, 2),0)</f>
        <v>0</v>
      </c>
      <c r="K751" s="15">
        <v>3271</v>
      </c>
      <c r="L751" s="14">
        <f>J751+ROUND(K751, 2)</f>
        <v>3271</v>
      </c>
      <c r="M751" s="14">
        <f>ROUND(J751*I751, 2)</f>
        <v>0</v>
      </c>
      <c r="N751" s="14">
        <f>ROUND(I751*ROUND(K751, 2), 2)</f>
        <v>6542</v>
      </c>
      <c r="O751" s="14">
        <f>M751+N751</f>
        <v>6542</v>
      </c>
      <c r="P751" s="14">
        <f>IFERROR(ROUND(SUM(S752)/I751, 2),0)</f>
        <v>39406.67</v>
      </c>
      <c r="Q751" s="15">
        <v>9309</v>
      </c>
      <c r="R751" s="14">
        <f>P751+ROUND(Q751, 2)</f>
        <v>48715.67</v>
      </c>
      <c r="S751" s="14">
        <f>ROUND(P751*I751, 2)</f>
        <v>78813.34</v>
      </c>
      <c r="T751" s="14">
        <f>ROUND(I751*ROUND(Q751, 2), 2)</f>
        <v>18618</v>
      </c>
      <c r="U751" s="14">
        <f>S751+T751</f>
        <v>97431.34</v>
      </c>
    </row>
    <row r="752" spans="1:21" ht="145.5" customHeight="1" x14ac:dyDescent="0.3">
      <c r="A752" s="10" t="s">
        <v>2826</v>
      </c>
      <c r="B752" s="10"/>
      <c r="C752" s="24" t="s">
        <v>2745</v>
      </c>
      <c r="D752" s="12"/>
      <c r="E752" s="12" t="s">
        <v>2827</v>
      </c>
      <c r="F752" s="18" t="s">
        <v>116</v>
      </c>
      <c r="G752" s="19">
        <v>1</v>
      </c>
      <c r="H752" s="20"/>
      <c r="I752" s="20">
        <v>2</v>
      </c>
      <c r="J752" s="21">
        <v>0</v>
      </c>
      <c r="M752" s="22">
        <f>ROUND(ROUND(J752, 2)*I752, 2)</f>
        <v>0</v>
      </c>
      <c r="P752" s="21">
        <v>39406.67</v>
      </c>
      <c r="S752" s="22">
        <f>ROUND(ROUND(P752, 2)*I752, 2)</f>
        <v>78813.34</v>
      </c>
    </row>
    <row r="753" spans="1:21" ht="36" x14ac:dyDescent="0.3">
      <c r="A753" s="10" t="s">
        <v>2830</v>
      </c>
      <c r="B753" s="10" t="s">
        <v>2713</v>
      </c>
      <c r="C753" s="11" t="s">
        <v>2714</v>
      </c>
      <c r="D753" s="12"/>
      <c r="E753" s="12" t="s">
        <v>2831</v>
      </c>
      <c r="F753" s="12" t="s">
        <v>116</v>
      </c>
      <c r="G753" s="13">
        <v>1</v>
      </c>
      <c r="H753" s="13"/>
      <c r="I753" s="13">
        <v>2</v>
      </c>
      <c r="J753" s="14">
        <f>IFERROR(ROUND(SUM(M754)/I753, 2),0)</f>
        <v>0</v>
      </c>
      <c r="K753" s="15">
        <v>3271</v>
      </c>
      <c r="L753" s="14">
        <f>J753+ROUND(K753, 2)</f>
        <v>3271</v>
      </c>
      <c r="M753" s="14">
        <f>ROUND(J753*I753, 2)</f>
        <v>0</v>
      </c>
      <c r="N753" s="14">
        <f>ROUND(I753*ROUND(K753, 2), 2)</f>
        <v>6542</v>
      </c>
      <c r="O753" s="14">
        <f>M753+N753</f>
        <v>6542</v>
      </c>
      <c r="P753" s="14">
        <f>IFERROR(ROUND(SUM(S754)/I753, 2),0)</f>
        <v>56520.67</v>
      </c>
      <c r="Q753" s="15">
        <v>10751</v>
      </c>
      <c r="R753" s="14">
        <f>P753+ROUND(Q753, 2)</f>
        <v>67271.67</v>
      </c>
      <c r="S753" s="14">
        <f>ROUND(P753*I753, 2)</f>
        <v>113041.34</v>
      </c>
      <c r="T753" s="14">
        <f>ROUND(I753*ROUND(Q753, 2), 2)</f>
        <v>21502</v>
      </c>
      <c r="U753" s="14">
        <f>S753+T753</f>
        <v>134543.34</v>
      </c>
    </row>
    <row r="754" spans="1:21" ht="134.55000000000001" customHeight="1" x14ac:dyDescent="0.3">
      <c r="A754" s="10" t="s">
        <v>2832</v>
      </c>
      <c r="B754" s="10"/>
      <c r="C754" s="24" t="s">
        <v>2745</v>
      </c>
      <c r="D754" s="12"/>
      <c r="E754" s="12" t="s">
        <v>2833</v>
      </c>
      <c r="F754" s="18" t="s">
        <v>116</v>
      </c>
      <c r="G754" s="19">
        <v>1</v>
      </c>
      <c r="H754" s="20"/>
      <c r="I754" s="20">
        <v>2</v>
      </c>
      <c r="J754" s="21">
        <v>0</v>
      </c>
      <c r="M754" s="22">
        <f>ROUND(ROUND(J754, 2)*I754, 2)</f>
        <v>0</v>
      </c>
      <c r="P754" s="21">
        <v>56520.67</v>
      </c>
      <c r="S754" s="22">
        <f>ROUND(ROUND(P754, 2)*I754, 2)</f>
        <v>113041.34</v>
      </c>
    </row>
    <row r="755" spans="1:21" ht="36" x14ac:dyDescent="0.3">
      <c r="A755" s="10" t="s">
        <v>2836</v>
      </c>
      <c r="B755" s="10" t="s">
        <v>2713</v>
      </c>
      <c r="C755" s="11" t="s">
        <v>2714</v>
      </c>
      <c r="D755" s="12"/>
      <c r="E755" s="12" t="s">
        <v>2837</v>
      </c>
      <c r="F755" s="12" t="s">
        <v>116</v>
      </c>
      <c r="G755" s="13">
        <v>1</v>
      </c>
      <c r="H755" s="13"/>
      <c r="I755" s="13">
        <v>2</v>
      </c>
      <c r="J755" s="14">
        <f>IFERROR(ROUND(SUM(M756)/I755, 2),0)</f>
        <v>0</v>
      </c>
      <c r="K755" s="15">
        <v>3271</v>
      </c>
      <c r="L755" s="14">
        <f>J755+ROUND(K755, 2)</f>
        <v>3271</v>
      </c>
      <c r="M755" s="14">
        <f>ROUND(J755*I755, 2)</f>
        <v>0</v>
      </c>
      <c r="N755" s="14">
        <f>ROUND(I755*ROUND(K755, 2), 2)</f>
        <v>6542</v>
      </c>
      <c r="O755" s="14">
        <f>M755+N755</f>
        <v>6542</v>
      </c>
      <c r="P755" s="14">
        <f>IFERROR(ROUND(SUM(S756)/I755, 2),0)</f>
        <v>56520.67</v>
      </c>
      <c r="Q755" s="15">
        <v>10751</v>
      </c>
      <c r="R755" s="14">
        <f>P755+ROUND(Q755, 2)</f>
        <v>67271.67</v>
      </c>
      <c r="S755" s="14">
        <f>ROUND(P755*I755, 2)</f>
        <v>113041.34</v>
      </c>
      <c r="T755" s="14">
        <f>ROUND(I755*ROUND(Q755, 2), 2)</f>
        <v>21502</v>
      </c>
      <c r="U755" s="14">
        <f>S755+T755</f>
        <v>134543.34</v>
      </c>
    </row>
    <row r="756" spans="1:21" ht="172.95" customHeight="1" x14ac:dyDescent="0.3">
      <c r="A756" s="10" t="s">
        <v>2838</v>
      </c>
      <c r="B756" s="10"/>
      <c r="C756" s="24" t="s">
        <v>2719</v>
      </c>
      <c r="D756" s="12"/>
      <c r="E756" s="12" t="s">
        <v>2839</v>
      </c>
      <c r="F756" s="18" t="s">
        <v>116</v>
      </c>
      <c r="G756" s="19">
        <v>1</v>
      </c>
      <c r="H756" s="20"/>
      <c r="I756" s="20">
        <v>2</v>
      </c>
      <c r="J756" s="21">
        <v>0</v>
      </c>
      <c r="M756" s="22">
        <f>ROUND(ROUND(J756, 2)*I756, 2)</f>
        <v>0</v>
      </c>
      <c r="P756" s="21">
        <v>56520.67</v>
      </c>
      <c r="S756" s="22">
        <f>ROUND(ROUND(P756, 2)*I756, 2)</f>
        <v>113041.34</v>
      </c>
    </row>
    <row r="757" spans="1:21" ht="36" x14ac:dyDescent="0.3">
      <c r="A757" s="10" t="s">
        <v>2842</v>
      </c>
      <c r="B757" s="10" t="s">
        <v>2713</v>
      </c>
      <c r="C757" s="11" t="s">
        <v>2714</v>
      </c>
      <c r="D757" s="12"/>
      <c r="E757" s="12" t="s">
        <v>2843</v>
      </c>
      <c r="F757" s="12" t="s">
        <v>116</v>
      </c>
      <c r="G757" s="13">
        <v>1</v>
      </c>
      <c r="H757" s="13"/>
      <c r="I757" s="13">
        <v>3</v>
      </c>
      <c r="J757" s="14">
        <f>IFERROR(ROUND(SUM(M758)/I757, 2),0)</f>
        <v>0</v>
      </c>
      <c r="K757" s="15">
        <v>3271</v>
      </c>
      <c r="L757" s="14">
        <f>J757+ROUND(K757, 2)</f>
        <v>3271</v>
      </c>
      <c r="M757" s="14">
        <f>ROUND(J757*I757, 2)</f>
        <v>0</v>
      </c>
      <c r="N757" s="14">
        <f>ROUND(I757*ROUND(K757, 2), 2)</f>
        <v>9813</v>
      </c>
      <c r="O757" s="14">
        <f>M757+N757</f>
        <v>9813</v>
      </c>
      <c r="P757" s="14">
        <f>IFERROR(ROUND(SUM(S758)/I757, 2),0)</f>
        <v>39406.67</v>
      </c>
      <c r="Q757" s="15">
        <v>9309</v>
      </c>
      <c r="R757" s="14">
        <f>P757+ROUND(Q757, 2)</f>
        <v>48715.67</v>
      </c>
      <c r="S757" s="14">
        <f>ROUND(P757*I757, 2)</f>
        <v>118220.01</v>
      </c>
      <c r="T757" s="14">
        <f>ROUND(I757*ROUND(Q757, 2), 2)</f>
        <v>27927</v>
      </c>
      <c r="U757" s="14">
        <f>S757+T757</f>
        <v>146147.01</v>
      </c>
    </row>
    <row r="758" spans="1:21" ht="196.95" customHeight="1" x14ac:dyDescent="0.3">
      <c r="A758" s="10" t="s">
        <v>2844</v>
      </c>
      <c r="B758" s="10"/>
      <c r="C758" s="24" t="s">
        <v>2745</v>
      </c>
      <c r="D758" s="12"/>
      <c r="E758" s="12" t="s">
        <v>2845</v>
      </c>
      <c r="F758" s="18" t="s">
        <v>116</v>
      </c>
      <c r="G758" s="19">
        <v>1</v>
      </c>
      <c r="H758" s="20"/>
      <c r="I758" s="20">
        <v>3</v>
      </c>
      <c r="J758" s="21">
        <v>0</v>
      </c>
      <c r="M758" s="22">
        <f>ROUND(ROUND(J758, 2)*I758, 2)</f>
        <v>0</v>
      </c>
      <c r="P758" s="21">
        <v>39406.67</v>
      </c>
      <c r="S758" s="22">
        <f>ROUND(ROUND(P758, 2)*I758, 2)</f>
        <v>118220.01</v>
      </c>
    </row>
    <row r="759" spans="1:21" ht="36" x14ac:dyDescent="0.3">
      <c r="A759" s="10" t="s">
        <v>2848</v>
      </c>
      <c r="B759" s="10" t="s">
        <v>2713</v>
      </c>
      <c r="C759" s="11" t="s">
        <v>2714</v>
      </c>
      <c r="D759" s="12"/>
      <c r="E759" s="12" t="s">
        <v>2849</v>
      </c>
      <c r="F759" s="12" t="s">
        <v>116</v>
      </c>
      <c r="G759" s="13">
        <v>1</v>
      </c>
      <c r="H759" s="13"/>
      <c r="I759" s="13">
        <v>2</v>
      </c>
      <c r="J759" s="14">
        <f>IFERROR(ROUND(SUM(M760)/I759, 2),0)</f>
        <v>0</v>
      </c>
      <c r="K759" s="15">
        <v>3271</v>
      </c>
      <c r="L759" s="14">
        <f>J759+ROUND(K759, 2)</f>
        <v>3271</v>
      </c>
      <c r="M759" s="14">
        <f>ROUND(J759*I759, 2)</f>
        <v>0</v>
      </c>
      <c r="N759" s="14">
        <f>ROUND(I759*ROUND(K759, 2), 2)</f>
        <v>6542</v>
      </c>
      <c r="O759" s="14">
        <f>M759+N759</f>
        <v>6542</v>
      </c>
      <c r="P759" s="14">
        <f>IFERROR(ROUND(SUM(S760)/I759, 2),0)</f>
        <v>39406.67</v>
      </c>
      <c r="Q759" s="15">
        <v>9309</v>
      </c>
      <c r="R759" s="14">
        <f>P759+ROUND(Q759, 2)</f>
        <v>48715.67</v>
      </c>
      <c r="S759" s="14">
        <f>ROUND(P759*I759, 2)</f>
        <v>78813.34</v>
      </c>
      <c r="T759" s="14">
        <f>ROUND(I759*ROUND(Q759, 2), 2)</f>
        <v>18618</v>
      </c>
      <c r="U759" s="14">
        <f>S759+T759</f>
        <v>97431.34</v>
      </c>
    </row>
    <row r="760" spans="1:21" ht="198" customHeight="1" x14ac:dyDescent="0.3">
      <c r="A760" s="10" t="s">
        <v>2850</v>
      </c>
      <c r="B760" s="10"/>
      <c r="C760" s="24" t="s">
        <v>2745</v>
      </c>
      <c r="D760" s="12"/>
      <c r="E760" s="12" t="s">
        <v>2851</v>
      </c>
      <c r="F760" s="18" t="s">
        <v>116</v>
      </c>
      <c r="G760" s="19">
        <v>1</v>
      </c>
      <c r="H760" s="20"/>
      <c r="I760" s="20">
        <v>2</v>
      </c>
      <c r="J760" s="21">
        <v>0</v>
      </c>
      <c r="M760" s="22">
        <f>ROUND(ROUND(J760, 2)*I760, 2)</f>
        <v>0</v>
      </c>
      <c r="P760" s="21">
        <v>39406.67</v>
      </c>
      <c r="S760" s="22">
        <f>ROUND(ROUND(P760, 2)*I760, 2)</f>
        <v>78813.34</v>
      </c>
    </row>
    <row r="761" spans="1:21" ht="36" x14ac:dyDescent="0.3">
      <c r="A761" s="10" t="s">
        <v>2854</v>
      </c>
      <c r="B761" s="10" t="s">
        <v>2713</v>
      </c>
      <c r="C761" s="11" t="s">
        <v>2714</v>
      </c>
      <c r="D761" s="12"/>
      <c r="E761" s="12" t="s">
        <v>2855</v>
      </c>
      <c r="F761" s="12" t="s">
        <v>116</v>
      </c>
      <c r="G761" s="13">
        <v>1</v>
      </c>
      <c r="H761" s="13"/>
      <c r="I761" s="13">
        <v>1</v>
      </c>
      <c r="J761" s="14">
        <f>IFERROR(ROUND(SUM(M762)/I761, 2),0)</f>
        <v>0</v>
      </c>
      <c r="K761" s="15">
        <v>3271</v>
      </c>
      <c r="L761" s="14">
        <f>J761+ROUND(K761, 2)</f>
        <v>3271</v>
      </c>
      <c r="M761" s="14">
        <f>ROUND(J761*I761, 2)</f>
        <v>0</v>
      </c>
      <c r="N761" s="14">
        <f>ROUND(I761*ROUND(K761, 2), 2)</f>
        <v>3271</v>
      </c>
      <c r="O761" s="14">
        <f>M761+N761</f>
        <v>3271</v>
      </c>
      <c r="P761" s="14">
        <f>IFERROR(ROUND(SUM(S762)/I761, 2),0)</f>
        <v>39406.67</v>
      </c>
      <c r="Q761" s="15">
        <v>9309</v>
      </c>
      <c r="R761" s="14">
        <f>P761+ROUND(Q761, 2)</f>
        <v>48715.67</v>
      </c>
      <c r="S761" s="14">
        <f>ROUND(P761*I761, 2)</f>
        <v>39406.67</v>
      </c>
      <c r="T761" s="14">
        <f>ROUND(I761*ROUND(Q761, 2), 2)</f>
        <v>9309</v>
      </c>
      <c r="U761" s="14">
        <f>S761+T761</f>
        <v>48715.67</v>
      </c>
    </row>
    <row r="762" spans="1:21" ht="204.45" customHeight="1" x14ac:dyDescent="0.3">
      <c r="A762" s="10" t="s">
        <v>2856</v>
      </c>
      <c r="B762" s="10"/>
      <c r="C762" s="24" t="s">
        <v>2745</v>
      </c>
      <c r="D762" s="12"/>
      <c r="E762" s="12" t="s">
        <v>2857</v>
      </c>
      <c r="F762" s="18" t="s">
        <v>116</v>
      </c>
      <c r="G762" s="19">
        <v>1</v>
      </c>
      <c r="H762" s="20"/>
      <c r="I762" s="20">
        <v>1</v>
      </c>
      <c r="J762" s="21">
        <v>0</v>
      </c>
      <c r="M762" s="22">
        <f>ROUND(ROUND(J762, 2)*I762, 2)</f>
        <v>0</v>
      </c>
      <c r="P762" s="21">
        <v>39406.67</v>
      </c>
      <c r="S762" s="22">
        <f>ROUND(ROUND(P762, 2)*I762, 2)</f>
        <v>39406.67</v>
      </c>
    </row>
    <row r="763" spans="1:21" ht="36" x14ac:dyDescent="0.3">
      <c r="A763" s="10" t="s">
        <v>2860</v>
      </c>
      <c r="B763" s="10" t="s">
        <v>2713</v>
      </c>
      <c r="C763" s="11" t="s">
        <v>2714</v>
      </c>
      <c r="D763" s="12"/>
      <c r="E763" s="12" t="s">
        <v>2861</v>
      </c>
      <c r="F763" s="12" t="s">
        <v>116</v>
      </c>
      <c r="G763" s="13">
        <v>1</v>
      </c>
      <c r="H763" s="13"/>
      <c r="I763" s="13">
        <v>1</v>
      </c>
      <c r="J763" s="14">
        <f>IFERROR(ROUND(SUM(M764)/I763, 2),0)</f>
        <v>0</v>
      </c>
      <c r="K763" s="15">
        <v>3271</v>
      </c>
      <c r="L763" s="14">
        <f>J763+ROUND(K763, 2)</f>
        <v>3271</v>
      </c>
      <c r="M763" s="14">
        <f>ROUND(J763*I763, 2)</f>
        <v>0</v>
      </c>
      <c r="N763" s="14">
        <f>ROUND(I763*ROUND(K763, 2), 2)</f>
        <v>3271</v>
      </c>
      <c r="O763" s="14">
        <f>M763+N763</f>
        <v>3271</v>
      </c>
      <c r="P763" s="14">
        <f>IFERROR(ROUND(SUM(S764)/I763, 2),0)</f>
        <v>97185</v>
      </c>
      <c r="Q763" s="15">
        <v>12606</v>
      </c>
      <c r="R763" s="14">
        <f>P763+ROUND(Q763, 2)</f>
        <v>109791</v>
      </c>
      <c r="S763" s="14">
        <f>ROUND(P763*I763, 2)</f>
        <v>97185</v>
      </c>
      <c r="T763" s="14">
        <f>ROUND(I763*ROUND(Q763, 2), 2)</f>
        <v>12606</v>
      </c>
      <c r="U763" s="14">
        <f>S763+T763</f>
        <v>109791</v>
      </c>
    </row>
    <row r="764" spans="1:21" ht="148.5" customHeight="1" x14ac:dyDescent="0.3">
      <c r="A764" s="10" t="s">
        <v>2862</v>
      </c>
      <c r="B764" s="10"/>
      <c r="C764" s="24" t="s">
        <v>2719</v>
      </c>
      <c r="D764" s="12"/>
      <c r="E764" s="12" t="s">
        <v>2863</v>
      </c>
      <c r="F764" s="18" t="s">
        <v>116</v>
      </c>
      <c r="G764" s="19">
        <v>1</v>
      </c>
      <c r="H764" s="20"/>
      <c r="I764" s="20">
        <v>1</v>
      </c>
      <c r="J764" s="21">
        <v>0</v>
      </c>
      <c r="M764" s="22">
        <f>ROUND(ROUND(J764, 2)*I764, 2)</f>
        <v>0</v>
      </c>
      <c r="P764" s="21">
        <v>97185</v>
      </c>
      <c r="S764" s="22">
        <f>ROUND(ROUND(P764, 2)*I764, 2)</f>
        <v>97185</v>
      </c>
    </row>
    <row r="765" spans="1:21" ht="36" x14ac:dyDescent="0.3">
      <c r="A765" s="10" t="s">
        <v>2866</v>
      </c>
      <c r="B765" s="10" t="s">
        <v>2713</v>
      </c>
      <c r="C765" s="11" t="s">
        <v>2714</v>
      </c>
      <c r="D765" s="12"/>
      <c r="E765" s="12" t="s">
        <v>2867</v>
      </c>
      <c r="F765" s="12" t="s">
        <v>116</v>
      </c>
      <c r="G765" s="13">
        <v>1</v>
      </c>
      <c r="H765" s="13"/>
      <c r="I765" s="13">
        <v>1</v>
      </c>
      <c r="J765" s="14">
        <f>IFERROR(ROUND(SUM(M766)/I765, 2),0)</f>
        <v>0</v>
      </c>
      <c r="K765" s="15">
        <v>3271</v>
      </c>
      <c r="L765" s="14">
        <f>J765+ROUND(K765, 2)</f>
        <v>3271</v>
      </c>
      <c r="M765" s="14">
        <f>ROUND(J765*I765, 2)</f>
        <v>0</v>
      </c>
      <c r="N765" s="14">
        <f>ROUND(I765*ROUND(K765, 2), 2)</f>
        <v>3271</v>
      </c>
      <c r="O765" s="14">
        <f>M765+N765</f>
        <v>3271</v>
      </c>
      <c r="P765" s="14">
        <f>IFERROR(ROUND(SUM(S766)/I765, 2),0)</f>
        <v>170750.67</v>
      </c>
      <c r="Q765" s="15">
        <v>23845</v>
      </c>
      <c r="R765" s="14">
        <f>P765+ROUND(Q765, 2)</f>
        <v>194595.67</v>
      </c>
      <c r="S765" s="14">
        <f>ROUND(P765*I765, 2)</f>
        <v>170750.67</v>
      </c>
      <c r="T765" s="14">
        <f>ROUND(I765*ROUND(Q765, 2), 2)</f>
        <v>23845</v>
      </c>
      <c r="U765" s="14">
        <f>S765+T765</f>
        <v>194595.67</v>
      </c>
    </row>
    <row r="766" spans="1:21" ht="168" customHeight="1" x14ac:dyDescent="0.3">
      <c r="A766" s="10" t="s">
        <v>2868</v>
      </c>
      <c r="B766" s="10"/>
      <c r="C766" s="24" t="s">
        <v>2745</v>
      </c>
      <c r="D766" s="12"/>
      <c r="E766" s="12" t="s">
        <v>2869</v>
      </c>
      <c r="F766" s="18" t="s">
        <v>116</v>
      </c>
      <c r="G766" s="19">
        <v>1</v>
      </c>
      <c r="H766" s="20"/>
      <c r="I766" s="20">
        <v>1</v>
      </c>
      <c r="J766" s="21">
        <v>0</v>
      </c>
      <c r="M766" s="22">
        <f>ROUND(ROUND(J766, 2)*I766, 2)</f>
        <v>0</v>
      </c>
      <c r="P766" s="21">
        <v>170750.67</v>
      </c>
      <c r="S766" s="22">
        <f>ROUND(ROUND(P766, 2)*I766, 2)</f>
        <v>170750.67</v>
      </c>
    </row>
    <row r="767" spans="1:21" ht="36" x14ac:dyDescent="0.3">
      <c r="A767" s="10" t="s">
        <v>2872</v>
      </c>
      <c r="B767" s="10" t="s">
        <v>2713</v>
      </c>
      <c r="C767" s="11" t="s">
        <v>2714</v>
      </c>
      <c r="D767" s="12"/>
      <c r="E767" s="12" t="s">
        <v>2873</v>
      </c>
      <c r="F767" s="12" t="s">
        <v>116</v>
      </c>
      <c r="G767" s="13">
        <v>1</v>
      </c>
      <c r="H767" s="13"/>
      <c r="I767" s="13">
        <v>2</v>
      </c>
      <c r="J767" s="14">
        <f>IFERROR(ROUND(SUM(M768)/I767, 2),0)</f>
        <v>0</v>
      </c>
      <c r="K767" s="15">
        <v>3271</v>
      </c>
      <c r="L767" s="14">
        <f>J767+ROUND(K767, 2)</f>
        <v>3271</v>
      </c>
      <c r="M767" s="14">
        <f>ROUND(J767*I767, 2)</f>
        <v>0</v>
      </c>
      <c r="N767" s="14">
        <f>ROUND(I767*ROUND(K767, 2), 2)</f>
        <v>6542</v>
      </c>
      <c r="O767" s="14">
        <f>M767+N767</f>
        <v>6542</v>
      </c>
      <c r="P767" s="14">
        <f>IFERROR(ROUND(SUM(S768)/I767, 2),0)</f>
        <v>130825.67</v>
      </c>
      <c r="Q767" s="15">
        <v>23845</v>
      </c>
      <c r="R767" s="14">
        <f>P767+ROUND(Q767, 2)</f>
        <v>154670.66999999998</v>
      </c>
      <c r="S767" s="14">
        <f>ROUND(P767*I767, 2)</f>
        <v>261651.34</v>
      </c>
      <c r="T767" s="14">
        <f>ROUND(I767*ROUND(Q767, 2), 2)</f>
        <v>47690</v>
      </c>
      <c r="U767" s="14">
        <f>S767+T767</f>
        <v>309341.33999999997</v>
      </c>
    </row>
    <row r="768" spans="1:21" ht="170.55" customHeight="1" x14ac:dyDescent="0.3">
      <c r="A768" s="10" t="s">
        <v>2874</v>
      </c>
      <c r="B768" s="10"/>
      <c r="C768" s="24" t="s">
        <v>2745</v>
      </c>
      <c r="D768" s="12"/>
      <c r="E768" s="12" t="s">
        <v>2875</v>
      </c>
      <c r="F768" s="18" t="s">
        <v>116</v>
      </c>
      <c r="G768" s="19">
        <v>1</v>
      </c>
      <c r="H768" s="20"/>
      <c r="I768" s="20">
        <v>2</v>
      </c>
      <c r="J768" s="21">
        <v>0</v>
      </c>
      <c r="M768" s="22">
        <f>ROUND(ROUND(J768, 2)*I768, 2)</f>
        <v>0</v>
      </c>
      <c r="P768" s="21">
        <v>130825.67</v>
      </c>
      <c r="S768" s="22">
        <f>ROUND(ROUND(P768, 2)*I768, 2)</f>
        <v>261651.34</v>
      </c>
    </row>
    <row r="769" spans="1:21" ht="16.95" customHeight="1" x14ac:dyDescent="0.3">
      <c r="A769" s="10" t="s">
        <v>2878</v>
      </c>
      <c r="B769" s="10" t="s">
        <v>2879</v>
      </c>
      <c r="C769" s="352" t="s">
        <v>2880</v>
      </c>
      <c r="D769" s="353"/>
      <c r="E769" s="353"/>
      <c r="F769" s="353"/>
      <c r="G769" s="353"/>
      <c r="H769" s="353"/>
      <c r="I769" s="354"/>
      <c r="M769" s="6">
        <f t="shared" ref="M769:O771" si="18">SUM(M770)</f>
        <v>0</v>
      </c>
      <c r="N769" s="6">
        <f t="shared" si="18"/>
        <v>1057732.71</v>
      </c>
      <c r="O769" s="6">
        <f t="shared" si="18"/>
        <v>1057732.71</v>
      </c>
      <c r="S769" s="6">
        <f t="shared" ref="S769:U771" si="19">SUM(S770)</f>
        <v>0</v>
      </c>
      <c r="T769" s="6">
        <f t="shared" si="19"/>
        <v>1057732.71</v>
      </c>
      <c r="U769" s="6">
        <f t="shared" si="19"/>
        <v>1057732.71</v>
      </c>
    </row>
    <row r="770" spans="1:21" ht="16.95" customHeight="1" x14ac:dyDescent="0.3">
      <c r="A770" s="10" t="s">
        <v>2881</v>
      </c>
      <c r="B770" s="10" t="s">
        <v>2882</v>
      </c>
      <c r="C770" s="352" t="s">
        <v>2883</v>
      </c>
      <c r="D770" s="353"/>
      <c r="E770" s="353"/>
      <c r="F770" s="353"/>
      <c r="G770" s="353"/>
      <c r="H770" s="353"/>
      <c r="I770" s="354"/>
      <c r="M770" s="6">
        <f t="shared" si="18"/>
        <v>0</v>
      </c>
      <c r="N770" s="6">
        <f t="shared" si="18"/>
        <v>1057732.71</v>
      </c>
      <c r="O770" s="6">
        <f t="shared" si="18"/>
        <v>1057732.71</v>
      </c>
      <c r="S770" s="6">
        <f t="shared" si="19"/>
        <v>0</v>
      </c>
      <c r="T770" s="6">
        <f t="shared" si="19"/>
        <v>1057732.71</v>
      </c>
      <c r="U770" s="6">
        <f t="shared" si="19"/>
        <v>1057732.71</v>
      </c>
    </row>
    <row r="771" spans="1:21" ht="16.95" customHeight="1" x14ac:dyDescent="0.3">
      <c r="A771" s="10" t="s">
        <v>2884</v>
      </c>
      <c r="B771" s="10" t="s">
        <v>2885</v>
      </c>
      <c r="C771" s="352" t="s">
        <v>2886</v>
      </c>
      <c r="D771" s="353"/>
      <c r="E771" s="353"/>
      <c r="F771" s="353"/>
      <c r="G771" s="353"/>
      <c r="H771" s="353"/>
      <c r="I771" s="354"/>
      <c r="M771" s="6">
        <f t="shared" si="18"/>
        <v>0</v>
      </c>
      <c r="N771" s="6">
        <f t="shared" si="18"/>
        <v>1057732.71</v>
      </c>
      <c r="O771" s="6">
        <f t="shared" si="18"/>
        <v>1057732.71</v>
      </c>
      <c r="S771" s="6">
        <f t="shared" si="19"/>
        <v>0</v>
      </c>
      <c r="T771" s="6">
        <f t="shared" si="19"/>
        <v>1057732.71</v>
      </c>
      <c r="U771" s="6">
        <f t="shared" si="19"/>
        <v>1057732.71</v>
      </c>
    </row>
    <row r="772" spans="1:21" ht="87" x14ac:dyDescent="0.3">
      <c r="A772" s="74" t="s">
        <v>2887</v>
      </c>
      <c r="B772" s="74" t="s">
        <v>2888</v>
      </c>
      <c r="C772" s="75" t="s">
        <v>2889</v>
      </c>
      <c r="D772" s="76"/>
      <c r="E772" s="76" t="s">
        <v>2890</v>
      </c>
      <c r="F772" s="76" t="s">
        <v>64</v>
      </c>
      <c r="G772" s="77">
        <v>1</v>
      </c>
      <c r="H772" s="77"/>
      <c r="I772" s="77">
        <v>1348.65</v>
      </c>
      <c r="J772" s="14">
        <v>0</v>
      </c>
      <c r="K772" s="15">
        <v>784.29</v>
      </c>
      <c r="L772" s="14">
        <f>J772+ROUND(K772, 2)</f>
        <v>784.29</v>
      </c>
      <c r="M772" s="14">
        <v>0</v>
      </c>
      <c r="N772" s="14">
        <f>ROUND(I772*ROUND(K772, 2), 2)</f>
        <v>1057732.71</v>
      </c>
      <c r="O772" s="14">
        <f>M772+N772</f>
        <v>1057732.71</v>
      </c>
      <c r="P772" s="14">
        <v>0</v>
      </c>
      <c r="Q772" s="15">
        <v>784.29</v>
      </c>
      <c r="R772" s="14">
        <f>P772+ROUND(Q772, 2)</f>
        <v>784.29</v>
      </c>
      <c r="S772" s="14">
        <v>0</v>
      </c>
      <c r="T772" s="14">
        <f>ROUND(I772*ROUND(Q772, 2), 2)</f>
        <v>1057732.71</v>
      </c>
      <c r="U772" s="14">
        <f>S772+T772</f>
        <v>1057732.71</v>
      </c>
    </row>
    <row r="773" spans="1:21" ht="48" customHeight="1" x14ac:dyDescent="0.3">
      <c r="A773" s="68"/>
      <c r="B773" s="68"/>
      <c r="C773" s="68"/>
      <c r="D773" s="69" t="s">
        <v>2894</v>
      </c>
      <c r="E773" s="68"/>
      <c r="F773" s="68"/>
      <c r="G773" s="68"/>
      <c r="H773" s="68"/>
      <c r="I773" s="68"/>
      <c r="J773" s="68"/>
      <c r="K773" s="68"/>
      <c r="L773" s="68"/>
      <c r="M773" s="70">
        <f>SUM(M9)</f>
        <v>46316046.340000004</v>
      </c>
      <c r="N773" s="70">
        <f>SUM(N9)</f>
        <v>82654319.040000007</v>
      </c>
      <c r="O773" s="70">
        <f>M773+N773</f>
        <v>128970365.38000001</v>
      </c>
      <c r="P773" s="68"/>
      <c r="Q773" s="68"/>
      <c r="R773" s="68"/>
      <c r="S773" s="70">
        <f>SUM(S9)</f>
        <v>50774880.949999996</v>
      </c>
      <c r="T773" s="70">
        <f>SUM(T9)</f>
        <v>83900402.040000007</v>
      </c>
      <c r="U773" s="70">
        <f>S773+T773</f>
        <v>134675282.99000001</v>
      </c>
    </row>
  </sheetData>
  <mergeCells count="45">
    <mergeCell ref="A3:U3"/>
    <mergeCell ref="A4:U4"/>
    <mergeCell ref="A5:U5"/>
    <mergeCell ref="A6:A8"/>
    <mergeCell ref="B6:B8"/>
    <mergeCell ref="C6:C8"/>
    <mergeCell ref="D6:D8"/>
    <mergeCell ref="E6:E8"/>
    <mergeCell ref="F6:F8"/>
    <mergeCell ref="G6:G8"/>
    <mergeCell ref="S6:U6"/>
    <mergeCell ref="J7:K7"/>
    <mergeCell ref="L7:L8"/>
    <mergeCell ref="M7:N7"/>
    <mergeCell ref="O7:O8"/>
    <mergeCell ref="P7:Q7"/>
    <mergeCell ref="C11:I11"/>
    <mergeCell ref="H6:H8"/>
    <mergeCell ref="I6:I8"/>
    <mergeCell ref="J6:O6"/>
    <mergeCell ref="P6:R6"/>
    <mergeCell ref="R7:R8"/>
    <mergeCell ref="S7:T7"/>
    <mergeCell ref="U7:U8"/>
    <mergeCell ref="A9:I9"/>
    <mergeCell ref="C10:I10"/>
    <mergeCell ref="C496:I496"/>
    <mergeCell ref="C12:I12"/>
    <mergeCell ref="C13:I13"/>
    <mergeCell ref="C14:I14"/>
    <mergeCell ref="C15:I15"/>
    <mergeCell ref="C79:I79"/>
    <mergeCell ref="C94:I94"/>
    <mergeCell ref="C165:I165"/>
    <mergeCell ref="C166:I166"/>
    <mergeCell ref="C235:I235"/>
    <mergeCell ref="C416:I416"/>
    <mergeCell ref="C491:I491"/>
    <mergeCell ref="C771:I771"/>
    <mergeCell ref="C497:I497"/>
    <mergeCell ref="C513:I513"/>
    <mergeCell ref="C643:I643"/>
    <mergeCell ref="C716:I716"/>
    <mergeCell ref="C769:I769"/>
    <mergeCell ref="C770:I770"/>
  </mergeCells>
  <pageMargins left="0.7" right="0.7" top="0.75" bottom="0.75" header="0.3" footer="0.3"/>
  <pageSetup paperSize="9" scale="2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2:Y775"/>
  <sheetViews>
    <sheetView tabSelected="1" view="pageBreakPreview" topLeftCell="A19" zoomScale="40" zoomScaleNormal="100" zoomScaleSheetLayoutView="40" workbookViewId="0">
      <selection activeCell="M167" sqref="M167"/>
    </sheetView>
  </sheetViews>
  <sheetFormatPr defaultRowHeight="14.4" x14ac:dyDescent="0.3"/>
  <cols>
    <col min="1" max="1" width="18.5546875" customWidth="1"/>
    <col min="2" max="2" width="20.77734375" customWidth="1"/>
    <col min="3" max="3" width="50.44140625" customWidth="1"/>
    <col min="4" max="4" width="33.33203125" hidden="1" customWidth="1"/>
    <col min="5" max="5" width="50.21875" customWidth="1"/>
    <col min="6" max="6" width="0" hidden="1" customWidth="1"/>
    <col min="7" max="7" width="12.21875" hidden="1" customWidth="1"/>
    <col min="9" max="9" width="23.44140625" customWidth="1"/>
    <col min="10" max="10" width="19.77734375" customWidth="1"/>
    <col min="11" max="11" width="20.21875" customWidth="1"/>
    <col min="12" max="12" width="17.6640625" customWidth="1"/>
    <col min="13" max="13" width="29.6640625" customWidth="1"/>
    <col min="14" max="17" width="29.6640625" style="436" customWidth="1"/>
    <col min="18" max="18" width="18" customWidth="1"/>
    <col min="19" max="19" width="21.88671875" customWidth="1"/>
    <col min="20" max="20" width="19.21875" customWidth="1"/>
    <col min="21" max="21" width="17.21875" customWidth="1"/>
    <col min="22" max="22" width="16.6640625" customWidth="1"/>
    <col min="23" max="23" width="23" customWidth="1"/>
    <col min="24" max="24" width="21.21875" customWidth="1"/>
    <col min="25" max="25" width="30.44140625" customWidth="1"/>
  </cols>
  <sheetData>
    <row r="2" spans="1:25" ht="15" customHeight="1" x14ac:dyDescent="0.3">
      <c r="A2" s="1" t="s">
        <v>0</v>
      </c>
      <c r="B2" s="3"/>
      <c r="C2" s="3"/>
      <c r="D2" s="2" t="s">
        <v>1</v>
      </c>
      <c r="E2" s="2"/>
      <c r="F2" s="2" t="s">
        <v>2</v>
      </c>
      <c r="G2" s="2" t="s">
        <v>2895</v>
      </c>
      <c r="H2" s="2" t="s">
        <v>2896</v>
      </c>
      <c r="I2" s="2" t="s">
        <v>2897</v>
      </c>
      <c r="J2" s="2" t="s">
        <v>2898</v>
      </c>
      <c r="K2" s="2" t="s">
        <v>2899</v>
      </c>
      <c r="L2" s="2" t="s">
        <v>2900</v>
      </c>
      <c r="M2" s="2" t="s">
        <v>2901</v>
      </c>
      <c r="N2" s="416"/>
      <c r="O2" s="416"/>
      <c r="P2" s="416"/>
      <c r="Q2" s="416"/>
      <c r="R2" s="2" t="s">
        <v>2902</v>
      </c>
      <c r="S2" s="3"/>
      <c r="T2" s="3"/>
      <c r="U2" s="3"/>
      <c r="V2" s="3"/>
      <c r="W2" s="3"/>
      <c r="X2" s="3"/>
      <c r="Y2" s="3"/>
    </row>
    <row r="3" spans="1:25" ht="30.75" customHeight="1" x14ac:dyDescent="0.3">
      <c r="A3" s="335" t="s">
        <v>4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</row>
    <row r="4" spans="1:25" ht="15" customHeight="1" x14ac:dyDescent="0.3">
      <c r="A4" s="336" t="s">
        <v>5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</row>
    <row r="5" spans="1:25" ht="15" customHeight="1" thickBot="1" x14ac:dyDescent="0.35">
      <c r="A5" s="337" t="s">
        <v>6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</row>
    <row r="6" spans="1:25" ht="49.5" customHeight="1" thickBot="1" x14ac:dyDescent="0.35">
      <c r="A6" s="344" t="s">
        <v>25</v>
      </c>
      <c r="B6" s="344" t="s">
        <v>26</v>
      </c>
      <c r="C6" s="344" t="s">
        <v>27</v>
      </c>
      <c r="D6" s="344" t="s">
        <v>28</v>
      </c>
      <c r="E6" s="344" t="s">
        <v>29</v>
      </c>
      <c r="F6" s="344" t="s">
        <v>30</v>
      </c>
      <c r="G6" s="344" t="s">
        <v>31</v>
      </c>
      <c r="H6" s="389" t="s">
        <v>32</v>
      </c>
      <c r="I6" s="392" t="s">
        <v>33</v>
      </c>
      <c r="J6" s="381" t="s">
        <v>2956</v>
      </c>
      <c r="K6" s="384" t="s">
        <v>2957</v>
      </c>
      <c r="L6" s="226"/>
      <c r="M6" s="226" t="s">
        <v>2955</v>
      </c>
      <c r="N6" s="417"/>
      <c r="O6" s="417"/>
      <c r="P6" s="417"/>
      <c r="Q6" s="417"/>
      <c r="R6" s="226"/>
      <c r="S6" s="226"/>
      <c r="T6" s="395" t="s">
        <v>8</v>
      </c>
      <c r="U6" s="396"/>
      <c r="V6" s="397"/>
      <c r="W6" s="342" t="s">
        <v>9</v>
      </c>
      <c r="X6" s="342"/>
      <c r="Y6" s="343"/>
    </row>
    <row r="7" spans="1:25" ht="40.049999999999997" customHeight="1" thickBot="1" x14ac:dyDescent="0.35">
      <c r="A7" s="345"/>
      <c r="B7" s="345"/>
      <c r="C7" s="345"/>
      <c r="D7" s="345"/>
      <c r="E7" s="345"/>
      <c r="F7" s="345"/>
      <c r="G7" s="345"/>
      <c r="H7" s="390"/>
      <c r="I7" s="393"/>
      <c r="J7" s="382"/>
      <c r="K7" s="385"/>
      <c r="L7" s="271" t="s">
        <v>2958</v>
      </c>
      <c r="M7" s="399" t="s">
        <v>2959</v>
      </c>
      <c r="N7" s="418"/>
      <c r="O7" s="418"/>
      <c r="P7" s="418"/>
      <c r="Q7" s="418"/>
      <c r="R7" s="268"/>
      <c r="S7" s="238"/>
      <c r="T7" s="379" t="s">
        <v>34</v>
      </c>
      <c r="U7" s="380"/>
      <c r="V7" s="387" t="s">
        <v>34</v>
      </c>
      <c r="W7" s="358" t="s">
        <v>37</v>
      </c>
      <c r="X7" s="348"/>
      <c r="Y7" s="344" t="s">
        <v>38</v>
      </c>
    </row>
    <row r="8" spans="1:25" ht="53.55" customHeight="1" x14ac:dyDescent="0.3">
      <c r="A8" s="346"/>
      <c r="B8" s="346"/>
      <c r="C8" s="346"/>
      <c r="D8" s="346"/>
      <c r="E8" s="346"/>
      <c r="F8" s="346"/>
      <c r="G8" s="346"/>
      <c r="H8" s="391"/>
      <c r="I8" s="394"/>
      <c r="J8" s="383"/>
      <c r="K8" s="386"/>
      <c r="L8" s="276"/>
      <c r="M8" s="400"/>
      <c r="N8" s="419"/>
      <c r="O8" s="419"/>
      <c r="P8" s="419"/>
      <c r="Q8" s="419"/>
      <c r="R8" s="225"/>
      <c r="S8" s="237"/>
      <c r="T8" s="208" t="s">
        <v>35</v>
      </c>
      <c r="U8" s="200" t="s">
        <v>36</v>
      </c>
      <c r="V8" s="388"/>
      <c r="W8" s="145" t="s">
        <v>35</v>
      </c>
      <c r="X8" s="5" t="s">
        <v>36</v>
      </c>
      <c r="Y8" s="346"/>
    </row>
    <row r="9" spans="1:25" ht="30" customHeight="1" x14ac:dyDescent="0.45">
      <c r="A9" s="175" t="s">
        <v>39</v>
      </c>
      <c r="B9" s="176"/>
      <c r="C9" s="176"/>
      <c r="D9" s="176"/>
      <c r="E9" s="176"/>
      <c r="F9" s="176"/>
      <c r="G9" s="176"/>
      <c r="H9" s="176"/>
      <c r="I9" s="227"/>
      <c r="J9" s="318"/>
      <c r="K9" s="254"/>
      <c r="L9" s="277"/>
      <c r="M9" s="217"/>
      <c r="N9" s="420"/>
      <c r="O9" s="420"/>
      <c r="P9" s="420"/>
      <c r="Q9" s="420"/>
      <c r="R9" s="269"/>
      <c r="S9" s="217"/>
      <c r="T9" s="209"/>
      <c r="U9" s="201"/>
      <c r="V9" s="272"/>
      <c r="W9" s="204">
        <f>SUM(W10,W769)</f>
        <v>50774880.949999996</v>
      </c>
      <c r="X9" s="8">
        <f>SUM(X10,X769)</f>
        <v>83900402.040000007</v>
      </c>
      <c r="Y9" s="8">
        <f>SUM(Y10,Y769)</f>
        <v>134675282.99000001</v>
      </c>
    </row>
    <row r="10" spans="1:25" ht="16.95" customHeight="1" x14ac:dyDescent="0.45">
      <c r="A10" s="10" t="s">
        <v>41</v>
      </c>
      <c r="B10" s="10" t="s">
        <v>42</v>
      </c>
      <c r="C10" s="173" t="s">
        <v>43</v>
      </c>
      <c r="D10" s="174"/>
      <c r="E10" s="174"/>
      <c r="F10" s="174"/>
      <c r="G10" s="174"/>
      <c r="H10" s="174"/>
      <c r="I10" s="223"/>
      <c r="J10" s="319"/>
      <c r="K10" s="255"/>
      <c r="L10" s="278"/>
      <c r="M10" s="398"/>
      <c r="N10" s="421"/>
      <c r="O10" s="421"/>
      <c r="P10" s="421"/>
      <c r="Q10" s="421"/>
      <c r="R10" s="224"/>
      <c r="S10" s="219"/>
      <c r="T10" s="210"/>
      <c r="U10" s="211"/>
      <c r="V10" s="273"/>
      <c r="W10" s="205">
        <f t="shared" ref="W10:Y12" si="0">SUM(W11)</f>
        <v>50774880.949999996</v>
      </c>
      <c r="X10" s="6">
        <f t="shared" si="0"/>
        <v>82842669.330000013</v>
      </c>
      <c r="Y10" s="6">
        <f t="shared" si="0"/>
        <v>133617550.28</v>
      </c>
    </row>
    <row r="11" spans="1:25" ht="16.95" customHeight="1" x14ac:dyDescent="0.45">
      <c r="A11" s="10" t="s">
        <v>44</v>
      </c>
      <c r="B11" s="10" t="s">
        <v>45</v>
      </c>
      <c r="C11" s="173" t="s">
        <v>46</v>
      </c>
      <c r="D11" s="174"/>
      <c r="E11" s="174"/>
      <c r="F11" s="174"/>
      <c r="G11" s="174"/>
      <c r="H11" s="174"/>
      <c r="I11" s="223"/>
      <c r="J11" s="319"/>
      <c r="K11" s="255"/>
      <c r="L11" s="278"/>
      <c r="M11" s="398"/>
      <c r="N11" s="421"/>
      <c r="O11" s="421"/>
      <c r="P11" s="421"/>
      <c r="Q11" s="421"/>
      <c r="R11" s="224"/>
      <c r="S11" s="219"/>
      <c r="T11" s="210"/>
      <c r="U11" s="211"/>
      <c r="V11" s="273"/>
      <c r="W11" s="205">
        <f t="shared" si="0"/>
        <v>50774880.949999996</v>
      </c>
      <c r="X11" s="6">
        <f t="shared" si="0"/>
        <v>82842669.330000013</v>
      </c>
      <c r="Y11" s="6">
        <f t="shared" si="0"/>
        <v>133617550.28</v>
      </c>
    </row>
    <row r="12" spans="1:25" ht="16.95" customHeight="1" x14ac:dyDescent="0.45">
      <c r="A12" s="10" t="s">
        <v>47</v>
      </c>
      <c r="B12" s="10" t="s">
        <v>48</v>
      </c>
      <c r="C12" s="173" t="s">
        <v>49</v>
      </c>
      <c r="D12" s="174"/>
      <c r="E12" s="174"/>
      <c r="F12" s="174"/>
      <c r="G12" s="174"/>
      <c r="H12" s="174"/>
      <c r="I12" s="223"/>
      <c r="J12" s="319"/>
      <c r="K12" s="255"/>
      <c r="L12" s="278"/>
      <c r="M12" s="398"/>
      <c r="N12" s="421"/>
      <c r="O12" s="421"/>
      <c r="P12" s="421"/>
      <c r="Q12" s="421"/>
      <c r="R12" s="224"/>
      <c r="S12" s="219"/>
      <c r="T12" s="210"/>
      <c r="U12" s="211"/>
      <c r="V12" s="273"/>
      <c r="W12" s="205">
        <f t="shared" si="0"/>
        <v>50774880.949999996</v>
      </c>
      <c r="X12" s="6">
        <f t="shared" si="0"/>
        <v>82842669.330000013</v>
      </c>
      <c r="Y12" s="6">
        <f t="shared" si="0"/>
        <v>133617550.28</v>
      </c>
    </row>
    <row r="13" spans="1:25" ht="16.95" customHeight="1" x14ac:dyDescent="0.45">
      <c r="A13" s="10" t="s">
        <v>50</v>
      </c>
      <c r="B13" s="10" t="s">
        <v>51</v>
      </c>
      <c r="C13" s="173" t="s">
        <v>52</v>
      </c>
      <c r="D13" s="174"/>
      <c r="E13" s="174"/>
      <c r="F13" s="174"/>
      <c r="G13" s="174"/>
      <c r="H13" s="174"/>
      <c r="I13" s="223"/>
      <c r="J13" s="319"/>
      <c r="K13" s="255"/>
      <c r="L13" s="278"/>
      <c r="M13" s="398"/>
      <c r="N13" s="421"/>
      <c r="O13" s="421"/>
      <c r="P13" s="421"/>
      <c r="Q13" s="421"/>
      <c r="R13" s="224"/>
      <c r="S13" s="219"/>
      <c r="T13" s="210"/>
      <c r="U13" s="211"/>
      <c r="V13" s="273"/>
      <c r="W13" s="205">
        <f>SUM(W14,W165,W496,W643,W716)</f>
        <v>50774880.949999996</v>
      </c>
      <c r="X13" s="6">
        <f>SUM(X14,X165,X496,X643,X716)</f>
        <v>82842669.330000013</v>
      </c>
      <c r="Y13" s="6">
        <f>SUM(Y14,Y165,Y496,Y643,Y716)</f>
        <v>133617550.28</v>
      </c>
    </row>
    <row r="14" spans="1:25" ht="31.5" customHeight="1" x14ac:dyDescent="0.45">
      <c r="A14" s="10" t="s">
        <v>53</v>
      </c>
      <c r="B14" s="10" t="s">
        <v>54</v>
      </c>
      <c r="C14" s="297" t="s">
        <v>55</v>
      </c>
      <c r="D14" s="298"/>
      <c r="E14" s="298"/>
      <c r="F14" s="298"/>
      <c r="G14" s="298"/>
      <c r="H14" s="298"/>
      <c r="I14" s="223"/>
      <c r="J14" s="319"/>
      <c r="K14" s="255"/>
      <c r="L14" s="278"/>
      <c r="M14" s="398"/>
      <c r="N14" s="421"/>
      <c r="O14" s="421"/>
      <c r="P14" s="421"/>
      <c r="Q14" s="421"/>
      <c r="R14" s="224"/>
      <c r="S14" s="219"/>
      <c r="T14" s="210"/>
      <c r="U14" s="211"/>
      <c r="V14" s="273"/>
      <c r="W14" s="205">
        <f>SUM(W15,W79,W94)</f>
        <v>22402275.359999999</v>
      </c>
      <c r="X14" s="6">
        <f>SUM(X15,X79,X94)</f>
        <v>18340083.550000001</v>
      </c>
      <c r="Y14" s="6">
        <f>SUM(Y15,Y79,Y94)</f>
        <v>40742358.910000004</v>
      </c>
    </row>
    <row r="15" spans="1:25" ht="35.549999999999997" customHeight="1" x14ac:dyDescent="0.45">
      <c r="A15" s="10" t="s">
        <v>56</v>
      </c>
      <c r="B15" s="10" t="s">
        <v>57</v>
      </c>
      <c r="C15" s="297" t="s">
        <v>58</v>
      </c>
      <c r="D15" s="298"/>
      <c r="E15" s="298"/>
      <c r="F15" s="298"/>
      <c r="G15" s="298"/>
      <c r="H15" s="298"/>
      <c r="I15" s="223"/>
      <c r="J15" s="319"/>
      <c r="K15" s="255"/>
      <c r="L15" s="278"/>
      <c r="M15" s="398"/>
      <c r="N15" s="421"/>
      <c r="O15" s="421"/>
      <c r="P15" s="421"/>
      <c r="Q15" s="421"/>
      <c r="R15" s="224"/>
      <c r="S15" s="219"/>
      <c r="T15" s="210"/>
      <c r="U15" s="211"/>
      <c r="V15" s="273"/>
      <c r="W15" s="205">
        <f>SUM(W16,W19,W23,W25,W33,W41,W47,W53,W59,W67,W73)</f>
        <v>9575830.9800000004</v>
      </c>
      <c r="X15" s="6">
        <f>SUM(X16,X19,X23,X25,X33,X41,X47,X53,X59,X67,X73)</f>
        <v>12124369.620000001</v>
      </c>
      <c r="Y15" s="6">
        <f>SUM(Y16,Y19,Y23,Y25,Y33,Y41,Y47,Y53,Y59,Y67,Y73)</f>
        <v>21700200.600000001</v>
      </c>
    </row>
    <row r="16" spans="1:25" ht="67.5" customHeight="1" x14ac:dyDescent="0.3">
      <c r="A16" s="74" t="s">
        <v>59</v>
      </c>
      <c r="B16" s="74" t="s">
        <v>60</v>
      </c>
      <c r="C16" s="75" t="s">
        <v>61</v>
      </c>
      <c r="D16" s="76" t="s">
        <v>62</v>
      </c>
      <c r="E16" s="76" t="s">
        <v>63</v>
      </c>
      <c r="F16" s="76" t="s">
        <v>64</v>
      </c>
      <c r="G16" s="77">
        <v>1</v>
      </c>
      <c r="H16" s="177"/>
      <c r="I16" s="228">
        <v>4263.2</v>
      </c>
      <c r="J16" s="320"/>
      <c r="K16" s="256"/>
      <c r="L16" s="279"/>
      <c r="M16" s="221"/>
      <c r="N16" s="422"/>
      <c r="O16" s="422"/>
      <c r="P16" s="422"/>
      <c r="Q16" s="422"/>
      <c r="R16" s="220"/>
      <c r="S16" s="221"/>
      <c r="T16" s="212">
        <f>IFERROR(ROUND(SUM(W17,W18)/I16, 2),0)</f>
        <v>177.36</v>
      </c>
      <c r="U16" s="202">
        <v>388</v>
      </c>
      <c r="V16" s="274">
        <f>T16+ROUND(U16, 2)</f>
        <v>565.36</v>
      </c>
      <c r="W16" s="182">
        <f>ROUND(T16*I16, 2)</f>
        <v>756121.15</v>
      </c>
      <c r="X16" s="14">
        <f>ROUND(I16*ROUND(U16, 2), 2)</f>
        <v>1654121.6</v>
      </c>
      <c r="Y16" s="14">
        <f>W16+X16</f>
        <v>2410242.75</v>
      </c>
    </row>
    <row r="17" spans="1:25" ht="36" hidden="1" x14ac:dyDescent="0.4">
      <c r="A17" s="78" t="s">
        <v>68</v>
      </c>
      <c r="B17" s="79"/>
      <c r="C17" s="80" t="s">
        <v>69</v>
      </c>
      <c r="D17" s="81"/>
      <c r="E17" s="81"/>
      <c r="F17" s="82" t="s">
        <v>70</v>
      </c>
      <c r="G17" s="83">
        <v>1.6</v>
      </c>
      <c r="H17" s="178"/>
      <c r="I17" s="229">
        <v>68211.199999999997</v>
      </c>
      <c r="J17" s="321"/>
      <c r="K17" s="257"/>
      <c r="L17" s="280"/>
      <c r="M17" s="401"/>
      <c r="N17" s="423"/>
      <c r="O17" s="423"/>
      <c r="P17" s="423"/>
      <c r="Q17" s="423"/>
      <c r="R17" s="218"/>
      <c r="S17" s="218"/>
      <c r="T17" s="213">
        <v>9.67</v>
      </c>
      <c r="U17" s="211"/>
      <c r="V17" s="273"/>
      <c r="W17" s="206">
        <f>ROUND(ROUND(T17, 2)*I17, 2)</f>
        <v>659602.30000000005</v>
      </c>
    </row>
    <row r="18" spans="1:25" ht="36" hidden="1" x14ac:dyDescent="0.4">
      <c r="A18" s="78" t="s">
        <v>74</v>
      </c>
      <c r="B18" s="79"/>
      <c r="C18" s="85" t="s">
        <v>75</v>
      </c>
      <c r="D18" s="81"/>
      <c r="E18" s="81"/>
      <c r="F18" s="82" t="s">
        <v>70</v>
      </c>
      <c r="G18" s="83">
        <v>0.255</v>
      </c>
      <c r="H18" s="178"/>
      <c r="I18" s="229">
        <v>1087.116</v>
      </c>
      <c r="J18" s="321"/>
      <c r="K18" s="257"/>
      <c r="L18" s="280"/>
      <c r="M18" s="401"/>
      <c r="N18" s="423"/>
      <c r="O18" s="423"/>
      <c r="P18" s="423"/>
      <c r="Q18" s="423"/>
      <c r="R18" s="218"/>
      <c r="S18" s="218"/>
      <c r="T18" s="213">
        <v>88.8</v>
      </c>
      <c r="U18" s="211"/>
      <c r="V18" s="273"/>
      <c r="W18" s="206">
        <f>ROUND(ROUND(T18, 2)*I18, 2)</f>
        <v>96535.9</v>
      </c>
    </row>
    <row r="19" spans="1:25" ht="59.55" customHeight="1" x14ac:dyDescent="0.3">
      <c r="A19" s="74" t="s">
        <v>79</v>
      </c>
      <c r="B19" s="74" t="s">
        <v>60</v>
      </c>
      <c r="C19" s="75" t="s">
        <v>80</v>
      </c>
      <c r="D19" s="76" t="s">
        <v>62</v>
      </c>
      <c r="E19" s="76" t="s">
        <v>81</v>
      </c>
      <c r="F19" s="76" t="s">
        <v>64</v>
      </c>
      <c r="G19" s="77">
        <v>1</v>
      </c>
      <c r="H19" s="177"/>
      <c r="I19" s="228">
        <v>3740.2</v>
      </c>
      <c r="J19" s="322"/>
      <c r="K19" s="258"/>
      <c r="L19" s="281"/>
      <c r="M19" s="221"/>
      <c r="N19" s="422"/>
      <c r="O19" s="422"/>
      <c r="P19" s="422"/>
      <c r="Q19" s="422"/>
      <c r="R19" s="220"/>
      <c r="S19" s="221"/>
      <c r="T19" s="212">
        <f>IFERROR(ROUND(SUM(W20,W21,W22)/I19, 2),0)</f>
        <v>172.99</v>
      </c>
      <c r="U19" s="202">
        <v>400</v>
      </c>
      <c r="V19" s="274">
        <f>T19+ROUND(U19, 2)</f>
        <v>572.99</v>
      </c>
      <c r="W19" s="182">
        <f>ROUND(T19*I19, 2)</f>
        <v>647017.19999999995</v>
      </c>
      <c r="X19" s="14">
        <f>ROUND(I19*ROUND(U19, 2), 2)</f>
        <v>1496080</v>
      </c>
      <c r="Y19" s="14">
        <f>W19+X19</f>
        <v>2143097.2000000002</v>
      </c>
    </row>
    <row r="20" spans="1:25" ht="0.45" hidden="1" customHeight="1" x14ac:dyDescent="0.4">
      <c r="A20" s="86" t="s">
        <v>82</v>
      </c>
      <c r="B20" s="86"/>
      <c r="C20" s="92" t="s">
        <v>75</v>
      </c>
      <c r="D20" s="87"/>
      <c r="E20" s="87"/>
      <c r="F20" s="88" t="s">
        <v>70</v>
      </c>
      <c r="G20" s="89">
        <v>0.255</v>
      </c>
      <c r="H20" s="179"/>
      <c r="I20" s="230">
        <v>953.75099999999998</v>
      </c>
      <c r="J20" s="321"/>
      <c r="K20" s="257"/>
      <c r="L20" s="280"/>
      <c r="M20" s="401"/>
      <c r="N20" s="423"/>
      <c r="O20" s="423"/>
      <c r="P20" s="423"/>
      <c r="Q20" s="423"/>
      <c r="R20" s="218"/>
      <c r="S20" s="218"/>
      <c r="T20" s="213">
        <v>88.8</v>
      </c>
      <c r="U20" s="211"/>
      <c r="V20" s="273"/>
      <c r="W20" s="206">
        <f>ROUND(ROUND(T20, 2)*I20, 2)</f>
        <v>84693.09</v>
      </c>
    </row>
    <row r="21" spans="1:25" ht="22.8" hidden="1" x14ac:dyDescent="0.4">
      <c r="A21" s="91" t="s">
        <v>85</v>
      </c>
      <c r="B21" s="91"/>
      <c r="C21" s="92" t="s">
        <v>86</v>
      </c>
      <c r="D21" s="93"/>
      <c r="E21" s="93"/>
      <c r="F21" s="94" t="s">
        <v>87</v>
      </c>
      <c r="G21" s="95">
        <v>1</v>
      </c>
      <c r="H21" s="180"/>
      <c r="I21" s="229">
        <v>1880</v>
      </c>
      <c r="J21" s="321"/>
      <c r="K21" s="257"/>
      <c r="L21" s="280"/>
      <c r="M21" s="401"/>
      <c r="N21" s="423"/>
      <c r="O21" s="423"/>
      <c r="P21" s="423"/>
      <c r="Q21" s="423"/>
      <c r="R21" s="218"/>
      <c r="S21" s="218"/>
      <c r="T21" s="213">
        <v>10.4</v>
      </c>
      <c r="U21" s="211"/>
      <c r="V21" s="273"/>
      <c r="W21" s="206">
        <f>ROUND(ROUND(T21, 2)*I21, 2)</f>
        <v>19552</v>
      </c>
    </row>
    <row r="22" spans="1:25" ht="36" hidden="1" x14ac:dyDescent="0.4">
      <c r="A22" s="91" t="s">
        <v>91</v>
      </c>
      <c r="B22" s="91"/>
      <c r="C22" s="96" t="s">
        <v>69</v>
      </c>
      <c r="D22" s="93"/>
      <c r="E22" s="93"/>
      <c r="F22" s="94" t="s">
        <v>70</v>
      </c>
      <c r="G22" s="95">
        <v>1.6</v>
      </c>
      <c r="H22" s="180"/>
      <c r="I22" s="229">
        <v>59843.199999999997</v>
      </c>
      <c r="J22" s="321"/>
      <c r="K22" s="257"/>
      <c r="L22" s="280"/>
      <c r="M22" s="401"/>
      <c r="N22" s="423"/>
      <c r="O22" s="423"/>
      <c r="P22" s="423"/>
      <c r="Q22" s="423"/>
      <c r="R22" s="218"/>
      <c r="S22" s="218"/>
      <c r="T22" s="213">
        <v>9.07</v>
      </c>
      <c r="U22" s="211"/>
      <c r="V22" s="273"/>
      <c r="W22" s="206">
        <f>ROUND(ROUND(T22, 2)*I22, 2)</f>
        <v>542777.81999999995</v>
      </c>
    </row>
    <row r="23" spans="1:25" ht="58.5" customHeight="1" x14ac:dyDescent="0.3">
      <c r="A23" s="74" t="s">
        <v>94</v>
      </c>
      <c r="B23" s="74" t="s">
        <v>95</v>
      </c>
      <c r="C23" s="75" t="s">
        <v>96</v>
      </c>
      <c r="D23" s="76"/>
      <c r="E23" s="76" t="s">
        <v>97</v>
      </c>
      <c r="F23" s="76" t="s">
        <v>98</v>
      </c>
      <c r="G23" s="77">
        <v>1</v>
      </c>
      <c r="H23" s="177"/>
      <c r="I23" s="228">
        <v>2.88</v>
      </c>
      <c r="J23" s="322"/>
      <c r="K23" s="258"/>
      <c r="L23" s="281"/>
      <c r="M23" s="221"/>
      <c r="N23" s="422"/>
      <c r="O23" s="422"/>
      <c r="P23" s="422"/>
      <c r="Q23" s="422"/>
      <c r="R23" s="220"/>
      <c r="S23" s="221"/>
      <c r="T23" s="212">
        <f>IFERROR(ROUND(SUM(W24)/I23, 2),0)</f>
        <v>12597</v>
      </c>
      <c r="U23" s="202">
        <v>54984</v>
      </c>
      <c r="V23" s="274">
        <f>T23+ROUND(U23, 2)</f>
        <v>67581</v>
      </c>
      <c r="W23" s="182">
        <f>ROUND(T23*I23, 2)</f>
        <v>36279.360000000001</v>
      </c>
      <c r="X23" s="14">
        <f>ROUND(I23*ROUND(U23, 2), 2)</f>
        <v>158353.92000000001</v>
      </c>
      <c r="Y23" s="14">
        <f>W23+X23</f>
        <v>194633.28000000003</v>
      </c>
    </row>
    <row r="24" spans="1:25" ht="22.8" hidden="1" x14ac:dyDescent="0.4">
      <c r="A24" s="91" t="s">
        <v>101</v>
      </c>
      <c r="B24" s="91"/>
      <c r="C24" s="92" t="s">
        <v>102</v>
      </c>
      <c r="D24" s="93"/>
      <c r="E24" s="93"/>
      <c r="F24" s="94" t="s">
        <v>70</v>
      </c>
      <c r="G24" s="95">
        <v>1700</v>
      </c>
      <c r="H24" s="180"/>
      <c r="I24" s="229">
        <v>4896</v>
      </c>
      <c r="J24" s="321"/>
      <c r="K24" s="257"/>
      <c r="L24" s="280"/>
      <c r="M24" s="401"/>
      <c r="N24" s="423"/>
      <c r="O24" s="423"/>
      <c r="P24" s="423"/>
      <c r="Q24" s="423"/>
      <c r="R24" s="218"/>
      <c r="S24" s="218"/>
      <c r="T24" s="213">
        <v>7.41</v>
      </c>
      <c r="U24" s="211"/>
      <c r="V24" s="273"/>
      <c r="W24" s="206">
        <f>ROUND(ROUND(T24, 2)*I24, 2)</f>
        <v>36279.360000000001</v>
      </c>
    </row>
    <row r="25" spans="1:25" ht="54" hidden="1" x14ac:dyDescent="0.3">
      <c r="A25" s="91" t="s">
        <v>106</v>
      </c>
      <c r="B25" s="91" t="s">
        <v>107</v>
      </c>
      <c r="C25" s="97" t="s">
        <v>108</v>
      </c>
      <c r="D25" s="93"/>
      <c r="E25" s="93" t="s">
        <v>109</v>
      </c>
      <c r="F25" s="93" t="s">
        <v>64</v>
      </c>
      <c r="G25" s="98">
        <v>1</v>
      </c>
      <c r="H25" s="181"/>
      <c r="I25" s="231">
        <v>0</v>
      </c>
      <c r="J25" s="323"/>
      <c r="K25" s="259"/>
      <c r="L25" s="282"/>
      <c r="M25" s="222"/>
      <c r="N25" s="424"/>
      <c r="O25" s="424"/>
      <c r="P25" s="424"/>
      <c r="Q25" s="424"/>
      <c r="R25" s="199"/>
      <c r="S25" s="222"/>
      <c r="T25" s="214">
        <f>IFERROR(ROUND(SUM(W26,W27,W28,W29,W30,W31,W32)/I25, 2),0)</f>
        <v>0</v>
      </c>
      <c r="U25" s="203">
        <v>855</v>
      </c>
      <c r="V25" s="274">
        <f>T25+ROUND(U25, 2)</f>
        <v>855</v>
      </c>
      <c r="W25" s="183">
        <f>ROUND(T25*I25, 2)</f>
        <v>0</v>
      </c>
      <c r="X25" s="99">
        <f>ROUND(I25*ROUND(U25, 2), 2)</f>
        <v>0</v>
      </c>
      <c r="Y25" s="99">
        <f>W25+X25</f>
        <v>0</v>
      </c>
    </row>
    <row r="26" spans="1:25" ht="22.8" hidden="1" x14ac:dyDescent="0.4">
      <c r="A26" s="91" t="s">
        <v>114</v>
      </c>
      <c r="B26" s="91"/>
      <c r="C26" s="92" t="s">
        <v>115</v>
      </c>
      <c r="D26" s="93"/>
      <c r="E26" s="93"/>
      <c r="F26" s="94" t="s">
        <v>116</v>
      </c>
      <c r="G26" s="95">
        <v>8</v>
      </c>
      <c r="H26" s="180"/>
      <c r="I26" s="229">
        <v>0</v>
      </c>
      <c r="J26" s="321"/>
      <c r="K26" s="260"/>
      <c r="L26" s="283"/>
      <c r="M26" s="402"/>
      <c r="N26" s="425"/>
      <c r="O26" s="425"/>
      <c r="P26" s="425"/>
      <c r="Q26" s="425"/>
      <c r="R26" s="139"/>
      <c r="S26" s="139"/>
      <c r="T26" s="215">
        <v>2.5</v>
      </c>
      <c r="U26" s="216"/>
      <c r="V26" s="273"/>
      <c r="W26" s="207">
        <f t="shared" ref="W26:W32" si="1">ROUND(ROUND(T26, 2)*I26, 2)</f>
        <v>0</v>
      </c>
      <c r="X26" s="101"/>
      <c r="Y26" s="101"/>
    </row>
    <row r="27" spans="1:25" ht="22.8" hidden="1" x14ac:dyDescent="0.4">
      <c r="A27" s="91" t="s">
        <v>122</v>
      </c>
      <c r="B27" s="91"/>
      <c r="C27" s="92" t="s">
        <v>123</v>
      </c>
      <c r="D27" s="93"/>
      <c r="E27" s="93"/>
      <c r="F27" s="94" t="s">
        <v>70</v>
      </c>
      <c r="G27" s="95">
        <v>1E-3</v>
      </c>
      <c r="H27" s="180"/>
      <c r="I27" s="229">
        <v>0</v>
      </c>
      <c r="J27" s="321"/>
      <c r="K27" s="260"/>
      <c r="L27" s="283"/>
      <c r="M27" s="402"/>
      <c r="N27" s="425"/>
      <c r="O27" s="425"/>
      <c r="P27" s="425"/>
      <c r="Q27" s="425"/>
      <c r="R27" s="139"/>
      <c r="S27" s="139"/>
      <c r="T27" s="215">
        <v>208.33</v>
      </c>
      <c r="U27" s="216"/>
      <c r="V27" s="273"/>
      <c r="W27" s="207">
        <f t="shared" si="1"/>
        <v>0</v>
      </c>
      <c r="X27" s="101"/>
      <c r="Y27" s="101"/>
    </row>
    <row r="28" spans="1:25" ht="22.8" hidden="1" x14ac:dyDescent="0.4">
      <c r="A28" s="91" t="s">
        <v>129</v>
      </c>
      <c r="B28" s="91"/>
      <c r="C28" s="92" t="s">
        <v>130</v>
      </c>
      <c r="D28" s="93"/>
      <c r="E28" s="93"/>
      <c r="F28" s="94" t="s">
        <v>64</v>
      </c>
      <c r="G28" s="95">
        <v>1.1000000000000001</v>
      </c>
      <c r="H28" s="180"/>
      <c r="I28" s="229">
        <v>0</v>
      </c>
      <c r="J28" s="321"/>
      <c r="K28" s="260"/>
      <c r="L28" s="283"/>
      <c r="M28" s="402"/>
      <c r="N28" s="425"/>
      <c r="O28" s="425"/>
      <c r="P28" s="425"/>
      <c r="Q28" s="425"/>
      <c r="R28" s="139"/>
      <c r="S28" s="139"/>
      <c r="T28" s="215">
        <v>155.01</v>
      </c>
      <c r="U28" s="216"/>
      <c r="V28" s="273"/>
      <c r="W28" s="207">
        <f t="shared" si="1"/>
        <v>0</v>
      </c>
      <c r="X28" s="101"/>
      <c r="Y28" s="101"/>
    </row>
    <row r="29" spans="1:25" ht="22.8" hidden="1" x14ac:dyDescent="0.4">
      <c r="A29" s="91" t="s">
        <v>136</v>
      </c>
      <c r="B29" s="91"/>
      <c r="C29" s="92" t="s">
        <v>137</v>
      </c>
      <c r="D29" s="93"/>
      <c r="E29" s="93"/>
      <c r="F29" s="94" t="s">
        <v>70</v>
      </c>
      <c r="G29" s="95">
        <v>0.32</v>
      </c>
      <c r="H29" s="180"/>
      <c r="I29" s="229">
        <v>0</v>
      </c>
      <c r="J29" s="321"/>
      <c r="K29" s="260"/>
      <c r="L29" s="283"/>
      <c r="M29" s="402"/>
      <c r="N29" s="425"/>
      <c r="O29" s="425"/>
      <c r="P29" s="425"/>
      <c r="Q29" s="425"/>
      <c r="R29" s="139"/>
      <c r="S29" s="139"/>
      <c r="T29" s="215">
        <v>7.5</v>
      </c>
      <c r="U29" s="216"/>
      <c r="V29" s="273"/>
      <c r="W29" s="207">
        <f t="shared" si="1"/>
        <v>0</v>
      </c>
      <c r="X29" s="101"/>
      <c r="Y29" s="101"/>
    </row>
    <row r="30" spans="1:25" ht="22.8" hidden="1" x14ac:dyDescent="0.4">
      <c r="A30" s="91" t="s">
        <v>143</v>
      </c>
      <c r="B30" s="91"/>
      <c r="C30" s="92" t="s">
        <v>144</v>
      </c>
      <c r="D30" s="93"/>
      <c r="E30" s="93"/>
      <c r="F30" s="94" t="s">
        <v>98</v>
      </c>
      <c r="G30" s="95">
        <v>1E-3</v>
      </c>
      <c r="H30" s="180"/>
      <c r="I30" s="229">
        <v>0</v>
      </c>
      <c r="J30" s="321"/>
      <c r="K30" s="260"/>
      <c r="L30" s="283"/>
      <c r="M30" s="402"/>
      <c r="N30" s="425"/>
      <c r="O30" s="425"/>
      <c r="P30" s="425"/>
      <c r="Q30" s="425"/>
      <c r="R30" s="139"/>
      <c r="S30" s="139"/>
      <c r="T30" s="215">
        <v>1600</v>
      </c>
      <c r="U30" s="216"/>
      <c r="V30" s="273"/>
      <c r="W30" s="207">
        <f t="shared" si="1"/>
        <v>0</v>
      </c>
      <c r="X30" s="101"/>
      <c r="Y30" s="101"/>
    </row>
    <row r="31" spans="1:25" ht="22.8" hidden="1" x14ac:dyDescent="0.4">
      <c r="A31" s="91" t="s">
        <v>150</v>
      </c>
      <c r="B31" s="91"/>
      <c r="C31" s="92" t="s">
        <v>86</v>
      </c>
      <c r="D31" s="93"/>
      <c r="E31" s="93"/>
      <c r="F31" s="94" t="s">
        <v>87</v>
      </c>
      <c r="G31" s="95">
        <v>1</v>
      </c>
      <c r="H31" s="180"/>
      <c r="I31" s="229">
        <v>0</v>
      </c>
      <c r="J31" s="321"/>
      <c r="K31" s="260"/>
      <c r="L31" s="283"/>
      <c r="M31" s="402"/>
      <c r="N31" s="425"/>
      <c r="O31" s="425"/>
      <c r="P31" s="425"/>
      <c r="Q31" s="425"/>
      <c r="R31" s="139"/>
      <c r="S31" s="139"/>
      <c r="T31" s="215">
        <v>10.4</v>
      </c>
      <c r="U31" s="216"/>
      <c r="V31" s="273"/>
      <c r="W31" s="207">
        <f t="shared" si="1"/>
        <v>0</v>
      </c>
      <c r="X31" s="101"/>
      <c r="Y31" s="101"/>
    </row>
    <row r="32" spans="1:25" ht="36" hidden="1" x14ac:dyDescent="0.4">
      <c r="A32" s="91" t="s">
        <v>155</v>
      </c>
      <c r="B32" s="91"/>
      <c r="C32" s="92" t="s">
        <v>75</v>
      </c>
      <c r="D32" s="93"/>
      <c r="E32" s="93"/>
      <c r="F32" s="94" t="s">
        <v>70</v>
      </c>
      <c r="G32" s="95">
        <v>0.2</v>
      </c>
      <c r="H32" s="180"/>
      <c r="I32" s="229">
        <v>0</v>
      </c>
      <c r="J32" s="321"/>
      <c r="K32" s="260"/>
      <c r="L32" s="283"/>
      <c r="M32" s="402"/>
      <c r="N32" s="425"/>
      <c r="O32" s="425"/>
      <c r="P32" s="425"/>
      <c r="Q32" s="425"/>
      <c r="R32" s="139"/>
      <c r="S32" s="139"/>
      <c r="T32" s="215">
        <v>88.8</v>
      </c>
      <c r="U32" s="216"/>
      <c r="V32" s="273"/>
      <c r="W32" s="207">
        <f t="shared" si="1"/>
        <v>0</v>
      </c>
      <c r="X32" s="101"/>
      <c r="Y32" s="101"/>
    </row>
    <row r="33" spans="1:25" ht="36" hidden="1" x14ac:dyDescent="0.3">
      <c r="A33" s="91" t="s">
        <v>160</v>
      </c>
      <c r="B33" s="91" t="s">
        <v>107</v>
      </c>
      <c r="C33" s="97" t="s">
        <v>108</v>
      </c>
      <c r="D33" s="93"/>
      <c r="E33" s="93" t="s">
        <v>161</v>
      </c>
      <c r="F33" s="93" t="s">
        <v>64</v>
      </c>
      <c r="G33" s="98">
        <v>1</v>
      </c>
      <c r="H33" s="181"/>
      <c r="I33" s="231">
        <v>0</v>
      </c>
      <c r="J33" s="323"/>
      <c r="K33" s="259"/>
      <c r="L33" s="282"/>
      <c r="M33" s="222"/>
      <c r="N33" s="424"/>
      <c r="O33" s="424"/>
      <c r="P33" s="424"/>
      <c r="Q33" s="424"/>
      <c r="R33" s="199"/>
      <c r="S33" s="222"/>
      <c r="T33" s="214">
        <f>IFERROR(ROUND(SUM(W34,W35,W36,W37,W38,W39,W40)/I33, 2),0)</f>
        <v>0</v>
      </c>
      <c r="U33" s="203">
        <v>855</v>
      </c>
      <c r="V33" s="274">
        <f>T33+ROUND(U33, 2)</f>
        <v>855</v>
      </c>
      <c r="W33" s="183">
        <f>ROUND(T33*I33, 2)</f>
        <v>0</v>
      </c>
      <c r="X33" s="99">
        <f>ROUND(I33*ROUND(U33, 2), 2)</f>
        <v>0</v>
      </c>
      <c r="Y33" s="99">
        <f>W33+X33</f>
        <v>0</v>
      </c>
    </row>
    <row r="34" spans="1:25" ht="36" hidden="1" x14ac:dyDescent="0.4">
      <c r="A34" s="91" t="s">
        <v>164</v>
      </c>
      <c r="B34" s="91"/>
      <c r="C34" s="92" t="s">
        <v>75</v>
      </c>
      <c r="D34" s="93"/>
      <c r="E34" s="93"/>
      <c r="F34" s="94" t="s">
        <v>70</v>
      </c>
      <c r="G34" s="95">
        <v>0.2</v>
      </c>
      <c r="H34" s="180"/>
      <c r="I34" s="229">
        <v>0</v>
      </c>
      <c r="J34" s="321"/>
      <c r="K34" s="260"/>
      <c r="L34" s="283"/>
      <c r="M34" s="402"/>
      <c r="N34" s="425"/>
      <c r="O34" s="425"/>
      <c r="P34" s="425"/>
      <c r="Q34" s="425"/>
      <c r="R34" s="139"/>
      <c r="S34" s="139"/>
      <c r="T34" s="215">
        <v>88.8</v>
      </c>
      <c r="U34" s="216"/>
      <c r="V34" s="273"/>
      <c r="W34" s="207">
        <f t="shared" ref="W34:W40" si="2">ROUND(ROUND(T34, 2)*I34, 2)</f>
        <v>0</v>
      </c>
      <c r="X34" s="101"/>
      <c r="Y34" s="101"/>
    </row>
    <row r="35" spans="1:25" ht="22.8" hidden="1" x14ac:dyDescent="0.4">
      <c r="A35" s="91" t="s">
        <v>169</v>
      </c>
      <c r="B35" s="91"/>
      <c r="C35" s="92" t="s">
        <v>86</v>
      </c>
      <c r="D35" s="93"/>
      <c r="E35" s="93"/>
      <c r="F35" s="94" t="s">
        <v>87</v>
      </c>
      <c r="G35" s="95">
        <v>1</v>
      </c>
      <c r="H35" s="180"/>
      <c r="I35" s="229">
        <v>0</v>
      </c>
      <c r="J35" s="321"/>
      <c r="K35" s="260"/>
      <c r="L35" s="283"/>
      <c r="M35" s="402"/>
      <c r="N35" s="425"/>
      <c r="O35" s="425"/>
      <c r="P35" s="425"/>
      <c r="Q35" s="425"/>
      <c r="R35" s="139"/>
      <c r="S35" s="139"/>
      <c r="T35" s="215">
        <v>10.4</v>
      </c>
      <c r="U35" s="216"/>
      <c r="V35" s="273"/>
      <c r="W35" s="207">
        <f t="shared" si="2"/>
        <v>0</v>
      </c>
      <c r="X35" s="101"/>
      <c r="Y35" s="101"/>
    </row>
    <row r="36" spans="1:25" ht="22.8" hidden="1" x14ac:dyDescent="0.4">
      <c r="A36" s="91" t="s">
        <v>174</v>
      </c>
      <c r="B36" s="91"/>
      <c r="C36" s="92" t="s">
        <v>144</v>
      </c>
      <c r="D36" s="93"/>
      <c r="E36" s="93"/>
      <c r="F36" s="94" t="s">
        <v>98</v>
      </c>
      <c r="G36" s="95">
        <v>1E-3</v>
      </c>
      <c r="H36" s="180"/>
      <c r="I36" s="229">
        <v>0</v>
      </c>
      <c r="J36" s="321"/>
      <c r="K36" s="260"/>
      <c r="L36" s="283"/>
      <c r="M36" s="402"/>
      <c r="N36" s="425"/>
      <c r="O36" s="425"/>
      <c r="P36" s="425"/>
      <c r="Q36" s="425"/>
      <c r="R36" s="139"/>
      <c r="S36" s="139"/>
      <c r="T36" s="215">
        <v>1600</v>
      </c>
      <c r="U36" s="216"/>
      <c r="V36" s="273"/>
      <c r="W36" s="207">
        <f t="shared" si="2"/>
        <v>0</v>
      </c>
      <c r="X36" s="101"/>
      <c r="Y36" s="101"/>
    </row>
    <row r="37" spans="1:25" ht="22.8" hidden="1" x14ac:dyDescent="0.4">
      <c r="A37" s="91" t="s">
        <v>179</v>
      </c>
      <c r="B37" s="91"/>
      <c r="C37" s="92" t="s">
        <v>137</v>
      </c>
      <c r="D37" s="93"/>
      <c r="E37" s="93"/>
      <c r="F37" s="94" t="s">
        <v>70</v>
      </c>
      <c r="G37" s="95">
        <v>0.32</v>
      </c>
      <c r="H37" s="180"/>
      <c r="I37" s="229">
        <v>0</v>
      </c>
      <c r="J37" s="321"/>
      <c r="K37" s="260"/>
      <c r="L37" s="283"/>
      <c r="M37" s="402"/>
      <c r="N37" s="425"/>
      <c r="O37" s="425"/>
      <c r="P37" s="425"/>
      <c r="Q37" s="425"/>
      <c r="R37" s="139"/>
      <c r="S37" s="139"/>
      <c r="T37" s="215">
        <v>7.5</v>
      </c>
      <c r="U37" s="216"/>
      <c r="V37" s="273"/>
      <c r="W37" s="207">
        <f t="shared" si="2"/>
        <v>0</v>
      </c>
      <c r="X37" s="101"/>
      <c r="Y37" s="101"/>
    </row>
    <row r="38" spans="1:25" ht="22.8" hidden="1" x14ac:dyDescent="0.4">
      <c r="A38" s="91" t="s">
        <v>184</v>
      </c>
      <c r="B38" s="91"/>
      <c r="C38" s="92" t="s">
        <v>130</v>
      </c>
      <c r="D38" s="93"/>
      <c r="E38" s="93"/>
      <c r="F38" s="94" t="s">
        <v>64</v>
      </c>
      <c r="G38" s="95">
        <v>1.1000000000000001</v>
      </c>
      <c r="H38" s="180"/>
      <c r="I38" s="229">
        <v>0</v>
      </c>
      <c r="J38" s="321"/>
      <c r="K38" s="260"/>
      <c r="L38" s="283"/>
      <c r="M38" s="402"/>
      <c r="N38" s="425"/>
      <c r="O38" s="425"/>
      <c r="P38" s="425"/>
      <c r="Q38" s="425"/>
      <c r="R38" s="139"/>
      <c r="S38" s="139"/>
      <c r="T38" s="215">
        <v>155.01</v>
      </c>
      <c r="U38" s="216"/>
      <c r="V38" s="273"/>
      <c r="W38" s="207">
        <f t="shared" si="2"/>
        <v>0</v>
      </c>
      <c r="X38" s="101"/>
      <c r="Y38" s="101"/>
    </row>
    <row r="39" spans="1:25" ht="22.8" hidden="1" x14ac:dyDescent="0.4">
      <c r="A39" s="91" t="s">
        <v>189</v>
      </c>
      <c r="B39" s="91"/>
      <c r="C39" s="92" t="s">
        <v>123</v>
      </c>
      <c r="D39" s="93"/>
      <c r="E39" s="93"/>
      <c r="F39" s="94" t="s">
        <v>70</v>
      </c>
      <c r="G39" s="95">
        <v>1E-3</v>
      </c>
      <c r="H39" s="180"/>
      <c r="I39" s="229">
        <v>0</v>
      </c>
      <c r="J39" s="321"/>
      <c r="K39" s="260"/>
      <c r="L39" s="283"/>
      <c r="M39" s="402"/>
      <c r="N39" s="425"/>
      <c r="O39" s="425"/>
      <c r="P39" s="425"/>
      <c r="Q39" s="425"/>
      <c r="R39" s="139"/>
      <c r="S39" s="139"/>
      <c r="T39" s="215">
        <v>208.33</v>
      </c>
      <c r="U39" s="216"/>
      <c r="V39" s="273"/>
      <c r="W39" s="207">
        <f t="shared" si="2"/>
        <v>0</v>
      </c>
      <c r="X39" s="101"/>
      <c r="Y39" s="101"/>
    </row>
    <row r="40" spans="1:25" ht="22.8" hidden="1" x14ac:dyDescent="0.4">
      <c r="A40" s="91" t="s">
        <v>194</v>
      </c>
      <c r="B40" s="91"/>
      <c r="C40" s="92" t="s">
        <v>115</v>
      </c>
      <c r="D40" s="93"/>
      <c r="E40" s="93"/>
      <c r="F40" s="94" t="s">
        <v>116</v>
      </c>
      <c r="G40" s="95">
        <v>8</v>
      </c>
      <c r="H40" s="180"/>
      <c r="I40" s="229">
        <v>0</v>
      </c>
      <c r="J40" s="321"/>
      <c r="K40" s="260"/>
      <c r="L40" s="283"/>
      <c r="M40" s="402"/>
      <c r="N40" s="425"/>
      <c r="O40" s="425"/>
      <c r="P40" s="425"/>
      <c r="Q40" s="425"/>
      <c r="R40" s="139"/>
      <c r="S40" s="139"/>
      <c r="T40" s="215">
        <v>2.5</v>
      </c>
      <c r="U40" s="216"/>
      <c r="V40" s="273"/>
      <c r="W40" s="207">
        <f t="shared" si="2"/>
        <v>0</v>
      </c>
      <c r="X40" s="101"/>
      <c r="Y40" s="101"/>
    </row>
    <row r="41" spans="1:25" ht="41.55" customHeight="1" x14ac:dyDescent="0.3">
      <c r="A41" s="74" t="s">
        <v>199</v>
      </c>
      <c r="B41" s="74" t="s">
        <v>107</v>
      </c>
      <c r="C41" s="75" t="s">
        <v>200</v>
      </c>
      <c r="D41" s="76"/>
      <c r="E41" s="76" t="s">
        <v>201</v>
      </c>
      <c r="F41" s="76" t="s">
        <v>64</v>
      </c>
      <c r="G41" s="77">
        <v>1</v>
      </c>
      <c r="H41" s="177"/>
      <c r="I41" s="228">
        <v>239.9</v>
      </c>
      <c r="J41" s="322"/>
      <c r="K41" s="258"/>
      <c r="L41" s="281"/>
      <c r="M41" s="221"/>
      <c r="N41" s="422"/>
      <c r="O41" s="422"/>
      <c r="P41" s="422"/>
      <c r="Q41" s="422"/>
      <c r="R41" s="220"/>
      <c r="S41" s="221"/>
      <c r="T41" s="212">
        <f>IFERROR(ROUND(SUM(W42,W43,W44,W45,W46)/I41, 2),0)</f>
        <v>878.71</v>
      </c>
      <c r="U41" s="202">
        <v>941</v>
      </c>
      <c r="V41" s="274">
        <f>T41+ROUND(U41, 2)</f>
        <v>1819.71</v>
      </c>
      <c r="W41" s="182">
        <f>ROUND(T41*I41, 2)</f>
        <v>210802.53</v>
      </c>
      <c r="X41" s="14">
        <f>ROUND(I41*ROUND(U41, 2), 2)</f>
        <v>225745.9</v>
      </c>
      <c r="Y41" s="14">
        <f>W41+X41</f>
        <v>436548.43</v>
      </c>
    </row>
    <row r="42" spans="1:25" ht="22.8" hidden="1" x14ac:dyDescent="0.4">
      <c r="A42" s="91" t="s">
        <v>202</v>
      </c>
      <c r="B42" s="91"/>
      <c r="C42" s="92" t="s">
        <v>115</v>
      </c>
      <c r="D42" s="93"/>
      <c r="E42" s="93"/>
      <c r="F42" s="94" t="s">
        <v>116</v>
      </c>
      <c r="G42" s="95">
        <v>8</v>
      </c>
      <c r="H42" s="180"/>
      <c r="I42" s="229">
        <v>1919.2</v>
      </c>
      <c r="J42" s="321"/>
      <c r="K42" s="257"/>
      <c r="L42" s="280"/>
      <c r="M42" s="401"/>
      <c r="N42" s="423"/>
      <c r="O42" s="423"/>
      <c r="P42" s="423"/>
      <c r="Q42" s="423"/>
      <c r="R42" s="218"/>
      <c r="S42" s="218"/>
      <c r="T42" s="213">
        <v>2.5</v>
      </c>
      <c r="U42" s="211"/>
      <c r="V42" s="273"/>
      <c r="W42" s="206">
        <f>ROUND(ROUND(T42, 2)*I42, 2)</f>
        <v>4798</v>
      </c>
    </row>
    <row r="43" spans="1:25" ht="22.8" hidden="1" x14ac:dyDescent="0.4">
      <c r="A43" s="91" t="s">
        <v>205</v>
      </c>
      <c r="B43" s="91"/>
      <c r="C43" s="92" t="s">
        <v>206</v>
      </c>
      <c r="D43" s="93"/>
      <c r="E43" s="93"/>
      <c r="F43" s="94" t="s">
        <v>70</v>
      </c>
      <c r="G43" s="95">
        <v>1.8</v>
      </c>
      <c r="H43" s="180"/>
      <c r="I43" s="229">
        <v>25909.200000000001</v>
      </c>
      <c r="J43" s="321"/>
      <c r="K43" s="257"/>
      <c r="L43" s="280"/>
      <c r="M43" s="401"/>
      <c r="N43" s="423"/>
      <c r="O43" s="423"/>
      <c r="P43" s="423"/>
      <c r="Q43" s="423"/>
      <c r="R43" s="218"/>
      <c r="S43" s="218"/>
      <c r="T43" s="213">
        <v>6.17</v>
      </c>
      <c r="U43" s="211"/>
      <c r="V43" s="273"/>
      <c r="W43" s="206">
        <f>ROUND(ROUND(T43, 2)*I43, 2)</f>
        <v>159859.76</v>
      </c>
    </row>
    <row r="44" spans="1:25" ht="22.8" hidden="1" x14ac:dyDescent="0.4">
      <c r="A44" s="91" t="s">
        <v>210</v>
      </c>
      <c r="B44" s="91"/>
      <c r="C44" s="92" t="s">
        <v>130</v>
      </c>
      <c r="D44" s="93"/>
      <c r="E44" s="93"/>
      <c r="F44" s="94" t="s">
        <v>64</v>
      </c>
      <c r="G44" s="95">
        <v>1.1000000000000001</v>
      </c>
      <c r="H44" s="180"/>
      <c r="I44" s="229">
        <v>263.89</v>
      </c>
      <c r="J44" s="321"/>
      <c r="K44" s="257"/>
      <c r="L44" s="280"/>
      <c r="M44" s="401"/>
      <c r="N44" s="423"/>
      <c r="O44" s="423"/>
      <c r="P44" s="423"/>
      <c r="Q44" s="423"/>
      <c r="R44" s="218"/>
      <c r="S44" s="218"/>
      <c r="T44" s="213">
        <v>155.01</v>
      </c>
      <c r="U44" s="211"/>
      <c r="V44" s="273"/>
      <c r="W44" s="206">
        <f>ROUND(ROUND(T44, 2)*I44, 2)</f>
        <v>40905.589999999997</v>
      </c>
    </row>
    <row r="45" spans="1:25" ht="22.8" hidden="1" x14ac:dyDescent="0.4">
      <c r="A45" s="91" t="s">
        <v>213</v>
      </c>
      <c r="B45" s="91"/>
      <c r="C45" s="92" t="s">
        <v>86</v>
      </c>
      <c r="D45" s="93"/>
      <c r="E45" s="93"/>
      <c r="F45" s="94" t="s">
        <v>87</v>
      </c>
      <c r="G45" s="95">
        <v>1</v>
      </c>
      <c r="H45" s="180"/>
      <c r="I45" s="229">
        <v>94</v>
      </c>
      <c r="J45" s="321"/>
      <c r="K45" s="257"/>
      <c r="L45" s="280"/>
      <c r="M45" s="401"/>
      <c r="N45" s="423"/>
      <c r="O45" s="423"/>
      <c r="P45" s="423"/>
      <c r="Q45" s="423"/>
      <c r="R45" s="218"/>
      <c r="S45" s="218"/>
      <c r="T45" s="213">
        <v>10.4</v>
      </c>
      <c r="U45" s="211"/>
      <c r="V45" s="273"/>
      <c r="W45" s="206">
        <f>ROUND(ROUND(T45, 2)*I45, 2)</f>
        <v>977.6</v>
      </c>
    </row>
    <row r="46" spans="1:25" ht="1.05" hidden="1" customHeight="1" x14ac:dyDescent="0.4">
      <c r="A46" s="91" t="s">
        <v>216</v>
      </c>
      <c r="B46" s="91"/>
      <c r="C46" s="92" t="s">
        <v>75</v>
      </c>
      <c r="D46" s="93"/>
      <c r="E46" s="93"/>
      <c r="F46" s="94" t="s">
        <v>70</v>
      </c>
      <c r="G46" s="95">
        <v>0.2</v>
      </c>
      <c r="H46" s="180"/>
      <c r="I46" s="229">
        <v>47.98</v>
      </c>
      <c r="J46" s="321"/>
      <c r="K46" s="257"/>
      <c r="L46" s="280"/>
      <c r="M46" s="401"/>
      <c r="N46" s="423"/>
      <c r="O46" s="423"/>
      <c r="P46" s="423"/>
      <c r="Q46" s="423"/>
      <c r="R46" s="218"/>
      <c r="S46" s="218"/>
      <c r="T46" s="213">
        <v>88.8</v>
      </c>
      <c r="U46" s="211"/>
      <c r="V46" s="273"/>
      <c r="W46" s="206">
        <f>ROUND(ROUND(T46, 2)*I46, 2)</f>
        <v>4260.62</v>
      </c>
    </row>
    <row r="47" spans="1:25" ht="40.5" customHeight="1" x14ac:dyDescent="0.3">
      <c r="A47" s="74" t="s">
        <v>219</v>
      </c>
      <c r="B47" s="74" t="s">
        <v>107</v>
      </c>
      <c r="C47" s="75" t="s">
        <v>200</v>
      </c>
      <c r="D47" s="76"/>
      <c r="E47" s="76" t="s">
        <v>220</v>
      </c>
      <c r="F47" s="76" t="s">
        <v>64</v>
      </c>
      <c r="G47" s="77">
        <v>1</v>
      </c>
      <c r="H47" s="177"/>
      <c r="I47" s="228">
        <v>631.29999999999995</v>
      </c>
      <c r="J47" s="322"/>
      <c r="K47" s="258"/>
      <c r="L47" s="281"/>
      <c r="M47" s="221"/>
      <c r="N47" s="422"/>
      <c r="O47" s="422"/>
      <c r="P47" s="422"/>
      <c r="Q47" s="422"/>
      <c r="R47" s="220"/>
      <c r="S47" s="221"/>
      <c r="T47" s="212">
        <f>IFERROR(ROUND(SUM(W48,W49,W50,W51,W52)/I47, 2),0)</f>
        <v>879.19</v>
      </c>
      <c r="U47" s="202">
        <v>941</v>
      </c>
      <c r="V47" s="274">
        <f>T47+ROUND(U47, 2)</f>
        <v>1820.19</v>
      </c>
      <c r="W47" s="182">
        <f>ROUND(T47*I47, 2)</f>
        <v>555032.65</v>
      </c>
      <c r="X47" s="14">
        <f>ROUND(I47*ROUND(U47, 2), 2)</f>
        <v>594053.30000000005</v>
      </c>
      <c r="Y47" s="14">
        <f>W47+X47</f>
        <v>1149085.9500000002</v>
      </c>
    </row>
    <row r="48" spans="1:25" ht="36" hidden="1" x14ac:dyDescent="0.4">
      <c r="A48" s="91" t="s">
        <v>221</v>
      </c>
      <c r="B48" s="91"/>
      <c r="C48" s="92" t="s">
        <v>75</v>
      </c>
      <c r="D48" s="93"/>
      <c r="E48" s="93"/>
      <c r="F48" s="94" t="s">
        <v>70</v>
      </c>
      <c r="G48" s="95">
        <v>0.2</v>
      </c>
      <c r="H48" s="180"/>
      <c r="I48" s="229">
        <v>126.26</v>
      </c>
      <c r="J48" s="321"/>
      <c r="K48" s="257"/>
      <c r="L48" s="280"/>
      <c r="M48" s="401"/>
      <c r="N48" s="423"/>
      <c r="O48" s="423"/>
      <c r="P48" s="423"/>
      <c r="Q48" s="423"/>
      <c r="R48" s="218"/>
      <c r="S48" s="218"/>
      <c r="T48" s="213">
        <v>88.8</v>
      </c>
      <c r="U48" s="211"/>
      <c r="V48" s="273"/>
      <c r="W48" s="206">
        <f>ROUND(ROUND(T48, 2)*I48, 2)</f>
        <v>11211.89</v>
      </c>
    </row>
    <row r="49" spans="1:25" ht="22.8" hidden="1" x14ac:dyDescent="0.4">
      <c r="A49" s="91" t="s">
        <v>224</v>
      </c>
      <c r="B49" s="91"/>
      <c r="C49" s="92" t="s">
        <v>86</v>
      </c>
      <c r="D49" s="93"/>
      <c r="E49" s="93"/>
      <c r="F49" s="94" t="s">
        <v>87</v>
      </c>
      <c r="G49" s="95">
        <v>1</v>
      </c>
      <c r="H49" s="180"/>
      <c r="I49" s="229">
        <v>277</v>
      </c>
      <c r="J49" s="321"/>
      <c r="K49" s="257"/>
      <c r="L49" s="280"/>
      <c r="M49" s="401"/>
      <c r="N49" s="423"/>
      <c r="O49" s="423"/>
      <c r="P49" s="423"/>
      <c r="Q49" s="423"/>
      <c r="R49" s="218"/>
      <c r="S49" s="218"/>
      <c r="T49" s="213">
        <v>10.4</v>
      </c>
      <c r="U49" s="211"/>
      <c r="V49" s="273"/>
      <c r="W49" s="206">
        <f>ROUND(ROUND(T49, 2)*I49, 2)</f>
        <v>2880.8</v>
      </c>
    </row>
    <row r="50" spans="1:25" ht="22.8" hidden="1" x14ac:dyDescent="0.4">
      <c r="A50" s="91" t="s">
        <v>227</v>
      </c>
      <c r="B50" s="91"/>
      <c r="C50" s="92" t="s">
        <v>130</v>
      </c>
      <c r="D50" s="93"/>
      <c r="E50" s="93"/>
      <c r="F50" s="94" t="s">
        <v>64</v>
      </c>
      <c r="G50" s="95">
        <v>1.1000000000000001</v>
      </c>
      <c r="H50" s="180"/>
      <c r="I50" s="229">
        <v>694.43</v>
      </c>
      <c r="J50" s="321"/>
      <c r="K50" s="257"/>
      <c r="L50" s="280"/>
      <c r="M50" s="401"/>
      <c r="N50" s="423"/>
      <c r="O50" s="423"/>
      <c r="P50" s="423"/>
      <c r="Q50" s="423"/>
      <c r="R50" s="218"/>
      <c r="S50" s="218"/>
      <c r="T50" s="213">
        <v>155.01</v>
      </c>
      <c r="U50" s="211"/>
      <c r="V50" s="273"/>
      <c r="W50" s="206">
        <f>ROUND(ROUND(T50, 2)*I50, 2)</f>
        <v>107643.59</v>
      </c>
    </row>
    <row r="51" spans="1:25" ht="22.8" hidden="1" x14ac:dyDescent="0.4">
      <c r="A51" s="91" t="s">
        <v>230</v>
      </c>
      <c r="B51" s="91"/>
      <c r="C51" s="92" t="s">
        <v>206</v>
      </c>
      <c r="D51" s="93"/>
      <c r="E51" s="93"/>
      <c r="F51" s="94" t="s">
        <v>70</v>
      </c>
      <c r="G51" s="95">
        <v>1.8</v>
      </c>
      <c r="H51" s="180"/>
      <c r="I51" s="229">
        <v>68180.399999999994</v>
      </c>
      <c r="J51" s="321"/>
      <c r="K51" s="257"/>
      <c r="L51" s="280"/>
      <c r="M51" s="401"/>
      <c r="N51" s="423"/>
      <c r="O51" s="423"/>
      <c r="P51" s="423"/>
      <c r="Q51" s="423"/>
      <c r="R51" s="218"/>
      <c r="S51" s="218"/>
      <c r="T51" s="213">
        <v>6.17</v>
      </c>
      <c r="U51" s="211"/>
      <c r="V51" s="273"/>
      <c r="W51" s="206">
        <f>ROUND(ROUND(T51, 2)*I51, 2)</f>
        <v>420673.07</v>
      </c>
    </row>
    <row r="52" spans="1:25" ht="22.8" hidden="1" x14ac:dyDescent="0.4">
      <c r="A52" s="91" t="s">
        <v>233</v>
      </c>
      <c r="B52" s="91"/>
      <c r="C52" s="92" t="s">
        <v>115</v>
      </c>
      <c r="D52" s="93"/>
      <c r="E52" s="93"/>
      <c r="F52" s="94" t="s">
        <v>116</v>
      </c>
      <c r="G52" s="95">
        <v>8</v>
      </c>
      <c r="H52" s="180"/>
      <c r="I52" s="229">
        <v>5050.3999999999996</v>
      </c>
      <c r="J52" s="321"/>
      <c r="K52" s="257"/>
      <c r="L52" s="280"/>
      <c r="M52" s="401"/>
      <c r="N52" s="423"/>
      <c r="O52" s="423"/>
      <c r="P52" s="423"/>
      <c r="Q52" s="423"/>
      <c r="R52" s="218"/>
      <c r="S52" s="218"/>
      <c r="T52" s="213">
        <v>2.5</v>
      </c>
      <c r="U52" s="211"/>
      <c r="V52" s="273"/>
      <c r="W52" s="206">
        <f>ROUND(ROUND(T52, 2)*I52, 2)</f>
        <v>12626</v>
      </c>
    </row>
    <row r="53" spans="1:25" ht="40.5" customHeight="1" x14ac:dyDescent="0.3">
      <c r="A53" s="74" t="s">
        <v>236</v>
      </c>
      <c r="B53" s="74" t="s">
        <v>107</v>
      </c>
      <c r="C53" s="75" t="s">
        <v>200</v>
      </c>
      <c r="D53" s="76"/>
      <c r="E53" s="76" t="s">
        <v>237</v>
      </c>
      <c r="F53" s="76" t="s">
        <v>64</v>
      </c>
      <c r="G53" s="77">
        <v>1</v>
      </c>
      <c r="H53" s="177"/>
      <c r="I53" s="228">
        <v>34.5</v>
      </c>
      <c r="J53" s="322"/>
      <c r="K53" s="258"/>
      <c r="L53" s="281"/>
      <c r="M53" s="221"/>
      <c r="N53" s="422"/>
      <c r="O53" s="422"/>
      <c r="P53" s="422"/>
      <c r="Q53" s="422"/>
      <c r="R53" s="220"/>
      <c r="S53" s="221"/>
      <c r="T53" s="212">
        <f>IFERROR(ROUND(SUM(W54,W55,W56,W57,W58)/I53, 2),0)</f>
        <v>768.25</v>
      </c>
      <c r="U53" s="202">
        <v>941</v>
      </c>
      <c r="V53" s="274">
        <f>T53+ROUND(U53, 2)</f>
        <v>1709.25</v>
      </c>
      <c r="W53" s="182">
        <f>ROUND(T53*I53, 2)</f>
        <v>26504.63</v>
      </c>
      <c r="X53" s="14">
        <f>ROUND(I53*ROUND(U53, 2), 2)</f>
        <v>32464.5</v>
      </c>
      <c r="Y53" s="14">
        <f>W53+X53</f>
        <v>58969.130000000005</v>
      </c>
    </row>
    <row r="54" spans="1:25" ht="22.8" hidden="1" x14ac:dyDescent="0.4">
      <c r="A54" s="91" t="s">
        <v>238</v>
      </c>
      <c r="B54" s="91"/>
      <c r="C54" s="92" t="s">
        <v>115</v>
      </c>
      <c r="D54" s="93"/>
      <c r="E54" s="93"/>
      <c r="F54" s="94" t="s">
        <v>116</v>
      </c>
      <c r="G54" s="95">
        <v>8</v>
      </c>
      <c r="H54" s="180"/>
      <c r="I54" s="229">
        <v>276</v>
      </c>
      <c r="J54" s="321"/>
      <c r="K54" s="257"/>
      <c r="L54" s="280"/>
      <c r="M54" s="401"/>
      <c r="N54" s="423"/>
      <c r="O54" s="423"/>
      <c r="P54" s="423"/>
      <c r="Q54" s="423"/>
      <c r="R54" s="218"/>
      <c r="S54" s="218"/>
      <c r="T54" s="213">
        <v>2.5</v>
      </c>
      <c r="U54" s="211"/>
      <c r="V54" s="273"/>
      <c r="W54" s="206">
        <f>ROUND(ROUND(T54, 2)*I54, 2)</f>
        <v>690</v>
      </c>
    </row>
    <row r="55" spans="1:25" ht="22.8" hidden="1" x14ac:dyDescent="0.4">
      <c r="A55" s="91" t="s">
        <v>241</v>
      </c>
      <c r="B55" s="91"/>
      <c r="C55" s="92" t="s">
        <v>206</v>
      </c>
      <c r="D55" s="93"/>
      <c r="E55" s="93"/>
      <c r="F55" s="94" t="s">
        <v>70</v>
      </c>
      <c r="G55" s="95">
        <v>1.8</v>
      </c>
      <c r="H55" s="180"/>
      <c r="I55" s="229">
        <v>3105</v>
      </c>
      <c r="J55" s="321"/>
      <c r="K55" s="257"/>
      <c r="L55" s="280"/>
      <c r="M55" s="401"/>
      <c r="N55" s="423"/>
      <c r="O55" s="423"/>
      <c r="P55" s="423"/>
      <c r="Q55" s="423"/>
      <c r="R55" s="218"/>
      <c r="S55" s="218"/>
      <c r="T55" s="213">
        <v>6.17</v>
      </c>
      <c r="U55" s="211"/>
      <c r="V55" s="273"/>
      <c r="W55" s="206">
        <f>ROUND(ROUND(T55, 2)*I55, 2)</f>
        <v>19157.849999999999</v>
      </c>
    </row>
    <row r="56" spans="1:25" ht="22.8" hidden="1" x14ac:dyDescent="0.4">
      <c r="A56" s="91" t="s">
        <v>244</v>
      </c>
      <c r="B56" s="91"/>
      <c r="C56" s="92" t="s">
        <v>130</v>
      </c>
      <c r="D56" s="93"/>
      <c r="E56" s="93"/>
      <c r="F56" s="94" t="s">
        <v>64</v>
      </c>
      <c r="G56" s="95">
        <v>1.1000000000000001</v>
      </c>
      <c r="H56" s="180"/>
      <c r="I56" s="229">
        <v>37.950000000000003</v>
      </c>
      <c r="J56" s="321"/>
      <c r="K56" s="257"/>
      <c r="L56" s="280"/>
      <c r="M56" s="401"/>
      <c r="N56" s="423"/>
      <c r="O56" s="423"/>
      <c r="P56" s="423"/>
      <c r="Q56" s="423"/>
      <c r="R56" s="218"/>
      <c r="S56" s="218"/>
      <c r="T56" s="213">
        <v>155.01</v>
      </c>
      <c r="U56" s="211"/>
      <c r="V56" s="273"/>
      <c r="W56" s="206">
        <f>ROUND(ROUND(T56, 2)*I56, 2)</f>
        <v>5882.63</v>
      </c>
    </row>
    <row r="57" spans="1:25" ht="22.8" hidden="1" x14ac:dyDescent="0.4">
      <c r="A57" s="91" t="s">
        <v>247</v>
      </c>
      <c r="B57" s="91"/>
      <c r="C57" s="92" t="s">
        <v>86</v>
      </c>
      <c r="D57" s="93"/>
      <c r="E57" s="93"/>
      <c r="F57" s="94" t="s">
        <v>87</v>
      </c>
      <c r="G57" s="95">
        <v>1</v>
      </c>
      <c r="H57" s="180"/>
      <c r="I57" s="229">
        <v>15.519</v>
      </c>
      <c r="J57" s="321"/>
      <c r="K57" s="257"/>
      <c r="L57" s="280"/>
      <c r="M57" s="401"/>
      <c r="N57" s="423"/>
      <c r="O57" s="423"/>
      <c r="P57" s="423"/>
      <c r="Q57" s="423"/>
      <c r="R57" s="218"/>
      <c r="S57" s="218"/>
      <c r="T57" s="213">
        <v>10.4</v>
      </c>
      <c r="U57" s="211"/>
      <c r="V57" s="273"/>
      <c r="W57" s="206">
        <f>ROUND(ROUND(T57, 2)*I57, 2)</f>
        <v>161.4</v>
      </c>
    </row>
    <row r="58" spans="1:25" ht="36" hidden="1" x14ac:dyDescent="0.4">
      <c r="A58" s="91" t="s">
        <v>250</v>
      </c>
      <c r="B58" s="91"/>
      <c r="C58" s="92" t="s">
        <v>75</v>
      </c>
      <c r="D58" s="93"/>
      <c r="E58" s="93"/>
      <c r="F58" s="94" t="s">
        <v>70</v>
      </c>
      <c r="G58" s="95">
        <v>0.2</v>
      </c>
      <c r="H58" s="180"/>
      <c r="I58" s="229">
        <v>6.9</v>
      </c>
      <c r="J58" s="321"/>
      <c r="K58" s="257"/>
      <c r="L58" s="280"/>
      <c r="M58" s="401"/>
      <c r="N58" s="423"/>
      <c r="O58" s="423"/>
      <c r="P58" s="423"/>
      <c r="Q58" s="423"/>
      <c r="R58" s="218"/>
      <c r="S58" s="218"/>
      <c r="T58" s="213">
        <v>88.8</v>
      </c>
      <c r="U58" s="211"/>
      <c r="V58" s="273"/>
      <c r="W58" s="206">
        <f>ROUND(ROUND(T58, 2)*I58, 2)</f>
        <v>612.72</v>
      </c>
    </row>
    <row r="59" spans="1:25" ht="36" hidden="1" x14ac:dyDescent="0.3">
      <c r="A59" s="91" t="s">
        <v>253</v>
      </c>
      <c r="B59" s="91" t="s">
        <v>254</v>
      </c>
      <c r="C59" s="97" t="s">
        <v>255</v>
      </c>
      <c r="D59" s="93"/>
      <c r="E59" s="93" t="s">
        <v>256</v>
      </c>
      <c r="F59" s="93" t="s">
        <v>64</v>
      </c>
      <c r="G59" s="98">
        <v>1</v>
      </c>
      <c r="H59" s="181"/>
      <c r="I59" s="231">
        <v>0</v>
      </c>
      <c r="J59" s="323"/>
      <c r="K59" s="259"/>
      <c r="L59" s="282"/>
      <c r="M59" s="222"/>
      <c r="N59" s="424"/>
      <c r="O59" s="424"/>
      <c r="P59" s="424"/>
      <c r="Q59" s="424"/>
      <c r="R59" s="199"/>
      <c r="S59" s="222"/>
      <c r="T59" s="214">
        <f>IFERROR(ROUND(SUM(W60,W61,W62,W63,W64,W65,W66)/I59, 2),0)</f>
        <v>0</v>
      </c>
      <c r="U59" s="203">
        <v>922</v>
      </c>
      <c r="V59" s="274">
        <f>T59+ROUND(U59, 2)</f>
        <v>922</v>
      </c>
      <c r="W59" s="183">
        <f>ROUND(T59*I59, 2)</f>
        <v>0</v>
      </c>
      <c r="X59" s="99">
        <f>ROUND(I59*ROUND(U59, 2), 2)</f>
        <v>0</v>
      </c>
      <c r="Y59" s="99">
        <f>W59+X59</f>
        <v>0</v>
      </c>
    </row>
    <row r="60" spans="1:25" ht="22.8" hidden="1" x14ac:dyDescent="0.4">
      <c r="A60" s="91" t="s">
        <v>261</v>
      </c>
      <c r="B60" s="91"/>
      <c r="C60" s="92" t="s">
        <v>115</v>
      </c>
      <c r="D60" s="93"/>
      <c r="E60" s="93"/>
      <c r="F60" s="94" t="s">
        <v>116</v>
      </c>
      <c r="G60" s="95">
        <v>8</v>
      </c>
      <c r="H60" s="180"/>
      <c r="I60" s="229">
        <v>0</v>
      </c>
      <c r="J60" s="321"/>
      <c r="K60" s="260"/>
      <c r="L60" s="283"/>
      <c r="M60" s="402"/>
      <c r="N60" s="425"/>
      <c r="O60" s="425"/>
      <c r="P60" s="425"/>
      <c r="Q60" s="425"/>
      <c r="R60" s="139"/>
      <c r="S60" s="139"/>
      <c r="T60" s="215">
        <v>2.5</v>
      </c>
      <c r="U60" s="216"/>
      <c r="V60" s="273"/>
      <c r="W60" s="207">
        <f t="shared" ref="W60:W66" si="3">ROUND(ROUND(T60, 2)*I60, 2)</f>
        <v>0</v>
      </c>
      <c r="X60" s="101"/>
      <c r="Y60" s="101"/>
    </row>
    <row r="61" spans="1:25" ht="22.8" hidden="1" x14ac:dyDescent="0.4">
      <c r="A61" s="91" t="s">
        <v>266</v>
      </c>
      <c r="B61" s="91"/>
      <c r="C61" s="92" t="s">
        <v>123</v>
      </c>
      <c r="D61" s="93"/>
      <c r="E61" s="93"/>
      <c r="F61" s="94" t="s">
        <v>70</v>
      </c>
      <c r="G61" s="95">
        <v>1E-3</v>
      </c>
      <c r="H61" s="180"/>
      <c r="I61" s="229">
        <v>0</v>
      </c>
      <c r="J61" s="321"/>
      <c r="K61" s="260"/>
      <c r="L61" s="283"/>
      <c r="M61" s="402"/>
      <c r="N61" s="425"/>
      <c r="O61" s="425"/>
      <c r="P61" s="425"/>
      <c r="Q61" s="425"/>
      <c r="R61" s="139"/>
      <c r="S61" s="139"/>
      <c r="T61" s="215">
        <v>208.33</v>
      </c>
      <c r="U61" s="216"/>
      <c r="V61" s="273"/>
      <c r="W61" s="207">
        <f t="shared" si="3"/>
        <v>0</v>
      </c>
      <c r="X61" s="101"/>
      <c r="Y61" s="101"/>
    </row>
    <row r="62" spans="1:25" ht="22.8" hidden="1" x14ac:dyDescent="0.4">
      <c r="A62" s="91" t="s">
        <v>271</v>
      </c>
      <c r="B62" s="91"/>
      <c r="C62" s="92" t="s">
        <v>130</v>
      </c>
      <c r="D62" s="93"/>
      <c r="E62" s="93"/>
      <c r="F62" s="94" t="s">
        <v>64</v>
      </c>
      <c r="G62" s="95">
        <v>1.1000000000000001</v>
      </c>
      <c r="H62" s="180"/>
      <c r="I62" s="229">
        <v>0</v>
      </c>
      <c r="J62" s="321"/>
      <c r="K62" s="260"/>
      <c r="L62" s="283"/>
      <c r="M62" s="402"/>
      <c r="N62" s="425"/>
      <c r="O62" s="425"/>
      <c r="P62" s="425"/>
      <c r="Q62" s="425"/>
      <c r="R62" s="139"/>
      <c r="S62" s="139"/>
      <c r="T62" s="215">
        <v>155.01</v>
      </c>
      <c r="U62" s="216"/>
      <c r="V62" s="273"/>
      <c r="W62" s="207">
        <f t="shared" si="3"/>
        <v>0</v>
      </c>
      <c r="X62" s="101"/>
      <c r="Y62" s="101"/>
    </row>
    <row r="63" spans="1:25" ht="22.8" hidden="1" x14ac:dyDescent="0.4">
      <c r="A63" s="91" t="s">
        <v>276</v>
      </c>
      <c r="B63" s="91"/>
      <c r="C63" s="92" t="s">
        <v>137</v>
      </c>
      <c r="D63" s="93"/>
      <c r="E63" s="93"/>
      <c r="F63" s="94" t="s">
        <v>70</v>
      </c>
      <c r="G63" s="95">
        <v>0.32</v>
      </c>
      <c r="H63" s="180"/>
      <c r="I63" s="229">
        <v>0</v>
      </c>
      <c r="J63" s="321"/>
      <c r="K63" s="260"/>
      <c r="L63" s="283"/>
      <c r="M63" s="402"/>
      <c r="N63" s="425"/>
      <c r="O63" s="425"/>
      <c r="P63" s="425"/>
      <c r="Q63" s="425"/>
      <c r="R63" s="139"/>
      <c r="S63" s="139"/>
      <c r="T63" s="215">
        <v>7.5</v>
      </c>
      <c r="U63" s="216"/>
      <c r="V63" s="273"/>
      <c r="W63" s="207">
        <f t="shared" si="3"/>
        <v>0</v>
      </c>
      <c r="X63" s="101"/>
      <c r="Y63" s="101"/>
    </row>
    <row r="64" spans="1:25" ht="22.8" hidden="1" x14ac:dyDescent="0.4">
      <c r="A64" s="91" t="s">
        <v>281</v>
      </c>
      <c r="B64" s="91"/>
      <c r="C64" s="92" t="s">
        <v>144</v>
      </c>
      <c r="D64" s="93"/>
      <c r="E64" s="93"/>
      <c r="F64" s="94" t="s">
        <v>98</v>
      </c>
      <c r="G64" s="95">
        <v>1E-3</v>
      </c>
      <c r="H64" s="180"/>
      <c r="I64" s="229">
        <v>0</v>
      </c>
      <c r="J64" s="321"/>
      <c r="K64" s="260"/>
      <c r="L64" s="283"/>
      <c r="M64" s="402"/>
      <c r="N64" s="425"/>
      <c r="O64" s="425"/>
      <c r="P64" s="425"/>
      <c r="Q64" s="425"/>
      <c r="R64" s="139"/>
      <c r="S64" s="139"/>
      <c r="T64" s="215">
        <v>1600</v>
      </c>
      <c r="U64" s="216"/>
      <c r="V64" s="273"/>
      <c r="W64" s="207">
        <f t="shared" si="3"/>
        <v>0</v>
      </c>
      <c r="X64" s="101"/>
      <c r="Y64" s="101"/>
    </row>
    <row r="65" spans="1:25" ht="22.8" hidden="1" x14ac:dyDescent="0.4">
      <c r="A65" s="91" t="s">
        <v>286</v>
      </c>
      <c r="B65" s="91"/>
      <c r="C65" s="92" t="s">
        <v>86</v>
      </c>
      <c r="D65" s="93"/>
      <c r="E65" s="93"/>
      <c r="F65" s="94" t="s">
        <v>87</v>
      </c>
      <c r="G65" s="95">
        <v>1</v>
      </c>
      <c r="H65" s="180"/>
      <c r="I65" s="229">
        <v>0</v>
      </c>
      <c r="J65" s="321"/>
      <c r="K65" s="260"/>
      <c r="L65" s="283"/>
      <c r="M65" s="402"/>
      <c r="N65" s="425"/>
      <c r="O65" s="425"/>
      <c r="P65" s="425"/>
      <c r="Q65" s="425"/>
      <c r="R65" s="139"/>
      <c r="S65" s="139"/>
      <c r="T65" s="215">
        <v>10.4</v>
      </c>
      <c r="U65" s="216"/>
      <c r="V65" s="273"/>
      <c r="W65" s="207">
        <f t="shared" si="3"/>
        <v>0</v>
      </c>
      <c r="X65" s="101"/>
      <c r="Y65" s="101"/>
    </row>
    <row r="66" spans="1:25" ht="36" hidden="1" x14ac:dyDescent="0.4">
      <c r="A66" s="91" t="s">
        <v>291</v>
      </c>
      <c r="B66" s="91"/>
      <c r="C66" s="92" t="s">
        <v>75</v>
      </c>
      <c r="D66" s="93"/>
      <c r="E66" s="93"/>
      <c r="F66" s="94" t="s">
        <v>70</v>
      </c>
      <c r="G66" s="95">
        <v>0.2</v>
      </c>
      <c r="H66" s="180"/>
      <c r="I66" s="229">
        <v>0</v>
      </c>
      <c r="J66" s="321"/>
      <c r="K66" s="260"/>
      <c r="L66" s="283"/>
      <c r="M66" s="402"/>
      <c r="N66" s="425"/>
      <c r="O66" s="425"/>
      <c r="P66" s="425"/>
      <c r="Q66" s="425"/>
      <c r="R66" s="139"/>
      <c r="S66" s="139"/>
      <c r="T66" s="215">
        <v>88.8</v>
      </c>
      <c r="U66" s="216"/>
      <c r="V66" s="273"/>
      <c r="W66" s="207">
        <f t="shared" si="3"/>
        <v>0</v>
      </c>
      <c r="X66" s="101"/>
      <c r="Y66" s="101"/>
    </row>
    <row r="67" spans="1:25" ht="39.450000000000003" customHeight="1" x14ac:dyDescent="0.3">
      <c r="A67" s="74" t="s">
        <v>296</v>
      </c>
      <c r="B67" s="74" t="s">
        <v>254</v>
      </c>
      <c r="C67" s="75" t="s">
        <v>297</v>
      </c>
      <c r="D67" s="76"/>
      <c r="E67" s="76" t="s">
        <v>298</v>
      </c>
      <c r="F67" s="76" t="s">
        <v>64</v>
      </c>
      <c r="G67" s="77">
        <v>1</v>
      </c>
      <c r="H67" s="177"/>
      <c r="I67" s="228">
        <v>3586.9</v>
      </c>
      <c r="J67" s="322"/>
      <c r="K67" s="258"/>
      <c r="L67" s="281"/>
      <c r="M67" s="221"/>
      <c r="N67" s="422"/>
      <c r="O67" s="422"/>
      <c r="P67" s="422"/>
      <c r="Q67" s="422"/>
      <c r="R67" s="220"/>
      <c r="S67" s="221"/>
      <c r="T67" s="212">
        <f>IFERROR(ROUND(SUM(W68,W69,W70,W71,W72)/I67, 2),0)</f>
        <v>935.6</v>
      </c>
      <c r="U67" s="202">
        <v>1014</v>
      </c>
      <c r="V67" s="274">
        <f>T67+ROUND(U67, 2)</f>
        <v>1949.6</v>
      </c>
      <c r="W67" s="182">
        <f>ROUND(T67*I67, 2)</f>
        <v>3355903.64</v>
      </c>
      <c r="X67" s="14">
        <f>ROUND(I67*ROUND(U67, 2), 2)</f>
        <v>3637116.6</v>
      </c>
      <c r="Y67" s="14">
        <f>W67+X67</f>
        <v>6993020.2400000002</v>
      </c>
    </row>
    <row r="68" spans="1:25" ht="36" hidden="1" x14ac:dyDescent="0.4">
      <c r="A68" s="91" t="s">
        <v>299</v>
      </c>
      <c r="B68" s="91"/>
      <c r="C68" s="92" t="s">
        <v>75</v>
      </c>
      <c r="D68" s="93"/>
      <c r="E68" s="93"/>
      <c r="F68" s="94" t="s">
        <v>70</v>
      </c>
      <c r="G68" s="95">
        <v>0.2</v>
      </c>
      <c r="H68" s="180"/>
      <c r="I68" s="229">
        <v>717.38</v>
      </c>
      <c r="J68" s="321"/>
      <c r="K68" s="257"/>
      <c r="L68" s="280"/>
      <c r="M68" s="401"/>
      <c r="N68" s="423"/>
      <c r="O68" s="423"/>
      <c r="P68" s="423"/>
      <c r="Q68" s="423"/>
      <c r="R68" s="218"/>
      <c r="S68" s="218"/>
      <c r="T68" s="213">
        <v>88.8</v>
      </c>
      <c r="U68" s="211"/>
      <c r="V68" s="273"/>
      <c r="W68" s="206">
        <f>ROUND(ROUND(T68, 2)*I68, 2)</f>
        <v>63703.34</v>
      </c>
    </row>
    <row r="69" spans="1:25" ht="22.8" hidden="1" x14ac:dyDescent="0.4">
      <c r="A69" s="91" t="s">
        <v>302</v>
      </c>
      <c r="B69" s="91"/>
      <c r="C69" s="92" t="s">
        <v>86</v>
      </c>
      <c r="D69" s="93"/>
      <c r="E69" s="93"/>
      <c r="F69" s="94" t="s">
        <v>87</v>
      </c>
      <c r="G69" s="95">
        <v>1</v>
      </c>
      <c r="H69" s="180"/>
      <c r="I69" s="229">
        <v>1876</v>
      </c>
      <c r="J69" s="321"/>
      <c r="K69" s="257"/>
      <c r="L69" s="280"/>
      <c r="M69" s="401"/>
      <c r="N69" s="423"/>
      <c r="O69" s="423"/>
      <c r="P69" s="423"/>
      <c r="Q69" s="423"/>
      <c r="R69" s="218"/>
      <c r="S69" s="218"/>
      <c r="T69" s="213">
        <v>10.4</v>
      </c>
      <c r="U69" s="211"/>
      <c r="V69" s="273"/>
      <c r="W69" s="206">
        <f>ROUND(ROUND(T69, 2)*I69, 2)</f>
        <v>19510.400000000001</v>
      </c>
    </row>
    <row r="70" spans="1:25" ht="22.8" hidden="1" x14ac:dyDescent="0.4">
      <c r="A70" s="91" t="s">
        <v>305</v>
      </c>
      <c r="B70" s="91"/>
      <c r="C70" s="92" t="s">
        <v>130</v>
      </c>
      <c r="D70" s="93"/>
      <c r="E70" s="93"/>
      <c r="F70" s="94" t="s">
        <v>64</v>
      </c>
      <c r="G70" s="95">
        <v>1.1000000000000001</v>
      </c>
      <c r="H70" s="180"/>
      <c r="I70" s="229">
        <v>3945.59</v>
      </c>
      <c r="J70" s="321"/>
      <c r="K70" s="257"/>
      <c r="L70" s="280"/>
      <c r="M70" s="401"/>
      <c r="N70" s="423"/>
      <c r="O70" s="423"/>
      <c r="P70" s="423"/>
      <c r="Q70" s="423"/>
      <c r="R70" s="218"/>
      <c r="S70" s="218"/>
      <c r="T70" s="213">
        <v>155.01</v>
      </c>
      <c r="U70" s="211"/>
      <c r="V70" s="273"/>
      <c r="W70" s="206">
        <f>ROUND(ROUND(T70, 2)*I70, 2)</f>
        <v>611605.91</v>
      </c>
    </row>
    <row r="71" spans="1:25" ht="22.8" hidden="1" x14ac:dyDescent="0.4">
      <c r="A71" s="91" t="s">
        <v>308</v>
      </c>
      <c r="B71" s="91"/>
      <c r="C71" s="92" t="s">
        <v>206</v>
      </c>
      <c r="D71" s="93"/>
      <c r="E71" s="93"/>
      <c r="F71" s="94" t="s">
        <v>70</v>
      </c>
      <c r="G71" s="95">
        <v>1.8</v>
      </c>
      <c r="H71" s="180"/>
      <c r="I71" s="229">
        <v>419667.3</v>
      </c>
      <c r="J71" s="321"/>
      <c r="K71" s="257"/>
      <c r="L71" s="280"/>
      <c r="M71" s="401"/>
      <c r="N71" s="423"/>
      <c r="O71" s="423"/>
      <c r="P71" s="423"/>
      <c r="Q71" s="423"/>
      <c r="R71" s="218"/>
      <c r="S71" s="218"/>
      <c r="T71" s="213">
        <v>6.17</v>
      </c>
      <c r="U71" s="211"/>
      <c r="V71" s="273"/>
      <c r="W71" s="206">
        <f>ROUND(ROUND(T71, 2)*I71, 2)</f>
        <v>2589347.2400000002</v>
      </c>
    </row>
    <row r="72" spans="1:25" ht="22.8" hidden="1" x14ac:dyDescent="0.4">
      <c r="A72" s="91" t="s">
        <v>311</v>
      </c>
      <c r="B72" s="91"/>
      <c r="C72" s="92" t="s">
        <v>115</v>
      </c>
      <c r="D72" s="93"/>
      <c r="E72" s="93"/>
      <c r="F72" s="94" t="s">
        <v>116</v>
      </c>
      <c r="G72" s="95">
        <v>8</v>
      </c>
      <c r="H72" s="180"/>
      <c r="I72" s="229">
        <v>28695.200000000001</v>
      </c>
      <c r="J72" s="321"/>
      <c r="K72" s="257"/>
      <c r="L72" s="280"/>
      <c r="M72" s="401"/>
      <c r="N72" s="423"/>
      <c r="O72" s="423"/>
      <c r="P72" s="423"/>
      <c r="Q72" s="423"/>
      <c r="R72" s="218"/>
      <c r="S72" s="218"/>
      <c r="T72" s="213">
        <v>2.5</v>
      </c>
      <c r="U72" s="211"/>
      <c r="V72" s="273"/>
      <c r="W72" s="206">
        <f>ROUND(ROUND(T72, 2)*I72, 2)</f>
        <v>71738</v>
      </c>
    </row>
    <row r="73" spans="1:25" ht="40.5" customHeight="1" x14ac:dyDescent="0.3">
      <c r="A73" s="74" t="s">
        <v>314</v>
      </c>
      <c r="B73" s="74" t="s">
        <v>254</v>
      </c>
      <c r="C73" s="75" t="s">
        <v>297</v>
      </c>
      <c r="D73" s="76"/>
      <c r="E73" s="76" t="s">
        <v>315</v>
      </c>
      <c r="F73" s="76" t="s">
        <v>64</v>
      </c>
      <c r="G73" s="77">
        <v>1</v>
      </c>
      <c r="H73" s="177"/>
      <c r="I73" s="232">
        <v>4266.7</v>
      </c>
      <c r="J73" s="322"/>
      <c r="K73" s="258"/>
      <c r="L73" s="281"/>
      <c r="M73" s="221"/>
      <c r="N73" s="422"/>
      <c r="O73" s="422"/>
      <c r="P73" s="422"/>
      <c r="Q73" s="422"/>
      <c r="R73" s="220"/>
      <c r="S73" s="221"/>
      <c r="T73" s="212">
        <f>IFERROR(ROUND(SUM(W74,W75,W76,W77,W78)/I73, 2),0)</f>
        <v>934.72</v>
      </c>
      <c r="U73" s="202">
        <v>1014</v>
      </c>
      <c r="V73" s="274">
        <f>T73+ROUND(U73, 2)</f>
        <v>1948.72</v>
      </c>
      <c r="W73" s="182">
        <f>ROUND(T73*I73, 2)</f>
        <v>3988169.82</v>
      </c>
      <c r="X73" s="14">
        <f>ROUND(I73*ROUND(U73, 2), 2)</f>
        <v>4326433.8</v>
      </c>
      <c r="Y73" s="14">
        <f>W73+X73</f>
        <v>8314603.6199999992</v>
      </c>
    </row>
    <row r="74" spans="1:25" ht="22.8" hidden="1" x14ac:dyDescent="0.4">
      <c r="A74" s="91" t="s">
        <v>316</v>
      </c>
      <c r="B74" s="91"/>
      <c r="C74" s="92" t="s">
        <v>115</v>
      </c>
      <c r="D74" s="93"/>
      <c r="E74" s="93"/>
      <c r="F74" s="94" t="s">
        <v>116</v>
      </c>
      <c r="G74" s="95">
        <v>8</v>
      </c>
      <c r="H74" s="180"/>
      <c r="I74" s="233">
        <v>34133.599999999999</v>
      </c>
      <c r="J74" s="321"/>
      <c r="K74" s="257"/>
      <c r="L74" s="280"/>
      <c r="M74" s="401"/>
      <c r="N74" s="423"/>
      <c r="O74" s="423"/>
      <c r="P74" s="423"/>
      <c r="Q74" s="423"/>
      <c r="R74" s="218"/>
      <c r="S74" s="218"/>
      <c r="T74" s="213">
        <v>2.5</v>
      </c>
      <c r="U74" s="211"/>
      <c r="V74" s="273"/>
      <c r="W74" s="206">
        <f>ROUND(ROUND(T74, 2)*I74, 2)</f>
        <v>85334</v>
      </c>
    </row>
    <row r="75" spans="1:25" ht="22.8" hidden="1" x14ac:dyDescent="0.4">
      <c r="A75" s="91" t="s">
        <v>319</v>
      </c>
      <c r="B75" s="91"/>
      <c r="C75" s="92" t="s">
        <v>206</v>
      </c>
      <c r="D75" s="93"/>
      <c r="E75" s="93"/>
      <c r="F75" s="94" t="s">
        <v>70</v>
      </c>
      <c r="G75" s="95">
        <v>1.8</v>
      </c>
      <c r="H75" s="180"/>
      <c r="I75" s="229">
        <v>499203.9</v>
      </c>
      <c r="J75" s="321"/>
      <c r="K75" s="257"/>
      <c r="L75" s="280"/>
      <c r="M75" s="401"/>
      <c r="N75" s="423"/>
      <c r="O75" s="423"/>
      <c r="P75" s="423"/>
      <c r="Q75" s="423"/>
      <c r="R75" s="218"/>
      <c r="S75" s="218"/>
      <c r="T75" s="213">
        <v>6.17</v>
      </c>
      <c r="U75" s="211"/>
      <c r="V75" s="273"/>
      <c r="W75" s="206">
        <f>ROUND(ROUND(T75, 2)*I75, 2)</f>
        <v>3080088.06</v>
      </c>
    </row>
    <row r="76" spans="1:25" ht="22.8" hidden="1" x14ac:dyDescent="0.4">
      <c r="A76" s="91" t="s">
        <v>322</v>
      </c>
      <c r="B76" s="91"/>
      <c r="C76" s="92" t="s">
        <v>130</v>
      </c>
      <c r="D76" s="93"/>
      <c r="E76" s="93"/>
      <c r="F76" s="94" t="s">
        <v>64</v>
      </c>
      <c r="G76" s="95">
        <v>1.1000000000000001</v>
      </c>
      <c r="H76" s="180"/>
      <c r="I76" s="229">
        <v>4693.37</v>
      </c>
      <c r="J76" s="321"/>
      <c r="K76" s="257"/>
      <c r="L76" s="280"/>
      <c r="M76" s="401"/>
      <c r="N76" s="423"/>
      <c r="O76" s="423"/>
      <c r="P76" s="423"/>
      <c r="Q76" s="423"/>
      <c r="R76" s="218"/>
      <c r="S76" s="218"/>
      <c r="T76" s="213">
        <v>155.01</v>
      </c>
      <c r="U76" s="211"/>
      <c r="V76" s="273"/>
      <c r="W76" s="206">
        <f>ROUND(ROUND(T76, 2)*I76, 2)</f>
        <v>727519.28</v>
      </c>
    </row>
    <row r="77" spans="1:25" ht="22.8" hidden="1" x14ac:dyDescent="0.4">
      <c r="A77" s="91" t="s">
        <v>325</v>
      </c>
      <c r="B77" s="91"/>
      <c r="C77" s="92" t="s">
        <v>86</v>
      </c>
      <c r="D77" s="93"/>
      <c r="E77" s="93"/>
      <c r="F77" s="94" t="s">
        <v>87</v>
      </c>
      <c r="G77" s="95">
        <v>1</v>
      </c>
      <c r="H77" s="180"/>
      <c r="I77" s="229">
        <v>1872</v>
      </c>
      <c r="J77" s="321"/>
      <c r="K77" s="257"/>
      <c r="L77" s="280"/>
      <c r="M77" s="401"/>
      <c r="N77" s="423"/>
      <c r="O77" s="423"/>
      <c r="P77" s="423"/>
      <c r="Q77" s="423"/>
      <c r="R77" s="218"/>
      <c r="S77" s="218"/>
      <c r="T77" s="213">
        <v>10.4</v>
      </c>
      <c r="U77" s="211"/>
      <c r="V77" s="273"/>
      <c r="W77" s="206">
        <f>ROUND(ROUND(T77, 2)*I77, 2)</f>
        <v>19468.8</v>
      </c>
    </row>
    <row r="78" spans="1:25" ht="36" hidden="1" x14ac:dyDescent="0.4">
      <c r="A78" s="91" t="s">
        <v>328</v>
      </c>
      <c r="B78" s="91"/>
      <c r="C78" s="92" t="s">
        <v>75</v>
      </c>
      <c r="D78" s="93"/>
      <c r="E78" s="93"/>
      <c r="F78" s="94" t="s">
        <v>70</v>
      </c>
      <c r="G78" s="95">
        <v>0.2</v>
      </c>
      <c r="H78" s="180"/>
      <c r="I78" s="229">
        <v>853.34</v>
      </c>
      <c r="J78" s="321"/>
      <c r="K78" s="257"/>
      <c r="L78" s="280"/>
      <c r="M78" s="401"/>
      <c r="N78" s="423"/>
      <c r="O78" s="423"/>
      <c r="P78" s="423"/>
      <c r="Q78" s="423"/>
      <c r="R78" s="218"/>
      <c r="S78" s="218"/>
      <c r="T78" s="213">
        <v>88.8</v>
      </c>
      <c r="U78" s="211"/>
      <c r="V78" s="273"/>
      <c r="W78" s="206">
        <f>ROUND(ROUND(T78, 2)*I78, 2)</f>
        <v>75776.59</v>
      </c>
    </row>
    <row r="79" spans="1:25" ht="37.5" customHeight="1" x14ac:dyDescent="0.45">
      <c r="A79" s="309" t="s">
        <v>331</v>
      </c>
      <c r="B79" s="309" t="s">
        <v>332</v>
      </c>
      <c r="C79" s="297" t="s">
        <v>333</v>
      </c>
      <c r="D79" s="298"/>
      <c r="E79" s="298"/>
      <c r="F79" s="298"/>
      <c r="G79" s="298"/>
      <c r="H79" s="298"/>
      <c r="I79" s="223"/>
      <c r="J79" s="324"/>
      <c r="K79" s="257"/>
      <c r="L79" s="280"/>
      <c r="M79" s="219"/>
      <c r="N79" s="421"/>
      <c r="O79" s="421"/>
      <c r="P79" s="421"/>
      <c r="Q79" s="421"/>
      <c r="R79" s="224"/>
      <c r="S79" s="219"/>
      <c r="T79" s="210"/>
      <c r="U79" s="211"/>
      <c r="V79" s="273"/>
      <c r="W79" s="205">
        <f>SUM(W80,W83,W86,W88,W90,W92)</f>
        <v>367766.24</v>
      </c>
      <c r="X79" s="6">
        <f>SUM(X80,X83,X86,X88,X90,X92)</f>
        <v>226361.93</v>
      </c>
      <c r="Y79" s="6">
        <f>SUM(Y80,Y83,Y86,Y88,Y90,Y92)</f>
        <v>594128.17000000004</v>
      </c>
    </row>
    <row r="80" spans="1:25" ht="57" customHeight="1" x14ac:dyDescent="0.3">
      <c r="A80" s="74" t="s">
        <v>334</v>
      </c>
      <c r="B80" s="74" t="s">
        <v>335</v>
      </c>
      <c r="C80" s="75" t="s">
        <v>336</v>
      </c>
      <c r="D80" s="76"/>
      <c r="E80" s="76" t="s">
        <v>63</v>
      </c>
      <c r="F80" s="76" t="s">
        <v>64</v>
      </c>
      <c r="G80" s="77">
        <v>1</v>
      </c>
      <c r="H80" s="177"/>
      <c r="I80" s="228">
        <v>236.7</v>
      </c>
      <c r="J80" s="322"/>
      <c r="K80" s="258"/>
      <c r="L80" s="281"/>
      <c r="M80" s="221"/>
      <c r="N80" s="422"/>
      <c r="O80" s="422"/>
      <c r="P80" s="422"/>
      <c r="Q80" s="422"/>
      <c r="R80" s="220"/>
      <c r="S80" s="221"/>
      <c r="T80" s="212">
        <f>IFERROR(ROUND(SUM(W81,W82)/I80, 2),0)</f>
        <v>386.83</v>
      </c>
      <c r="U80" s="202">
        <v>324</v>
      </c>
      <c r="V80" s="274">
        <f>T80+ROUND(U80, 2)</f>
        <v>710.82999999999993</v>
      </c>
      <c r="W80" s="182">
        <f>ROUND(T80*I80, 2)</f>
        <v>91562.66</v>
      </c>
      <c r="X80" s="14">
        <f>ROUND(I80*ROUND(U80, 2), 2)</f>
        <v>76690.8</v>
      </c>
      <c r="Y80" s="14">
        <f>W80+X80</f>
        <v>168253.46000000002</v>
      </c>
    </row>
    <row r="81" spans="1:25" ht="22.8" hidden="1" x14ac:dyDescent="0.4">
      <c r="A81" s="91" t="s">
        <v>339</v>
      </c>
      <c r="B81" s="91"/>
      <c r="C81" s="92" t="s">
        <v>340</v>
      </c>
      <c r="D81" s="93"/>
      <c r="E81" s="93"/>
      <c r="F81" s="94" t="s">
        <v>70</v>
      </c>
      <c r="G81" s="95">
        <v>0.25</v>
      </c>
      <c r="H81" s="180"/>
      <c r="I81" s="229">
        <v>59.174999999999997</v>
      </c>
      <c r="J81" s="321"/>
      <c r="K81" s="257"/>
      <c r="L81" s="280"/>
      <c r="M81" s="401"/>
      <c r="N81" s="423"/>
      <c r="O81" s="423"/>
      <c r="P81" s="423"/>
      <c r="Q81" s="423"/>
      <c r="R81" s="218"/>
      <c r="S81" s="218"/>
      <c r="T81" s="213">
        <v>210.3</v>
      </c>
      <c r="U81" s="211"/>
      <c r="V81" s="273"/>
      <c r="W81" s="206">
        <f>ROUND(ROUND(T81, 2)*I81, 2)</f>
        <v>12444.5</v>
      </c>
    </row>
    <row r="82" spans="1:25" ht="22.8" hidden="1" x14ac:dyDescent="0.4">
      <c r="A82" s="91" t="s">
        <v>344</v>
      </c>
      <c r="B82" s="91"/>
      <c r="C82" s="92" t="s">
        <v>345</v>
      </c>
      <c r="D82" s="93"/>
      <c r="E82" s="93"/>
      <c r="F82" s="94" t="s">
        <v>70</v>
      </c>
      <c r="G82" s="95">
        <v>2.5</v>
      </c>
      <c r="H82" s="180"/>
      <c r="I82" s="229">
        <v>591.75</v>
      </c>
      <c r="J82" s="321"/>
      <c r="K82" s="257"/>
      <c r="L82" s="280"/>
      <c r="M82" s="401"/>
      <c r="N82" s="423"/>
      <c r="O82" s="423"/>
      <c r="P82" s="423"/>
      <c r="Q82" s="423"/>
      <c r="R82" s="218"/>
      <c r="S82" s="218"/>
      <c r="T82" s="213">
        <v>133.69999999999999</v>
      </c>
      <c r="U82" s="211"/>
      <c r="V82" s="273"/>
      <c r="W82" s="206">
        <f>ROUND(ROUND(T82, 2)*I82, 2)</f>
        <v>79116.98</v>
      </c>
    </row>
    <row r="83" spans="1:25" ht="54" hidden="1" x14ac:dyDescent="0.3">
      <c r="A83" s="91" t="s">
        <v>349</v>
      </c>
      <c r="B83" s="91" t="s">
        <v>335</v>
      </c>
      <c r="C83" s="97" t="s">
        <v>336</v>
      </c>
      <c r="D83" s="93"/>
      <c r="E83" s="93" t="s">
        <v>81</v>
      </c>
      <c r="F83" s="93" t="s">
        <v>64</v>
      </c>
      <c r="G83" s="98">
        <v>1</v>
      </c>
      <c r="H83" s="181"/>
      <c r="I83" s="231">
        <v>150.6</v>
      </c>
      <c r="J83" s="323"/>
      <c r="K83" s="258"/>
      <c r="L83" s="281"/>
      <c r="M83" s="221"/>
      <c r="N83" s="422"/>
      <c r="O83" s="422"/>
      <c r="P83" s="422"/>
      <c r="Q83" s="422"/>
      <c r="R83" s="220"/>
      <c r="S83" s="221"/>
      <c r="T83" s="212">
        <f>IFERROR(ROUND(SUM(W84,W85)/I83, 2),0)</f>
        <v>406.08</v>
      </c>
      <c r="U83" s="202">
        <v>324</v>
      </c>
      <c r="V83" s="274">
        <f>T83+ROUND(U83, 2)</f>
        <v>730.07999999999993</v>
      </c>
      <c r="W83" s="182">
        <f>ROUND(T83*I83, 2)</f>
        <v>61155.65</v>
      </c>
      <c r="X83" s="14">
        <f>ROUND(I83*ROUND(U83, 2), 2)</f>
        <v>48794.400000000001</v>
      </c>
      <c r="Y83" s="14">
        <f>W83+X83</f>
        <v>109950.05</v>
      </c>
    </row>
    <row r="84" spans="1:25" ht="22.8" hidden="1" x14ac:dyDescent="0.4">
      <c r="A84" s="91" t="s">
        <v>350</v>
      </c>
      <c r="B84" s="91"/>
      <c r="C84" s="92" t="s">
        <v>345</v>
      </c>
      <c r="D84" s="93"/>
      <c r="E84" s="93"/>
      <c r="F84" s="94" t="s">
        <v>70</v>
      </c>
      <c r="G84" s="95">
        <v>2.5</v>
      </c>
      <c r="H84" s="180"/>
      <c r="I84" s="229">
        <v>376.5</v>
      </c>
      <c r="J84" s="321"/>
      <c r="K84" s="257"/>
      <c r="L84" s="280"/>
      <c r="M84" s="401"/>
      <c r="N84" s="423"/>
      <c r="O84" s="423"/>
      <c r="P84" s="423"/>
      <c r="Q84" s="423"/>
      <c r="R84" s="218"/>
      <c r="S84" s="218"/>
      <c r="T84" s="213">
        <v>141.4</v>
      </c>
      <c r="U84" s="211"/>
      <c r="V84" s="273"/>
      <c r="W84" s="206">
        <f>ROUND(ROUND(T84, 2)*I84, 2)</f>
        <v>53237.1</v>
      </c>
    </row>
    <row r="85" spans="1:25" ht="22.8" hidden="1" x14ac:dyDescent="0.4">
      <c r="A85" s="91" t="s">
        <v>353</v>
      </c>
      <c r="B85" s="91"/>
      <c r="C85" s="92" t="s">
        <v>340</v>
      </c>
      <c r="D85" s="93"/>
      <c r="E85" s="93"/>
      <c r="F85" s="94" t="s">
        <v>70</v>
      </c>
      <c r="G85" s="95">
        <v>0.25</v>
      </c>
      <c r="H85" s="180"/>
      <c r="I85" s="229">
        <v>37.65</v>
      </c>
      <c r="J85" s="321"/>
      <c r="K85" s="257"/>
      <c r="L85" s="280"/>
      <c r="M85" s="401"/>
      <c r="N85" s="423"/>
      <c r="O85" s="423"/>
      <c r="P85" s="423"/>
      <c r="Q85" s="423"/>
      <c r="R85" s="218"/>
      <c r="S85" s="218"/>
      <c r="T85" s="213">
        <v>210.3</v>
      </c>
      <c r="U85" s="211"/>
      <c r="V85" s="273"/>
      <c r="W85" s="206">
        <f>ROUND(ROUND(T85, 2)*I85, 2)</f>
        <v>7917.8</v>
      </c>
    </row>
    <row r="86" spans="1:25" ht="44.55" customHeight="1" x14ac:dyDescent="0.3">
      <c r="A86" s="74" t="s">
        <v>356</v>
      </c>
      <c r="B86" s="74" t="s">
        <v>357</v>
      </c>
      <c r="C86" s="75" t="s">
        <v>358</v>
      </c>
      <c r="D86" s="76"/>
      <c r="E86" s="76" t="s">
        <v>63</v>
      </c>
      <c r="F86" s="76" t="s">
        <v>64</v>
      </c>
      <c r="G86" s="77">
        <v>1</v>
      </c>
      <c r="H86" s="177"/>
      <c r="I86" s="228">
        <v>631.29999999999995</v>
      </c>
      <c r="J86" s="322"/>
      <c r="K86" s="258"/>
      <c r="L86" s="281"/>
      <c r="M86" s="221"/>
      <c r="N86" s="422"/>
      <c r="O86" s="422"/>
      <c r="P86" s="422"/>
      <c r="Q86" s="422"/>
      <c r="R86" s="220"/>
      <c r="S86" s="221"/>
      <c r="T86" s="212">
        <f>IFERROR(ROUND(SUM(W87)/I86, 2),0)</f>
        <v>173.66</v>
      </c>
      <c r="U86" s="202">
        <v>56</v>
      </c>
      <c r="V86" s="274">
        <f>T86+ROUND(U86, 2)</f>
        <v>229.66</v>
      </c>
      <c r="W86" s="182">
        <f>ROUND(T86*I86, 2)</f>
        <v>109631.56</v>
      </c>
      <c r="X86" s="14">
        <f>ROUND(I86*ROUND(U86, 2), 2)</f>
        <v>35352.800000000003</v>
      </c>
      <c r="Y86" s="14">
        <f>W86+X86</f>
        <v>144984.35999999999</v>
      </c>
    </row>
    <row r="87" spans="1:25" ht="22.8" hidden="1" x14ac:dyDescent="0.4">
      <c r="A87" s="91" t="s">
        <v>361</v>
      </c>
      <c r="B87" s="91"/>
      <c r="C87" s="92" t="s">
        <v>362</v>
      </c>
      <c r="D87" s="93"/>
      <c r="E87" s="93" t="s">
        <v>363</v>
      </c>
      <c r="F87" s="94" t="s">
        <v>64</v>
      </c>
      <c r="G87" s="95">
        <v>1.03</v>
      </c>
      <c r="H87" s="180"/>
      <c r="I87" s="229">
        <v>650.23900000000003</v>
      </c>
      <c r="J87" s="321"/>
      <c r="K87" s="260"/>
      <c r="L87" s="283"/>
      <c r="M87" s="402"/>
      <c r="N87" s="425"/>
      <c r="O87" s="425"/>
      <c r="P87" s="425"/>
      <c r="Q87" s="425"/>
      <c r="R87" s="139"/>
      <c r="S87" s="139"/>
      <c r="T87" s="213">
        <v>168.6</v>
      </c>
      <c r="U87" s="211"/>
      <c r="V87" s="273"/>
      <c r="W87" s="206">
        <f>ROUND(ROUND(T87, 2)*I87, 2)</f>
        <v>109630.3</v>
      </c>
    </row>
    <row r="88" spans="1:25" ht="40.049999999999997" customHeight="1" x14ac:dyDescent="0.3">
      <c r="A88" s="103" t="s">
        <v>367</v>
      </c>
      <c r="B88" s="103" t="s">
        <v>357</v>
      </c>
      <c r="C88" s="104" t="s">
        <v>358</v>
      </c>
      <c r="D88" s="105"/>
      <c r="E88" s="105" t="s">
        <v>81</v>
      </c>
      <c r="F88" s="105" t="s">
        <v>64</v>
      </c>
      <c r="G88" s="106">
        <v>1</v>
      </c>
      <c r="H88" s="186"/>
      <c r="I88" s="228">
        <v>248.8</v>
      </c>
      <c r="J88" s="323"/>
      <c r="K88" s="259"/>
      <c r="L88" s="282"/>
      <c r="M88" s="222"/>
      <c r="N88" s="424"/>
      <c r="O88" s="424"/>
      <c r="P88" s="424"/>
      <c r="Q88" s="424"/>
      <c r="R88" s="199"/>
      <c r="S88" s="222"/>
      <c r="T88" s="212">
        <f>IFERROR(ROUND(SUM(W89)/I88, 2),0)</f>
        <v>173.66</v>
      </c>
      <c r="U88" s="202">
        <v>56</v>
      </c>
      <c r="V88" s="274">
        <f>T88+ROUND(U88, 2)</f>
        <v>229.66</v>
      </c>
      <c r="W88" s="182">
        <f>ROUND(T88*I88, 2)</f>
        <v>43206.61</v>
      </c>
      <c r="X88" s="14">
        <f>ROUND(I88*ROUND(U88, 2), 2)</f>
        <v>13932.8</v>
      </c>
      <c r="Y88" s="14">
        <f>W88+X88</f>
        <v>57139.41</v>
      </c>
    </row>
    <row r="89" spans="1:25" ht="22.8" hidden="1" x14ac:dyDescent="0.4">
      <c r="A89" s="91" t="s">
        <v>368</v>
      </c>
      <c r="B89" s="91"/>
      <c r="C89" s="92" t="s">
        <v>362</v>
      </c>
      <c r="D89" s="93"/>
      <c r="E89" s="93" t="s">
        <v>369</v>
      </c>
      <c r="F89" s="94" t="s">
        <v>64</v>
      </c>
      <c r="G89" s="95">
        <v>1.03</v>
      </c>
      <c r="H89" s="180"/>
      <c r="I89" s="229">
        <v>256.26400000000001</v>
      </c>
      <c r="J89" s="321"/>
      <c r="K89" s="260"/>
      <c r="L89" s="283"/>
      <c r="M89" s="402"/>
      <c r="N89" s="425"/>
      <c r="O89" s="425"/>
      <c r="P89" s="425"/>
      <c r="Q89" s="425"/>
      <c r="R89" s="139"/>
      <c r="S89" s="139"/>
      <c r="T89" s="213">
        <v>168.6</v>
      </c>
      <c r="U89" s="211"/>
      <c r="V89" s="273"/>
      <c r="W89" s="206">
        <f>ROUND(ROUND(T89, 2)*I89, 2)</f>
        <v>43206.11</v>
      </c>
    </row>
    <row r="90" spans="1:25" ht="35.549999999999997" hidden="1" customHeight="1" x14ac:dyDescent="0.3">
      <c r="A90" s="91" t="s">
        <v>372</v>
      </c>
      <c r="B90" s="91" t="s">
        <v>373</v>
      </c>
      <c r="C90" s="97" t="s">
        <v>374</v>
      </c>
      <c r="D90" s="93"/>
      <c r="E90" s="93" t="s">
        <v>63</v>
      </c>
      <c r="F90" s="93" t="s">
        <v>98</v>
      </c>
      <c r="G90" s="98">
        <v>1</v>
      </c>
      <c r="H90" s="181"/>
      <c r="I90" s="231">
        <v>0</v>
      </c>
      <c r="J90" s="323"/>
      <c r="K90" s="259"/>
      <c r="L90" s="282"/>
      <c r="M90" s="222"/>
      <c r="N90" s="424"/>
      <c r="O90" s="424"/>
      <c r="P90" s="424"/>
      <c r="Q90" s="424"/>
      <c r="R90" s="199"/>
      <c r="S90" s="222"/>
      <c r="T90" s="212">
        <f>IFERROR(ROUND(SUM(W91)/I90, 2),0)</f>
        <v>0</v>
      </c>
      <c r="U90" s="202">
        <v>2157</v>
      </c>
      <c r="V90" s="274">
        <f>T90+ROUND(U90, 2)</f>
        <v>2157</v>
      </c>
      <c r="W90" s="182">
        <f>ROUND(T90*I90, 2)</f>
        <v>0</v>
      </c>
      <c r="X90" s="14">
        <f>ROUND(I90*ROUND(U90, 2), 2)</f>
        <v>0</v>
      </c>
      <c r="Y90" s="14">
        <f>W90+X90</f>
        <v>0</v>
      </c>
    </row>
    <row r="91" spans="1:25" ht="22.8" hidden="1" x14ac:dyDescent="0.4">
      <c r="A91" s="91" t="s">
        <v>378</v>
      </c>
      <c r="B91" s="91"/>
      <c r="C91" s="92" t="s">
        <v>379</v>
      </c>
      <c r="D91" s="93"/>
      <c r="E91" s="93"/>
      <c r="F91" s="94" t="s">
        <v>98</v>
      </c>
      <c r="G91" s="95">
        <v>1.02</v>
      </c>
      <c r="H91" s="180"/>
      <c r="I91" s="229">
        <v>0</v>
      </c>
      <c r="J91" s="321"/>
      <c r="K91" s="260"/>
      <c r="L91" s="283"/>
      <c r="M91" s="402"/>
      <c r="N91" s="425"/>
      <c r="O91" s="425"/>
      <c r="P91" s="425"/>
      <c r="Q91" s="425"/>
      <c r="R91" s="139"/>
      <c r="S91" s="139"/>
      <c r="T91" s="213">
        <v>2550</v>
      </c>
      <c r="U91" s="211"/>
      <c r="V91" s="273"/>
      <c r="W91" s="206">
        <f>ROUND(ROUND(T91, 2)*I91, 2)</f>
        <v>0</v>
      </c>
    </row>
    <row r="92" spans="1:25" ht="39.450000000000003" customHeight="1" x14ac:dyDescent="0.3">
      <c r="A92" s="74" t="s">
        <v>385</v>
      </c>
      <c r="B92" s="74" t="s">
        <v>373</v>
      </c>
      <c r="C92" s="75" t="s">
        <v>374</v>
      </c>
      <c r="D92" s="76"/>
      <c r="E92" s="76" t="s">
        <v>386</v>
      </c>
      <c r="F92" s="76" t="s">
        <v>98</v>
      </c>
      <c r="G92" s="77">
        <v>1</v>
      </c>
      <c r="H92" s="177"/>
      <c r="I92" s="228">
        <v>23.917999999999999</v>
      </c>
      <c r="J92" s="322"/>
      <c r="K92" s="258"/>
      <c r="L92" s="281"/>
      <c r="M92" s="221"/>
      <c r="N92" s="422"/>
      <c r="O92" s="422"/>
      <c r="P92" s="422"/>
      <c r="Q92" s="422"/>
      <c r="R92" s="220"/>
      <c r="S92" s="221"/>
      <c r="T92" s="212">
        <f>IFERROR(ROUND(SUM(W93)/I92, 2),0)</f>
        <v>2600.96</v>
      </c>
      <c r="U92" s="202">
        <v>2157</v>
      </c>
      <c r="V92" s="274">
        <f>T92+ROUND(U92, 2)</f>
        <v>4757.96</v>
      </c>
      <c r="W92" s="182">
        <f>ROUND(T92*I92, 2)</f>
        <v>62209.760000000002</v>
      </c>
      <c r="X92" s="14">
        <f>ROUND(I92*ROUND(U92, 2), 2)</f>
        <v>51591.13</v>
      </c>
      <c r="Y92" s="14">
        <f>W92+X92</f>
        <v>113800.89</v>
      </c>
    </row>
    <row r="93" spans="1:25" ht="22.8" hidden="1" x14ac:dyDescent="0.4">
      <c r="A93" s="107" t="s">
        <v>387</v>
      </c>
      <c r="B93" s="107"/>
      <c r="C93" s="108" t="s">
        <v>379</v>
      </c>
      <c r="D93" s="109"/>
      <c r="E93" s="109"/>
      <c r="F93" s="110" t="s">
        <v>98</v>
      </c>
      <c r="G93" s="111">
        <v>1.02</v>
      </c>
      <c r="H93" s="187"/>
      <c r="I93" s="229">
        <v>24.396000000000001</v>
      </c>
      <c r="J93" s="325"/>
      <c r="K93" s="257"/>
      <c r="L93" s="280"/>
      <c r="M93" s="401"/>
      <c r="N93" s="423"/>
      <c r="O93" s="423"/>
      <c r="P93" s="423"/>
      <c r="Q93" s="423"/>
      <c r="R93" s="218"/>
      <c r="S93" s="218"/>
      <c r="T93" s="213">
        <v>2550</v>
      </c>
      <c r="U93" s="211"/>
      <c r="V93" s="273"/>
      <c r="W93" s="206">
        <f>ROUND(ROUND(T93, 2)*I93, 2)</f>
        <v>62209.8</v>
      </c>
    </row>
    <row r="94" spans="1:25" ht="18" customHeight="1" x14ac:dyDescent="0.45">
      <c r="A94" s="10" t="s">
        <v>390</v>
      </c>
      <c r="B94" s="10" t="s">
        <v>391</v>
      </c>
      <c r="C94" s="173" t="s">
        <v>392</v>
      </c>
      <c r="D94" s="174"/>
      <c r="E94" s="174"/>
      <c r="F94" s="174"/>
      <c r="G94" s="174"/>
      <c r="H94" s="174"/>
      <c r="I94" s="223"/>
      <c r="J94" s="324"/>
      <c r="K94" s="257"/>
      <c r="L94" s="280"/>
      <c r="M94" s="219"/>
      <c r="N94" s="421"/>
      <c r="O94" s="421"/>
      <c r="P94" s="421"/>
      <c r="Q94" s="421"/>
      <c r="R94" s="224"/>
      <c r="S94" s="219"/>
      <c r="T94" s="210"/>
      <c r="U94" s="211"/>
      <c r="V94" s="273"/>
      <c r="W94" s="205">
        <f>SUM(W95,W101,W106,W109,W113,W117,W120,W123,W126,W128,W130,W135,W140,W145,W150,W155,W160)</f>
        <v>12458678.139999997</v>
      </c>
      <c r="X94" s="6">
        <f>SUM(X95,X101,X106,X109,X113,X117,X120,X123,X126,X128,X130,X135,X140,X145,X150,X155,X160)</f>
        <v>5989352</v>
      </c>
      <c r="Y94" s="6">
        <f>SUM(Y95,Y101,Y106,Y109,Y113,Y117,Y120,Y123,Y126,Y128,Y130,Y135,Y140,Y145,Y150,Y155,Y160)</f>
        <v>18448030.140000001</v>
      </c>
    </row>
    <row r="95" spans="1:25" ht="54" hidden="1" x14ac:dyDescent="0.3">
      <c r="A95" s="107" t="s">
        <v>393</v>
      </c>
      <c r="B95" s="107" t="s">
        <v>394</v>
      </c>
      <c r="C95" s="113" t="s">
        <v>395</v>
      </c>
      <c r="D95" s="109"/>
      <c r="E95" s="109" t="s">
        <v>396</v>
      </c>
      <c r="F95" s="109" t="s">
        <v>64</v>
      </c>
      <c r="G95" s="114">
        <v>1</v>
      </c>
      <c r="H95" s="188"/>
      <c r="I95" s="231">
        <v>0</v>
      </c>
      <c r="J95" s="326"/>
      <c r="K95" s="261"/>
      <c r="L95" s="284"/>
      <c r="M95" s="403"/>
      <c r="N95" s="426"/>
      <c r="O95" s="426"/>
      <c r="P95" s="426"/>
      <c r="Q95" s="426"/>
      <c r="R95" s="220"/>
      <c r="S95" s="221"/>
      <c r="T95" s="212">
        <f>IFERROR(ROUND(SUM(W96,W97,W98,W99,W100)/I95, 2),0)</f>
        <v>0</v>
      </c>
      <c r="U95" s="202">
        <v>1251</v>
      </c>
      <c r="V95" s="274">
        <f>T95+ROUND(U95, 2)</f>
        <v>1251</v>
      </c>
      <c r="W95" s="182">
        <f>ROUND(T95*I95, 2)</f>
        <v>0</v>
      </c>
      <c r="X95" s="14">
        <f>ROUND(I95*ROUND(U95, 2), 2)</f>
        <v>0</v>
      </c>
      <c r="Y95" s="14">
        <f>W95+X95</f>
        <v>0</v>
      </c>
    </row>
    <row r="96" spans="1:25" ht="36" hidden="1" x14ac:dyDescent="0.4">
      <c r="A96" s="107" t="s">
        <v>400</v>
      </c>
      <c r="B96" s="107"/>
      <c r="C96" s="117" t="s">
        <v>401</v>
      </c>
      <c r="D96" s="109"/>
      <c r="E96" s="109" t="s">
        <v>402</v>
      </c>
      <c r="F96" s="110" t="s">
        <v>70</v>
      </c>
      <c r="G96" s="111">
        <v>1.2</v>
      </c>
      <c r="H96" s="187"/>
      <c r="I96" s="229">
        <v>0</v>
      </c>
      <c r="J96" s="325"/>
      <c r="K96" s="262"/>
      <c r="L96" s="285"/>
      <c r="M96" s="404"/>
      <c r="N96" s="427"/>
      <c r="O96" s="427"/>
      <c r="P96" s="427"/>
      <c r="Q96" s="427"/>
      <c r="R96" s="218"/>
      <c r="S96" s="218"/>
      <c r="T96" s="213">
        <v>12.33</v>
      </c>
      <c r="U96" s="211"/>
      <c r="V96" s="273"/>
      <c r="W96" s="206">
        <f>ROUND(ROUND(T96, 2)*I96, 2)</f>
        <v>0</v>
      </c>
    </row>
    <row r="97" spans="1:25" ht="54" hidden="1" x14ac:dyDescent="0.4">
      <c r="A97" s="107" t="s">
        <v>408</v>
      </c>
      <c r="B97" s="107"/>
      <c r="C97" s="108" t="s">
        <v>409</v>
      </c>
      <c r="D97" s="109"/>
      <c r="E97" s="109" t="s">
        <v>410</v>
      </c>
      <c r="F97" s="110" t="s">
        <v>64</v>
      </c>
      <c r="G97" s="111">
        <v>1.07</v>
      </c>
      <c r="H97" s="187"/>
      <c r="I97" s="229">
        <v>0</v>
      </c>
      <c r="J97" s="325"/>
      <c r="K97" s="262"/>
      <c r="L97" s="285"/>
      <c r="M97" s="404"/>
      <c r="N97" s="427"/>
      <c r="O97" s="427"/>
      <c r="P97" s="427"/>
      <c r="Q97" s="427"/>
      <c r="R97" s="218"/>
      <c r="S97" s="218"/>
      <c r="T97" s="213">
        <v>1193</v>
      </c>
      <c r="U97" s="211"/>
      <c r="V97" s="273"/>
      <c r="W97" s="206">
        <f>ROUND(ROUND(T97, 2)*I97, 2)</f>
        <v>0</v>
      </c>
    </row>
    <row r="98" spans="1:25" ht="54" hidden="1" x14ac:dyDescent="0.4">
      <c r="A98" s="107" t="s">
        <v>416</v>
      </c>
      <c r="B98" s="107"/>
      <c r="C98" s="108" t="s">
        <v>417</v>
      </c>
      <c r="D98" s="109"/>
      <c r="E98" s="109" t="s">
        <v>418</v>
      </c>
      <c r="F98" s="110" t="s">
        <v>64</v>
      </c>
      <c r="G98" s="111">
        <v>1.07</v>
      </c>
      <c r="H98" s="187"/>
      <c r="I98" s="229">
        <v>0</v>
      </c>
      <c r="J98" s="325"/>
      <c r="K98" s="262"/>
      <c r="L98" s="285"/>
      <c r="M98" s="404"/>
      <c r="N98" s="427"/>
      <c r="O98" s="427"/>
      <c r="P98" s="427"/>
      <c r="Q98" s="427"/>
      <c r="R98" s="218"/>
      <c r="S98" s="218"/>
      <c r="T98" s="213">
        <v>1290.02</v>
      </c>
      <c r="U98" s="211"/>
      <c r="V98" s="273"/>
      <c r="W98" s="206">
        <f>ROUND(ROUND(T98, 2)*I98, 2)</f>
        <v>0</v>
      </c>
    </row>
    <row r="99" spans="1:25" ht="22.8" hidden="1" x14ac:dyDescent="0.4">
      <c r="A99" s="107" t="s">
        <v>425</v>
      </c>
      <c r="B99" s="107"/>
      <c r="C99" s="108" t="s">
        <v>426</v>
      </c>
      <c r="D99" s="109"/>
      <c r="E99" s="109"/>
      <c r="F99" s="110" t="s">
        <v>70</v>
      </c>
      <c r="G99" s="111">
        <v>0.25</v>
      </c>
      <c r="H99" s="187"/>
      <c r="I99" s="229">
        <v>0</v>
      </c>
      <c r="J99" s="325"/>
      <c r="K99" s="262"/>
      <c r="L99" s="285"/>
      <c r="M99" s="404"/>
      <c r="N99" s="427"/>
      <c r="O99" s="427"/>
      <c r="P99" s="427"/>
      <c r="Q99" s="427"/>
      <c r="R99" s="218"/>
      <c r="S99" s="218"/>
      <c r="T99" s="213">
        <v>40.270000000000003</v>
      </c>
      <c r="U99" s="211"/>
      <c r="V99" s="273"/>
      <c r="W99" s="206">
        <f>ROUND(ROUND(T99, 2)*I99, 2)</f>
        <v>0</v>
      </c>
    </row>
    <row r="100" spans="1:25" ht="14.55" hidden="1" customHeight="1" x14ac:dyDescent="0.4">
      <c r="A100" s="107" t="s">
        <v>432</v>
      </c>
      <c r="B100" s="107"/>
      <c r="C100" s="108" t="s">
        <v>433</v>
      </c>
      <c r="D100" s="109"/>
      <c r="E100" s="109"/>
      <c r="F100" s="110" t="s">
        <v>70</v>
      </c>
      <c r="G100" s="111">
        <v>0.15</v>
      </c>
      <c r="H100" s="187"/>
      <c r="I100" s="229">
        <v>0</v>
      </c>
      <c r="J100" s="325"/>
      <c r="K100" s="262"/>
      <c r="L100" s="285"/>
      <c r="M100" s="404"/>
      <c r="N100" s="427"/>
      <c r="O100" s="427"/>
      <c r="P100" s="427"/>
      <c r="Q100" s="427"/>
      <c r="R100" s="218"/>
      <c r="S100" s="218"/>
      <c r="T100" s="213">
        <v>88.8</v>
      </c>
      <c r="U100" s="211"/>
      <c r="V100" s="273"/>
      <c r="W100" s="206">
        <f>ROUND(ROUND(T100, 2)*I100, 2)</f>
        <v>0</v>
      </c>
    </row>
    <row r="101" spans="1:25" ht="37.5" customHeight="1" x14ac:dyDescent="0.3">
      <c r="A101" s="74" t="s">
        <v>439</v>
      </c>
      <c r="B101" s="74" t="s">
        <v>440</v>
      </c>
      <c r="C101" s="75" t="s">
        <v>441</v>
      </c>
      <c r="D101" s="76" t="s">
        <v>442</v>
      </c>
      <c r="E101" s="76" t="s">
        <v>63</v>
      </c>
      <c r="F101" s="76" t="s">
        <v>64</v>
      </c>
      <c r="G101" s="77">
        <v>1</v>
      </c>
      <c r="H101" s="177"/>
      <c r="I101" s="228">
        <v>538.29999999999995</v>
      </c>
      <c r="J101" s="322"/>
      <c r="K101" s="258"/>
      <c r="L101" s="281"/>
      <c r="M101" s="221"/>
      <c r="N101" s="422"/>
      <c r="O101" s="422"/>
      <c r="P101" s="422"/>
      <c r="Q101" s="422"/>
      <c r="R101" s="220"/>
      <c r="S101" s="221"/>
      <c r="T101" s="212">
        <f>IFERROR(ROUND(SUM(W102,W103,W104,W105)/I101, 2),0)</f>
        <v>1573.04</v>
      </c>
      <c r="U101" s="202">
        <v>412</v>
      </c>
      <c r="V101" s="274">
        <f>T101+ROUND(U101, 2)</f>
        <v>1985.04</v>
      </c>
      <c r="W101" s="182">
        <f>ROUND(T101*I101, 2)</f>
        <v>846767.43</v>
      </c>
      <c r="X101" s="14">
        <f>ROUND(I101*ROUND(U101, 2), 2)</f>
        <v>221779.6</v>
      </c>
      <c r="Y101" s="14">
        <f>W101+X101</f>
        <v>1068547.03</v>
      </c>
    </row>
    <row r="102" spans="1:25" ht="64.05" hidden="1" customHeight="1" x14ac:dyDescent="0.4">
      <c r="A102" s="107" t="s">
        <v>445</v>
      </c>
      <c r="B102" s="107"/>
      <c r="C102" s="108" t="s">
        <v>446</v>
      </c>
      <c r="D102" s="109"/>
      <c r="E102" s="109" t="s">
        <v>447</v>
      </c>
      <c r="F102" s="110" t="s">
        <v>70</v>
      </c>
      <c r="G102" s="111">
        <v>0.3</v>
      </c>
      <c r="H102" s="187"/>
      <c r="I102" s="229">
        <v>161.49</v>
      </c>
      <c r="J102" s="325"/>
      <c r="K102" s="262"/>
      <c r="L102" s="285"/>
      <c r="M102" s="404"/>
      <c r="N102" s="427"/>
      <c r="O102" s="427"/>
      <c r="P102" s="427"/>
      <c r="Q102" s="427"/>
      <c r="R102" s="218"/>
      <c r="S102" s="218"/>
      <c r="T102" s="213">
        <v>220</v>
      </c>
      <c r="U102" s="211"/>
      <c r="V102" s="273"/>
      <c r="W102" s="206">
        <f>ROUND(ROUND(T102, 2)*I102, 2)</f>
        <v>35527.800000000003</v>
      </c>
    </row>
    <row r="103" spans="1:25" ht="36" hidden="1" x14ac:dyDescent="0.4">
      <c r="A103" s="107" t="s">
        <v>451</v>
      </c>
      <c r="B103" s="107"/>
      <c r="C103" s="108" t="s">
        <v>452</v>
      </c>
      <c r="D103" s="109"/>
      <c r="E103" s="109" t="s">
        <v>453</v>
      </c>
      <c r="F103" s="110" t="s">
        <v>70</v>
      </c>
      <c r="G103" s="111">
        <v>0.15</v>
      </c>
      <c r="H103" s="187"/>
      <c r="I103" s="229">
        <v>80.745000000000005</v>
      </c>
      <c r="J103" s="325"/>
      <c r="K103" s="262"/>
      <c r="L103" s="285"/>
      <c r="M103" s="404"/>
      <c r="N103" s="427"/>
      <c r="O103" s="427"/>
      <c r="P103" s="427"/>
      <c r="Q103" s="427"/>
      <c r="R103" s="218"/>
      <c r="S103" s="218"/>
      <c r="T103" s="213">
        <v>68.400000000000006</v>
      </c>
      <c r="U103" s="211"/>
      <c r="V103" s="273"/>
      <c r="W103" s="206">
        <f>ROUND(ROUND(T103, 2)*I103, 2)</f>
        <v>5522.96</v>
      </c>
    </row>
    <row r="104" spans="1:25" ht="54" hidden="1" x14ac:dyDescent="0.4">
      <c r="A104" s="107" t="s">
        <v>457</v>
      </c>
      <c r="B104" s="107"/>
      <c r="C104" s="117" t="s">
        <v>458</v>
      </c>
      <c r="D104" s="109"/>
      <c r="E104" s="109"/>
      <c r="F104" s="110" t="s">
        <v>87</v>
      </c>
      <c r="G104" s="111">
        <v>1</v>
      </c>
      <c r="H104" s="187"/>
      <c r="I104" s="229">
        <v>252</v>
      </c>
      <c r="J104" s="325"/>
      <c r="K104" s="262"/>
      <c r="L104" s="285"/>
      <c r="M104" s="404"/>
      <c r="N104" s="427"/>
      <c r="O104" s="427"/>
      <c r="P104" s="427"/>
      <c r="Q104" s="427"/>
      <c r="R104" s="218"/>
      <c r="S104" s="218"/>
      <c r="T104" s="213">
        <v>51</v>
      </c>
      <c r="U104" s="211"/>
      <c r="V104" s="273"/>
      <c r="W104" s="206">
        <f>ROUND(ROUND(T104, 2)*I104, 2)</f>
        <v>12852</v>
      </c>
    </row>
    <row r="105" spans="1:25" ht="54" hidden="1" x14ac:dyDescent="0.4">
      <c r="A105" s="107" t="s">
        <v>462</v>
      </c>
      <c r="B105" s="107"/>
      <c r="C105" s="117" t="s">
        <v>463</v>
      </c>
      <c r="D105" s="109"/>
      <c r="E105" s="109"/>
      <c r="F105" s="110" t="s">
        <v>64</v>
      </c>
      <c r="G105" s="111">
        <v>1.1000000000000001</v>
      </c>
      <c r="H105" s="187"/>
      <c r="I105" s="229">
        <v>592.13</v>
      </c>
      <c r="J105" s="325"/>
      <c r="K105" s="262"/>
      <c r="L105" s="285"/>
      <c r="M105" s="404"/>
      <c r="N105" s="427"/>
      <c r="O105" s="427"/>
      <c r="P105" s="427"/>
      <c r="Q105" s="427"/>
      <c r="R105" s="218"/>
      <c r="S105" s="218"/>
      <c r="T105" s="213">
        <v>1339</v>
      </c>
      <c r="U105" s="211"/>
      <c r="V105" s="273"/>
      <c r="W105" s="206">
        <f>ROUND(ROUND(T105, 2)*I105, 2)</f>
        <v>792862.07</v>
      </c>
    </row>
    <row r="106" spans="1:25" ht="22.8" hidden="1" x14ac:dyDescent="0.3">
      <c r="A106" s="107" t="s">
        <v>467</v>
      </c>
      <c r="B106" s="107" t="s">
        <v>468</v>
      </c>
      <c r="C106" s="113" t="s">
        <v>469</v>
      </c>
      <c r="D106" s="109"/>
      <c r="E106" s="109" t="s">
        <v>470</v>
      </c>
      <c r="F106" s="109" t="s">
        <v>87</v>
      </c>
      <c r="G106" s="114">
        <v>1</v>
      </c>
      <c r="H106" s="188"/>
      <c r="I106" s="231">
        <v>0</v>
      </c>
      <c r="J106" s="326"/>
      <c r="K106" s="261"/>
      <c r="L106" s="284"/>
      <c r="M106" s="403"/>
      <c r="N106" s="426"/>
      <c r="O106" s="426"/>
      <c r="P106" s="426"/>
      <c r="Q106" s="426"/>
      <c r="R106" s="220"/>
      <c r="S106" s="221"/>
      <c r="T106" s="212">
        <f>IFERROR(ROUND(SUM(W107,W108)/I106, 2),0)</f>
        <v>0</v>
      </c>
      <c r="U106" s="202">
        <v>200</v>
      </c>
      <c r="V106" s="274">
        <f>T106+ROUND(U106, 2)</f>
        <v>200</v>
      </c>
      <c r="W106" s="182">
        <f>ROUND(T106*I106, 2)</f>
        <v>0</v>
      </c>
      <c r="X106" s="14">
        <f>ROUND(I106*ROUND(U106, 2), 2)</f>
        <v>0</v>
      </c>
      <c r="Y106" s="14">
        <f>W106+X106</f>
        <v>0</v>
      </c>
    </row>
    <row r="107" spans="1:25" ht="36" hidden="1" x14ac:dyDescent="0.4">
      <c r="A107" s="107" t="s">
        <v>474</v>
      </c>
      <c r="B107" s="107"/>
      <c r="C107" s="108" t="s">
        <v>475</v>
      </c>
      <c r="D107" s="109"/>
      <c r="E107" s="109"/>
      <c r="F107" s="110" t="s">
        <v>87</v>
      </c>
      <c r="G107" s="111">
        <v>1.05</v>
      </c>
      <c r="H107" s="187"/>
      <c r="I107" s="229">
        <v>0</v>
      </c>
      <c r="J107" s="325"/>
      <c r="K107" s="262"/>
      <c r="L107" s="285"/>
      <c r="M107" s="404"/>
      <c r="N107" s="427"/>
      <c r="O107" s="427"/>
      <c r="P107" s="427"/>
      <c r="Q107" s="427"/>
      <c r="R107" s="218"/>
      <c r="S107" s="218"/>
      <c r="T107" s="213">
        <v>90.97</v>
      </c>
      <c r="U107" s="211"/>
      <c r="V107" s="273"/>
      <c r="W107" s="206">
        <f>ROUND(ROUND(T107, 2)*I107, 2)</f>
        <v>0</v>
      </c>
    </row>
    <row r="108" spans="1:25" ht="36" hidden="1" x14ac:dyDescent="0.4">
      <c r="A108" s="107" t="s">
        <v>481</v>
      </c>
      <c r="B108" s="107"/>
      <c r="C108" s="108" t="s">
        <v>482</v>
      </c>
      <c r="D108" s="109"/>
      <c r="E108" s="109" t="s">
        <v>483</v>
      </c>
      <c r="F108" s="110" t="s">
        <v>116</v>
      </c>
      <c r="G108" s="120">
        <v>0.09</v>
      </c>
      <c r="H108" s="187"/>
      <c r="I108" s="229">
        <v>0</v>
      </c>
      <c r="J108" s="325"/>
      <c r="K108" s="262"/>
      <c r="L108" s="285"/>
      <c r="M108" s="404"/>
      <c r="N108" s="427"/>
      <c r="O108" s="427"/>
      <c r="P108" s="427"/>
      <c r="Q108" s="427"/>
      <c r="R108" s="218"/>
      <c r="S108" s="218"/>
      <c r="T108" s="213">
        <v>100</v>
      </c>
      <c r="U108" s="211"/>
      <c r="V108" s="273"/>
      <c r="W108" s="206">
        <f>ROUND(ROUND(T108, 2)*I108, 2)</f>
        <v>0</v>
      </c>
    </row>
    <row r="109" spans="1:25" ht="37.950000000000003" customHeight="1" x14ac:dyDescent="0.3">
      <c r="A109" s="74" t="s">
        <v>489</v>
      </c>
      <c r="B109" s="74" t="s">
        <v>468</v>
      </c>
      <c r="C109" s="75" t="s">
        <v>469</v>
      </c>
      <c r="D109" s="76"/>
      <c r="E109" s="76" t="s">
        <v>490</v>
      </c>
      <c r="F109" s="76" t="s">
        <v>87</v>
      </c>
      <c r="G109" s="77">
        <v>1</v>
      </c>
      <c r="H109" s="177"/>
      <c r="I109" s="228">
        <v>63.14</v>
      </c>
      <c r="J109" s="322"/>
      <c r="K109" s="258"/>
      <c r="L109" s="281"/>
      <c r="M109" s="221"/>
      <c r="N109" s="422"/>
      <c r="O109" s="422"/>
      <c r="P109" s="422"/>
      <c r="Q109" s="422"/>
      <c r="R109" s="220"/>
      <c r="S109" s="221"/>
      <c r="T109" s="212">
        <f>IFERROR(ROUND(SUM(W110,W111,W112)/I109, 2),0)</f>
        <v>198.82</v>
      </c>
      <c r="U109" s="202">
        <v>200</v>
      </c>
      <c r="V109" s="274">
        <f>T109+ROUND(U109, 2)</f>
        <v>398.82</v>
      </c>
      <c r="W109" s="182">
        <f>ROUND(T109*I109, 2)</f>
        <v>12553.49</v>
      </c>
      <c r="X109" s="14">
        <f>ROUND(I109*ROUND(U109, 2), 2)</f>
        <v>12628</v>
      </c>
      <c r="Y109" s="14">
        <f>W109+X109</f>
        <v>25181.489999999998</v>
      </c>
    </row>
    <row r="110" spans="1:25" ht="36" hidden="1" x14ac:dyDescent="0.4">
      <c r="A110" s="121" t="s">
        <v>491</v>
      </c>
      <c r="B110" s="121"/>
      <c r="C110" s="122" t="s">
        <v>482</v>
      </c>
      <c r="D110" s="123"/>
      <c r="E110" s="123" t="s">
        <v>483</v>
      </c>
      <c r="F110" s="124" t="s">
        <v>116</v>
      </c>
      <c r="G110" s="125">
        <v>0.09</v>
      </c>
      <c r="H110" s="189"/>
      <c r="I110" s="229">
        <v>5.6829999999999998</v>
      </c>
      <c r="J110" s="327"/>
      <c r="K110" s="263"/>
      <c r="L110" s="286"/>
      <c r="M110" s="405"/>
      <c r="N110" s="428"/>
      <c r="O110" s="428"/>
      <c r="P110" s="428"/>
      <c r="Q110" s="428"/>
      <c r="R110" s="218"/>
      <c r="S110" s="218"/>
      <c r="T110" s="213">
        <v>100</v>
      </c>
      <c r="U110" s="211"/>
      <c r="V110" s="273"/>
      <c r="W110" s="206">
        <f>ROUND(ROUND(T110, 2)*I110, 2)</f>
        <v>568.29999999999995</v>
      </c>
    </row>
    <row r="111" spans="1:25" ht="36" hidden="1" x14ac:dyDescent="0.4">
      <c r="A111" s="121" t="s">
        <v>494</v>
      </c>
      <c r="B111" s="121"/>
      <c r="C111" s="130" t="s">
        <v>475</v>
      </c>
      <c r="D111" s="123"/>
      <c r="E111" s="123" t="s">
        <v>495</v>
      </c>
      <c r="F111" s="124" t="s">
        <v>87</v>
      </c>
      <c r="G111" s="126">
        <v>1.05</v>
      </c>
      <c r="H111" s="189"/>
      <c r="I111" s="229">
        <v>49.591999999999999</v>
      </c>
      <c r="J111" s="327"/>
      <c r="K111" s="263"/>
      <c r="L111" s="286"/>
      <c r="M111" s="405"/>
      <c r="N111" s="428"/>
      <c r="O111" s="428"/>
      <c r="P111" s="428"/>
      <c r="Q111" s="428"/>
      <c r="R111" s="218"/>
      <c r="S111" s="218"/>
      <c r="T111" s="213">
        <v>90.21</v>
      </c>
      <c r="U111" s="211"/>
      <c r="V111" s="273"/>
      <c r="W111" s="206">
        <f>ROUND(ROUND(T111, 2)*I111, 2)</f>
        <v>4473.6899999999996</v>
      </c>
    </row>
    <row r="112" spans="1:25" ht="54" hidden="1" x14ac:dyDescent="0.4">
      <c r="A112" s="121" t="s">
        <v>498</v>
      </c>
      <c r="B112" s="121"/>
      <c r="C112" s="130" t="s">
        <v>499</v>
      </c>
      <c r="D112" s="123"/>
      <c r="E112" s="123" t="s">
        <v>500</v>
      </c>
      <c r="F112" s="124" t="s">
        <v>87</v>
      </c>
      <c r="G112" s="126">
        <v>1.1000000000000001</v>
      </c>
      <c r="H112" s="189"/>
      <c r="I112" s="229">
        <v>17.501000000000001</v>
      </c>
      <c r="J112" s="327"/>
      <c r="K112" s="263"/>
      <c r="L112" s="286"/>
      <c r="M112" s="405"/>
      <c r="N112" s="428"/>
      <c r="O112" s="428"/>
      <c r="P112" s="428"/>
      <c r="Q112" s="428"/>
      <c r="R112" s="218"/>
      <c r="S112" s="218"/>
      <c r="T112" s="213">
        <v>429.22</v>
      </c>
      <c r="U112" s="211"/>
      <c r="V112" s="273"/>
      <c r="W112" s="206">
        <f>ROUND(ROUND(T112, 2)*I112, 2)</f>
        <v>7511.78</v>
      </c>
    </row>
    <row r="113" spans="1:25" ht="54" hidden="1" x14ac:dyDescent="0.3">
      <c r="A113" s="121" t="s">
        <v>504</v>
      </c>
      <c r="B113" s="121" t="s">
        <v>505</v>
      </c>
      <c r="C113" s="131" t="s">
        <v>506</v>
      </c>
      <c r="D113" s="123"/>
      <c r="E113" s="123" t="s">
        <v>507</v>
      </c>
      <c r="F113" s="123" t="s">
        <v>87</v>
      </c>
      <c r="G113" s="132">
        <v>1</v>
      </c>
      <c r="H113" s="190"/>
      <c r="I113" s="231">
        <v>0</v>
      </c>
      <c r="J113" s="328"/>
      <c r="K113" s="264"/>
      <c r="L113" s="287"/>
      <c r="M113" s="406"/>
      <c r="N113" s="429"/>
      <c r="O113" s="429"/>
      <c r="P113" s="429"/>
      <c r="Q113" s="429"/>
      <c r="R113" s="220"/>
      <c r="S113" s="221"/>
      <c r="T113" s="212">
        <f>IFERROR(ROUND(SUM(W114,W115,W116)/I113, 2),0)</f>
        <v>0</v>
      </c>
      <c r="U113" s="202">
        <v>374</v>
      </c>
      <c r="V113" s="274">
        <f>T113+ROUND(U113, 2)</f>
        <v>374</v>
      </c>
      <c r="W113" s="182">
        <f>ROUND(T113*I113, 2)</f>
        <v>0</v>
      </c>
      <c r="X113" s="14">
        <f>ROUND(I113*ROUND(U113, 2), 2)</f>
        <v>0</v>
      </c>
      <c r="Y113" s="14">
        <f>W113+X113</f>
        <v>0</v>
      </c>
    </row>
    <row r="114" spans="1:25" ht="68.55" hidden="1" customHeight="1" x14ac:dyDescent="0.4">
      <c r="A114" s="121" t="s">
        <v>511</v>
      </c>
      <c r="B114" s="121"/>
      <c r="C114" s="130" t="s">
        <v>512</v>
      </c>
      <c r="D114" s="123"/>
      <c r="E114" s="123" t="s">
        <v>513</v>
      </c>
      <c r="F114" s="124" t="s">
        <v>64</v>
      </c>
      <c r="G114" s="126">
        <v>0.11</v>
      </c>
      <c r="H114" s="189"/>
      <c r="I114" s="229">
        <v>0</v>
      </c>
      <c r="J114" s="327"/>
      <c r="K114" s="263"/>
      <c r="L114" s="286"/>
      <c r="M114" s="405"/>
      <c r="N114" s="428"/>
      <c r="O114" s="428"/>
      <c r="P114" s="428"/>
      <c r="Q114" s="428"/>
      <c r="R114" s="218"/>
      <c r="S114" s="218"/>
      <c r="T114" s="213">
        <v>850</v>
      </c>
      <c r="U114" s="211"/>
      <c r="V114" s="273"/>
      <c r="W114" s="206">
        <f>ROUND(ROUND(T114, 2)*I114, 2)</f>
        <v>0</v>
      </c>
    </row>
    <row r="115" spans="1:25" ht="22.8" hidden="1" x14ac:dyDescent="0.4">
      <c r="A115" s="121" t="s">
        <v>520</v>
      </c>
      <c r="B115" s="121"/>
      <c r="C115" s="122" t="s">
        <v>426</v>
      </c>
      <c r="D115" s="123"/>
      <c r="E115" s="123"/>
      <c r="F115" s="124" t="s">
        <v>70</v>
      </c>
      <c r="G115" s="126">
        <v>0.04</v>
      </c>
      <c r="H115" s="189"/>
      <c r="I115" s="229">
        <v>0</v>
      </c>
      <c r="J115" s="327"/>
      <c r="K115" s="263"/>
      <c r="L115" s="286"/>
      <c r="M115" s="405"/>
      <c r="N115" s="428"/>
      <c r="O115" s="428"/>
      <c r="P115" s="428"/>
      <c r="Q115" s="428"/>
      <c r="R115" s="218"/>
      <c r="S115" s="218"/>
      <c r="T115" s="213">
        <v>40.270000000000003</v>
      </c>
      <c r="U115" s="211"/>
      <c r="V115" s="273"/>
      <c r="W115" s="206">
        <f>ROUND(ROUND(T115, 2)*I115, 2)</f>
        <v>0</v>
      </c>
    </row>
    <row r="116" spans="1:25" ht="22.8" hidden="1" x14ac:dyDescent="0.4">
      <c r="A116" s="121" t="s">
        <v>525</v>
      </c>
      <c r="B116" s="121"/>
      <c r="C116" s="122" t="s">
        <v>433</v>
      </c>
      <c r="D116" s="123"/>
      <c r="E116" s="123"/>
      <c r="F116" s="124" t="s">
        <v>70</v>
      </c>
      <c r="G116" s="126">
        <v>1.4999999999999999E-2</v>
      </c>
      <c r="H116" s="189"/>
      <c r="I116" s="229">
        <v>0</v>
      </c>
      <c r="J116" s="327"/>
      <c r="K116" s="263"/>
      <c r="L116" s="286"/>
      <c r="M116" s="405"/>
      <c r="N116" s="428"/>
      <c r="O116" s="428"/>
      <c r="P116" s="428"/>
      <c r="Q116" s="428"/>
      <c r="R116" s="218"/>
      <c r="S116" s="218"/>
      <c r="T116" s="213">
        <v>88.8</v>
      </c>
      <c r="U116" s="211"/>
      <c r="V116" s="273"/>
      <c r="W116" s="206">
        <f>ROUND(ROUND(T116, 2)*I116, 2)</f>
        <v>0</v>
      </c>
    </row>
    <row r="117" spans="1:25" ht="36" hidden="1" x14ac:dyDescent="0.3">
      <c r="A117" s="121" t="s">
        <v>530</v>
      </c>
      <c r="B117" s="121" t="s">
        <v>531</v>
      </c>
      <c r="C117" s="131" t="s">
        <v>532</v>
      </c>
      <c r="D117" s="123"/>
      <c r="E117" s="123" t="s">
        <v>533</v>
      </c>
      <c r="F117" s="123" t="s">
        <v>87</v>
      </c>
      <c r="G117" s="132">
        <v>1</v>
      </c>
      <c r="H117" s="190"/>
      <c r="I117" s="231">
        <v>0</v>
      </c>
      <c r="J117" s="328"/>
      <c r="K117" s="264"/>
      <c r="L117" s="287"/>
      <c r="M117" s="406"/>
      <c r="N117" s="429"/>
      <c r="O117" s="429"/>
      <c r="P117" s="429"/>
      <c r="Q117" s="429"/>
      <c r="R117" s="220"/>
      <c r="S117" s="221"/>
      <c r="T117" s="212">
        <f>IFERROR(ROUND(SUM(W118,W119)/I117, 2),0)</f>
        <v>0</v>
      </c>
      <c r="U117" s="202">
        <v>156</v>
      </c>
      <c r="V117" s="274">
        <f>T117+ROUND(U117, 2)</f>
        <v>156</v>
      </c>
      <c r="W117" s="182">
        <f>ROUND(T117*I117, 2)</f>
        <v>0</v>
      </c>
      <c r="X117" s="14">
        <f>ROUND(I117*ROUND(U117, 2), 2)</f>
        <v>0</v>
      </c>
      <c r="Y117" s="14">
        <f>W117+X117</f>
        <v>0</v>
      </c>
    </row>
    <row r="118" spans="1:25" ht="36" hidden="1" x14ac:dyDescent="0.4">
      <c r="A118" s="121" t="s">
        <v>537</v>
      </c>
      <c r="B118" s="121"/>
      <c r="C118" s="122" t="s">
        <v>538</v>
      </c>
      <c r="D118" s="123"/>
      <c r="E118" s="123" t="s">
        <v>539</v>
      </c>
      <c r="F118" s="124" t="s">
        <v>87</v>
      </c>
      <c r="G118" s="126">
        <v>1</v>
      </c>
      <c r="H118" s="189"/>
      <c r="I118" s="229">
        <v>0</v>
      </c>
      <c r="J118" s="327"/>
      <c r="K118" s="263"/>
      <c r="L118" s="286"/>
      <c r="M118" s="405"/>
      <c r="N118" s="428"/>
      <c r="O118" s="428"/>
      <c r="P118" s="428"/>
      <c r="Q118" s="428"/>
      <c r="R118" s="218"/>
      <c r="S118" s="218"/>
      <c r="T118" s="213">
        <v>172.74</v>
      </c>
      <c r="U118" s="211"/>
      <c r="V118" s="273"/>
      <c r="W118" s="206">
        <f>ROUND(ROUND(T118, 2)*I118, 2)</f>
        <v>0</v>
      </c>
    </row>
    <row r="119" spans="1:25" ht="36" hidden="1" x14ac:dyDescent="0.4">
      <c r="A119" s="121" t="s">
        <v>545</v>
      </c>
      <c r="B119" s="121"/>
      <c r="C119" s="122" t="s">
        <v>482</v>
      </c>
      <c r="D119" s="123"/>
      <c r="E119" s="123" t="s">
        <v>483</v>
      </c>
      <c r="F119" s="124" t="s">
        <v>116</v>
      </c>
      <c r="G119" s="126">
        <v>0.09</v>
      </c>
      <c r="H119" s="189"/>
      <c r="I119" s="229">
        <v>0</v>
      </c>
      <c r="J119" s="327"/>
      <c r="K119" s="263"/>
      <c r="L119" s="286"/>
      <c r="M119" s="405"/>
      <c r="N119" s="428"/>
      <c r="O119" s="428"/>
      <c r="P119" s="428"/>
      <c r="Q119" s="428"/>
      <c r="R119" s="218"/>
      <c r="S119" s="218"/>
      <c r="T119" s="213">
        <v>100</v>
      </c>
      <c r="U119" s="211"/>
      <c r="V119" s="273"/>
      <c r="W119" s="206">
        <f>ROUND(ROUND(T119, 2)*I119, 2)</f>
        <v>0</v>
      </c>
    </row>
    <row r="120" spans="1:25" ht="22.8" hidden="1" x14ac:dyDescent="0.3">
      <c r="A120" s="121" t="s">
        <v>550</v>
      </c>
      <c r="B120" s="121" t="s">
        <v>551</v>
      </c>
      <c r="C120" s="131" t="s">
        <v>552</v>
      </c>
      <c r="D120" s="123"/>
      <c r="E120" s="123" t="s">
        <v>63</v>
      </c>
      <c r="F120" s="123" t="s">
        <v>64</v>
      </c>
      <c r="G120" s="132">
        <v>1</v>
      </c>
      <c r="H120" s="190"/>
      <c r="I120" s="231">
        <v>0</v>
      </c>
      <c r="J120" s="328"/>
      <c r="K120" s="264"/>
      <c r="L120" s="287"/>
      <c r="M120" s="406"/>
      <c r="N120" s="429"/>
      <c r="O120" s="429"/>
      <c r="P120" s="429"/>
      <c r="Q120" s="429"/>
      <c r="R120" s="220"/>
      <c r="S120" s="221"/>
      <c r="T120" s="212">
        <f>IFERROR(ROUND(SUM(W121,W122)/I120, 2),0)</f>
        <v>0</v>
      </c>
      <c r="U120" s="202">
        <v>661</v>
      </c>
      <c r="V120" s="274">
        <f>T120+ROUND(U120, 2)</f>
        <v>661</v>
      </c>
      <c r="W120" s="182">
        <f>ROUND(T120*I120, 2)</f>
        <v>0</v>
      </c>
      <c r="X120" s="14">
        <f>ROUND(I120*ROUND(U120, 2), 2)</f>
        <v>0</v>
      </c>
      <c r="Y120" s="14">
        <f>W120+X120</f>
        <v>0</v>
      </c>
    </row>
    <row r="121" spans="1:25" ht="72" hidden="1" x14ac:dyDescent="0.4">
      <c r="A121" s="121" t="s">
        <v>556</v>
      </c>
      <c r="B121" s="121"/>
      <c r="C121" s="122" t="s">
        <v>557</v>
      </c>
      <c r="D121" s="123"/>
      <c r="E121" s="123" t="s">
        <v>558</v>
      </c>
      <c r="F121" s="124" t="s">
        <v>116</v>
      </c>
      <c r="G121" s="126">
        <v>1</v>
      </c>
      <c r="H121" s="189"/>
      <c r="I121" s="229">
        <v>0</v>
      </c>
      <c r="J121" s="327"/>
      <c r="K121" s="263"/>
      <c r="L121" s="286"/>
      <c r="M121" s="405"/>
      <c r="N121" s="428"/>
      <c r="O121" s="428"/>
      <c r="P121" s="428"/>
      <c r="Q121" s="428"/>
      <c r="R121" s="218"/>
      <c r="S121" s="218"/>
      <c r="T121" s="213">
        <v>4456</v>
      </c>
      <c r="U121" s="211"/>
      <c r="V121" s="273"/>
      <c r="W121" s="206">
        <f>ROUND(ROUND(T121, 2)*I121, 2)</f>
        <v>0</v>
      </c>
    </row>
    <row r="122" spans="1:25" ht="72" hidden="1" x14ac:dyDescent="0.4">
      <c r="A122" s="121" t="s">
        <v>564</v>
      </c>
      <c r="B122" s="121"/>
      <c r="C122" s="122" t="s">
        <v>565</v>
      </c>
      <c r="D122" s="123"/>
      <c r="E122" s="123" t="s">
        <v>566</v>
      </c>
      <c r="F122" s="124" t="s">
        <v>64</v>
      </c>
      <c r="G122" s="126">
        <v>1.03</v>
      </c>
      <c r="H122" s="189"/>
      <c r="I122" s="229">
        <v>0</v>
      </c>
      <c r="J122" s="327"/>
      <c r="K122" s="263"/>
      <c r="L122" s="286"/>
      <c r="M122" s="405"/>
      <c r="N122" s="428"/>
      <c r="O122" s="428"/>
      <c r="P122" s="428"/>
      <c r="Q122" s="428"/>
      <c r="R122" s="218"/>
      <c r="S122" s="218"/>
      <c r="T122" s="213">
        <v>1500</v>
      </c>
      <c r="U122" s="211"/>
      <c r="V122" s="273"/>
      <c r="W122" s="206">
        <f>ROUND(ROUND(T122, 2)*I122, 2)</f>
        <v>0</v>
      </c>
    </row>
    <row r="123" spans="1:25" ht="22.8" hidden="1" x14ac:dyDescent="0.3">
      <c r="A123" s="121" t="s">
        <v>572</v>
      </c>
      <c r="B123" s="121" t="s">
        <v>551</v>
      </c>
      <c r="C123" s="131" t="s">
        <v>552</v>
      </c>
      <c r="D123" s="123"/>
      <c r="E123" s="123" t="s">
        <v>81</v>
      </c>
      <c r="F123" s="123" t="s">
        <v>64</v>
      </c>
      <c r="G123" s="132">
        <v>1</v>
      </c>
      <c r="H123" s="190"/>
      <c r="I123" s="231">
        <v>3457.16</v>
      </c>
      <c r="J123" s="328"/>
      <c r="K123" s="264"/>
      <c r="L123" s="287"/>
      <c r="M123" s="406"/>
      <c r="N123" s="429"/>
      <c r="O123" s="429"/>
      <c r="P123" s="429"/>
      <c r="Q123" s="429"/>
      <c r="R123" s="220"/>
      <c r="S123" s="221"/>
      <c r="T123" s="212">
        <f>IFERROR(ROUND(SUM(W124,W125)/I123, 2),0)</f>
        <v>2545</v>
      </c>
      <c r="U123" s="202">
        <v>661</v>
      </c>
      <c r="V123" s="274">
        <f>T123+ROUND(U123, 2)</f>
        <v>3206</v>
      </c>
      <c r="W123" s="182">
        <f>ROUND(T123*I123, 2)</f>
        <v>8798472.1999999993</v>
      </c>
      <c r="X123" s="14">
        <f>ROUND(I123*ROUND(U123, 2), 2)</f>
        <v>2285182.7599999998</v>
      </c>
      <c r="Y123" s="14">
        <f>W123+X123</f>
        <v>11083654.959999999</v>
      </c>
    </row>
    <row r="124" spans="1:25" ht="72" hidden="1" x14ac:dyDescent="0.4">
      <c r="A124" s="121" t="s">
        <v>573</v>
      </c>
      <c r="B124" s="121"/>
      <c r="C124" s="122" t="s">
        <v>565</v>
      </c>
      <c r="D124" s="123"/>
      <c r="E124" s="123" t="s">
        <v>574</v>
      </c>
      <c r="F124" s="124" t="s">
        <v>64</v>
      </c>
      <c r="G124" s="126">
        <v>1.03</v>
      </c>
      <c r="H124" s="189"/>
      <c r="I124" s="229">
        <v>3560.875</v>
      </c>
      <c r="J124" s="327"/>
      <c r="K124" s="263"/>
      <c r="L124" s="286"/>
      <c r="M124" s="405"/>
      <c r="N124" s="428"/>
      <c r="O124" s="428"/>
      <c r="P124" s="428"/>
      <c r="Q124" s="428"/>
      <c r="R124" s="218"/>
      <c r="S124" s="218"/>
      <c r="T124" s="213">
        <v>1950</v>
      </c>
      <c r="U124" s="211"/>
      <c r="V124" s="273"/>
      <c r="W124" s="206">
        <f>ROUND(ROUND(T124, 2)*I124, 2)</f>
        <v>6943706.25</v>
      </c>
    </row>
    <row r="125" spans="1:25" ht="72" hidden="1" x14ac:dyDescent="0.4">
      <c r="A125" s="121" t="s">
        <v>577</v>
      </c>
      <c r="B125" s="121"/>
      <c r="C125" s="122" t="s">
        <v>557</v>
      </c>
      <c r="D125" s="123"/>
      <c r="E125" s="123" t="s">
        <v>558</v>
      </c>
      <c r="F125" s="124" t="s">
        <v>116</v>
      </c>
      <c r="G125" s="126">
        <v>1</v>
      </c>
      <c r="H125" s="189"/>
      <c r="I125" s="229">
        <v>408</v>
      </c>
      <c r="J125" s="327"/>
      <c r="K125" s="263"/>
      <c r="L125" s="286"/>
      <c r="M125" s="405"/>
      <c r="N125" s="428"/>
      <c r="O125" s="428"/>
      <c r="P125" s="428"/>
      <c r="Q125" s="428"/>
      <c r="R125" s="218"/>
      <c r="S125" s="218"/>
      <c r="T125" s="213">
        <v>4546</v>
      </c>
      <c r="U125" s="211"/>
      <c r="V125" s="273"/>
      <c r="W125" s="206">
        <f>ROUND(ROUND(T125, 2)*I125, 2)</f>
        <v>1854768</v>
      </c>
    </row>
    <row r="126" spans="1:25" ht="42" customHeight="1" x14ac:dyDescent="0.3">
      <c r="A126" s="74" t="s">
        <v>580</v>
      </c>
      <c r="B126" s="74" t="s">
        <v>581</v>
      </c>
      <c r="C126" s="75" t="s">
        <v>582</v>
      </c>
      <c r="D126" s="76"/>
      <c r="E126" s="76" t="s">
        <v>583</v>
      </c>
      <c r="F126" s="76" t="s">
        <v>87</v>
      </c>
      <c r="G126" s="77">
        <v>1</v>
      </c>
      <c r="H126" s="177"/>
      <c r="I126" s="228">
        <v>1560.93</v>
      </c>
      <c r="J126" s="322"/>
      <c r="K126" s="258"/>
      <c r="L126" s="281"/>
      <c r="M126" s="221"/>
      <c r="N126" s="422"/>
      <c r="O126" s="422"/>
      <c r="P126" s="422"/>
      <c r="Q126" s="422"/>
      <c r="R126" s="220"/>
      <c r="S126" s="221"/>
      <c r="T126" s="212">
        <f>IFERROR(ROUND(SUM(W127)/I126, 2),0)</f>
        <v>379.23</v>
      </c>
      <c r="U126" s="202">
        <v>210</v>
      </c>
      <c r="V126" s="274">
        <f>T126+ROUND(U126, 2)</f>
        <v>589.23</v>
      </c>
      <c r="W126" s="182">
        <f>ROUND(T126*I126, 2)</f>
        <v>591951.48</v>
      </c>
      <c r="X126" s="14">
        <f>ROUND(I126*ROUND(U126, 2), 2)</f>
        <v>327795.3</v>
      </c>
      <c r="Y126" s="14">
        <f>W126+X126</f>
        <v>919746.78</v>
      </c>
    </row>
    <row r="127" spans="1:25" ht="54" hidden="1" x14ac:dyDescent="0.4">
      <c r="A127" s="121" t="s">
        <v>586</v>
      </c>
      <c r="B127" s="121"/>
      <c r="C127" s="122" t="s">
        <v>587</v>
      </c>
      <c r="D127" s="123"/>
      <c r="E127" s="123"/>
      <c r="F127" s="124" t="s">
        <v>87</v>
      </c>
      <c r="G127" s="126">
        <v>1.1000000000000001</v>
      </c>
      <c r="H127" s="189"/>
      <c r="I127" s="229">
        <v>1717.0229999999999</v>
      </c>
      <c r="J127" s="327"/>
      <c r="K127" s="257"/>
      <c r="L127" s="280"/>
      <c r="M127" s="401"/>
      <c r="N127" s="423"/>
      <c r="O127" s="423"/>
      <c r="P127" s="423"/>
      <c r="Q127" s="423"/>
      <c r="R127" s="218"/>
      <c r="S127" s="218"/>
      <c r="T127" s="213">
        <v>344.75</v>
      </c>
      <c r="U127" s="211"/>
      <c r="V127" s="273"/>
      <c r="W127" s="206">
        <f>ROUND(ROUND(T127, 2)*I127, 2)</f>
        <v>591943.68000000005</v>
      </c>
    </row>
    <row r="128" spans="1:25" ht="22.8" hidden="1" x14ac:dyDescent="0.3">
      <c r="A128" s="121" t="s">
        <v>591</v>
      </c>
      <c r="B128" s="121" t="s">
        <v>581</v>
      </c>
      <c r="C128" s="131" t="s">
        <v>582</v>
      </c>
      <c r="D128" s="123"/>
      <c r="E128" s="123" t="s">
        <v>533</v>
      </c>
      <c r="F128" s="123" t="s">
        <v>87</v>
      </c>
      <c r="G128" s="132">
        <v>1</v>
      </c>
      <c r="H128" s="190"/>
      <c r="I128" s="231">
        <v>1769.72</v>
      </c>
      <c r="J128" s="328"/>
      <c r="K128" s="258"/>
      <c r="L128" s="281"/>
      <c r="M128" s="221"/>
      <c r="N128" s="422"/>
      <c r="O128" s="422"/>
      <c r="P128" s="422"/>
      <c r="Q128" s="422"/>
      <c r="R128" s="220"/>
      <c r="S128" s="221"/>
      <c r="T128" s="212">
        <f>IFERROR(ROUND(SUM(W129)/I128, 2),0)</f>
        <v>379.23</v>
      </c>
      <c r="U128" s="202">
        <v>210</v>
      </c>
      <c r="V128" s="274">
        <f>T128+ROUND(U128, 2)</f>
        <v>589.23</v>
      </c>
      <c r="W128" s="182">
        <f>ROUND(T128*I128, 2)</f>
        <v>671130.92</v>
      </c>
      <c r="X128" s="14">
        <f>ROUND(I128*ROUND(U128, 2), 2)</f>
        <v>371641.2</v>
      </c>
      <c r="Y128" s="14">
        <f>W128+X128</f>
        <v>1042772.1200000001</v>
      </c>
    </row>
    <row r="129" spans="1:25" ht="54" hidden="1" x14ac:dyDescent="0.4">
      <c r="A129" s="121" t="s">
        <v>592</v>
      </c>
      <c r="B129" s="121"/>
      <c r="C129" s="122" t="s">
        <v>587</v>
      </c>
      <c r="D129" s="123"/>
      <c r="E129" s="123"/>
      <c r="F129" s="124" t="s">
        <v>87</v>
      </c>
      <c r="G129" s="126">
        <v>1.1000000000000001</v>
      </c>
      <c r="H129" s="189"/>
      <c r="I129" s="229">
        <v>1946.692</v>
      </c>
      <c r="J129" s="327"/>
      <c r="K129" s="257"/>
      <c r="L129" s="280"/>
      <c r="M129" s="401"/>
      <c r="N129" s="423"/>
      <c r="O129" s="423"/>
      <c r="P129" s="423"/>
      <c r="Q129" s="423"/>
      <c r="R129" s="218"/>
      <c r="S129" s="218"/>
      <c r="T129" s="213">
        <v>344.75</v>
      </c>
      <c r="U129" s="211"/>
      <c r="V129" s="273"/>
      <c r="W129" s="206">
        <f>ROUND(ROUND(T129, 2)*I129, 2)</f>
        <v>671122.07</v>
      </c>
    </row>
    <row r="130" spans="1:25" ht="50.55" customHeight="1" x14ac:dyDescent="0.3">
      <c r="A130" s="74" t="s">
        <v>595</v>
      </c>
      <c r="B130" s="74" t="s">
        <v>596</v>
      </c>
      <c r="C130" s="75" t="s">
        <v>597</v>
      </c>
      <c r="D130" s="76"/>
      <c r="E130" s="76" t="s">
        <v>81</v>
      </c>
      <c r="F130" s="76" t="s">
        <v>87</v>
      </c>
      <c r="G130" s="77">
        <v>1</v>
      </c>
      <c r="H130" s="177"/>
      <c r="I130" s="228">
        <v>137.82</v>
      </c>
      <c r="J130" s="322"/>
      <c r="K130" s="258"/>
      <c r="L130" s="281"/>
      <c r="M130" s="221"/>
      <c r="N130" s="422"/>
      <c r="O130" s="422"/>
      <c r="P130" s="422"/>
      <c r="Q130" s="422"/>
      <c r="R130" s="220"/>
      <c r="S130" s="221"/>
      <c r="T130" s="212">
        <f>IFERROR(ROUND(SUM(W131,W132,W133,W134)/I130, 2),0)</f>
        <v>375.15</v>
      </c>
      <c r="U130" s="202">
        <v>473</v>
      </c>
      <c r="V130" s="274">
        <f>T130+ROUND(U130, 2)</f>
        <v>848.15</v>
      </c>
      <c r="W130" s="182">
        <f>ROUND(T130*I130, 2)</f>
        <v>51703.17</v>
      </c>
      <c r="X130" s="14">
        <f>ROUND(I130*ROUND(U130, 2), 2)</f>
        <v>65188.86</v>
      </c>
      <c r="Y130" s="14">
        <f>W130+X130</f>
        <v>116892.03</v>
      </c>
    </row>
    <row r="131" spans="1:25" ht="36" hidden="1" x14ac:dyDescent="0.4">
      <c r="A131" s="121" t="s">
        <v>600</v>
      </c>
      <c r="B131" s="121"/>
      <c r="C131" s="130" t="s">
        <v>601</v>
      </c>
      <c r="D131" s="123"/>
      <c r="E131" s="123" t="s">
        <v>402</v>
      </c>
      <c r="F131" s="124" t="s">
        <v>70</v>
      </c>
      <c r="G131" s="126">
        <v>0.7</v>
      </c>
      <c r="H131" s="189"/>
      <c r="I131" s="229">
        <v>96.474000000000004</v>
      </c>
      <c r="J131" s="329"/>
      <c r="K131" s="257"/>
      <c r="L131" s="280"/>
      <c r="M131" s="401"/>
      <c r="N131" s="423"/>
      <c r="O131" s="423"/>
      <c r="P131" s="423"/>
      <c r="Q131" s="423"/>
      <c r="R131" s="218"/>
      <c r="S131" s="218"/>
      <c r="T131" s="213">
        <v>16.11</v>
      </c>
      <c r="U131" s="211"/>
      <c r="V131" s="273"/>
      <c r="W131" s="206">
        <f>ROUND(ROUND(T131, 2)*I131, 2)</f>
        <v>1554.2</v>
      </c>
    </row>
    <row r="132" spans="1:25" ht="89.55" hidden="1" customHeight="1" x14ac:dyDescent="0.4">
      <c r="A132" s="121" t="s">
        <v>605</v>
      </c>
      <c r="B132" s="121"/>
      <c r="C132" s="122" t="s">
        <v>606</v>
      </c>
      <c r="D132" s="123"/>
      <c r="E132" s="123" t="s">
        <v>607</v>
      </c>
      <c r="F132" s="124" t="s">
        <v>116</v>
      </c>
      <c r="G132" s="126">
        <v>1.84</v>
      </c>
      <c r="H132" s="189"/>
      <c r="I132" s="229">
        <v>253.589</v>
      </c>
      <c r="J132" s="329"/>
      <c r="K132" s="257"/>
      <c r="L132" s="280"/>
      <c r="M132" s="401"/>
      <c r="N132" s="423"/>
      <c r="O132" s="423"/>
      <c r="P132" s="423"/>
      <c r="Q132" s="423"/>
      <c r="R132" s="218"/>
      <c r="S132" s="218"/>
      <c r="T132" s="213">
        <v>196</v>
      </c>
      <c r="U132" s="211"/>
      <c r="V132" s="273"/>
      <c r="W132" s="206">
        <f>ROUND(ROUND(T132, 2)*I132, 2)</f>
        <v>49703.44</v>
      </c>
    </row>
    <row r="133" spans="1:25" ht="36" hidden="1" x14ac:dyDescent="0.4">
      <c r="A133" s="121" t="s">
        <v>611</v>
      </c>
      <c r="B133" s="121"/>
      <c r="C133" s="122" t="s">
        <v>612</v>
      </c>
      <c r="D133" s="123"/>
      <c r="E133" s="123" t="s">
        <v>613</v>
      </c>
      <c r="F133" s="124" t="s">
        <v>70</v>
      </c>
      <c r="G133" s="126">
        <v>0.04</v>
      </c>
      <c r="H133" s="189"/>
      <c r="I133" s="229">
        <v>5.5129999999999999</v>
      </c>
      <c r="J133" s="329"/>
      <c r="K133" s="257"/>
      <c r="L133" s="280"/>
      <c r="M133" s="401"/>
      <c r="N133" s="423"/>
      <c r="O133" s="423"/>
      <c r="P133" s="423"/>
      <c r="Q133" s="423"/>
      <c r="R133" s="218"/>
      <c r="S133" s="218"/>
      <c r="T133" s="213">
        <v>47.44</v>
      </c>
      <c r="U133" s="211"/>
      <c r="V133" s="273"/>
      <c r="W133" s="206">
        <f>ROUND(ROUND(T133, 2)*I133, 2)</f>
        <v>261.54000000000002</v>
      </c>
    </row>
    <row r="134" spans="1:25" ht="22.8" hidden="1" x14ac:dyDescent="0.4">
      <c r="A134" s="121" t="s">
        <v>617</v>
      </c>
      <c r="B134" s="121"/>
      <c r="C134" s="122" t="s">
        <v>433</v>
      </c>
      <c r="D134" s="123"/>
      <c r="E134" s="123"/>
      <c r="F134" s="124" t="s">
        <v>70</v>
      </c>
      <c r="G134" s="126">
        <v>1.4999999999999999E-2</v>
      </c>
      <c r="H134" s="189"/>
      <c r="I134" s="229">
        <v>2.0670000000000002</v>
      </c>
      <c r="J134" s="329"/>
      <c r="K134" s="257"/>
      <c r="L134" s="280"/>
      <c r="M134" s="401"/>
      <c r="N134" s="423"/>
      <c r="O134" s="423"/>
      <c r="P134" s="423"/>
      <c r="Q134" s="423"/>
      <c r="R134" s="218"/>
      <c r="S134" s="218"/>
      <c r="T134" s="213">
        <v>88.8</v>
      </c>
      <c r="U134" s="211"/>
      <c r="V134" s="273"/>
      <c r="W134" s="206">
        <f>ROUND(ROUND(T134, 2)*I134, 2)</f>
        <v>183.55</v>
      </c>
    </row>
    <row r="135" spans="1:25" ht="39.450000000000003" customHeight="1" x14ac:dyDescent="0.3">
      <c r="A135" s="74" t="s">
        <v>620</v>
      </c>
      <c r="B135" s="74" t="s">
        <v>596</v>
      </c>
      <c r="C135" s="75" t="s">
        <v>597</v>
      </c>
      <c r="D135" s="76"/>
      <c r="E135" s="76" t="s">
        <v>81</v>
      </c>
      <c r="F135" s="76" t="s">
        <v>87</v>
      </c>
      <c r="G135" s="77">
        <v>1</v>
      </c>
      <c r="H135" s="177"/>
      <c r="I135" s="228">
        <v>23.84</v>
      </c>
      <c r="J135" s="322"/>
      <c r="K135" s="258"/>
      <c r="L135" s="281"/>
      <c r="M135" s="221"/>
      <c r="N135" s="422"/>
      <c r="O135" s="422"/>
      <c r="P135" s="422"/>
      <c r="Q135" s="422"/>
      <c r="R135" s="220"/>
      <c r="S135" s="221"/>
      <c r="T135" s="212">
        <f>IFERROR(ROUND(SUM(W136,W137,W138,W139)/I135, 2),0)</f>
        <v>63.72</v>
      </c>
      <c r="U135" s="202">
        <v>473</v>
      </c>
      <c r="V135" s="274">
        <f>T135+ROUND(U135, 2)</f>
        <v>536.72</v>
      </c>
      <c r="W135" s="182">
        <f>ROUND(T135*I135, 2)</f>
        <v>1519.08</v>
      </c>
      <c r="X135" s="14">
        <f>ROUND(I135*ROUND(U135, 2), 2)</f>
        <v>11276.32</v>
      </c>
      <c r="Y135" s="14">
        <f>W135+X135</f>
        <v>12795.4</v>
      </c>
    </row>
    <row r="136" spans="1:25" ht="22.8" hidden="1" x14ac:dyDescent="0.4">
      <c r="A136" s="121" t="s">
        <v>621</v>
      </c>
      <c r="B136" s="121"/>
      <c r="C136" s="122" t="s">
        <v>433</v>
      </c>
      <c r="D136" s="123"/>
      <c r="E136" s="123"/>
      <c r="F136" s="124" t="s">
        <v>70</v>
      </c>
      <c r="G136" s="126">
        <v>1.4999999999999999E-2</v>
      </c>
      <c r="H136" s="189"/>
      <c r="I136" s="229">
        <v>0.35799999999999998</v>
      </c>
      <c r="J136" s="329"/>
      <c r="K136" s="257"/>
      <c r="L136" s="280"/>
      <c r="M136" s="401"/>
      <c r="N136" s="423"/>
      <c r="O136" s="423"/>
      <c r="P136" s="423"/>
      <c r="Q136" s="423"/>
      <c r="R136" s="218"/>
      <c r="S136" s="218"/>
      <c r="T136" s="213">
        <v>88.8</v>
      </c>
      <c r="U136" s="211"/>
      <c r="V136" s="273"/>
      <c r="W136" s="206">
        <f>ROUND(ROUND(T136, 2)*I136, 2)</f>
        <v>31.79</v>
      </c>
    </row>
    <row r="137" spans="1:25" ht="22.8" hidden="1" x14ac:dyDescent="0.4">
      <c r="A137" s="121" t="s">
        <v>624</v>
      </c>
      <c r="B137" s="121"/>
      <c r="C137" s="122" t="s">
        <v>612</v>
      </c>
      <c r="D137" s="123"/>
      <c r="E137" s="123"/>
      <c r="F137" s="124" t="s">
        <v>70</v>
      </c>
      <c r="G137" s="126">
        <v>0.04</v>
      </c>
      <c r="H137" s="189"/>
      <c r="I137" s="229">
        <v>0.95399999999999996</v>
      </c>
      <c r="J137" s="329"/>
      <c r="K137" s="257"/>
      <c r="L137" s="280"/>
      <c r="M137" s="401"/>
      <c r="N137" s="423"/>
      <c r="O137" s="423"/>
      <c r="P137" s="423"/>
      <c r="Q137" s="423"/>
      <c r="R137" s="218"/>
      <c r="S137" s="218"/>
      <c r="T137" s="213">
        <v>47.44</v>
      </c>
      <c r="U137" s="211"/>
      <c r="V137" s="273"/>
      <c r="W137" s="206">
        <f>ROUND(ROUND(T137, 2)*I137, 2)</f>
        <v>45.26</v>
      </c>
    </row>
    <row r="138" spans="1:25" ht="70.05" hidden="1" customHeight="1" x14ac:dyDescent="0.4">
      <c r="A138" s="121" t="s">
        <v>627</v>
      </c>
      <c r="B138" s="121"/>
      <c r="C138" s="130" t="s">
        <v>628</v>
      </c>
      <c r="D138" s="123"/>
      <c r="E138" s="123" t="s">
        <v>629</v>
      </c>
      <c r="F138" s="124" t="s">
        <v>64</v>
      </c>
      <c r="G138" s="126">
        <v>0.11</v>
      </c>
      <c r="H138" s="189"/>
      <c r="I138" s="229">
        <v>2.6219999999999999</v>
      </c>
      <c r="J138" s="329"/>
      <c r="K138" s="257"/>
      <c r="L138" s="280"/>
      <c r="M138" s="401"/>
      <c r="N138" s="423"/>
      <c r="O138" s="423"/>
      <c r="P138" s="423"/>
      <c r="Q138" s="423"/>
      <c r="R138" s="218"/>
      <c r="S138" s="218"/>
      <c r="T138" s="213">
        <v>447.41</v>
      </c>
      <c r="U138" s="211"/>
      <c r="V138" s="273"/>
      <c r="W138" s="206">
        <f>ROUND(ROUND(T138, 2)*I138, 2)</f>
        <v>1173.1099999999999</v>
      </c>
    </row>
    <row r="139" spans="1:25" ht="76.05" hidden="1" customHeight="1" x14ac:dyDescent="0.4">
      <c r="A139" s="121" t="s">
        <v>633</v>
      </c>
      <c r="B139" s="121"/>
      <c r="C139" s="130" t="s">
        <v>601</v>
      </c>
      <c r="D139" s="123"/>
      <c r="E139" s="123" t="s">
        <v>402</v>
      </c>
      <c r="F139" s="124" t="s">
        <v>70</v>
      </c>
      <c r="G139" s="126">
        <v>0.7</v>
      </c>
      <c r="H139" s="189"/>
      <c r="I139" s="229">
        <v>16.687999999999999</v>
      </c>
      <c r="J139" s="329"/>
      <c r="K139" s="257"/>
      <c r="L139" s="280"/>
      <c r="M139" s="401"/>
      <c r="N139" s="423"/>
      <c r="O139" s="423"/>
      <c r="P139" s="423"/>
      <c r="Q139" s="423"/>
      <c r="R139" s="218"/>
      <c r="S139" s="218"/>
      <c r="T139" s="213">
        <v>16.11</v>
      </c>
      <c r="U139" s="211"/>
      <c r="V139" s="273"/>
      <c r="W139" s="206">
        <f>ROUND(ROUND(T139, 2)*I139, 2)</f>
        <v>268.83999999999997</v>
      </c>
    </row>
    <row r="140" spans="1:25" ht="37.049999999999997" customHeight="1" x14ac:dyDescent="0.3">
      <c r="A140" s="74" t="s">
        <v>636</v>
      </c>
      <c r="B140" s="74" t="s">
        <v>596</v>
      </c>
      <c r="C140" s="75" t="s">
        <v>597</v>
      </c>
      <c r="D140" s="76"/>
      <c r="E140" s="76" t="s">
        <v>507</v>
      </c>
      <c r="F140" s="76" t="s">
        <v>87</v>
      </c>
      <c r="G140" s="77">
        <v>1</v>
      </c>
      <c r="H140" s="177"/>
      <c r="I140" s="228">
        <v>216.92</v>
      </c>
      <c r="J140" s="322"/>
      <c r="K140" s="258"/>
      <c r="L140" s="281"/>
      <c r="M140" s="221"/>
      <c r="N140" s="422"/>
      <c r="O140" s="422"/>
      <c r="P140" s="422"/>
      <c r="Q140" s="422"/>
      <c r="R140" s="220"/>
      <c r="S140" s="221"/>
      <c r="T140" s="212">
        <f>IFERROR(ROUND(SUM(W141,W142,W143,W144)/I140, 2),0)</f>
        <v>375.15</v>
      </c>
      <c r="U140" s="202">
        <v>473</v>
      </c>
      <c r="V140" s="274">
        <f>T140+ROUND(U140, 2)</f>
        <v>848.15</v>
      </c>
      <c r="W140" s="182">
        <f>ROUND(T140*I140, 2)</f>
        <v>81377.539999999994</v>
      </c>
      <c r="X140" s="14">
        <f>ROUND(I140*ROUND(U140, 2), 2)</f>
        <v>102603.16</v>
      </c>
      <c r="Y140" s="14">
        <f>W140+X140</f>
        <v>183980.7</v>
      </c>
    </row>
    <row r="141" spans="1:25" ht="69" hidden="1" customHeight="1" x14ac:dyDescent="0.4">
      <c r="A141" s="121" t="s">
        <v>637</v>
      </c>
      <c r="B141" s="121"/>
      <c r="C141" s="130" t="s">
        <v>601</v>
      </c>
      <c r="D141" s="123"/>
      <c r="E141" s="123" t="s">
        <v>638</v>
      </c>
      <c r="F141" s="124" t="s">
        <v>70</v>
      </c>
      <c r="G141" s="126">
        <v>0.7</v>
      </c>
      <c r="H141" s="189"/>
      <c r="I141" s="229">
        <v>151.84399999999999</v>
      </c>
      <c r="J141" s="329"/>
      <c r="K141" s="257"/>
      <c r="L141" s="280"/>
      <c r="M141" s="401"/>
      <c r="N141" s="423"/>
      <c r="O141" s="423"/>
      <c r="P141" s="423"/>
      <c r="Q141" s="423"/>
      <c r="R141" s="218"/>
      <c r="S141" s="218"/>
      <c r="T141" s="213">
        <v>16.11</v>
      </c>
      <c r="U141" s="211"/>
      <c r="V141" s="273"/>
      <c r="W141" s="206">
        <f>ROUND(ROUND(T141, 2)*I141, 2)</f>
        <v>2446.21</v>
      </c>
    </row>
    <row r="142" spans="1:25" ht="58.05" hidden="1" customHeight="1" x14ac:dyDescent="0.4">
      <c r="A142" s="121" t="s">
        <v>641</v>
      </c>
      <c r="B142" s="121"/>
      <c r="C142" s="122" t="s">
        <v>606</v>
      </c>
      <c r="D142" s="123"/>
      <c r="E142" s="123" t="s">
        <v>642</v>
      </c>
      <c r="F142" s="124" t="s">
        <v>116</v>
      </c>
      <c r="G142" s="126">
        <v>1.84</v>
      </c>
      <c r="H142" s="189"/>
      <c r="I142" s="229">
        <v>399.13299999999998</v>
      </c>
      <c r="J142" s="329"/>
      <c r="K142" s="257"/>
      <c r="L142" s="280"/>
      <c r="M142" s="401"/>
      <c r="N142" s="423"/>
      <c r="O142" s="423"/>
      <c r="P142" s="423"/>
      <c r="Q142" s="423"/>
      <c r="R142" s="218"/>
      <c r="S142" s="218"/>
      <c r="T142" s="213">
        <v>196</v>
      </c>
      <c r="U142" s="211"/>
      <c r="V142" s="273"/>
      <c r="W142" s="206">
        <f>ROUND(ROUND(T142, 2)*I142, 2)</f>
        <v>78230.070000000007</v>
      </c>
    </row>
    <row r="143" spans="1:25" ht="40.049999999999997" hidden="1" customHeight="1" x14ac:dyDescent="0.4">
      <c r="A143" s="121" t="s">
        <v>645</v>
      </c>
      <c r="B143" s="121"/>
      <c r="C143" s="122" t="s">
        <v>612</v>
      </c>
      <c r="D143" s="123"/>
      <c r="E143" s="123" t="s">
        <v>646</v>
      </c>
      <c r="F143" s="124" t="s">
        <v>70</v>
      </c>
      <c r="G143" s="126">
        <v>0.04</v>
      </c>
      <c r="H143" s="189"/>
      <c r="I143" s="229">
        <v>8.6769999999999996</v>
      </c>
      <c r="J143" s="329"/>
      <c r="K143" s="257"/>
      <c r="L143" s="280"/>
      <c r="M143" s="401"/>
      <c r="N143" s="423"/>
      <c r="O143" s="423"/>
      <c r="P143" s="423"/>
      <c r="Q143" s="423"/>
      <c r="R143" s="218"/>
      <c r="S143" s="218"/>
      <c r="T143" s="213">
        <v>47.44</v>
      </c>
      <c r="U143" s="211"/>
      <c r="V143" s="273"/>
      <c r="W143" s="206">
        <f>ROUND(ROUND(T143, 2)*I143, 2)</f>
        <v>411.64</v>
      </c>
    </row>
    <row r="144" spans="1:25" ht="22.8" hidden="1" x14ac:dyDescent="0.4">
      <c r="A144" s="121" t="s">
        <v>649</v>
      </c>
      <c r="B144" s="121"/>
      <c r="C144" s="122" t="s">
        <v>433</v>
      </c>
      <c r="D144" s="123"/>
      <c r="E144" s="123"/>
      <c r="F144" s="124" t="s">
        <v>70</v>
      </c>
      <c r="G144" s="126">
        <v>1.4999999999999999E-2</v>
      </c>
      <c r="H144" s="189"/>
      <c r="I144" s="229">
        <v>3.254</v>
      </c>
      <c r="J144" s="329"/>
      <c r="K144" s="257"/>
      <c r="L144" s="280"/>
      <c r="M144" s="401"/>
      <c r="N144" s="423"/>
      <c r="O144" s="423"/>
      <c r="P144" s="423"/>
      <c r="Q144" s="423"/>
      <c r="R144" s="218"/>
      <c r="S144" s="218"/>
      <c r="T144" s="213">
        <v>88.8</v>
      </c>
      <c r="U144" s="211"/>
      <c r="V144" s="273"/>
      <c r="W144" s="206">
        <f>ROUND(ROUND(T144, 2)*I144, 2)</f>
        <v>288.95999999999998</v>
      </c>
    </row>
    <row r="145" spans="1:25" ht="60.45" customHeight="1" x14ac:dyDescent="0.3">
      <c r="A145" s="74" t="s">
        <v>652</v>
      </c>
      <c r="B145" s="74" t="s">
        <v>653</v>
      </c>
      <c r="C145" s="75" t="s">
        <v>654</v>
      </c>
      <c r="D145" s="76"/>
      <c r="E145" s="76" t="s">
        <v>655</v>
      </c>
      <c r="F145" s="76" t="s">
        <v>64</v>
      </c>
      <c r="G145" s="77">
        <v>1</v>
      </c>
      <c r="H145" s="177"/>
      <c r="I145" s="228">
        <v>25.81</v>
      </c>
      <c r="J145" s="322"/>
      <c r="K145" s="258"/>
      <c r="L145" s="281"/>
      <c r="M145" s="221"/>
      <c r="N145" s="422"/>
      <c r="O145" s="422"/>
      <c r="P145" s="422"/>
      <c r="Q145" s="422"/>
      <c r="R145" s="220"/>
      <c r="S145" s="221"/>
      <c r="T145" s="212">
        <f>IFERROR(ROUND(SUM(W146,W147,W148,W149)/I145, 2),0)</f>
        <v>616.69000000000005</v>
      </c>
      <c r="U145" s="202">
        <v>1655</v>
      </c>
      <c r="V145" s="274">
        <f>T145+ROUND(U145, 2)</f>
        <v>2271.69</v>
      </c>
      <c r="W145" s="182">
        <f>ROUND(T145*I145, 2)</f>
        <v>15916.77</v>
      </c>
      <c r="X145" s="14">
        <f>ROUND(I145*ROUND(U145, 2), 2)</f>
        <v>42715.55</v>
      </c>
      <c r="Y145" s="14">
        <f>W145+X145</f>
        <v>58632.320000000007</v>
      </c>
    </row>
    <row r="146" spans="1:25" ht="60" hidden="1" customHeight="1" x14ac:dyDescent="0.4">
      <c r="A146" s="107" t="s">
        <v>658</v>
      </c>
      <c r="B146" s="107"/>
      <c r="C146" s="117" t="s">
        <v>401</v>
      </c>
      <c r="D146" s="109"/>
      <c r="E146" s="109" t="s">
        <v>402</v>
      </c>
      <c r="F146" s="110" t="s">
        <v>70</v>
      </c>
      <c r="G146" s="111">
        <v>7</v>
      </c>
      <c r="H146" s="187"/>
      <c r="I146" s="229">
        <v>180.67</v>
      </c>
      <c r="J146" s="329"/>
      <c r="K146" s="257"/>
      <c r="L146" s="280"/>
      <c r="M146" s="401"/>
      <c r="N146" s="423"/>
      <c r="O146" s="423"/>
      <c r="P146" s="423"/>
      <c r="Q146" s="423"/>
      <c r="R146" s="218"/>
      <c r="S146" s="218"/>
      <c r="T146" s="213">
        <v>16.11</v>
      </c>
      <c r="U146" s="211"/>
      <c r="V146" s="273"/>
      <c r="W146" s="206">
        <f>ROUND(ROUND(T146, 2)*I146, 2)</f>
        <v>2910.59</v>
      </c>
    </row>
    <row r="147" spans="1:25" ht="55.95" hidden="1" customHeight="1" x14ac:dyDescent="0.4">
      <c r="A147" s="107" t="s">
        <v>661</v>
      </c>
      <c r="B147" s="107"/>
      <c r="C147" s="117" t="s">
        <v>628</v>
      </c>
      <c r="D147" s="109"/>
      <c r="E147" s="109" t="s">
        <v>662</v>
      </c>
      <c r="F147" s="110" t="s">
        <v>64</v>
      </c>
      <c r="G147" s="111">
        <v>1.07</v>
      </c>
      <c r="H147" s="187"/>
      <c r="I147" s="229">
        <v>27.617000000000001</v>
      </c>
      <c r="J147" s="329"/>
      <c r="K147" s="257"/>
      <c r="L147" s="280"/>
      <c r="M147" s="401"/>
      <c r="N147" s="423"/>
      <c r="O147" s="423"/>
      <c r="P147" s="423"/>
      <c r="Q147" s="423"/>
      <c r="R147" s="218"/>
      <c r="S147" s="218"/>
      <c r="T147" s="213">
        <v>447.41</v>
      </c>
      <c r="U147" s="211"/>
      <c r="V147" s="273"/>
      <c r="W147" s="206">
        <f>ROUND(ROUND(T147, 2)*I147, 2)</f>
        <v>12356.12</v>
      </c>
    </row>
    <row r="148" spans="1:25" ht="22.8" hidden="1" x14ac:dyDescent="0.4">
      <c r="A148" s="107" t="s">
        <v>665</v>
      </c>
      <c r="B148" s="107"/>
      <c r="C148" s="108" t="s">
        <v>612</v>
      </c>
      <c r="D148" s="109"/>
      <c r="E148" s="109"/>
      <c r="F148" s="110" t="s">
        <v>70</v>
      </c>
      <c r="G148" s="111">
        <v>0.25</v>
      </c>
      <c r="H148" s="187"/>
      <c r="I148" s="229">
        <v>6.4530000000000003</v>
      </c>
      <c r="J148" s="329"/>
      <c r="K148" s="257"/>
      <c r="L148" s="280"/>
      <c r="M148" s="401"/>
      <c r="N148" s="423"/>
      <c r="O148" s="423"/>
      <c r="P148" s="423"/>
      <c r="Q148" s="423"/>
      <c r="R148" s="218"/>
      <c r="S148" s="218"/>
      <c r="T148" s="213">
        <v>47.44</v>
      </c>
      <c r="U148" s="211"/>
      <c r="V148" s="273"/>
      <c r="W148" s="206">
        <f>ROUND(ROUND(T148, 2)*I148, 2)</f>
        <v>306.13</v>
      </c>
    </row>
    <row r="149" spans="1:25" ht="22.8" hidden="1" x14ac:dyDescent="0.4">
      <c r="A149" s="107" t="s">
        <v>668</v>
      </c>
      <c r="B149" s="107"/>
      <c r="C149" s="108" t="s">
        <v>433</v>
      </c>
      <c r="D149" s="109"/>
      <c r="E149" s="109"/>
      <c r="F149" s="110" t="s">
        <v>70</v>
      </c>
      <c r="G149" s="111">
        <v>0.15</v>
      </c>
      <c r="H149" s="187"/>
      <c r="I149" s="229">
        <v>3.8719999999999999</v>
      </c>
      <c r="J149" s="329"/>
      <c r="K149" s="257"/>
      <c r="L149" s="280"/>
      <c r="M149" s="401"/>
      <c r="N149" s="423"/>
      <c r="O149" s="423"/>
      <c r="P149" s="423"/>
      <c r="Q149" s="423"/>
      <c r="R149" s="218"/>
      <c r="S149" s="218"/>
      <c r="T149" s="213">
        <v>88.8</v>
      </c>
      <c r="U149" s="211"/>
      <c r="V149" s="273"/>
      <c r="W149" s="206">
        <f>ROUND(ROUND(T149, 2)*I149, 2)</f>
        <v>343.83</v>
      </c>
    </row>
    <row r="150" spans="1:25" ht="67.5" customHeight="1" x14ac:dyDescent="0.3">
      <c r="A150" s="103" t="s">
        <v>671</v>
      </c>
      <c r="B150" s="103" t="s">
        <v>653</v>
      </c>
      <c r="C150" s="104" t="s">
        <v>654</v>
      </c>
      <c r="D150" s="105"/>
      <c r="E150" s="105" t="s">
        <v>672</v>
      </c>
      <c r="F150" s="105" t="s">
        <v>64</v>
      </c>
      <c r="G150" s="106">
        <v>1</v>
      </c>
      <c r="H150" s="186"/>
      <c r="I150" s="228">
        <v>46.37</v>
      </c>
      <c r="J150" s="322"/>
      <c r="K150" s="258"/>
      <c r="L150" s="281"/>
      <c r="M150" s="221"/>
      <c r="N150" s="422"/>
      <c r="O150" s="422"/>
      <c r="P150" s="422"/>
      <c r="Q150" s="422"/>
      <c r="R150" s="220"/>
      <c r="S150" s="221"/>
      <c r="T150" s="212">
        <f>IFERROR(ROUND(SUM(W151,W152,W153,W154)/I150, 2),0)</f>
        <v>616.67999999999995</v>
      </c>
      <c r="U150" s="202">
        <v>1655</v>
      </c>
      <c r="V150" s="274">
        <f>T150+ROUND(U150, 2)</f>
        <v>2271.6799999999998</v>
      </c>
      <c r="W150" s="182">
        <f>ROUND(T150*I150, 2)</f>
        <v>28595.45</v>
      </c>
      <c r="X150" s="14">
        <f>ROUND(I150*ROUND(U150, 2), 2)</f>
        <v>76742.350000000006</v>
      </c>
      <c r="Y150" s="14">
        <f>W150+X150</f>
        <v>105337.8</v>
      </c>
    </row>
    <row r="151" spans="1:25" ht="22.8" hidden="1" x14ac:dyDescent="0.4">
      <c r="A151" s="91" t="s">
        <v>673</v>
      </c>
      <c r="B151" s="91"/>
      <c r="C151" s="92" t="s">
        <v>433</v>
      </c>
      <c r="D151" s="93"/>
      <c r="E151" s="93"/>
      <c r="F151" s="94" t="s">
        <v>70</v>
      </c>
      <c r="G151" s="95">
        <v>0.15</v>
      </c>
      <c r="H151" s="180"/>
      <c r="I151" s="229">
        <v>6.9560000000000004</v>
      </c>
      <c r="J151" s="329"/>
      <c r="K151" s="257"/>
      <c r="L151" s="280"/>
      <c r="M151" s="401"/>
      <c r="N151" s="423"/>
      <c r="O151" s="423"/>
      <c r="P151" s="423"/>
      <c r="Q151" s="423"/>
      <c r="R151" s="218"/>
      <c r="S151" s="218"/>
      <c r="T151" s="213">
        <v>88.8</v>
      </c>
      <c r="U151" s="211"/>
      <c r="V151" s="273"/>
      <c r="W151" s="206">
        <f>ROUND(ROUND(T151, 2)*I151, 2)</f>
        <v>617.69000000000005</v>
      </c>
    </row>
    <row r="152" spans="1:25" ht="22.8" hidden="1" x14ac:dyDescent="0.4">
      <c r="A152" s="91" t="s">
        <v>676</v>
      </c>
      <c r="B152" s="91"/>
      <c r="C152" s="92" t="s">
        <v>612</v>
      </c>
      <c r="D152" s="93"/>
      <c r="E152" s="93"/>
      <c r="F152" s="94" t="s">
        <v>70</v>
      </c>
      <c r="G152" s="95">
        <v>0.25</v>
      </c>
      <c r="H152" s="180"/>
      <c r="I152" s="229">
        <v>11.593</v>
      </c>
      <c r="J152" s="329"/>
      <c r="K152" s="257"/>
      <c r="L152" s="280"/>
      <c r="M152" s="401"/>
      <c r="N152" s="423"/>
      <c r="O152" s="423"/>
      <c r="P152" s="423"/>
      <c r="Q152" s="423"/>
      <c r="R152" s="218"/>
      <c r="S152" s="218"/>
      <c r="T152" s="213">
        <v>47.44</v>
      </c>
      <c r="U152" s="211"/>
      <c r="V152" s="273"/>
      <c r="W152" s="206">
        <f>ROUND(ROUND(T152, 2)*I152, 2)</f>
        <v>549.97</v>
      </c>
    </row>
    <row r="153" spans="1:25" ht="36" hidden="1" x14ac:dyDescent="0.4">
      <c r="A153" s="91" t="s">
        <v>679</v>
      </c>
      <c r="B153" s="91"/>
      <c r="C153" s="96" t="s">
        <v>628</v>
      </c>
      <c r="D153" s="93"/>
      <c r="E153" s="93" t="s">
        <v>680</v>
      </c>
      <c r="F153" s="94" t="s">
        <v>64</v>
      </c>
      <c r="G153" s="95">
        <v>1.07</v>
      </c>
      <c r="H153" s="180"/>
      <c r="I153" s="229">
        <v>49.616</v>
      </c>
      <c r="J153" s="329"/>
      <c r="K153" s="257"/>
      <c r="L153" s="280"/>
      <c r="M153" s="401"/>
      <c r="N153" s="423"/>
      <c r="O153" s="423"/>
      <c r="P153" s="423"/>
      <c r="Q153" s="423"/>
      <c r="R153" s="218"/>
      <c r="S153" s="218"/>
      <c r="T153" s="213">
        <v>447.41</v>
      </c>
      <c r="U153" s="211"/>
      <c r="V153" s="273"/>
      <c r="W153" s="206">
        <f>ROUND(ROUND(T153, 2)*I153, 2)</f>
        <v>22198.69</v>
      </c>
    </row>
    <row r="154" spans="1:25" ht="36" hidden="1" x14ac:dyDescent="0.4">
      <c r="A154" s="91" t="s">
        <v>683</v>
      </c>
      <c r="B154" s="91"/>
      <c r="C154" s="96" t="s">
        <v>401</v>
      </c>
      <c r="D154" s="93"/>
      <c r="E154" s="93" t="s">
        <v>402</v>
      </c>
      <c r="F154" s="94" t="s">
        <v>70</v>
      </c>
      <c r="G154" s="95">
        <v>7</v>
      </c>
      <c r="H154" s="180"/>
      <c r="I154" s="229">
        <v>324.58999999999997</v>
      </c>
      <c r="J154" s="329"/>
      <c r="K154" s="257"/>
      <c r="L154" s="280"/>
      <c r="M154" s="401"/>
      <c r="N154" s="423"/>
      <c r="O154" s="423"/>
      <c r="P154" s="423"/>
      <c r="Q154" s="423"/>
      <c r="R154" s="218"/>
      <c r="S154" s="218"/>
      <c r="T154" s="213">
        <v>16.11</v>
      </c>
      <c r="U154" s="211"/>
      <c r="V154" s="273"/>
      <c r="W154" s="206">
        <f>ROUND(ROUND(T154, 2)*I154, 2)</f>
        <v>5229.1400000000003</v>
      </c>
    </row>
    <row r="155" spans="1:25" ht="57.45" customHeight="1" x14ac:dyDescent="0.3">
      <c r="A155" s="74" t="s">
        <v>686</v>
      </c>
      <c r="B155" s="74" t="s">
        <v>687</v>
      </c>
      <c r="C155" s="75" t="s">
        <v>688</v>
      </c>
      <c r="D155" s="76"/>
      <c r="E155" s="76" t="s">
        <v>689</v>
      </c>
      <c r="F155" s="76" t="s">
        <v>64</v>
      </c>
      <c r="G155" s="77">
        <v>1</v>
      </c>
      <c r="H155" s="177"/>
      <c r="I155" s="228">
        <v>335.84</v>
      </c>
      <c r="J155" s="322"/>
      <c r="K155" s="258"/>
      <c r="L155" s="281"/>
      <c r="M155" s="221"/>
      <c r="N155" s="422"/>
      <c r="O155" s="422"/>
      <c r="P155" s="422"/>
      <c r="Q155" s="422"/>
      <c r="R155" s="220"/>
      <c r="S155" s="221"/>
      <c r="T155" s="212">
        <f>IFERROR(ROUND(SUM(W156,W157,W158,W159)/I155, 2),0)</f>
        <v>1530.85</v>
      </c>
      <c r="U155" s="202">
        <v>2785</v>
      </c>
      <c r="V155" s="274">
        <f>T155+ROUND(U155, 2)</f>
        <v>4315.8500000000004</v>
      </c>
      <c r="W155" s="182">
        <f>ROUND(T155*I155, 2)</f>
        <v>514120.66</v>
      </c>
      <c r="X155" s="14">
        <f>ROUND(I155*ROUND(U155, 2), 2)</f>
        <v>935314.4</v>
      </c>
      <c r="Y155" s="14">
        <f>W155+X155</f>
        <v>1449435.06</v>
      </c>
    </row>
    <row r="156" spans="1:25" ht="62.55" hidden="1" customHeight="1" x14ac:dyDescent="0.4">
      <c r="A156" s="91" t="s">
        <v>692</v>
      </c>
      <c r="B156" s="91"/>
      <c r="C156" s="96" t="s">
        <v>693</v>
      </c>
      <c r="D156" s="93"/>
      <c r="E156" s="93" t="s">
        <v>402</v>
      </c>
      <c r="F156" s="94" t="s">
        <v>70</v>
      </c>
      <c r="G156" s="95">
        <v>1.2</v>
      </c>
      <c r="H156" s="180"/>
      <c r="I156" s="229">
        <v>806.01599999999996</v>
      </c>
      <c r="J156" s="329"/>
      <c r="K156" s="257"/>
      <c r="L156" s="280"/>
      <c r="M156" s="401"/>
      <c r="N156" s="423"/>
      <c r="O156" s="423"/>
      <c r="P156" s="423"/>
      <c r="Q156" s="423"/>
      <c r="R156" s="218"/>
      <c r="S156" s="218"/>
      <c r="T156" s="213">
        <v>16.11</v>
      </c>
      <c r="U156" s="211"/>
      <c r="V156" s="273"/>
      <c r="W156" s="206">
        <f>ROUND(ROUND(T156, 2)*I156, 2)</f>
        <v>12984.92</v>
      </c>
    </row>
    <row r="157" spans="1:25" ht="79.05" hidden="1" customHeight="1" x14ac:dyDescent="0.4">
      <c r="A157" s="91" t="s">
        <v>697</v>
      </c>
      <c r="B157" s="91"/>
      <c r="C157" s="92" t="s">
        <v>698</v>
      </c>
      <c r="D157" s="93"/>
      <c r="E157" s="93" t="s">
        <v>699</v>
      </c>
      <c r="F157" s="94" t="s">
        <v>64</v>
      </c>
      <c r="G157" s="95">
        <v>1.2</v>
      </c>
      <c r="H157" s="180"/>
      <c r="I157" s="229">
        <v>403.00799999999998</v>
      </c>
      <c r="J157" s="329"/>
      <c r="K157" s="257"/>
      <c r="L157" s="280"/>
      <c r="M157" s="401"/>
      <c r="N157" s="423"/>
      <c r="O157" s="423"/>
      <c r="P157" s="423"/>
      <c r="Q157" s="423"/>
      <c r="R157" s="218"/>
      <c r="S157" s="218"/>
      <c r="T157" s="213">
        <v>1224</v>
      </c>
      <c r="U157" s="211"/>
      <c r="V157" s="273"/>
      <c r="W157" s="206">
        <f>ROUND(ROUND(T157, 2)*I157, 2)</f>
        <v>493281.79</v>
      </c>
    </row>
    <row r="158" spans="1:25" ht="22.8" hidden="1" x14ac:dyDescent="0.4">
      <c r="A158" s="91" t="s">
        <v>703</v>
      </c>
      <c r="B158" s="91"/>
      <c r="C158" s="92" t="s">
        <v>426</v>
      </c>
      <c r="D158" s="93"/>
      <c r="E158" s="93"/>
      <c r="F158" s="94" t="s">
        <v>70</v>
      </c>
      <c r="G158" s="95">
        <v>0.25</v>
      </c>
      <c r="H158" s="180"/>
      <c r="I158" s="229">
        <v>83.96</v>
      </c>
      <c r="J158" s="329"/>
      <c r="K158" s="257"/>
      <c r="L158" s="280"/>
      <c r="M158" s="401"/>
      <c r="N158" s="423"/>
      <c r="O158" s="423"/>
      <c r="P158" s="423"/>
      <c r="Q158" s="423"/>
      <c r="R158" s="218"/>
      <c r="S158" s="218"/>
      <c r="T158" s="213">
        <v>40.270000000000003</v>
      </c>
      <c r="U158" s="211"/>
      <c r="V158" s="273"/>
      <c r="W158" s="206">
        <f>ROUND(ROUND(T158, 2)*I158, 2)</f>
        <v>3381.07</v>
      </c>
    </row>
    <row r="159" spans="1:25" ht="22.8" hidden="1" x14ac:dyDescent="0.4">
      <c r="A159" s="91" t="s">
        <v>706</v>
      </c>
      <c r="B159" s="91"/>
      <c r="C159" s="92" t="s">
        <v>433</v>
      </c>
      <c r="D159" s="93"/>
      <c r="E159" s="93"/>
      <c r="F159" s="94" t="s">
        <v>70</v>
      </c>
      <c r="G159" s="95">
        <v>0.15</v>
      </c>
      <c r="H159" s="180"/>
      <c r="I159" s="229">
        <v>50.375999999999998</v>
      </c>
      <c r="J159" s="329"/>
      <c r="K159" s="257"/>
      <c r="L159" s="280"/>
      <c r="M159" s="401"/>
      <c r="N159" s="423"/>
      <c r="O159" s="423"/>
      <c r="P159" s="423"/>
      <c r="Q159" s="423"/>
      <c r="R159" s="218"/>
      <c r="S159" s="218"/>
      <c r="T159" s="213">
        <v>88.8</v>
      </c>
      <c r="U159" s="211"/>
      <c r="V159" s="273"/>
      <c r="W159" s="206">
        <f>ROUND(ROUND(T159, 2)*I159, 2)</f>
        <v>4473.3900000000003</v>
      </c>
    </row>
    <row r="160" spans="1:25" ht="60.45" customHeight="1" x14ac:dyDescent="0.3">
      <c r="A160" s="74" t="s">
        <v>709</v>
      </c>
      <c r="B160" s="74" t="s">
        <v>687</v>
      </c>
      <c r="C160" s="75" t="s">
        <v>688</v>
      </c>
      <c r="D160" s="76"/>
      <c r="E160" s="76" t="s">
        <v>710</v>
      </c>
      <c r="F160" s="76" t="s">
        <v>64</v>
      </c>
      <c r="G160" s="77">
        <v>1</v>
      </c>
      <c r="H160" s="177"/>
      <c r="I160" s="228">
        <v>551.70000000000005</v>
      </c>
      <c r="J160" s="322"/>
      <c r="K160" s="258"/>
      <c r="L160" s="281"/>
      <c r="M160" s="221"/>
      <c r="N160" s="422"/>
      <c r="O160" s="422"/>
      <c r="P160" s="422"/>
      <c r="Q160" s="422"/>
      <c r="R160" s="220"/>
      <c r="S160" s="221"/>
      <c r="T160" s="212">
        <f>IFERROR(ROUND(SUM(W161,W162,W163,W164)/I160, 2),0)</f>
        <v>1530.85</v>
      </c>
      <c r="U160" s="202">
        <v>2785</v>
      </c>
      <c r="V160" s="274">
        <f>T160+ROUND(U160, 2)</f>
        <v>4315.8500000000004</v>
      </c>
      <c r="W160" s="182">
        <f>ROUND(T160*I160, 2)</f>
        <v>844569.95</v>
      </c>
      <c r="X160" s="14">
        <f>ROUND(I160*ROUND(U160, 2), 2)</f>
        <v>1536484.5</v>
      </c>
      <c r="Y160" s="14">
        <f>W160+X160</f>
        <v>2381054.4500000002</v>
      </c>
    </row>
    <row r="161" spans="1:25" ht="22.8" hidden="1" x14ac:dyDescent="0.4">
      <c r="A161" s="91" t="s">
        <v>711</v>
      </c>
      <c r="B161" s="91"/>
      <c r="C161" s="92" t="s">
        <v>433</v>
      </c>
      <c r="D161" s="93"/>
      <c r="E161" s="93"/>
      <c r="F161" s="94" t="s">
        <v>70</v>
      </c>
      <c r="G161" s="95">
        <v>0.15</v>
      </c>
      <c r="H161" s="180"/>
      <c r="I161" s="229">
        <v>82.754999999999995</v>
      </c>
      <c r="J161" s="329"/>
      <c r="K161" s="257"/>
      <c r="L161" s="280"/>
      <c r="M161" s="401"/>
      <c r="N161" s="423"/>
      <c r="O161" s="423"/>
      <c r="P161" s="423"/>
      <c r="Q161" s="423"/>
      <c r="R161" s="218"/>
      <c r="S161" s="218"/>
      <c r="T161" s="213">
        <v>88.8</v>
      </c>
      <c r="U161" s="211"/>
      <c r="V161" s="273"/>
      <c r="W161" s="206">
        <f>ROUND(ROUND(T161, 2)*I161, 2)</f>
        <v>7348.64</v>
      </c>
    </row>
    <row r="162" spans="1:25" ht="22.8" hidden="1" x14ac:dyDescent="0.4">
      <c r="A162" s="91" t="s">
        <v>714</v>
      </c>
      <c r="B162" s="91"/>
      <c r="C162" s="92" t="s">
        <v>426</v>
      </c>
      <c r="D162" s="93"/>
      <c r="E162" s="93"/>
      <c r="F162" s="94" t="s">
        <v>70</v>
      </c>
      <c r="G162" s="95">
        <v>0.25</v>
      </c>
      <c r="H162" s="180"/>
      <c r="I162" s="229">
        <v>137.92500000000001</v>
      </c>
      <c r="J162" s="329"/>
      <c r="K162" s="257"/>
      <c r="L162" s="280"/>
      <c r="M162" s="401"/>
      <c r="N162" s="423"/>
      <c r="O162" s="423"/>
      <c r="P162" s="423"/>
      <c r="Q162" s="423"/>
      <c r="R162" s="218"/>
      <c r="S162" s="218"/>
      <c r="T162" s="213">
        <v>40.270000000000003</v>
      </c>
      <c r="U162" s="211"/>
      <c r="V162" s="273"/>
      <c r="W162" s="206">
        <f>ROUND(ROUND(T162, 2)*I162, 2)</f>
        <v>5554.24</v>
      </c>
    </row>
    <row r="163" spans="1:25" ht="73.95" hidden="1" customHeight="1" x14ac:dyDescent="0.4">
      <c r="A163" s="91" t="s">
        <v>717</v>
      </c>
      <c r="B163" s="91"/>
      <c r="C163" s="92" t="s">
        <v>698</v>
      </c>
      <c r="D163" s="93"/>
      <c r="E163" s="93" t="s">
        <v>699</v>
      </c>
      <c r="F163" s="94" t="s">
        <v>64</v>
      </c>
      <c r="G163" s="95">
        <v>1.2</v>
      </c>
      <c r="H163" s="180"/>
      <c r="I163" s="229">
        <v>662.04</v>
      </c>
      <c r="J163" s="329"/>
      <c r="K163" s="257"/>
      <c r="L163" s="280"/>
      <c r="M163" s="401"/>
      <c r="N163" s="423"/>
      <c r="O163" s="423"/>
      <c r="P163" s="423"/>
      <c r="Q163" s="423"/>
      <c r="R163" s="218"/>
      <c r="S163" s="218"/>
      <c r="T163" s="213">
        <v>1224</v>
      </c>
      <c r="U163" s="211"/>
      <c r="V163" s="273"/>
      <c r="W163" s="206">
        <f>ROUND(ROUND(T163, 2)*I163, 2)</f>
        <v>810336.96</v>
      </c>
    </row>
    <row r="164" spans="1:25" ht="66.45" hidden="1" customHeight="1" x14ac:dyDescent="0.4">
      <c r="A164" s="91" t="s">
        <v>720</v>
      </c>
      <c r="B164" s="91"/>
      <c r="C164" s="96" t="s">
        <v>693</v>
      </c>
      <c r="D164" s="93"/>
      <c r="E164" s="93" t="s">
        <v>402</v>
      </c>
      <c r="F164" s="94" t="s">
        <v>70</v>
      </c>
      <c r="G164" s="95">
        <v>1.2</v>
      </c>
      <c r="H164" s="180"/>
      <c r="I164" s="229">
        <v>1324.08</v>
      </c>
      <c r="J164" s="329"/>
      <c r="K164" s="257"/>
      <c r="L164" s="280"/>
      <c r="M164" s="401"/>
      <c r="N164" s="423"/>
      <c r="O164" s="423"/>
      <c r="P164" s="423"/>
      <c r="Q164" s="423"/>
      <c r="R164" s="218"/>
      <c r="S164" s="218"/>
      <c r="T164" s="213">
        <v>16.11</v>
      </c>
      <c r="U164" s="211"/>
      <c r="V164" s="273"/>
      <c r="W164" s="206">
        <f>ROUND(ROUND(T164, 2)*I164, 2)</f>
        <v>21330.93</v>
      </c>
    </row>
    <row r="165" spans="1:25" ht="29.55" customHeight="1" x14ac:dyDescent="0.45">
      <c r="A165" s="299" t="s">
        <v>723</v>
      </c>
      <c r="B165" s="299" t="s">
        <v>724</v>
      </c>
      <c r="C165" s="300" t="s">
        <v>725</v>
      </c>
      <c r="D165" s="301"/>
      <c r="E165" s="301"/>
      <c r="F165" s="301"/>
      <c r="G165" s="301"/>
      <c r="H165" s="301"/>
      <c r="I165" s="223"/>
      <c r="J165" s="324"/>
      <c r="K165" s="257"/>
      <c r="L165" s="280"/>
      <c r="M165" s="407"/>
      <c r="N165" s="421"/>
      <c r="O165" s="421"/>
      <c r="P165" s="421"/>
      <c r="Q165" s="421"/>
      <c r="R165" s="361"/>
      <c r="S165" s="359"/>
      <c r="T165" s="210"/>
      <c r="U165" s="211"/>
      <c r="V165" s="273"/>
      <c r="W165" s="205">
        <f>SUM(W166,W235,W416,W491)</f>
        <v>13087191.26</v>
      </c>
      <c r="X165" s="6">
        <f>SUM(X166,X235,X416,X491)</f>
        <v>48390099.619999997</v>
      </c>
      <c r="Y165" s="6">
        <f>SUM(Y166,Y235,Y416,Y491)</f>
        <v>61477290.880000003</v>
      </c>
    </row>
    <row r="166" spans="1:25" ht="25.95" customHeight="1" x14ac:dyDescent="0.45">
      <c r="A166" s="299" t="s">
        <v>726</v>
      </c>
      <c r="B166" s="299" t="s">
        <v>727</v>
      </c>
      <c r="C166" s="300" t="s">
        <v>728</v>
      </c>
      <c r="D166" s="301"/>
      <c r="E166" s="301"/>
      <c r="F166" s="301"/>
      <c r="G166" s="301"/>
      <c r="H166" s="301"/>
      <c r="I166" s="223"/>
      <c r="J166" s="324"/>
      <c r="K166" s="257"/>
      <c r="L166" s="280"/>
      <c r="M166" s="408"/>
      <c r="N166" s="421"/>
      <c r="O166" s="421"/>
      <c r="P166" s="421"/>
      <c r="Q166" s="421"/>
      <c r="R166" s="362"/>
      <c r="S166" s="360"/>
      <c r="T166" s="210"/>
      <c r="U166" s="211"/>
      <c r="V166" s="273"/>
      <c r="W166" s="205">
        <f>SUM(W167,W170,W174,W179,W182,W185,W188,W191,W194,W199,W204,W209,W214,W219,W223,W227,W231)</f>
        <v>6483565.0299999993</v>
      </c>
      <c r="X166" s="6">
        <f>SUM(X167,X170,X174,X179,X182,X185,X188,X191,X194,X199,X204,X209,X214,X219,X223,X227,X231)</f>
        <v>34198555.399999999</v>
      </c>
      <c r="Y166" s="6">
        <f>SUM(Y167,Y170,Y174,Y179,Y182,Y185,Y188,Y191,Y194,Y199,Y204,Y209,Y214,Y219,Y223,Y227,Y231)</f>
        <v>40682120.43</v>
      </c>
    </row>
    <row r="167" spans="1:25" ht="61.5" customHeight="1" x14ac:dyDescent="0.3">
      <c r="A167" s="74" t="s">
        <v>729</v>
      </c>
      <c r="B167" s="74" t="s">
        <v>730</v>
      </c>
      <c r="C167" s="75" t="s">
        <v>731</v>
      </c>
      <c r="D167" s="76"/>
      <c r="E167" s="76" t="s">
        <v>732</v>
      </c>
      <c r="F167" s="76" t="s">
        <v>87</v>
      </c>
      <c r="G167" s="77">
        <v>1</v>
      </c>
      <c r="H167" s="177"/>
      <c r="I167" s="228">
        <v>3479</v>
      </c>
      <c r="J167" s="330">
        <f>I167-K167</f>
        <v>610.65000000000009</v>
      </c>
      <c r="K167" s="302">
        <f>L167</f>
        <v>2868.35</v>
      </c>
      <c r="L167" s="291">
        <f>797.27+1102+969.08</f>
        <v>2868.35</v>
      </c>
      <c r="M167" s="409">
        <f>L167*V167</f>
        <v>112783.522</v>
      </c>
      <c r="N167" s="430">
        <v>239.76</v>
      </c>
      <c r="O167" s="430"/>
      <c r="P167" s="430"/>
      <c r="Q167" s="430"/>
      <c r="R167" s="220">
        <f>-170.6+J167-239</f>
        <v>201.05000000000007</v>
      </c>
      <c r="S167" s="221"/>
      <c r="T167" s="212">
        <f>IFERROR(ROUND(SUM(W168,W169)/I167, 2),0)</f>
        <v>11.32</v>
      </c>
      <c r="U167" s="202">
        <v>28</v>
      </c>
      <c r="V167" s="274">
        <f>T167+ROUND(U167, 2)</f>
        <v>39.32</v>
      </c>
      <c r="W167" s="182">
        <f>ROUND(T167*I167, 2)</f>
        <v>39382.28</v>
      </c>
      <c r="X167" s="14">
        <f>ROUND(I167*ROUND(U167, 2), 2)</f>
        <v>97412</v>
      </c>
      <c r="Y167" s="14">
        <f>W167+X167</f>
        <v>136794.28</v>
      </c>
    </row>
    <row r="168" spans="1:25" ht="36" hidden="1" x14ac:dyDescent="0.4">
      <c r="A168" s="91" t="s">
        <v>735</v>
      </c>
      <c r="B168" s="91"/>
      <c r="C168" s="96" t="s">
        <v>736</v>
      </c>
      <c r="D168" s="93"/>
      <c r="E168" s="93"/>
      <c r="F168" s="94" t="s">
        <v>70</v>
      </c>
      <c r="G168" s="95">
        <v>0.3</v>
      </c>
      <c r="H168" s="180"/>
      <c r="I168" s="229">
        <v>1043.7</v>
      </c>
      <c r="J168" s="329"/>
      <c r="K168" s="257"/>
      <c r="L168" s="280"/>
      <c r="M168" s="401"/>
      <c r="N168" s="423"/>
      <c r="O168" s="423"/>
      <c r="P168" s="423"/>
      <c r="Q168" s="423"/>
      <c r="R168" s="218"/>
      <c r="S168" s="218"/>
      <c r="T168" s="213">
        <v>12.07</v>
      </c>
      <c r="U168" s="211"/>
      <c r="V168" s="273"/>
      <c r="W168" s="206">
        <f>ROUND(ROUND(T168, 2)*I168, 2)</f>
        <v>12597.46</v>
      </c>
    </row>
    <row r="169" spans="1:25" ht="22.8" hidden="1" x14ac:dyDescent="0.4">
      <c r="A169" s="91" t="s">
        <v>740</v>
      </c>
      <c r="B169" s="91"/>
      <c r="C169" s="92" t="s">
        <v>741</v>
      </c>
      <c r="D169" s="93"/>
      <c r="E169" s="93"/>
      <c r="F169" s="94" t="s">
        <v>87</v>
      </c>
      <c r="G169" s="95">
        <v>1.1000000000000001</v>
      </c>
      <c r="H169" s="180"/>
      <c r="I169" s="229">
        <v>3826.9</v>
      </c>
      <c r="J169" s="329"/>
      <c r="K169" s="257"/>
      <c r="L169" s="280"/>
      <c r="M169" s="401"/>
      <c r="N169" s="423"/>
      <c r="O169" s="423"/>
      <c r="P169" s="423"/>
      <c r="Q169" s="423"/>
      <c r="R169" s="218"/>
      <c r="S169" s="218"/>
      <c r="T169" s="213">
        <v>7</v>
      </c>
      <c r="U169" s="211"/>
      <c r="V169" s="273"/>
      <c r="W169" s="206">
        <f>ROUND(ROUND(T169, 2)*I169, 2)</f>
        <v>26788.3</v>
      </c>
    </row>
    <row r="170" spans="1:25" ht="54" hidden="1" x14ac:dyDescent="0.3">
      <c r="A170" s="91" t="s">
        <v>745</v>
      </c>
      <c r="B170" s="91" t="s">
        <v>746</v>
      </c>
      <c r="C170" s="97" t="s">
        <v>747</v>
      </c>
      <c r="D170" s="93"/>
      <c r="E170" s="93" t="s">
        <v>63</v>
      </c>
      <c r="F170" s="93" t="s">
        <v>64</v>
      </c>
      <c r="G170" s="98">
        <v>1</v>
      </c>
      <c r="H170" s="181"/>
      <c r="I170" s="231">
        <v>0</v>
      </c>
      <c r="J170" s="322"/>
      <c r="K170" s="258"/>
      <c r="L170" s="281"/>
      <c r="M170" s="221"/>
      <c r="N170" s="422"/>
      <c r="O170" s="422"/>
      <c r="P170" s="422"/>
      <c r="Q170" s="422"/>
      <c r="R170" s="220"/>
      <c r="S170" s="221"/>
      <c r="T170" s="212">
        <f>IFERROR(ROUND(SUM(W171,W172,W173)/I170, 2),0)</f>
        <v>0</v>
      </c>
      <c r="U170" s="202">
        <v>826</v>
      </c>
      <c r="V170" s="274">
        <f>T170+ROUND(U170, 2)</f>
        <v>826</v>
      </c>
      <c r="W170" s="182">
        <f>ROUND(T170*I170, 2)</f>
        <v>0</v>
      </c>
      <c r="X170" s="14">
        <f>ROUND(I170*ROUND(U170, 2), 2)</f>
        <v>0</v>
      </c>
      <c r="Y170" s="14">
        <f>W170+X170</f>
        <v>0</v>
      </c>
    </row>
    <row r="171" spans="1:25" ht="36" hidden="1" x14ac:dyDescent="0.4">
      <c r="A171" s="91" t="s">
        <v>751</v>
      </c>
      <c r="B171" s="91"/>
      <c r="C171" s="96" t="s">
        <v>752</v>
      </c>
      <c r="D171" s="93"/>
      <c r="E171" s="93" t="s">
        <v>753</v>
      </c>
      <c r="F171" s="94" t="s">
        <v>70</v>
      </c>
      <c r="G171" s="95">
        <v>1</v>
      </c>
      <c r="H171" s="180"/>
      <c r="I171" s="229">
        <v>0</v>
      </c>
      <c r="J171" s="329"/>
      <c r="K171" s="257"/>
      <c r="L171" s="280"/>
      <c r="M171" s="401"/>
      <c r="N171" s="423"/>
      <c r="O171" s="423"/>
      <c r="P171" s="423"/>
      <c r="Q171" s="423"/>
      <c r="R171" s="218"/>
      <c r="S171" s="218"/>
      <c r="T171" s="213">
        <v>7.59</v>
      </c>
      <c r="U171" s="211"/>
      <c r="V171" s="273"/>
      <c r="W171" s="206">
        <f>ROUND(ROUND(T171, 2)*I171, 2)</f>
        <v>0</v>
      </c>
    </row>
    <row r="172" spans="1:25" ht="22.8" hidden="1" x14ac:dyDescent="0.4">
      <c r="A172" s="91" t="s">
        <v>759</v>
      </c>
      <c r="B172" s="91"/>
      <c r="C172" s="92" t="s">
        <v>760</v>
      </c>
      <c r="D172" s="93"/>
      <c r="E172" s="93"/>
      <c r="F172" s="94" t="s">
        <v>70</v>
      </c>
      <c r="G172" s="95">
        <v>0.25</v>
      </c>
      <c r="H172" s="180"/>
      <c r="I172" s="229">
        <v>0</v>
      </c>
      <c r="J172" s="329"/>
      <c r="K172" s="257"/>
      <c r="L172" s="280"/>
      <c r="M172" s="401"/>
      <c r="N172" s="423"/>
      <c r="O172" s="423"/>
      <c r="P172" s="423"/>
      <c r="Q172" s="423"/>
      <c r="R172" s="218"/>
      <c r="S172" s="218"/>
      <c r="T172" s="213">
        <v>100</v>
      </c>
      <c r="U172" s="211"/>
      <c r="V172" s="273"/>
      <c r="W172" s="206">
        <f>ROUND(ROUND(T172, 2)*I172, 2)</f>
        <v>0</v>
      </c>
    </row>
    <row r="173" spans="1:25" ht="22.8" hidden="1" x14ac:dyDescent="0.4">
      <c r="A173" s="91" t="s">
        <v>766</v>
      </c>
      <c r="B173" s="91"/>
      <c r="C173" s="92" t="s">
        <v>767</v>
      </c>
      <c r="D173" s="93"/>
      <c r="E173" s="93"/>
      <c r="F173" s="94" t="s">
        <v>87</v>
      </c>
      <c r="G173" s="95">
        <v>1.05</v>
      </c>
      <c r="H173" s="180"/>
      <c r="I173" s="229">
        <v>0</v>
      </c>
      <c r="J173" s="329"/>
      <c r="K173" s="257"/>
      <c r="L173" s="280"/>
      <c r="M173" s="401"/>
      <c r="N173" s="423"/>
      <c r="O173" s="423"/>
      <c r="P173" s="423"/>
      <c r="Q173" s="423"/>
      <c r="R173" s="218"/>
      <c r="S173" s="218"/>
      <c r="T173" s="213">
        <v>15.76</v>
      </c>
      <c r="U173" s="211"/>
      <c r="V173" s="273"/>
      <c r="W173" s="206">
        <f>ROUND(ROUND(T173, 2)*I173, 2)</f>
        <v>0</v>
      </c>
    </row>
    <row r="174" spans="1:25" ht="36" hidden="1" x14ac:dyDescent="0.3">
      <c r="A174" s="91" t="s">
        <v>773</v>
      </c>
      <c r="B174" s="91" t="s">
        <v>774</v>
      </c>
      <c r="C174" s="97" t="s">
        <v>775</v>
      </c>
      <c r="D174" s="93"/>
      <c r="E174" s="93" t="s">
        <v>776</v>
      </c>
      <c r="F174" s="93" t="s">
        <v>64</v>
      </c>
      <c r="G174" s="98">
        <v>1</v>
      </c>
      <c r="H174" s="181"/>
      <c r="I174" s="231">
        <v>0</v>
      </c>
      <c r="J174" s="322"/>
      <c r="K174" s="258"/>
      <c r="L174" s="281"/>
      <c r="M174" s="221"/>
      <c r="N174" s="422"/>
      <c r="O174" s="422"/>
      <c r="P174" s="422"/>
      <c r="Q174" s="422"/>
      <c r="R174" s="220"/>
      <c r="S174" s="221"/>
      <c r="T174" s="212">
        <f>IFERROR(ROUND(SUM(W175,W176,W177,W178)/I174, 2),0)</f>
        <v>0</v>
      </c>
      <c r="U174" s="202">
        <v>329</v>
      </c>
      <c r="V174" s="274">
        <f>T174+ROUND(U174, 2)</f>
        <v>329</v>
      </c>
      <c r="W174" s="182">
        <f>ROUND(T174*I174, 2)</f>
        <v>0</v>
      </c>
      <c r="X174" s="14">
        <f>ROUND(I174*ROUND(U174, 2), 2)</f>
        <v>0</v>
      </c>
      <c r="Y174" s="14">
        <f>W174+X174</f>
        <v>0</v>
      </c>
    </row>
    <row r="175" spans="1:25" ht="36" hidden="1" x14ac:dyDescent="0.4">
      <c r="A175" s="91" t="s">
        <v>781</v>
      </c>
      <c r="B175" s="91"/>
      <c r="C175" s="96" t="s">
        <v>736</v>
      </c>
      <c r="D175" s="93"/>
      <c r="E175" s="93" t="s">
        <v>782</v>
      </c>
      <c r="F175" s="94" t="s">
        <v>70</v>
      </c>
      <c r="G175" s="95">
        <v>1.8</v>
      </c>
      <c r="H175" s="180"/>
      <c r="I175" s="229">
        <v>0</v>
      </c>
      <c r="J175" s="329"/>
      <c r="K175" s="257"/>
      <c r="L175" s="280"/>
      <c r="M175" s="401"/>
      <c r="N175" s="423"/>
      <c r="O175" s="423"/>
      <c r="P175" s="423"/>
      <c r="Q175" s="423"/>
      <c r="R175" s="218"/>
      <c r="S175" s="218"/>
      <c r="T175" s="213">
        <v>12.58</v>
      </c>
      <c r="U175" s="211"/>
      <c r="V175" s="273"/>
      <c r="W175" s="206">
        <f>ROUND(ROUND(T175, 2)*I175, 2)</f>
        <v>0</v>
      </c>
    </row>
    <row r="176" spans="1:25" ht="22.8" hidden="1" x14ac:dyDescent="0.4">
      <c r="A176" s="91" t="s">
        <v>788</v>
      </c>
      <c r="B176" s="91"/>
      <c r="C176" s="92" t="s">
        <v>789</v>
      </c>
      <c r="D176" s="93"/>
      <c r="E176" s="93"/>
      <c r="F176" s="94" t="s">
        <v>116</v>
      </c>
      <c r="G176" s="95">
        <v>0.3</v>
      </c>
      <c r="H176" s="180"/>
      <c r="I176" s="229">
        <v>0</v>
      </c>
      <c r="J176" s="329"/>
      <c r="K176" s="257"/>
      <c r="L176" s="280"/>
      <c r="M176" s="401"/>
      <c r="N176" s="423"/>
      <c r="O176" s="423"/>
      <c r="P176" s="423"/>
      <c r="Q176" s="423"/>
      <c r="R176" s="218"/>
      <c r="S176" s="218"/>
      <c r="T176" s="213">
        <v>73.099999999999994</v>
      </c>
      <c r="U176" s="211"/>
      <c r="V176" s="273"/>
      <c r="W176" s="206">
        <f>ROUND(ROUND(T176, 2)*I176, 2)</f>
        <v>0</v>
      </c>
    </row>
    <row r="177" spans="1:25" ht="22.8" hidden="1" x14ac:dyDescent="0.4">
      <c r="A177" s="91" t="s">
        <v>795</v>
      </c>
      <c r="B177" s="91"/>
      <c r="C177" s="92" t="s">
        <v>796</v>
      </c>
      <c r="D177" s="93"/>
      <c r="E177" s="93"/>
      <c r="F177" s="94" t="s">
        <v>87</v>
      </c>
      <c r="G177" s="95">
        <v>1</v>
      </c>
      <c r="H177" s="180"/>
      <c r="I177" s="229">
        <v>0</v>
      </c>
      <c r="J177" s="329"/>
      <c r="K177" s="257"/>
      <c r="L177" s="280"/>
      <c r="M177" s="401"/>
      <c r="N177" s="423"/>
      <c r="O177" s="423"/>
      <c r="P177" s="423"/>
      <c r="Q177" s="423"/>
      <c r="R177" s="218"/>
      <c r="S177" s="218"/>
      <c r="T177" s="213">
        <v>7</v>
      </c>
      <c r="U177" s="211"/>
      <c r="V177" s="273"/>
      <c r="W177" s="206">
        <f>ROUND(ROUND(T177, 2)*I177, 2)</f>
        <v>0</v>
      </c>
    </row>
    <row r="178" spans="1:25" ht="22.8" hidden="1" x14ac:dyDescent="0.4">
      <c r="A178" s="91" t="s">
        <v>802</v>
      </c>
      <c r="B178" s="91"/>
      <c r="C178" s="92" t="s">
        <v>433</v>
      </c>
      <c r="D178" s="93"/>
      <c r="E178" s="93"/>
      <c r="F178" s="94" t="s">
        <v>70</v>
      </c>
      <c r="G178" s="95">
        <v>0.15</v>
      </c>
      <c r="H178" s="180"/>
      <c r="I178" s="229">
        <v>0</v>
      </c>
      <c r="J178" s="329"/>
      <c r="K178" s="257"/>
      <c r="L178" s="280"/>
      <c r="M178" s="401"/>
      <c r="N178" s="423"/>
      <c r="O178" s="423"/>
      <c r="P178" s="423"/>
      <c r="Q178" s="423"/>
      <c r="R178" s="218"/>
      <c r="S178" s="218"/>
      <c r="T178" s="213">
        <v>88.8</v>
      </c>
      <c r="U178" s="211"/>
      <c r="V178" s="273"/>
      <c r="W178" s="206">
        <f>ROUND(ROUND(T178, 2)*I178, 2)</f>
        <v>0</v>
      </c>
    </row>
    <row r="179" spans="1:25" ht="36" hidden="1" x14ac:dyDescent="0.3">
      <c r="A179" s="91" t="s">
        <v>807</v>
      </c>
      <c r="B179" s="91" t="s">
        <v>774</v>
      </c>
      <c r="C179" s="97" t="s">
        <v>775</v>
      </c>
      <c r="D179" s="93"/>
      <c r="E179" s="93" t="s">
        <v>808</v>
      </c>
      <c r="F179" s="93" t="s">
        <v>64</v>
      </c>
      <c r="G179" s="98">
        <v>1</v>
      </c>
      <c r="H179" s="181"/>
      <c r="I179" s="231">
        <v>0</v>
      </c>
      <c r="J179" s="322"/>
      <c r="K179" s="258"/>
      <c r="L179" s="281"/>
      <c r="M179" s="221"/>
      <c r="N179" s="422"/>
      <c r="O179" s="422"/>
      <c r="P179" s="422"/>
      <c r="Q179" s="422"/>
      <c r="R179" s="220"/>
      <c r="S179" s="221"/>
      <c r="T179" s="212">
        <f>IFERROR(ROUND(SUM(W180,W181)/I179, 2),0)</f>
        <v>0</v>
      </c>
      <c r="U179" s="202">
        <v>329</v>
      </c>
      <c r="V179" s="274">
        <f>T179+ROUND(U179, 2)</f>
        <v>329</v>
      </c>
      <c r="W179" s="182">
        <f>ROUND(T179*I179, 2)</f>
        <v>0</v>
      </c>
      <c r="X179" s="14">
        <f>ROUND(I179*ROUND(U179, 2), 2)</f>
        <v>0</v>
      </c>
      <c r="Y179" s="14">
        <f>W179+X179</f>
        <v>0</v>
      </c>
    </row>
    <row r="180" spans="1:25" ht="22.8" hidden="1" x14ac:dyDescent="0.4">
      <c r="A180" s="91" t="s">
        <v>811</v>
      </c>
      <c r="B180" s="91"/>
      <c r="C180" s="92" t="s">
        <v>433</v>
      </c>
      <c r="D180" s="93"/>
      <c r="E180" s="93"/>
      <c r="F180" s="94" t="s">
        <v>70</v>
      </c>
      <c r="G180" s="95">
        <v>0.15</v>
      </c>
      <c r="H180" s="180"/>
      <c r="I180" s="229">
        <v>0</v>
      </c>
      <c r="J180" s="329"/>
      <c r="K180" s="257"/>
      <c r="L180" s="280"/>
      <c r="M180" s="401"/>
      <c r="N180" s="423"/>
      <c r="O180" s="423"/>
      <c r="P180" s="423"/>
      <c r="Q180" s="423"/>
      <c r="R180" s="218"/>
      <c r="S180" s="218"/>
      <c r="T180" s="213">
        <v>88.8</v>
      </c>
      <c r="U180" s="211"/>
      <c r="V180" s="273"/>
      <c r="W180" s="206">
        <f>ROUND(ROUND(T180, 2)*I180, 2)</f>
        <v>0</v>
      </c>
    </row>
    <row r="181" spans="1:25" ht="36" hidden="1" x14ac:dyDescent="0.4">
      <c r="A181" s="91" t="s">
        <v>816</v>
      </c>
      <c r="B181" s="91"/>
      <c r="C181" s="96" t="s">
        <v>736</v>
      </c>
      <c r="D181" s="93"/>
      <c r="E181" s="93" t="s">
        <v>817</v>
      </c>
      <c r="F181" s="94" t="s">
        <v>70</v>
      </c>
      <c r="G181" s="95">
        <v>1.8</v>
      </c>
      <c r="H181" s="180"/>
      <c r="I181" s="229">
        <v>0</v>
      </c>
      <c r="J181" s="329"/>
      <c r="K181" s="257"/>
      <c r="L181" s="280"/>
      <c r="M181" s="401"/>
      <c r="N181" s="423"/>
      <c r="O181" s="423"/>
      <c r="P181" s="423"/>
      <c r="Q181" s="423"/>
      <c r="R181" s="218"/>
      <c r="S181" s="218"/>
      <c r="T181" s="213">
        <v>12.58</v>
      </c>
      <c r="U181" s="211"/>
      <c r="V181" s="273"/>
      <c r="W181" s="206">
        <f>ROUND(ROUND(T181, 2)*I181, 2)</f>
        <v>0</v>
      </c>
    </row>
    <row r="182" spans="1:25" ht="40.049999999999997" customHeight="1" x14ac:dyDescent="0.3">
      <c r="A182" s="74" t="s">
        <v>822</v>
      </c>
      <c r="B182" s="74" t="s">
        <v>823</v>
      </c>
      <c r="C182" s="75" t="s">
        <v>824</v>
      </c>
      <c r="D182" s="76"/>
      <c r="E182" s="76" t="s">
        <v>825</v>
      </c>
      <c r="F182" s="76" t="s">
        <v>64</v>
      </c>
      <c r="G182" s="77">
        <v>1</v>
      </c>
      <c r="H182" s="177"/>
      <c r="I182" s="228">
        <v>8128.4</v>
      </c>
      <c r="J182" s="322"/>
      <c r="K182" s="258"/>
      <c r="L182" s="281"/>
      <c r="M182" s="221"/>
      <c r="N182" s="422"/>
      <c r="O182" s="422"/>
      <c r="P182" s="422"/>
      <c r="Q182" s="422"/>
      <c r="R182" s="220"/>
      <c r="S182" s="221"/>
      <c r="T182" s="212">
        <f>IFERROR(ROUND(SUM(W183,W184)/I182, 2),0)</f>
        <v>26.02</v>
      </c>
      <c r="U182" s="202">
        <v>508</v>
      </c>
      <c r="V182" s="274">
        <f>T182+ROUND(U182, 2)</f>
        <v>534.02</v>
      </c>
      <c r="W182" s="182">
        <f>ROUND(T182*I182, 2)</f>
        <v>211500.97</v>
      </c>
      <c r="X182" s="14">
        <f>ROUND(I182*ROUND(U182, 2), 2)</f>
        <v>4129227.2</v>
      </c>
      <c r="Y182" s="14">
        <f>W182+X182</f>
        <v>4340728.17</v>
      </c>
    </row>
    <row r="183" spans="1:25" ht="36" hidden="1" x14ac:dyDescent="0.4">
      <c r="A183" s="91" t="s">
        <v>828</v>
      </c>
      <c r="B183" s="91"/>
      <c r="C183" s="92" t="s">
        <v>829</v>
      </c>
      <c r="D183" s="93"/>
      <c r="E183" s="93"/>
      <c r="F183" s="94" t="s">
        <v>70</v>
      </c>
      <c r="G183" s="95">
        <v>1</v>
      </c>
      <c r="H183" s="180"/>
      <c r="I183" s="229">
        <v>8128.4</v>
      </c>
      <c r="J183" s="321"/>
      <c r="K183" s="257"/>
      <c r="L183" s="280"/>
      <c r="M183" s="401"/>
      <c r="N183" s="423"/>
      <c r="O183" s="423"/>
      <c r="P183" s="423"/>
      <c r="Q183" s="423"/>
      <c r="R183" s="218"/>
      <c r="S183" s="218"/>
      <c r="T183" s="213">
        <v>12.7</v>
      </c>
      <c r="U183" s="211"/>
      <c r="V183" s="273"/>
      <c r="W183" s="206">
        <f>ROUND(ROUND(T183, 2)*I183, 2)</f>
        <v>103230.68</v>
      </c>
    </row>
    <row r="184" spans="1:25" ht="22.8" hidden="1" x14ac:dyDescent="0.4">
      <c r="A184" s="91" t="s">
        <v>833</v>
      </c>
      <c r="B184" s="91"/>
      <c r="C184" s="92" t="s">
        <v>433</v>
      </c>
      <c r="D184" s="93"/>
      <c r="E184" s="93"/>
      <c r="F184" s="94" t="s">
        <v>70</v>
      </c>
      <c r="G184" s="95">
        <v>0.15</v>
      </c>
      <c r="H184" s="180"/>
      <c r="I184" s="229">
        <v>1219.26</v>
      </c>
      <c r="J184" s="321"/>
      <c r="K184" s="257"/>
      <c r="L184" s="280"/>
      <c r="M184" s="401"/>
      <c r="N184" s="423"/>
      <c r="O184" s="423"/>
      <c r="P184" s="423"/>
      <c r="Q184" s="423"/>
      <c r="R184" s="218"/>
      <c r="S184" s="218"/>
      <c r="T184" s="213">
        <v>88.8</v>
      </c>
      <c r="U184" s="211"/>
      <c r="V184" s="273"/>
      <c r="W184" s="206">
        <f>ROUND(ROUND(T184, 2)*I184, 2)</f>
        <v>108270.29</v>
      </c>
    </row>
    <row r="185" spans="1:25" ht="43.95" customHeight="1" x14ac:dyDescent="0.3">
      <c r="A185" s="74" t="s">
        <v>836</v>
      </c>
      <c r="B185" s="74" t="s">
        <v>823</v>
      </c>
      <c r="C185" s="75" t="s">
        <v>824</v>
      </c>
      <c r="D185" s="76"/>
      <c r="E185" s="76" t="s">
        <v>837</v>
      </c>
      <c r="F185" s="76" t="s">
        <v>64</v>
      </c>
      <c r="G185" s="77">
        <v>1</v>
      </c>
      <c r="H185" s="177"/>
      <c r="I185" s="228">
        <v>7374</v>
      </c>
      <c r="J185" s="322"/>
      <c r="K185" s="258"/>
      <c r="L185" s="281"/>
      <c r="M185" s="221"/>
      <c r="N185" s="422"/>
      <c r="O185" s="422"/>
      <c r="P185" s="422"/>
      <c r="Q185" s="422"/>
      <c r="R185" s="220"/>
      <c r="S185" s="221"/>
      <c r="T185" s="212">
        <f>IFERROR(ROUND(SUM(W186,W187)/I185, 2),0)</f>
        <v>26.02</v>
      </c>
      <c r="U185" s="202">
        <v>508</v>
      </c>
      <c r="V185" s="274">
        <f>T185+ROUND(U185, 2)</f>
        <v>534.02</v>
      </c>
      <c r="W185" s="182">
        <f>ROUND(T185*I185, 2)</f>
        <v>191871.48</v>
      </c>
      <c r="X185" s="14">
        <f>ROUND(I185*ROUND(U185, 2), 2)</f>
        <v>3745992</v>
      </c>
      <c r="Y185" s="14">
        <f>W185+X185</f>
        <v>3937863.48</v>
      </c>
    </row>
    <row r="186" spans="1:25" ht="22.8" hidden="1" x14ac:dyDescent="0.4">
      <c r="A186" s="91" t="s">
        <v>838</v>
      </c>
      <c r="B186" s="91"/>
      <c r="C186" s="92" t="s">
        <v>433</v>
      </c>
      <c r="D186" s="93"/>
      <c r="E186" s="93"/>
      <c r="F186" s="94" t="s">
        <v>70</v>
      </c>
      <c r="G186" s="95">
        <v>0.15</v>
      </c>
      <c r="H186" s="180"/>
      <c r="I186" s="229">
        <v>1106.0999999999999</v>
      </c>
      <c r="J186" s="321"/>
      <c r="K186" s="257"/>
      <c r="L186" s="280"/>
      <c r="M186" s="401"/>
      <c r="N186" s="423"/>
      <c r="O186" s="423"/>
      <c r="P186" s="423"/>
      <c r="Q186" s="423"/>
      <c r="R186" s="218"/>
      <c r="S186" s="218"/>
      <c r="T186" s="213">
        <v>88.8</v>
      </c>
      <c r="U186" s="211"/>
      <c r="V186" s="273"/>
      <c r="W186" s="206">
        <f>ROUND(ROUND(T186, 2)*I186, 2)</f>
        <v>98221.68</v>
      </c>
    </row>
    <row r="187" spans="1:25" ht="36" hidden="1" x14ac:dyDescent="0.4">
      <c r="A187" s="91" t="s">
        <v>841</v>
      </c>
      <c r="B187" s="91"/>
      <c r="C187" s="92" t="s">
        <v>829</v>
      </c>
      <c r="D187" s="93"/>
      <c r="E187" s="93"/>
      <c r="F187" s="94" t="s">
        <v>70</v>
      </c>
      <c r="G187" s="95">
        <v>1</v>
      </c>
      <c r="H187" s="180"/>
      <c r="I187" s="229">
        <v>7374</v>
      </c>
      <c r="J187" s="321"/>
      <c r="K187" s="257"/>
      <c r="L187" s="280"/>
      <c r="M187" s="401"/>
      <c r="N187" s="423"/>
      <c r="O187" s="423"/>
      <c r="P187" s="423"/>
      <c r="Q187" s="423"/>
      <c r="R187" s="218"/>
      <c r="S187" s="218"/>
      <c r="T187" s="213">
        <v>12.7</v>
      </c>
      <c r="U187" s="211"/>
      <c r="V187" s="273"/>
      <c r="W187" s="206">
        <f>ROUND(ROUND(T187, 2)*I187, 2)</f>
        <v>93649.8</v>
      </c>
    </row>
    <row r="188" spans="1:25" ht="37.049999999999997" customHeight="1" x14ac:dyDescent="0.3">
      <c r="A188" s="74" t="s">
        <v>844</v>
      </c>
      <c r="B188" s="74" t="s">
        <v>823</v>
      </c>
      <c r="C188" s="75" t="s">
        <v>824</v>
      </c>
      <c r="D188" s="76"/>
      <c r="E188" s="76" t="s">
        <v>845</v>
      </c>
      <c r="F188" s="76" t="s">
        <v>64</v>
      </c>
      <c r="G188" s="77">
        <v>1</v>
      </c>
      <c r="H188" s="177"/>
      <c r="I188" s="228">
        <v>8128.4</v>
      </c>
      <c r="J188" s="330">
        <f>I188-K188</f>
        <v>6255.5</v>
      </c>
      <c r="K188" s="302">
        <f>L188</f>
        <v>1872.9</v>
      </c>
      <c r="L188" s="303">
        <f>1872.9</f>
        <v>1872.9</v>
      </c>
      <c r="M188" s="409">
        <f>L188*V188</f>
        <v>1017078.345</v>
      </c>
      <c r="N188" s="430"/>
      <c r="O188" s="430"/>
      <c r="P188" s="430"/>
      <c r="Q188" s="430"/>
      <c r="R188" s="220"/>
      <c r="S188" s="221"/>
      <c r="T188" s="212">
        <f>IFERROR(ROUND(SUM(W189,W190)/I188, 2),0)</f>
        <v>35.049999999999997</v>
      </c>
      <c r="U188" s="202">
        <v>508</v>
      </c>
      <c r="V188" s="274">
        <f>T188+ROUND(U188, 2)</f>
        <v>543.04999999999995</v>
      </c>
      <c r="W188" s="182">
        <f>ROUND(T188*I188, 2)</f>
        <v>284900.42</v>
      </c>
      <c r="X188" s="14">
        <f>ROUND(I188*ROUND(U188, 2), 2)</f>
        <v>4129227.2</v>
      </c>
      <c r="Y188" s="14">
        <f>W188+X188</f>
        <v>4414127.62</v>
      </c>
    </row>
    <row r="189" spans="1:25" ht="36" hidden="1" x14ac:dyDescent="0.4">
      <c r="A189" s="10" t="s">
        <v>846</v>
      </c>
      <c r="B189" s="10"/>
      <c r="C189" s="17" t="s">
        <v>736</v>
      </c>
      <c r="D189" s="12"/>
      <c r="E189" s="12"/>
      <c r="F189" s="18" t="s">
        <v>70</v>
      </c>
      <c r="G189" s="19">
        <v>1.8</v>
      </c>
      <c r="H189" s="191"/>
      <c r="I189" s="229">
        <v>14631.12</v>
      </c>
      <c r="J189" s="329"/>
      <c r="K189" s="257"/>
      <c r="L189" s="280"/>
      <c r="M189" s="401"/>
      <c r="N189" s="423"/>
      <c r="O189" s="423"/>
      <c r="P189" s="423"/>
      <c r="Q189" s="423"/>
      <c r="R189" s="218"/>
      <c r="S189" s="218"/>
      <c r="T189" s="213">
        <v>12.07</v>
      </c>
      <c r="U189" s="211"/>
      <c r="V189" s="273"/>
      <c r="W189" s="206">
        <f>ROUND(ROUND(T189, 2)*I189, 2)</f>
        <v>176597.62</v>
      </c>
    </row>
    <row r="190" spans="1:25" ht="22.8" hidden="1" x14ac:dyDescent="0.4">
      <c r="A190" s="10" t="s">
        <v>849</v>
      </c>
      <c r="B190" s="10"/>
      <c r="C190" s="24" t="s">
        <v>433</v>
      </c>
      <c r="D190" s="12"/>
      <c r="E190" s="12"/>
      <c r="F190" s="18" t="s">
        <v>70</v>
      </c>
      <c r="G190" s="19">
        <v>0.15</v>
      </c>
      <c r="H190" s="191"/>
      <c r="I190" s="229">
        <v>1219.26</v>
      </c>
      <c r="J190" s="329"/>
      <c r="K190" s="257"/>
      <c r="L190" s="280"/>
      <c r="M190" s="401"/>
      <c r="N190" s="423"/>
      <c r="O190" s="423"/>
      <c r="P190" s="423"/>
      <c r="Q190" s="423"/>
      <c r="R190" s="218"/>
      <c r="S190" s="218"/>
      <c r="T190" s="213">
        <v>88.8</v>
      </c>
      <c r="U190" s="211"/>
      <c r="V190" s="273"/>
      <c r="W190" s="206">
        <f>ROUND(ROUND(T190, 2)*I190, 2)</f>
        <v>108270.29</v>
      </c>
    </row>
    <row r="191" spans="1:25" ht="40.5" customHeight="1" x14ac:dyDescent="0.3">
      <c r="A191" s="74" t="s">
        <v>852</v>
      </c>
      <c r="B191" s="74" t="s">
        <v>823</v>
      </c>
      <c r="C191" s="75" t="s">
        <v>824</v>
      </c>
      <c r="D191" s="76"/>
      <c r="E191" s="76" t="s">
        <v>853</v>
      </c>
      <c r="F191" s="76" t="s">
        <v>64</v>
      </c>
      <c r="G191" s="77">
        <v>1</v>
      </c>
      <c r="H191" s="177"/>
      <c r="I191" s="228">
        <v>7374</v>
      </c>
      <c r="J191" s="330">
        <f>I191-K191</f>
        <v>1721.1599999999999</v>
      </c>
      <c r="K191" s="307">
        <f>L191</f>
        <v>5652.84</v>
      </c>
      <c r="L191" s="303">
        <f>1515.3+4137.54</f>
        <v>5652.84</v>
      </c>
      <c r="M191" s="409">
        <f>L191*V191</f>
        <v>3069774.7619999996</v>
      </c>
      <c r="N191" s="430"/>
      <c r="O191" s="430"/>
      <c r="P191" s="430"/>
      <c r="Q191" s="430"/>
      <c r="R191" s="220"/>
      <c r="S191" s="221"/>
      <c r="T191" s="212">
        <f>IFERROR(ROUND(SUM(W192,W193)/I191, 2),0)</f>
        <v>35.049999999999997</v>
      </c>
      <c r="U191" s="202">
        <v>508</v>
      </c>
      <c r="V191" s="274">
        <f>T191+ROUND(U191, 2)</f>
        <v>543.04999999999995</v>
      </c>
      <c r="W191" s="182">
        <f>ROUND(T191*I191, 2)</f>
        <v>258458.7</v>
      </c>
      <c r="X191" s="14">
        <f>ROUND(I191*ROUND(U191, 2), 2)</f>
        <v>3745992</v>
      </c>
      <c r="Y191" s="14">
        <f>W191+X191</f>
        <v>4004450.7</v>
      </c>
    </row>
    <row r="192" spans="1:25" ht="22.8" hidden="1" x14ac:dyDescent="0.4">
      <c r="A192" s="91" t="s">
        <v>854</v>
      </c>
      <c r="B192" s="91"/>
      <c r="C192" s="92" t="s">
        <v>433</v>
      </c>
      <c r="D192" s="93"/>
      <c r="E192" s="93"/>
      <c r="F192" s="94" t="s">
        <v>70</v>
      </c>
      <c r="G192" s="95">
        <v>0.15</v>
      </c>
      <c r="H192" s="180"/>
      <c r="I192" s="229">
        <v>1106.0999999999999</v>
      </c>
      <c r="J192" s="321"/>
      <c r="K192" s="314"/>
      <c r="L192" s="315"/>
      <c r="M192" s="410"/>
      <c r="N192" s="431"/>
      <c r="O192" s="431"/>
      <c r="P192" s="431"/>
      <c r="Q192" s="431"/>
      <c r="R192" s="139"/>
      <c r="S192" s="139"/>
      <c r="T192" s="213">
        <v>88.8</v>
      </c>
      <c r="U192" s="211"/>
      <c r="V192" s="273"/>
      <c r="W192" s="206">
        <f>ROUND(ROUND(T192, 2)*I192, 2)</f>
        <v>98221.68</v>
      </c>
    </row>
    <row r="193" spans="1:25" ht="36" hidden="1" x14ac:dyDescent="0.4">
      <c r="A193" s="91" t="s">
        <v>857</v>
      </c>
      <c r="B193" s="91"/>
      <c r="C193" s="96" t="s">
        <v>736</v>
      </c>
      <c r="D193" s="93"/>
      <c r="E193" s="93"/>
      <c r="F193" s="94" t="s">
        <v>70</v>
      </c>
      <c r="G193" s="95">
        <v>1.8</v>
      </c>
      <c r="H193" s="180"/>
      <c r="I193" s="229">
        <v>13273.2</v>
      </c>
      <c r="J193" s="321"/>
      <c r="K193" s="314"/>
      <c r="L193" s="315"/>
      <c r="M193" s="410"/>
      <c r="N193" s="431"/>
      <c r="O193" s="431"/>
      <c r="P193" s="431"/>
      <c r="Q193" s="431"/>
      <c r="R193" s="139"/>
      <c r="S193" s="139"/>
      <c r="T193" s="213">
        <v>12.07</v>
      </c>
      <c r="U193" s="211"/>
      <c r="V193" s="273"/>
      <c r="W193" s="206">
        <f>ROUND(ROUND(T193, 2)*I193, 2)</f>
        <v>160207.51999999999</v>
      </c>
    </row>
    <row r="194" spans="1:25" ht="54" hidden="1" x14ac:dyDescent="0.3">
      <c r="A194" s="91" t="s">
        <v>860</v>
      </c>
      <c r="B194" s="91" t="s">
        <v>861</v>
      </c>
      <c r="C194" s="97" t="s">
        <v>862</v>
      </c>
      <c r="D194" s="93"/>
      <c r="E194" s="93" t="s">
        <v>63</v>
      </c>
      <c r="F194" s="93" t="s">
        <v>64</v>
      </c>
      <c r="G194" s="98">
        <v>1</v>
      </c>
      <c r="H194" s="181"/>
      <c r="I194" s="231">
        <v>0</v>
      </c>
      <c r="J194" s="323"/>
      <c r="K194" s="316"/>
      <c r="L194" s="317"/>
      <c r="M194" s="411"/>
      <c r="N194" s="432"/>
      <c r="O194" s="432"/>
      <c r="P194" s="432"/>
      <c r="Q194" s="432"/>
      <c r="R194" s="199"/>
      <c r="S194" s="222"/>
      <c r="T194" s="212">
        <f>IFERROR(ROUND(SUM(W195,W196,W197,W198)/I194, 2),0)</f>
        <v>0</v>
      </c>
      <c r="U194" s="202">
        <v>873</v>
      </c>
      <c r="V194" s="274">
        <f>T194+ROUND(U194, 2)</f>
        <v>873</v>
      </c>
      <c r="W194" s="182">
        <f>ROUND(T194*I194, 2)</f>
        <v>0</v>
      </c>
      <c r="X194" s="14">
        <f>ROUND(I194*ROUND(U194, 2), 2)</f>
        <v>0</v>
      </c>
      <c r="Y194" s="14">
        <f>W194+X194</f>
        <v>0</v>
      </c>
    </row>
    <row r="195" spans="1:25" ht="36" hidden="1" x14ac:dyDescent="0.4">
      <c r="A195" s="91" t="s">
        <v>866</v>
      </c>
      <c r="B195" s="91"/>
      <c r="C195" s="92" t="s">
        <v>867</v>
      </c>
      <c r="D195" s="93"/>
      <c r="E195" s="93" t="s">
        <v>868</v>
      </c>
      <c r="F195" s="94" t="s">
        <v>70</v>
      </c>
      <c r="G195" s="95">
        <v>1.3</v>
      </c>
      <c r="H195" s="180"/>
      <c r="I195" s="229">
        <v>0</v>
      </c>
      <c r="J195" s="321"/>
      <c r="K195" s="314"/>
      <c r="L195" s="315"/>
      <c r="M195" s="410"/>
      <c r="N195" s="431"/>
      <c r="O195" s="431"/>
      <c r="P195" s="431"/>
      <c r="Q195" s="431"/>
      <c r="R195" s="139"/>
      <c r="S195" s="139"/>
      <c r="T195" s="213">
        <v>8.6</v>
      </c>
      <c r="U195" s="211"/>
      <c r="V195" s="273"/>
      <c r="W195" s="206">
        <f>ROUND(ROUND(T195, 2)*I195, 2)</f>
        <v>0</v>
      </c>
    </row>
    <row r="196" spans="1:25" ht="22.8" hidden="1" x14ac:dyDescent="0.4">
      <c r="A196" s="91" t="s">
        <v>874</v>
      </c>
      <c r="B196" s="91"/>
      <c r="C196" s="92" t="s">
        <v>875</v>
      </c>
      <c r="D196" s="93"/>
      <c r="E196" s="93"/>
      <c r="F196" s="94" t="s">
        <v>64</v>
      </c>
      <c r="G196" s="95">
        <v>1.1000000000000001</v>
      </c>
      <c r="H196" s="180"/>
      <c r="I196" s="229">
        <v>0</v>
      </c>
      <c r="J196" s="321"/>
      <c r="K196" s="314"/>
      <c r="L196" s="315"/>
      <c r="M196" s="410"/>
      <c r="N196" s="431"/>
      <c r="O196" s="431"/>
      <c r="P196" s="431"/>
      <c r="Q196" s="431"/>
      <c r="R196" s="139"/>
      <c r="S196" s="139"/>
      <c r="T196" s="213">
        <v>26</v>
      </c>
      <c r="U196" s="211"/>
      <c r="V196" s="273"/>
      <c r="W196" s="206">
        <f>ROUND(ROUND(T196, 2)*I196, 2)</f>
        <v>0</v>
      </c>
    </row>
    <row r="197" spans="1:25" ht="22.8" hidden="1" x14ac:dyDescent="0.4">
      <c r="A197" s="91" t="s">
        <v>881</v>
      </c>
      <c r="B197" s="91"/>
      <c r="C197" s="92" t="s">
        <v>767</v>
      </c>
      <c r="D197" s="93"/>
      <c r="E197" s="93"/>
      <c r="F197" s="94" t="s">
        <v>87</v>
      </c>
      <c r="G197" s="95">
        <v>1</v>
      </c>
      <c r="H197" s="180"/>
      <c r="I197" s="229">
        <v>0</v>
      </c>
      <c r="J197" s="321"/>
      <c r="K197" s="314"/>
      <c r="L197" s="315"/>
      <c r="M197" s="410"/>
      <c r="N197" s="431"/>
      <c r="O197" s="431"/>
      <c r="P197" s="431"/>
      <c r="Q197" s="431"/>
      <c r="R197" s="139"/>
      <c r="S197" s="139"/>
      <c r="T197" s="213">
        <v>15.76</v>
      </c>
      <c r="U197" s="211"/>
      <c r="V197" s="273"/>
      <c r="W197" s="206">
        <f>ROUND(ROUND(T197, 2)*I197, 2)</f>
        <v>0</v>
      </c>
    </row>
    <row r="198" spans="1:25" ht="22.8" hidden="1" x14ac:dyDescent="0.4">
      <c r="A198" s="91" t="s">
        <v>886</v>
      </c>
      <c r="B198" s="91"/>
      <c r="C198" s="92" t="s">
        <v>760</v>
      </c>
      <c r="D198" s="93"/>
      <c r="E198" s="93"/>
      <c r="F198" s="94" t="s">
        <v>70</v>
      </c>
      <c r="G198" s="95">
        <v>0.25</v>
      </c>
      <c r="H198" s="180"/>
      <c r="I198" s="229">
        <v>0</v>
      </c>
      <c r="J198" s="321"/>
      <c r="K198" s="314"/>
      <c r="L198" s="315"/>
      <c r="M198" s="410"/>
      <c r="N198" s="431"/>
      <c r="O198" s="431"/>
      <c r="P198" s="431"/>
      <c r="Q198" s="431"/>
      <c r="R198" s="139"/>
      <c r="S198" s="139"/>
      <c r="T198" s="213">
        <v>100</v>
      </c>
      <c r="U198" s="211"/>
      <c r="V198" s="273"/>
      <c r="W198" s="206">
        <f>ROUND(ROUND(T198, 2)*I198, 2)</f>
        <v>0</v>
      </c>
    </row>
    <row r="199" spans="1:25" ht="75.45" customHeight="1" x14ac:dyDescent="0.3">
      <c r="A199" s="74" t="s">
        <v>891</v>
      </c>
      <c r="B199" s="74" t="s">
        <v>892</v>
      </c>
      <c r="C199" s="75" t="s">
        <v>893</v>
      </c>
      <c r="D199" s="76"/>
      <c r="E199" s="76" t="s">
        <v>894</v>
      </c>
      <c r="F199" s="76" t="s">
        <v>64</v>
      </c>
      <c r="G199" s="77">
        <v>1</v>
      </c>
      <c r="H199" s="177"/>
      <c r="I199" s="228">
        <v>174.8</v>
      </c>
      <c r="J199" s="330">
        <f>I199-K199</f>
        <v>115.80000000000001</v>
      </c>
      <c r="K199" s="307">
        <f>L199</f>
        <v>59</v>
      </c>
      <c r="L199" s="303">
        <f>59</f>
        <v>59</v>
      </c>
      <c r="M199" s="409">
        <f>L199*V199</f>
        <v>90131.94</v>
      </c>
      <c r="N199" s="430"/>
      <c r="O199" s="430"/>
      <c r="P199" s="430"/>
      <c r="Q199" s="430"/>
      <c r="R199" s="220"/>
      <c r="S199" s="221"/>
      <c r="T199" s="212">
        <f>IFERROR(ROUND(SUM(W200,W201,W202,W203)/I199, 2),0)</f>
        <v>460.66</v>
      </c>
      <c r="U199" s="202">
        <v>1067</v>
      </c>
      <c r="V199" s="274">
        <f>T199+ROUND(U199, 2)</f>
        <v>1527.66</v>
      </c>
      <c r="W199" s="182">
        <f>ROUND(T199*I199, 2)</f>
        <v>80523.37</v>
      </c>
      <c r="X199" s="14">
        <f>ROUND(I199*ROUND(U199, 2), 2)</f>
        <v>186511.6</v>
      </c>
      <c r="Y199" s="14">
        <f>W199+X199</f>
        <v>267034.96999999997</v>
      </c>
    </row>
    <row r="200" spans="1:25" ht="22.8" hidden="1" x14ac:dyDescent="0.4">
      <c r="A200" s="91" t="s">
        <v>897</v>
      </c>
      <c r="B200" s="91"/>
      <c r="C200" s="92" t="s">
        <v>867</v>
      </c>
      <c r="D200" s="93"/>
      <c r="E200" s="93"/>
      <c r="F200" s="94" t="s">
        <v>70</v>
      </c>
      <c r="G200" s="95">
        <v>1.3</v>
      </c>
      <c r="H200" s="180"/>
      <c r="I200" s="229">
        <v>7953.4</v>
      </c>
      <c r="J200" s="321"/>
      <c r="K200" s="257"/>
      <c r="L200" s="280"/>
      <c r="M200" s="401"/>
      <c r="N200" s="423"/>
      <c r="O200" s="423"/>
      <c r="P200" s="423"/>
      <c r="Q200" s="423"/>
      <c r="R200" s="218"/>
      <c r="S200" s="218"/>
      <c r="T200" s="213">
        <v>8.6</v>
      </c>
      <c r="U200" s="211"/>
      <c r="V200" s="273"/>
      <c r="W200" s="206">
        <f>ROUND(ROUND(T200, 2)*I200, 2)</f>
        <v>68399.240000000005</v>
      </c>
    </row>
    <row r="201" spans="1:25" ht="22.8" hidden="1" x14ac:dyDescent="0.4">
      <c r="A201" s="91" t="s">
        <v>900</v>
      </c>
      <c r="B201" s="91"/>
      <c r="C201" s="92" t="s">
        <v>875</v>
      </c>
      <c r="D201" s="93"/>
      <c r="E201" s="93"/>
      <c r="F201" s="94" t="s">
        <v>64</v>
      </c>
      <c r="G201" s="95">
        <v>1.1000000000000001</v>
      </c>
      <c r="H201" s="180"/>
      <c r="I201" s="229">
        <v>192.28</v>
      </c>
      <c r="J201" s="321"/>
      <c r="K201" s="257"/>
      <c r="L201" s="280"/>
      <c r="M201" s="401"/>
      <c r="N201" s="423"/>
      <c r="O201" s="423"/>
      <c r="P201" s="423"/>
      <c r="Q201" s="423"/>
      <c r="R201" s="218"/>
      <c r="S201" s="218"/>
      <c r="T201" s="213">
        <v>26</v>
      </c>
      <c r="U201" s="211"/>
      <c r="V201" s="273"/>
      <c r="W201" s="206">
        <f>ROUND(ROUND(T201, 2)*I201, 2)</f>
        <v>4999.28</v>
      </c>
    </row>
    <row r="202" spans="1:25" ht="22.8" hidden="1" x14ac:dyDescent="0.4">
      <c r="A202" s="91" t="s">
        <v>903</v>
      </c>
      <c r="B202" s="91"/>
      <c r="C202" s="92" t="s">
        <v>767</v>
      </c>
      <c r="D202" s="93"/>
      <c r="E202" s="93"/>
      <c r="F202" s="94" t="s">
        <v>87</v>
      </c>
      <c r="G202" s="95">
        <v>1</v>
      </c>
      <c r="H202" s="180"/>
      <c r="I202" s="229">
        <v>174.8</v>
      </c>
      <c r="J202" s="321"/>
      <c r="K202" s="257"/>
      <c r="L202" s="280"/>
      <c r="M202" s="401"/>
      <c r="N202" s="423"/>
      <c r="O202" s="423"/>
      <c r="P202" s="423"/>
      <c r="Q202" s="423"/>
      <c r="R202" s="218"/>
      <c r="S202" s="218"/>
      <c r="T202" s="213">
        <v>15.76</v>
      </c>
      <c r="U202" s="211"/>
      <c r="V202" s="273"/>
      <c r="W202" s="206">
        <f>ROUND(ROUND(T202, 2)*I202, 2)</f>
        <v>2754.85</v>
      </c>
    </row>
    <row r="203" spans="1:25" ht="22.8" hidden="1" x14ac:dyDescent="0.4">
      <c r="A203" s="91" t="s">
        <v>906</v>
      </c>
      <c r="B203" s="91"/>
      <c r="C203" s="92" t="s">
        <v>760</v>
      </c>
      <c r="D203" s="93"/>
      <c r="E203" s="93"/>
      <c r="F203" s="94" t="s">
        <v>70</v>
      </c>
      <c r="G203" s="95">
        <v>0.25</v>
      </c>
      <c r="H203" s="180"/>
      <c r="I203" s="229">
        <v>43.7</v>
      </c>
      <c r="J203" s="321"/>
      <c r="K203" s="257"/>
      <c r="L203" s="280"/>
      <c r="M203" s="401"/>
      <c r="N203" s="423"/>
      <c r="O203" s="423"/>
      <c r="P203" s="423"/>
      <c r="Q203" s="423"/>
      <c r="R203" s="218"/>
      <c r="S203" s="218"/>
      <c r="T203" s="213">
        <v>100</v>
      </c>
      <c r="U203" s="211"/>
      <c r="V203" s="273"/>
      <c r="W203" s="206">
        <f>ROUND(ROUND(T203, 2)*I203, 2)</f>
        <v>4370</v>
      </c>
    </row>
    <row r="204" spans="1:25" ht="70.95" customHeight="1" x14ac:dyDescent="0.3">
      <c r="A204" s="74" t="s">
        <v>909</v>
      </c>
      <c r="B204" s="74" t="s">
        <v>892</v>
      </c>
      <c r="C204" s="75" t="s">
        <v>893</v>
      </c>
      <c r="D204" s="76"/>
      <c r="E204" s="76" t="s">
        <v>910</v>
      </c>
      <c r="F204" s="76" t="s">
        <v>64</v>
      </c>
      <c r="G204" s="77">
        <v>1</v>
      </c>
      <c r="H204" s="177"/>
      <c r="I204" s="228">
        <v>808</v>
      </c>
      <c r="J204" s="330">
        <f>I204-K204</f>
        <v>586.4</v>
      </c>
      <c r="K204" s="307">
        <f>L204</f>
        <v>221.6</v>
      </c>
      <c r="L204" s="303">
        <f>221.6</f>
        <v>221.6</v>
      </c>
      <c r="M204" s="409">
        <f>L204*V204</f>
        <v>335941.16800000001</v>
      </c>
      <c r="N204" s="430"/>
      <c r="O204" s="430"/>
      <c r="P204" s="430"/>
      <c r="Q204" s="430"/>
      <c r="R204" s="220"/>
      <c r="S204" s="221"/>
      <c r="T204" s="212">
        <f>IFERROR(ROUND(SUM(W205,W206,W207,W208)/I204, 2),0)</f>
        <v>448.98</v>
      </c>
      <c r="U204" s="202">
        <v>1067</v>
      </c>
      <c r="V204" s="274">
        <f>T204+ROUND(U204, 2)</f>
        <v>1515.98</v>
      </c>
      <c r="W204" s="182">
        <f>ROUND(T204*I204, 2)</f>
        <v>362775.84</v>
      </c>
      <c r="X204" s="14">
        <f>ROUND(I204*ROUND(U204, 2), 2)</f>
        <v>862136</v>
      </c>
      <c r="Y204" s="14">
        <f>W204+X204</f>
        <v>1224911.8400000001</v>
      </c>
    </row>
    <row r="205" spans="1:25" ht="22.8" hidden="1" x14ac:dyDescent="0.4">
      <c r="A205" s="91" t="s">
        <v>911</v>
      </c>
      <c r="B205" s="91"/>
      <c r="C205" s="92" t="s">
        <v>433</v>
      </c>
      <c r="D205" s="93"/>
      <c r="E205" s="93"/>
      <c r="F205" s="94" t="s">
        <v>70</v>
      </c>
      <c r="G205" s="95">
        <v>0.15</v>
      </c>
      <c r="H205" s="180"/>
      <c r="I205" s="229">
        <v>121.2</v>
      </c>
      <c r="J205" s="321"/>
      <c r="K205" s="257"/>
      <c r="L205" s="280"/>
      <c r="M205" s="401"/>
      <c r="N205" s="423"/>
      <c r="O205" s="423"/>
      <c r="P205" s="423"/>
      <c r="Q205" s="423"/>
      <c r="R205" s="218"/>
      <c r="S205" s="218"/>
      <c r="T205" s="213">
        <v>88.8</v>
      </c>
      <c r="U205" s="211"/>
      <c r="V205" s="273"/>
      <c r="W205" s="206">
        <f>ROUND(ROUND(T205, 2)*I205, 2)</f>
        <v>10762.56</v>
      </c>
    </row>
    <row r="206" spans="1:25" ht="22.8" hidden="1" x14ac:dyDescent="0.4">
      <c r="A206" s="91" t="s">
        <v>914</v>
      </c>
      <c r="B206" s="91"/>
      <c r="C206" s="92" t="s">
        <v>767</v>
      </c>
      <c r="D206" s="93"/>
      <c r="E206" s="93"/>
      <c r="F206" s="94" t="s">
        <v>87</v>
      </c>
      <c r="G206" s="95">
        <v>1</v>
      </c>
      <c r="H206" s="180"/>
      <c r="I206" s="229">
        <v>808</v>
      </c>
      <c r="J206" s="321"/>
      <c r="K206" s="257"/>
      <c r="L206" s="280"/>
      <c r="M206" s="401"/>
      <c r="N206" s="423"/>
      <c r="O206" s="423"/>
      <c r="P206" s="423"/>
      <c r="Q206" s="423"/>
      <c r="R206" s="218"/>
      <c r="S206" s="218"/>
      <c r="T206" s="213">
        <v>15.76</v>
      </c>
      <c r="U206" s="211"/>
      <c r="V206" s="273"/>
      <c r="W206" s="206">
        <f>ROUND(ROUND(T206, 2)*I206, 2)</f>
        <v>12734.08</v>
      </c>
    </row>
    <row r="207" spans="1:25" ht="22.8" hidden="1" x14ac:dyDescent="0.4">
      <c r="A207" s="91" t="s">
        <v>917</v>
      </c>
      <c r="B207" s="91"/>
      <c r="C207" s="92" t="s">
        <v>875</v>
      </c>
      <c r="D207" s="93"/>
      <c r="E207" s="93"/>
      <c r="F207" s="94" t="s">
        <v>64</v>
      </c>
      <c r="G207" s="95">
        <v>1.1000000000000001</v>
      </c>
      <c r="H207" s="180"/>
      <c r="I207" s="229">
        <v>888.8</v>
      </c>
      <c r="J207" s="321"/>
      <c r="K207" s="257"/>
      <c r="L207" s="280"/>
      <c r="M207" s="401"/>
      <c r="N207" s="423"/>
      <c r="O207" s="423"/>
      <c r="P207" s="423"/>
      <c r="Q207" s="423"/>
      <c r="R207" s="218"/>
      <c r="S207" s="218"/>
      <c r="T207" s="213">
        <v>26</v>
      </c>
      <c r="U207" s="211"/>
      <c r="V207" s="273"/>
      <c r="W207" s="206">
        <f>ROUND(ROUND(T207, 2)*I207, 2)</f>
        <v>23108.799999999999</v>
      </c>
    </row>
    <row r="208" spans="1:25" ht="22.8" hidden="1" x14ac:dyDescent="0.4">
      <c r="A208" s="91" t="s">
        <v>920</v>
      </c>
      <c r="B208" s="91"/>
      <c r="C208" s="92" t="s">
        <v>867</v>
      </c>
      <c r="D208" s="93"/>
      <c r="E208" s="93"/>
      <c r="F208" s="94" t="s">
        <v>70</v>
      </c>
      <c r="G208" s="95">
        <v>1.3</v>
      </c>
      <c r="H208" s="180"/>
      <c r="I208" s="229">
        <v>36764</v>
      </c>
      <c r="J208" s="321"/>
      <c r="K208" s="257"/>
      <c r="L208" s="280"/>
      <c r="M208" s="401"/>
      <c r="N208" s="423"/>
      <c r="O208" s="423"/>
      <c r="P208" s="423"/>
      <c r="Q208" s="423"/>
      <c r="R208" s="218"/>
      <c r="S208" s="218"/>
      <c r="T208" s="213">
        <v>8.6</v>
      </c>
      <c r="U208" s="211"/>
      <c r="V208" s="273"/>
      <c r="W208" s="206">
        <f>ROUND(ROUND(T208, 2)*I208, 2)</f>
        <v>316170.40000000002</v>
      </c>
    </row>
    <row r="209" spans="1:25" ht="59.55" customHeight="1" x14ac:dyDescent="0.3">
      <c r="A209" s="74" t="s">
        <v>923</v>
      </c>
      <c r="B209" s="74" t="s">
        <v>892</v>
      </c>
      <c r="C209" s="75" t="s">
        <v>893</v>
      </c>
      <c r="D209" s="76"/>
      <c r="E209" s="76" t="s">
        <v>924</v>
      </c>
      <c r="F209" s="76" t="s">
        <v>64</v>
      </c>
      <c r="G209" s="77">
        <v>1</v>
      </c>
      <c r="H209" s="177"/>
      <c r="I209" s="228">
        <v>154.19999999999999</v>
      </c>
      <c r="J209" s="330">
        <f>I209-K209</f>
        <v>91.699999999999989</v>
      </c>
      <c r="K209" s="307">
        <f>L209</f>
        <v>62.5</v>
      </c>
      <c r="L209" s="303">
        <f>62.5</f>
        <v>62.5</v>
      </c>
      <c r="M209" s="409">
        <f>L209*V209</f>
        <v>95478.75</v>
      </c>
      <c r="N209" s="430"/>
      <c r="O209" s="430"/>
      <c r="P209" s="430"/>
      <c r="Q209" s="430"/>
      <c r="R209" s="220"/>
      <c r="S209" s="221"/>
      <c r="T209" s="212">
        <f>IFERROR(ROUND(SUM(W210,W211,W212,W213)/I209, 2),0)</f>
        <v>460.66</v>
      </c>
      <c r="U209" s="202">
        <v>1067</v>
      </c>
      <c r="V209" s="274">
        <f>T209+ROUND(U209, 2)</f>
        <v>1527.66</v>
      </c>
      <c r="W209" s="182">
        <f>ROUND(T209*I209, 2)</f>
        <v>71033.77</v>
      </c>
      <c r="X209" s="14">
        <f>ROUND(I209*ROUND(U209, 2), 2)</f>
        <v>164531.4</v>
      </c>
      <c r="Y209" s="14">
        <f>W209+X209</f>
        <v>235565.16999999998</v>
      </c>
    </row>
    <row r="210" spans="1:25" ht="22.8" hidden="1" x14ac:dyDescent="0.4">
      <c r="A210" s="91" t="s">
        <v>925</v>
      </c>
      <c r="B210" s="91"/>
      <c r="C210" s="92" t="s">
        <v>867</v>
      </c>
      <c r="D210" s="93"/>
      <c r="E210" s="93"/>
      <c r="F210" s="94" t="s">
        <v>70</v>
      </c>
      <c r="G210" s="95">
        <v>1.3</v>
      </c>
      <c r="H210" s="180"/>
      <c r="I210" s="229">
        <v>7016.1</v>
      </c>
      <c r="J210" s="321"/>
      <c r="K210" s="257"/>
      <c r="L210" s="280"/>
      <c r="M210" s="401"/>
      <c r="N210" s="423"/>
      <c r="O210" s="423"/>
      <c r="P210" s="423"/>
      <c r="Q210" s="423"/>
      <c r="R210" s="218"/>
      <c r="S210" s="218"/>
      <c r="T210" s="213">
        <v>8.6</v>
      </c>
      <c r="U210" s="211"/>
      <c r="V210" s="273"/>
      <c r="W210" s="206">
        <f>ROUND(ROUND(T210, 2)*I210, 2)</f>
        <v>60338.46</v>
      </c>
    </row>
    <row r="211" spans="1:25" ht="22.8" hidden="1" x14ac:dyDescent="0.4">
      <c r="A211" s="91" t="s">
        <v>928</v>
      </c>
      <c r="B211" s="91"/>
      <c r="C211" s="92" t="s">
        <v>875</v>
      </c>
      <c r="D211" s="93"/>
      <c r="E211" s="93"/>
      <c r="F211" s="94" t="s">
        <v>64</v>
      </c>
      <c r="G211" s="95">
        <v>1.1000000000000001</v>
      </c>
      <c r="H211" s="180"/>
      <c r="I211" s="229">
        <v>169.62</v>
      </c>
      <c r="J211" s="321"/>
      <c r="K211" s="257"/>
      <c r="L211" s="280"/>
      <c r="M211" s="401"/>
      <c r="N211" s="423"/>
      <c r="O211" s="423"/>
      <c r="P211" s="423"/>
      <c r="Q211" s="423"/>
      <c r="R211" s="218"/>
      <c r="S211" s="218"/>
      <c r="T211" s="213">
        <v>26</v>
      </c>
      <c r="U211" s="211"/>
      <c r="V211" s="273"/>
      <c r="W211" s="206">
        <f>ROUND(ROUND(T211, 2)*I211, 2)</f>
        <v>4410.12</v>
      </c>
    </row>
    <row r="212" spans="1:25" ht="22.8" hidden="1" x14ac:dyDescent="0.4">
      <c r="A212" s="91" t="s">
        <v>931</v>
      </c>
      <c r="B212" s="91"/>
      <c r="C212" s="92" t="s">
        <v>767</v>
      </c>
      <c r="D212" s="93"/>
      <c r="E212" s="93"/>
      <c r="F212" s="94" t="s">
        <v>87</v>
      </c>
      <c r="G212" s="95">
        <v>1</v>
      </c>
      <c r="H212" s="180"/>
      <c r="I212" s="229">
        <v>154.19999999999999</v>
      </c>
      <c r="J212" s="321"/>
      <c r="K212" s="257"/>
      <c r="L212" s="280"/>
      <c r="M212" s="401"/>
      <c r="N212" s="423"/>
      <c r="O212" s="423"/>
      <c r="P212" s="423"/>
      <c r="Q212" s="423"/>
      <c r="R212" s="218"/>
      <c r="S212" s="218"/>
      <c r="T212" s="213">
        <v>15.76</v>
      </c>
      <c r="U212" s="211"/>
      <c r="V212" s="273"/>
      <c r="W212" s="206">
        <f>ROUND(ROUND(T212, 2)*I212, 2)</f>
        <v>2430.19</v>
      </c>
    </row>
    <row r="213" spans="1:25" ht="22.8" hidden="1" x14ac:dyDescent="0.4">
      <c r="A213" s="91" t="s">
        <v>934</v>
      </c>
      <c r="B213" s="91"/>
      <c r="C213" s="92" t="s">
        <v>760</v>
      </c>
      <c r="D213" s="93"/>
      <c r="E213" s="93"/>
      <c r="F213" s="94" t="s">
        <v>70</v>
      </c>
      <c r="G213" s="95">
        <v>0.25</v>
      </c>
      <c r="H213" s="180"/>
      <c r="I213" s="229">
        <v>38.549999999999997</v>
      </c>
      <c r="J213" s="321"/>
      <c r="K213" s="257"/>
      <c r="L213" s="280"/>
      <c r="M213" s="401"/>
      <c r="N213" s="423"/>
      <c r="O213" s="423"/>
      <c r="P213" s="423"/>
      <c r="Q213" s="423"/>
      <c r="R213" s="218"/>
      <c r="S213" s="218"/>
      <c r="T213" s="213">
        <v>100</v>
      </c>
      <c r="U213" s="211"/>
      <c r="V213" s="273"/>
      <c r="W213" s="206">
        <f>ROUND(ROUND(T213, 2)*I213, 2)</f>
        <v>3855</v>
      </c>
    </row>
    <row r="214" spans="1:25" ht="64.05" customHeight="1" x14ac:dyDescent="0.3">
      <c r="A214" s="74" t="s">
        <v>937</v>
      </c>
      <c r="B214" s="74" t="s">
        <v>892</v>
      </c>
      <c r="C214" s="75" t="s">
        <v>893</v>
      </c>
      <c r="D214" s="76"/>
      <c r="E214" s="76" t="s">
        <v>938</v>
      </c>
      <c r="F214" s="76" t="s">
        <v>64</v>
      </c>
      <c r="G214" s="77">
        <v>1</v>
      </c>
      <c r="H214" s="177"/>
      <c r="I214" s="228">
        <v>572.4</v>
      </c>
      <c r="J214" s="330">
        <f>I214-K214</f>
        <v>378.5</v>
      </c>
      <c r="K214" s="302">
        <f>L214</f>
        <v>193.9</v>
      </c>
      <c r="L214" s="303">
        <f>193.9</f>
        <v>193.9</v>
      </c>
      <c r="M214" s="409">
        <f>L214*V214</f>
        <v>293948.522</v>
      </c>
      <c r="N214" s="430"/>
      <c r="O214" s="430"/>
      <c r="P214" s="430"/>
      <c r="Q214" s="430"/>
      <c r="R214" s="220"/>
      <c r="S214" s="221"/>
      <c r="T214" s="212">
        <f>IFERROR(ROUND(SUM(W215,W216,W217,W218)/I214, 2),0)</f>
        <v>448.98</v>
      </c>
      <c r="U214" s="202">
        <v>1067</v>
      </c>
      <c r="V214" s="274">
        <f>T214+ROUND(U214, 2)</f>
        <v>1515.98</v>
      </c>
      <c r="W214" s="182">
        <f>ROUND(T214*I214, 2)</f>
        <v>256996.15</v>
      </c>
      <c r="X214" s="14">
        <f>ROUND(I214*ROUND(U214, 2), 2)</f>
        <v>610750.80000000005</v>
      </c>
      <c r="Y214" s="14">
        <f>W214+X214</f>
        <v>867746.95000000007</v>
      </c>
    </row>
    <row r="215" spans="1:25" ht="22.8" hidden="1" x14ac:dyDescent="0.4">
      <c r="A215" s="91" t="s">
        <v>939</v>
      </c>
      <c r="B215" s="91"/>
      <c r="C215" s="92" t="s">
        <v>433</v>
      </c>
      <c r="D215" s="93"/>
      <c r="E215" s="93"/>
      <c r="F215" s="94" t="s">
        <v>70</v>
      </c>
      <c r="G215" s="95">
        <v>0.15</v>
      </c>
      <c r="H215" s="180"/>
      <c r="I215" s="229">
        <v>85.86</v>
      </c>
      <c r="J215" s="321"/>
      <c r="K215" s="257"/>
      <c r="L215" s="280"/>
      <c r="M215" s="401"/>
      <c r="N215" s="423"/>
      <c r="O215" s="423"/>
      <c r="P215" s="423"/>
      <c r="Q215" s="423"/>
      <c r="R215" s="218"/>
      <c r="S215" s="218"/>
      <c r="T215" s="213">
        <v>88.8</v>
      </c>
      <c r="U215" s="211"/>
      <c r="V215" s="273"/>
      <c r="W215" s="206">
        <f>ROUND(ROUND(T215, 2)*I215, 2)</f>
        <v>7624.37</v>
      </c>
    </row>
    <row r="216" spans="1:25" ht="22.8" hidden="1" x14ac:dyDescent="0.4">
      <c r="A216" s="91" t="s">
        <v>942</v>
      </c>
      <c r="B216" s="91"/>
      <c r="C216" s="92" t="s">
        <v>767</v>
      </c>
      <c r="D216" s="93"/>
      <c r="E216" s="93"/>
      <c r="F216" s="94" t="s">
        <v>87</v>
      </c>
      <c r="G216" s="95">
        <v>1</v>
      </c>
      <c r="H216" s="180"/>
      <c r="I216" s="229">
        <v>572.4</v>
      </c>
      <c r="J216" s="321"/>
      <c r="K216" s="257"/>
      <c r="L216" s="280"/>
      <c r="M216" s="401"/>
      <c r="N216" s="423"/>
      <c r="O216" s="423"/>
      <c r="P216" s="423"/>
      <c r="Q216" s="423"/>
      <c r="R216" s="218"/>
      <c r="S216" s="218"/>
      <c r="T216" s="213">
        <v>15.76</v>
      </c>
      <c r="U216" s="211"/>
      <c r="V216" s="273"/>
      <c r="W216" s="206">
        <f>ROUND(ROUND(T216, 2)*I216, 2)</f>
        <v>9021.02</v>
      </c>
    </row>
    <row r="217" spans="1:25" ht="22.8" hidden="1" x14ac:dyDescent="0.4">
      <c r="A217" s="91" t="s">
        <v>945</v>
      </c>
      <c r="B217" s="91"/>
      <c r="C217" s="92" t="s">
        <v>875</v>
      </c>
      <c r="D217" s="93"/>
      <c r="E217" s="93"/>
      <c r="F217" s="94" t="s">
        <v>64</v>
      </c>
      <c r="G217" s="95">
        <v>1.1000000000000001</v>
      </c>
      <c r="H217" s="180"/>
      <c r="I217" s="229">
        <v>629.64</v>
      </c>
      <c r="J217" s="321"/>
      <c r="K217" s="257"/>
      <c r="L217" s="280"/>
      <c r="M217" s="401"/>
      <c r="N217" s="423"/>
      <c r="O217" s="423"/>
      <c r="P217" s="423"/>
      <c r="Q217" s="423"/>
      <c r="R217" s="218"/>
      <c r="S217" s="218"/>
      <c r="T217" s="213">
        <v>26</v>
      </c>
      <c r="U217" s="211"/>
      <c r="V217" s="273"/>
      <c r="W217" s="206">
        <f>ROUND(ROUND(T217, 2)*I217, 2)</f>
        <v>16370.64</v>
      </c>
    </row>
    <row r="218" spans="1:25" ht="22.8" hidden="1" x14ac:dyDescent="0.4">
      <c r="A218" s="91" t="s">
        <v>948</v>
      </c>
      <c r="B218" s="91"/>
      <c r="C218" s="92" t="s">
        <v>867</v>
      </c>
      <c r="D218" s="93"/>
      <c r="E218" s="93"/>
      <c r="F218" s="94" t="s">
        <v>70</v>
      </c>
      <c r="G218" s="95">
        <v>1.3</v>
      </c>
      <c r="H218" s="180"/>
      <c r="I218" s="229">
        <v>26044.2</v>
      </c>
      <c r="J218" s="321"/>
      <c r="K218" s="257"/>
      <c r="L218" s="280"/>
      <c r="M218" s="401"/>
      <c r="N218" s="423"/>
      <c r="O218" s="423"/>
      <c r="P218" s="423"/>
      <c r="Q218" s="423"/>
      <c r="R218" s="218"/>
      <c r="S218" s="218"/>
      <c r="T218" s="213">
        <v>8.6</v>
      </c>
      <c r="U218" s="211"/>
      <c r="V218" s="273"/>
      <c r="W218" s="206">
        <f>ROUND(ROUND(T218, 2)*I218, 2)</f>
        <v>223980.12</v>
      </c>
    </row>
    <row r="219" spans="1:25" ht="64.5" customHeight="1" x14ac:dyDescent="0.3">
      <c r="A219" s="74" t="s">
        <v>951</v>
      </c>
      <c r="B219" s="74" t="s">
        <v>952</v>
      </c>
      <c r="C219" s="75" t="s">
        <v>953</v>
      </c>
      <c r="D219" s="76"/>
      <c r="E219" s="76" t="s">
        <v>894</v>
      </c>
      <c r="F219" s="76" t="s">
        <v>64</v>
      </c>
      <c r="G219" s="77">
        <v>1</v>
      </c>
      <c r="H219" s="177"/>
      <c r="I219" s="228">
        <v>3617.6</v>
      </c>
      <c r="J219" s="330">
        <f>I219-K219</f>
        <v>2893.2</v>
      </c>
      <c r="K219" s="302">
        <f>L219</f>
        <v>724.4</v>
      </c>
      <c r="L219" s="303">
        <f>724.4</f>
        <v>724.4</v>
      </c>
      <c r="M219" s="409">
        <f>L219*V219</f>
        <v>1004315.404</v>
      </c>
      <c r="N219" s="430"/>
      <c r="O219" s="430"/>
      <c r="P219" s="430"/>
      <c r="Q219" s="430"/>
      <c r="R219" s="220"/>
      <c r="S219" s="221"/>
      <c r="T219" s="212">
        <f>IFERROR(ROUND(SUM(W220,W221,W222)/I219, 2),0)</f>
        <v>313.41000000000003</v>
      </c>
      <c r="U219" s="202">
        <v>1073</v>
      </c>
      <c r="V219" s="274">
        <f>T219+ROUND(U219, 2)</f>
        <v>1386.41</v>
      </c>
      <c r="W219" s="182">
        <f>ROUND(T219*I219, 2)</f>
        <v>1133792.02</v>
      </c>
      <c r="X219" s="14">
        <f>ROUND(I219*ROUND(U219, 2), 2)</f>
        <v>3881684.8</v>
      </c>
      <c r="Y219" s="14">
        <f>W219+X219</f>
        <v>5015476.82</v>
      </c>
    </row>
    <row r="220" spans="1:25" ht="36" hidden="1" x14ac:dyDescent="0.4">
      <c r="A220" s="91" t="s">
        <v>956</v>
      </c>
      <c r="B220" s="91"/>
      <c r="C220" s="96" t="s">
        <v>752</v>
      </c>
      <c r="D220" s="93"/>
      <c r="E220" s="93"/>
      <c r="F220" s="94" t="s">
        <v>70</v>
      </c>
      <c r="G220" s="95">
        <v>1</v>
      </c>
      <c r="H220" s="180"/>
      <c r="I220" s="229">
        <v>126616</v>
      </c>
      <c r="J220" s="321"/>
      <c r="K220" s="257"/>
      <c r="L220" s="280"/>
      <c r="M220" s="401"/>
      <c r="N220" s="423"/>
      <c r="O220" s="423"/>
      <c r="P220" s="423"/>
      <c r="Q220" s="423"/>
      <c r="R220" s="218"/>
      <c r="S220" s="218"/>
      <c r="T220" s="213">
        <v>7.79</v>
      </c>
      <c r="U220" s="211"/>
      <c r="V220" s="273"/>
      <c r="W220" s="206">
        <f>ROUND(ROUND(T220, 2)*I220, 2)</f>
        <v>986338.64</v>
      </c>
    </row>
    <row r="221" spans="1:25" ht="22.8" hidden="1" x14ac:dyDescent="0.4">
      <c r="A221" s="91" t="s">
        <v>959</v>
      </c>
      <c r="B221" s="91"/>
      <c r="C221" s="92" t="s">
        <v>767</v>
      </c>
      <c r="D221" s="93"/>
      <c r="E221" s="93"/>
      <c r="F221" s="94" t="s">
        <v>87</v>
      </c>
      <c r="G221" s="95">
        <v>1</v>
      </c>
      <c r="H221" s="180"/>
      <c r="I221" s="229">
        <v>3617.6</v>
      </c>
      <c r="J221" s="321"/>
      <c r="K221" s="257"/>
      <c r="L221" s="280"/>
      <c r="M221" s="401"/>
      <c r="N221" s="423"/>
      <c r="O221" s="423"/>
      <c r="P221" s="423"/>
      <c r="Q221" s="423"/>
      <c r="R221" s="218"/>
      <c r="S221" s="218"/>
      <c r="T221" s="213">
        <v>15.76</v>
      </c>
      <c r="U221" s="211"/>
      <c r="V221" s="273"/>
      <c r="W221" s="206">
        <f>ROUND(ROUND(T221, 2)*I221, 2)</f>
        <v>57013.38</v>
      </c>
    </row>
    <row r="222" spans="1:25" ht="22.8" hidden="1" x14ac:dyDescent="0.4">
      <c r="A222" s="91" t="s">
        <v>962</v>
      </c>
      <c r="B222" s="91"/>
      <c r="C222" s="92" t="s">
        <v>760</v>
      </c>
      <c r="D222" s="93"/>
      <c r="E222" s="93"/>
      <c r="F222" s="94" t="s">
        <v>70</v>
      </c>
      <c r="G222" s="95">
        <v>0.25</v>
      </c>
      <c r="H222" s="180"/>
      <c r="I222" s="229">
        <v>904.4</v>
      </c>
      <c r="J222" s="321"/>
      <c r="K222" s="257"/>
      <c r="L222" s="280"/>
      <c r="M222" s="401"/>
      <c r="N222" s="423"/>
      <c r="O222" s="423"/>
      <c r="P222" s="423"/>
      <c r="Q222" s="423"/>
      <c r="R222" s="218"/>
      <c r="S222" s="218"/>
      <c r="T222" s="213">
        <v>100</v>
      </c>
      <c r="U222" s="211"/>
      <c r="V222" s="273"/>
      <c r="W222" s="206">
        <f>ROUND(ROUND(T222, 2)*I222, 2)</f>
        <v>90440</v>
      </c>
    </row>
    <row r="223" spans="1:25" ht="59.55" customHeight="1" x14ac:dyDescent="0.3">
      <c r="A223" s="74" t="s">
        <v>965</v>
      </c>
      <c r="B223" s="74" t="s">
        <v>952</v>
      </c>
      <c r="C223" s="75" t="s">
        <v>953</v>
      </c>
      <c r="D223" s="76"/>
      <c r="E223" s="76" t="s">
        <v>966</v>
      </c>
      <c r="F223" s="76" t="s">
        <v>64</v>
      </c>
      <c r="G223" s="77">
        <v>1</v>
      </c>
      <c r="H223" s="177"/>
      <c r="I223" s="228">
        <v>4460.8</v>
      </c>
      <c r="J223" s="330">
        <f>I223-K223</f>
        <v>3312.3</v>
      </c>
      <c r="K223" s="302">
        <f>L223</f>
        <v>1148.5</v>
      </c>
      <c r="L223" s="303">
        <f>1148.5</f>
        <v>1148.5</v>
      </c>
      <c r="M223" s="409">
        <f>L223*V223</f>
        <v>1578877.405</v>
      </c>
      <c r="N223" s="430"/>
      <c r="O223" s="430"/>
      <c r="P223" s="430"/>
      <c r="Q223" s="430"/>
      <c r="R223" s="220"/>
      <c r="S223" s="221"/>
      <c r="T223" s="212">
        <f>IFERROR(ROUND(SUM(W224,W225,W226)/I223, 2),0)</f>
        <v>301.73</v>
      </c>
      <c r="U223" s="202">
        <v>1073</v>
      </c>
      <c r="V223" s="274">
        <f>T223+ROUND(U223, 2)</f>
        <v>1374.73</v>
      </c>
      <c r="W223" s="182">
        <f>ROUND(T223*I223, 2)</f>
        <v>1345957.18</v>
      </c>
      <c r="X223" s="14">
        <f>ROUND(I223*ROUND(U223, 2), 2)</f>
        <v>4786438.4000000004</v>
      </c>
      <c r="Y223" s="14">
        <f>W223+X223</f>
        <v>6132395.5800000001</v>
      </c>
    </row>
    <row r="224" spans="1:25" ht="22.8" hidden="1" x14ac:dyDescent="0.4">
      <c r="A224" s="91" t="s">
        <v>967</v>
      </c>
      <c r="B224" s="91"/>
      <c r="C224" s="92" t="s">
        <v>433</v>
      </c>
      <c r="D224" s="93"/>
      <c r="E224" s="93"/>
      <c r="F224" s="94" t="s">
        <v>70</v>
      </c>
      <c r="G224" s="95">
        <v>0.15</v>
      </c>
      <c r="H224" s="180"/>
      <c r="I224" s="229">
        <v>669.12</v>
      </c>
      <c r="J224" s="321"/>
      <c r="K224" s="257"/>
      <c r="L224" s="280"/>
      <c r="M224" s="401"/>
      <c r="N224" s="423"/>
      <c r="O224" s="423"/>
      <c r="P224" s="423"/>
      <c r="Q224" s="423"/>
      <c r="R224" s="218"/>
      <c r="S224" s="218"/>
      <c r="T224" s="213">
        <v>88.8</v>
      </c>
      <c r="U224" s="211"/>
      <c r="V224" s="273"/>
      <c r="W224" s="206">
        <f>ROUND(ROUND(T224, 2)*I224, 2)</f>
        <v>59417.86</v>
      </c>
    </row>
    <row r="225" spans="1:25" ht="22.8" hidden="1" x14ac:dyDescent="0.4">
      <c r="A225" s="91" t="s">
        <v>970</v>
      </c>
      <c r="B225" s="91"/>
      <c r="C225" s="92" t="s">
        <v>767</v>
      </c>
      <c r="D225" s="93"/>
      <c r="E225" s="93"/>
      <c r="F225" s="94" t="s">
        <v>87</v>
      </c>
      <c r="G225" s="95">
        <v>1</v>
      </c>
      <c r="H225" s="180"/>
      <c r="I225" s="229">
        <v>4460.8</v>
      </c>
      <c r="J225" s="321"/>
      <c r="K225" s="257"/>
      <c r="L225" s="280"/>
      <c r="M225" s="401"/>
      <c r="N225" s="423"/>
      <c r="O225" s="423"/>
      <c r="P225" s="423"/>
      <c r="Q225" s="423"/>
      <c r="R225" s="218"/>
      <c r="S225" s="218"/>
      <c r="T225" s="213">
        <v>15.76</v>
      </c>
      <c r="U225" s="211"/>
      <c r="V225" s="273"/>
      <c r="W225" s="206">
        <f>ROUND(ROUND(T225, 2)*I225, 2)</f>
        <v>70302.210000000006</v>
      </c>
    </row>
    <row r="226" spans="1:25" ht="36" hidden="1" x14ac:dyDescent="0.4">
      <c r="A226" s="91" t="s">
        <v>973</v>
      </c>
      <c r="B226" s="91"/>
      <c r="C226" s="96" t="s">
        <v>752</v>
      </c>
      <c r="D226" s="93"/>
      <c r="E226" s="93"/>
      <c r="F226" s="94" t="s">
        <v>70</v>
      </c>
      <c r="G226" s="95">
        <v>1</v>
      </c>
      <c r="H226" s="180"/>
      <c r="I226" s="229">
        <v>156128</v>
      </c>
      <c r="J226" s="321"/>
      <c r="K226" s="257"/>
      <c r="L226" s="280"/>
      <c r="M226" s="401"/>
      <c r="N226" s="423"/>
      <c r="O226" s="423"/>
      <c r="P226" s="423"/>
      <c r="Q226" s="423"/>
      <c r="R226" s="218"/>
      <c r="S226" s="218"/>
      <c r="T226" s="213">
        <v>7.79</v>
      </c>
      <c r="U226" s="211"/>
      <c r="V226" s="273"/>
      <c r="W226" s="206">
        <f>ROUND(ROUND(T226, 2)*I226, 2)</f>
        <v>1216237.1200000001</v>
      </c>
    </row>
    <row r="227" spans="1:25" ht="63.45" customHeight="1" x14ac:dyDescent="0.3">
      <c r="A227" s="74" t="s">
        <v>976</v>
      </c>
      <c r="B227" s="74" t="s">
        <v>952</v>
      </c>
      <c r="C227" s="75" t="s">
        <v>953</v>
      </c>
      <c r="D227" s="76"/>
      <c r="E227" s="76" t="s">
        <v>924</v>
      </c>
      <c r="F227" s="76" t="s">
        <v>64</v>
      </c>
      <c r="G227" s="77">
        <v>1</v>
      </c>
      <c r="H227" s="177"/>
      <c r="I227" s="228">
        <v>3125.2</v>
      </c>
      <c r="J227" s="330">
        <f>I227-K227</f>
        <v>1083.1599999999999</v>
      </c>
      <c r="K227" s="302">
        <f>L227</f>
        <v>2042.04</v>
      </c>
      <c r="L227" s="303">
        <f>652.3+1389.74</f>
        <v>2042.04</v>
      </c>
      <c r="M227" s="409">
        <f>L227*V227</f>
        <v>2831104.6764000002</v>
      </c>
      <c r="N227" s="430"/>
      <c r="O227" s="430"/>
      <c r="P227" s="430"/>
      <c r="Q227" s="430"/>
      <c r="R227" s="220"/>
      <c r="S227" s="221"/>
      <c r="T227" s="212">
        <f>IFERROR(ROUND(SUM(W228,W229,W230)/I227, 2),0)</f>
        <v>313.41000000000003</v>
      </c>
      <c r="U227" s="202">
        <v>1073</v>
      </c>
      <c r="V227" s="274">
        <f>T227+ROUND(U227, 2)</f>
        <v>1386.41</v>
      </c>
      <c r="W227" s="182">
        <f>ROUND(T227*I227, 2)</f>
        <v>979468.93</v>
      </c>
      <c r="X227" s="14">
        <f>ROUND(I227*ROUND(U227, 2), 2)</f>
        <v>3353339.6</v>
      </c>
      <c r="Y227" s="14">
        <f>W227+X227</f>
        <v>4332808.53</v>
      </c>
    </row>
    <row r="228" spans="1:25" ht="36" hidden="1" x14ac:dyDescent="0.4">
      <c r="A228" s="91" t="s">
        <v>977</v>
      </c>
      <c r="B228" s="91"/>
      <c r="C228" s="96" t="s">
        <v>752</v>
      </c>
      <c r="D228" s="93"/>
      <c r="E228" s="93"/>
      <c r="F228" s="94" t="s">
        <v>70</v>
      </c>
      <c r="G228" s="95">
        <v>1</v>
      </c>
      <c r="H228" s="180"/>
      <c r="I228" s="229">
        <v>109382</v>
      </c>
      <c r="J228" s="321"/>
      <c r="K228" s="305"/>
      <c r="L228" s="306"/>
      <c r="M228" s="412"/>
      <c r="N228" s="433"/>
      <c r="O228" s="433"/>
      <c r="P228" s="433"/>
      <c r="Q228" s="433"/>
      <c r="R228" s="218"/>
      <c r="S228" s="218"/>
      <c r="T228" s="213">
        <v>7.79</v>
      </c>
      <c r="U228" s="211"/>
      <c r="V228" s="273"/>
      <c r="W228" s="206">
        <f>ROUND(ROUND(T228, 2)*I228, 2)</f>
        <v>852085.78</v>
      </c>
    </row>
    <row r="229" spans="1:25" ht="22.8" hidden="1" x14ac:dyDescent="0.4">
      <c r="A229" s="91" t="s">
        <v>980</v>
      </c>
      <c r="B229" s="91"/>
      <c r="C229" s="92" t="s">
        <v>767</v>
      </c>
      <c r="D229" s="93"/>
      <c r="E229" s="93"/>
      <c r="F229" s="94" t="s">
        <v>87</v>
      </c>
      <c r="G229" s="95">
        <v>1</v>
      </c>
      <c r="H229" s="180"/>
      <c r="I229" s="229">
        <v>3125.2</v>
      </c>
      <c r="J229" s="321"/>
      <c r="K229" s="305"/>
      <c r="L229" s="306"/>
      <c r="M229" s="412"/>
      <c r="N229" s="433"/>
      <c r="O229" s="433"/>
      <c r="P229" s="433"/>
      <c r="Q229" s="433"/>
      <c r="R229" s="218"/>
      <c r="S229" s="218"/>
      <c r="T229" s="213">
        <v>15.76</v>
      </c>
      <c r="U229" s="211"/>
      <c r="V229" s="273"/>
      <c r="W229" s="206">
        <f>ROUND(ROUND(T229, 2)*I229, 2)</f>
        <v>49253.15</v>
      </c>
    </row>
    <row r="230" spans="1:25" ht="22.8" hidden="1" x14ac:dyDescent="0.4">
      <c r="A230" s="91" t="s">
        <v>983</v>
      </c>
      <c r="B230" s="91"/>
      <c r="C230" s="92" t="s">
        <v>760</v>
      </c>
      <c r="D230" s="93"/>
      <c r="E230" s="93"/>
      <c r="F230" s="94" t="s">
        <v>70</v>
      </c>
      <c r="G230" s="95">
        <v>0.25</v>
      </c>
      <c r="H230" s="180"/>
      <c r="I230" s="229">
        <v>781.3</v>
      </c>
      <c r="J230" s="321"/>
      <c r="K230" s="305"/>
      <c r="L230" s="306"/>
      <c r="M230" s="412"/>
      <c r="N230" s="433"/>
      <c r="O230" s="433"/>
      <c r="P230" s="433"/>
      <c r="Q230" s="433"/>
      <c r="R230" s="218"/>
      <c r="S230" s="218"/>
      <c r="T230" s="213">
        <v>100</v>
      </c>
      <c r="U230" s="211"/>
      <c r="V230" s="273"/>
      <c r="W230" s="206">
        <f>ROUND(ROUND(T230, 2)*I230, 2)</f>
        <v>78130</v>
      </c>
    </row>
    <row r="231" spans="1:25" ht="59.55" customHeight="1" x14ac:dyDescent="0.3">
      <c r="A231" s="74" t="s">
        <v>986</v>
      </c>
      <c r="B231" s="74" t="s">
        <v>952</v>
      </c>
      <c r="C231" s="75" t="s">
        <v>953</v>
      </c>
      <c r="D231" s="76"/>
      <c r="E231" s="76" t="s">
        <v>987</v>
      </c>
      <c r="F231" s="76" t="s">
        <v>64</v>
      </c>
      <c r="G231" s="77">
        <v>1</v>
      </c>
      <c r="H231" s="177"/>
      <c r="I231" s="228">
        <v>4198.8</v>
      </c>
      <c r="J231" s="330">
        <f>I231-K231</f>
        <v>588</v>
      </c>
      <c r="K231" s="304">
        <f>L231</f>
        <v>3610.8</v>
      </c>
      <c r="L231" s="303">
        <f>863+2747.8</f>
        <v>3610.8</v>
      </c>
      <c r="M231" s="409">
        <f>L231*V231</f>
        <v>4963875.0840000007</v>
      </c>
      <c r="N231" s="430"/>
      <c r="O231" s="430"/>
      <c r="P231" s="430"/>
      <c r="Q231" s="430"/>
      <c r="R231" s="220"/>
      <c r="S231" s="221"/>
      <c r="T231" s="212">
        <f>IFERROR(ROUND(SUM(W232,W233,W234)/I231, 2),0)</f>
        <v>301.73</v>
      </c>
      <c r="U231" s="202">
        <v>1073</v>
      </c>
      <c r="V231" s="274">
        <f>T231+ROUND(U231, 2)</f>
        <v>1374.73</v>
      </c>
      <c r="W231" s="182">
        <f>ROUND(T231*I231, 2)</f>
        <v>1266903.92</v>
      </c>
      <c r="X231" s="14">
        <f>ROUND(I231*ROUND(U231, 2), 2)</f>
        <v>4505312.4000000004</v>
      </c>
      <c r="Y231" s="14">
        <f>W231+X231</f>
        <v>5772216.3200000003</v>
      </c>
    </row>
    <row r="232" spans="1:25" ht="22.8" hidden="1" x14ac:dyDescent="0.4">
      <c r="A232" s="91" t="s">
        <v>988</v>
      </c>
      <c r="B232" s="91"/>
      <c r="C232" s="92" t="s">
        <v>433</v>
      </c>
      <c r="D232" s="93"/>
      <c r="E232" s="93"/>
      <c r="F232" s="94" t="s">
        <v>70</v>
      </c>
      <c r="G232" s="95">
        <v>0.15</v>
      </c>
      <c r="H232" s="180"/>
      <c r="I232" s="229">
        <v>629.82000000000005</v>
      </c>
      <c r="J232" s="321"/>
      <c r="K232" s="257"/>
      <c r="L232" s="280"/>
      <c r="M232" s="401"/>
      <c r="N232" s="423"/>
      <c r="O232" s="423"/>
      <c r="P232" s="423"/>
      <c r="Q232" s="423"/>
      <c r="R232" s="218"/>
      <c r="S232" s="218"/>
      <c r="T232" s="213">
        <v>88.8</v>
      </c>
      <c r="U232" s="211"/>
      <c r="V232" s="273"/>
      <c r="W232" s="206">
        <f>ROUND(ROUND(T232, 2)*I232, 2)</f>
        <v>55928.02</v>
      </c>
    </row>
    <row r="233" spans="1:25" ht="22.8" hidden="1" x14ac:dyDescent="0.4">
      <c r="A233" s="91" t="s">
        <v>991</v>
      </c>
      <c r="B233" s="91"/>
      <c r="C233" s="92" t="s">
        <v>767</v>
      </c>
      <c r="D233" s="93"/>
      <c r="E233" s="93"/>
      <c r="F233" s="94" t="s">
        <v>87</v>
      </c>
      <c r="G233" s="95">
        <v>1</v>
      </c>
      <c r="H233" s="180"/>
      <c r="I233" s="229">
        <v>4198.8</v>
      </c>
      <c r="J233" s="321"/>
      <c r="K233" s="257"/>
      <c r="L233" s="280"/>
      <c r="M233" s="401"/>
      <c r="N233" s="423"/>
      <c r="O233" s="423"/>
      <c r="P233" s="423"/>
      <c r="Q233" s="423"/>
      <c r="R233" s="218"/>
      <c r="S233" s="218"/>
      <c r="T233" s="213">
        <v>15.76</v>
      </c>
      <c r="U233" s="211"/>
      <c r="V233" s="273"/>
      <c r="W233" s="206">
        <f>ROUND(ROUND(T233, 2)*I233, 2)</f>
        <v>66173.09</v>
      </c>
    </row>
    <row r="234" spans="1:25" ht="36" hidden="1" x14ac:dyDescent="0.4">
      <c r="A234" s="91" t="s">
        <v>994</v>
      </c>
      <c r="B234" s="91"/>
      <c r="C234" s="96" t="s">
        <v>752</v>
      </c>
      <c r="D234" s="93"/>
      <c r="E234" s="93"/>
      <c r="F234" s="94" t="s">
        <v>70</v>
      </c>
      <c r="G234" s="95">
        <v>1</v>
      </c>
      <c r="H234" s="180"/>
      <c r="I234" s="229">
        <v>146958</v>
      </c>
      <c r="J234" s="321"/>
      <c r="K234" s="257"/>
      <c r="L234" s="280"/>
      <c r="M234" s="401"/>
      <c r="N234" s="423"/>
      <c r="O234" s="423"/>
      <c r="P234" s="423"/>
      <c r="Q234" s="423"/>
      <c r="R234" s="218"/>
      <c r="S234" s="218"/>
      <c r="T234" s="213">
        <v>7.79</v>
      </c>
      <c r="U234" s="211"/>
      <c r="V234" s="273"/>
      <c r="W234" s="206">
        <f>ROUND(ROUND(T234, 2)*I234, 2)</f>
        <v>1144802.82</v>
      </c>
    </row>
    <row r="235" spans="1:25" ht="37.950000000000003" customHeight="1" x14ac:dyDescent="0.45">
      <c r="A235" s="309" t="s">
        <v>997</v>
      </c>
      <c r="B235" s="309" t="s">
        <v>998</v>
      </c>
      <c r="C235" s="297" t="s">
        <v>999</v>
      </c>
      <c r="D235" s="298"/>
      <c r="E235" s="298"/>
      <c r="F235" s="298"/>
      <c r="G235" s="298"/>
      <c r="H235" s="298"/>
      <c r="I235" s="223"/>
      <c r="J235" s="324"/>
      <c r="K235" s="257"/>
      <c r="L235" s="280"/>
      <c r="M235" s="219"/>
      <c r="N235" s="421"/>
      <c r="O235" s="421"/>
      <c r="P235" s="421"/>
      <c r="Q235" s="421"/>
      <c r="R235" s="224"/>
      <c r="S235" s="219"/>
      <c r="T235" s="210"/>
      <c r="U235" s="211"/>
      <c r="V235" s="273"/>
      <c r="W235" s="205">
        <f>SUM(W236,W242,W248,W251,W254,W257,W260,W263,W266,W269,W272,W275,W278,W281,W284,W287,W290,W293,W296,W299,W302,W305,W308,W311,W314,W317,W320,W323,W326,W329,W332,W335,W340,W345,W350,W354,W359,W363,W369,W375,W380,W385,W390,W395,W400,W406,W411)</f>
        <v>2321278.4100000006</v>
      </c>
      <c r="X235" s="6">
        <f>SUM(X236,X242,X248,X251,X254,X257,X260,X263,X266,X269,X272,X275,X278,X281,X284,X287,X290,X293,X296,X299,X302,X305,X308,X311,X314,X317,X320,X323,X326,X329,X332,X335,X340,X345,X350,X354,X359,X363,X369,X375,X380,X385,X390,X395,X400,X406,X411)</f>
        <v>10285693.439999998</v>
      </c>
      <c r="Y235" s="6">
        <f>SUM(Y236,Y242,Y248,Y251,Y254,Y257,Y260,Y263,Y266,Y269,Y272,Y275,Y278,Y281,Y284,Y287,Y290,Y293,Y296,Y299,Y302,Y305,Y308,Y311,Y314,Y317,Y320,Y323,Y326,Y329,Y332,Y335,Y340,Y345,Y350,Y354,Y359,Y363,Y369,Y375,Y380,Y385,Y390,Y395,Y400,Y406,Y411)</f>
        <v>12606971.850000003</v>
      </c>
    </row>
    <row r="236" spans="1:25" ht="36" hidden="1" x14ac:dyDescent="0.3">
      <c r="A236" s="91" t="s">
        <v>1000</v>
      </c>
      <c r="B236" s="91" t="s">
        <v>1001</v>
      </c>
      <c r="C236" s="97" t="s">
        <v>1002</v>
      </c>
      <c r="D236" s="93"/>
      <c r="E236" s="93" t="s">
        <v>63</v>
      </c>
      <c r="F236" s="93" t="s">
        <v>64</v>
      </c>
      <c r="G236" s="98">
        <v>1</v>
      </c>
      <c r="H236" s="181"/>
      <c r="I236" s="231">
        <v>0</v>
      </c>
      <c r="J236" s="323"/>
      <c r="K236" s="258"/>
      <c r="L236" s="281"/>
      <c r="M236" s="221"/>
      <c r="N236" s="422"/>
      <c r="O236" s="422"/>
      <c r="P236" s="422"/>
      <c r="Q236" s="422"/>
      <c r="R236" s="220"/>
      <c r="S236" s="221"/>
      <c r="T236" s="212">
        <f>IFERROR(ROUND(SUM(W237,W238,W239,W240,W241)/I236, 2),0)</f>
        <v>0</v>
      </c>
      <c r="U236" s="202">
        <v>1869</v>
      </c>
      <c r="V236" s="274">
        <f>T236+ROUND(U236, 2)</f>
        <v>1869</v>
      </c>
      <c r="W236" s="182">
        <f>ROUND(T236*I236, 2)</f>
        <v>0</v>
      </c>
      <c r="X236" s="14">
        <f>ROUND(I236*ROUND(U236, 2), 2)</f>
        <v>0</v>
      </c>
      <c r="Y236" s="14">
        <f>W236+X236</f>
        <v>0</v>
      </c>
    </row>
    <row r="237" spans="1:25" ht="36" hidden="1" x14ac:dyDescent="0.4">
      <c r="A237" s="91" t="s">
        <v>1006</v>
      </c>
      <c r="B237" s="91"/>
      <c r="C237" s="92" t="s">
        <v>1007</v>
      </c>
      <c r="D237" s="93"/>
      <c r="E237" s="93"/>
      <c r="F237" s="94" t="s">
        <v>87</v>
      </c>
      <c r="G237" s="95">
        <v>0.23</v>
      </c>
      <c r="H237" s="180"/>
      <c r="I237" s="229">
        <v>0</v>
      </c>
      <c r="J237" s="321"/>
      <c r="K237" s="257"/>
      <c r="L237" s="280"/>
      <c r="M237" s="401"/>
      <c r="N237" s="423"/>
      <c r="O237" s="423"/>
      <c r="P237" s="423"/>
      <c r="Q237" s="423"/>
      <c r="R237" s="218"/>
      <c r="S237" s="218"/>
      <c r="T237" s="213">
        <v>97.71</v>
      </c>
      <c r="U237" s="211"/>
      <c r="V237" s="273"/>
      <c r="W237" s="206">
        <f>ROUND(ROUND(T237, 2)*I237, 2)</f>
        <v>0</v>
      </c>
    </row>
    <row r="238" spans="1:25" ht="50.55" hidden="1" customHeight="1" x14ac:dyDescent="0.4">
      <c r="A238" s="91" t="s">
        <v>1013</v>
      </c>
      <c r="B238" s="91"/>
      <c r="C238" s="96" t="s">
        <v>601</v>
      </c>
      <c r="D238" s="93"/>
      <c r="E238" s="93" t="s">
        <v>402</v>
      </c>
      <c r="F238" s="94" t="s">
        <v>70</v>
      </c>
      <c r="G238" s="95">
        <v>1.2</v>
      </c>
      <c r="H238" s="180"/>
      <c r="I238" s="229">
        <v>0</v>
      </c>
      <c r="J238" s="321"/>
      <c r="K238" s="257"/>
      <c r="L238" s="280"/>
      <c r="M238" s="401"/>
      <c r="N238" s="423"/>
      <c r="O238" s="423"/>
      <c r="P238" s="423"/>
      <c r="Q238" s="423"/>
      <c r="R238" s="218"/>
      <c r="S238" s="218"/>
      <c r="T238" s="213">
        <v>12.33</v>
      </c>
      <c r="U238" s="211"/>
      <c r="V238" s="273"/>
      <c r="W238" s="206">
        <f>ROUND(ROUND(T238, 2)*I238, 2)</f>
        <v>0</v>
      </c>
    </row>
    <row r="239" spans="1:25" ht="73.05" hidden="1" customHeight="1" x14ac:dyDescent="0.4">
      <c r="A239" s="91" t="s">
        <v>1018</v>
      </c>
      <c r="B239" s="91"/>
      <c r="C239" s="96" t="s">
        <v>1019</v>
      </c>
      <c r="D239" s="93"/>
      <c r="E239" s="93" t="s">
        <v>1020</v>
      </c>
      <c r="F239" s="94" t="s">
        <v>64</v>
      </c>
      <c r="G239" s="95">
        <v>1.07</v>
      </c>
      <c r="H239" s="180"/>
      <c r="I239" s="229">
        <v>0</v>
      </c>
      <c r="J239" s="321"/>
      <c r="K239" s="257"/>
      <c r="L239" s="280"/>
      <c r="M239" s="401"/>
      <c r="N239" s="423"/>
      <c r="O239" s="423"/>
      <c r="P239" s="423"/>
      <c r="Q239" s="423"/>
      <c r="R239" s="218"/>
      <c r="S239" s="218"/>
      <c r="T239" s="213">
        <v>637.79999999999995</v>
      </c>
      <c r="U239" s="211"/>
      <c r="V239" s="273"/>
      <c r="W239" s="206">
        <f>ROUND(ROUND(T239, 2)*I239, 2)</f>
        <v>0</v>
      </c>
    </row>
    <row r="240" spans="1:25" ht="22.8" hidden="1" x14ac:dyDescent="0.4">
      <c r="A240" s="91" t="s">
        <v>1026</v>
      </c>
      <c r="B240" s="91"/>
      <c r="C240" s="92" t="s">
        <v>426</v>
      </c>
      <c r="D240" s="93"/>
      <c r="E240" s="93"/>
      <c r="F240" s="94" t="s">
        <v>70</v>
      </c>
      <c r="G240" s="95">
        <v>0.25</v>
      </c>
      <c r="H240" s="180"/>
      <c r="I240" s="229">
        <v>0</v>
      </c>
      <c r="J240" s="321"/>
      <c r="K240" s="257"/>
      <c r="L240" s="280"/>
      <c r="M240" s="401"/>
      <c r="N240" s="423"/>
      <c r="O240" s="423"/>
      <c r="P240" s="423"/>
      <c r="Q240" s="423"/>
      <c r="R240" s="218"/>
      <c r="S240" s="218"/>
      <c r="T240" s="213">
        <v>40.270000000000003</v>
      </c>
      <c r="U240" s="211"/>
      <c r="V240" s="273"/>
      <c r="W240" s="206">
        <f>ROUND(ROUND(T240, 2)*I240, 2)</f>
        <v>0</v>
      </c>
    </row>
    <row r="241" spans="1:25" ht="22.8" hidden="1" x14ac:dyDescent="0.4">
      <c r="A241" s="91" t="s">
        <v>1031</v>
      </c>
      <c r="B241" s="91"/>
      <c r="C241" s="92" t="s">
        <v>452</v>
      </c>
      <c r="D241" s="93"/>
      <c r="E241" s="93"/>
      <c r="F241" s="94" t="s">
        <v>70</v>
      </c>
      <c r="G241" s="95">
        <v>0.15</v>
      </c>
      <c r="H241" s="180"/>
      <c r="I241" s="229">
        <v>0</v>
      </c>
      <c r="J241" s="321"/>
      <c r="K241" s="257"/>
      <c r="L241" s="280"/>
      <c r="M241" s="401"/>
      <c r="N241" s="423"/>
      <c r="O241" s="423"/>
      <c r="P241" s="423"/>
      <c r="Q241" s="423"/>
      <c r="R241" s="218"/>
      <c r="S241" s="218"/>
      <c r="T241" s="213">
        <v>68.400000000000006</v>
      </c>
      <c r="U241" s="211"/>
      <c r="V241" s="273"/>
      <c r="W241" s="206">
        <f>ROUND(ROUND(T241, 2)*I241, 2)</f>
        <v>0</v>
      </c>
    </row>
    <row r="242" spans="1:25" ht="36" hidden="1" x14ac:dyDescent="0.3">
      <c r="A242" s="91" t="s">
        <v>1036</v>
      </c>
      <c r="B242" s="91" t="s">
        <v>1001</v>
      </c>
      <c r="C242" s="97" t="s">
        <v>1002</v>
      </c>
      <c r="D242" s="93"/>
      <c r="E242" s="93" t="s">
        <v>63</v>
      </c>
      <c r="F242" s="93" t="s">
        <v>64</v>
      </c>
      <c r="G242" s="98">
        <v>1</v>
      </c>
      <c r="H242" s="181"/>
      <c r="I242" s="231">
        <v>0</v>
      </c>
      <c r="J242" s="323"/>
      <c r="K242" s="258"/>
      <c r="L242" s="281"/>
      <c r="M242" s="221"/>
      <c r="N242" s="422"/>
      <c r="O242" s="422"/>
      <c r="P242" s="422"/>
      <c r="Q242" s="422"/>
      <c r="R242" s="220"/>
      <c r="S242" s="221"/>
      <c r="T242" s="212">
        <f>IFERROR(ROUND(SUM(W243,W244,W245,W246,W247)/I242, 2),0)</f>
        <v>0</v>
      </c>
      <c r="U242" s="202">
        <v>1869</v>
      </c>
      <c r="V242" s="274">
        <f>T242+ROUND(U242, 2)</f>
        <v>1869</v>
      </c>
      <c r="W242" s="182">
        <f>ROUND(T242*I242, 2)</f>
        <v>0</v>
      </c>
      <c r="X242" s="14">
        <f>ROUND(I242*ROUND(U242, 2), 2)</f>
        <v>0</v>
      </c>
      <c r="Y242" s="14">
        <f>W242+X242</f>
        <v>0</v>
      </c>
    </row>
    <row r="243" spans="1:25" ht="22.8" hidden="1" x14ac:dyDescent="0.4">
      <c r="A243" s="91" t="s">
        <v>1038</v>
      </c>
      <c r="B243" s="91"/>
      <c r="C243" s="92" t="s">
        <v>452</v>
      </c>
      <c r="D243" s="93"/>
      <c r="E243" s="93"/>
      <c r="F243" s="94" t="s">
        <v>70</v>
      </c>
      <c r="G243" s="95">
        <v>0.15</v>
      </c>
      <c r="H243" s="180"/>
      <c r="I243" s="229">
        <v>0</v>
      </c>
      <c r="J243" s="321"/>
      <c r="K243" s="257"/>
      <c r="L243" s="280"/>
      <c r="M243" s="401"/>
      <c r="N243" s="423"/>
      <c r="O243" s="423"/>
      <c r="P243" s="423"/>
      <c r="Q243" s="423"/>
      <c r="R243" s="218"/>
      <c r="S243" s="218"/>
      <c r="T243" s="213">
        <v>68.400000000000006</v>
      </c>
      <c r="U243" s="211"/>
      <c r="V243" s="273"/>
      <c r="W243" s="206">
        <f>ROUND(ROUND(T243, 2)*I243, 2)</f>
        <v>0</v>
      </c>
    </row>
    <row r="244" spans="1:25" ht="22.8" hidden="1" x14ac:dyDescent="0.4">
      <c r="A244" s="91" t="s">
        <v>1043</v>
      </c>
      <c r="B244" s="91"/>
      <c r="C244" s="92" t="s">
        <v>1044</v>
      </c>
      <c r="D244" s="93"/>
      <c r="E244" s="93" t="s">
        <v>1045</v>
      </c>
      <c r="F244" s="94" t="s">
        <v>70</v>
      </c>
      <c r="G244" s="95">
        <v>0.25</v>
      </c>
      <c r="H244" s="180"/>
      <c r="I244" s="229">
        <v>0</v>
      </c>
      <c r="J244" s="321"/>
      <c r="K244" s="257"/>
      <c r="L244" s="280"/>
      <c r="M244" s="401"/>
      <c r="N244" s="423"/>
      <c r="O244" s="423"/>
      <c r="P244" s="423"/>
      <c r="Q244" s="423"/>
      <c r="R244" s="218"/>
      <c r="S244" s="218"/>
      <c r="T244" s="213">
        <v>40.270000000000003</v>
      </c>
      <c r="U244" s="211"/>
      <c r="V244" s="273"/>
      <c r="W244" s="206">
        <f>ROUND(ROUND(T244, 2)*I244, 2)</f>
        <v>0</v>
      </c>
    </row>
    <row r="245" spans="1:25" ht="87.45" hidden="1" customHeight="1" x14ac:dyDescent="0.4">
      <c r="A245" s="91" t="s">
        <v>1051</v>
      </c>
      <c r="B245" s="91"/>
      <c r="C245" s="92" t="s">
        <v>1052</v>
      </c>
      <c r="D245" s="93"/>
      <c r="E245" s="93" t="s">
        <v>1053</v>
      </c>
      <c r="F245" s="94" t="s">
        <v>64</v>
      </c>
      <c r="G245" s="95">
        <v>1.07</v>
      </c>
      <c r="H245" s="180"/>
      <c r="I245" s="229">
        <v>0</v>
      </c>
      <c r="J245" s="321"/>
      <c r="K245" s="257"/>
      <c r="L245" s="280"/>
      <c r="M245" s="401"/>
      <c r="N245" s="423"/>
      <c r="O245" s="423"/>
      <c r="P245" s="423"/>
      <c r="Q245" s="423"/>
      <c r="R245" s="218"/>
      <c r="S245" s="218"/>
      <c r="T245" s="213">
        <v>837.4</v>
      </c>
      <c r="U245" s="211"/>
      <c r="V245" s="273"/>
      <c r="W245" s="206">
        <f>ROUND(ROUND(T245, 2)*I245, 2)</f>
        <v>0</v>
      </c>
    </row>
    <row r="246" spans="1:25" ht="67.5" hidden="1" customHeight="1" x14ac:dyDescent="0.4">
      <c r="A246" s="91" t="s">
        <v>1059</v>
      </c>
      <c r="B246" s="91"/>
      <c r="C246" s="96" t="s">
        <v>601</v>
      </c>
      <c r="D246" s="93"/>
      <c r="E246" s="93" t="s">
        <v>402</v>
      </c>
      <c r="F246" s="94" t="s">
        <v>70</v>
      </c>
      <c r="G246" s="95">
        <v>1.2</v>
      </c>
      <c r="H246" s="180"/>
      <c r="I246" s="229">
        <v>0</v>
      </c>
      <c r="J246" s="321"/>
      <c r="K246" s="257"/>
      <c r="L246" s="280"/>
      <c r="M246" s="401"/>
      <c r="N246" s="423"/>
      <c r="O246" s="423"/>
      <c r="P246" s="423"/>
      <c r="Q246" s="423"/>
      <c r="R246" s="218"/>
      <c r="S246" s="218"/>
      <c r="T246" s="213">
        <v>12.33</v>
      </c>
      <c r="U246" s="211"/>
      <c r="V246" s="273"/>
      <c r="W246" s="206">
        <f>ROUND(ROUND(T246, 2)*I246, 2)</f>
        <v>0</v>
      </c>
    </row>
    <row r="247" spans="1:25" ht="36" hidden="1" x14ac:dyDescent="0.4">
      <c r="A247" s="91" t="s">
        <v>1064</v>
      </c>
      <c r="B247" s="91"/>
      <c r="C247" s="92" t="s">
        <v>1007</v>
      </c>
      <c r="D247" s="93"/>
      <c r="E247" s="93"/>
      <c r="F247" s="94" t="s">
        <v>87</v>
      </c>
      <c r="G247" s="95">
        <v>0.23</v>
      </c>
      <c r="H247" s="180"/>
      <c r="I247" s="229">
        <v>0</v>
      </c>
      <c r="J247" s="321"/>
      <c r="K247" s="257"/>
      <c r="L247" s="280"/>
      <c r="M247" s="401"/>
      <c r="N247" s="423"/>
      <c r="O247" s="423"/>
      <c r="P247" s="423"/>
      <c r="Q247" s="423"/>
      <c r="R247" s="218"/>
      <c r="S247" s="218"/>
      <c r="T247" s="213">
        <v>97.71</v>
      </c>
      <c r="U247" s="211"/>
      <c r="V247" s="273"/>
      <c r="W247" s="206">
        <f>ROUND(ROUND(T247, 2)*I247, 2)</f>
        <v>0</v>
      </c>
    </row>
    <row r="248" spans="1:25" ht="36" hidden="1" x14ac:dyDescent="0.3">
      <c r="A248" s="91" t="s">
        <v>1069</v>
      </c>
      <c r="B248" s="91" t="s">
        <v>1070</v>
      </c>
      <c r="C248" s="97" t="s">
        <v>1071</v>
      </c>
      <c r="D248" s="93"/>
      <c r="E248" s="93" t="s">
        <v>63</v>
      </c>
      <c r="F248" s="93" t="s">
        <v>64</v>
      </c>
      <c r="G248" s="98">
        <v>1</v>
      </c>
      <c r="H248" s="181"/>
      <c r="I248" s="231">
        <v>0</v>
      </c>
      <c r="J248" s="323"/>
      <c r="K248" s="258"/>
      <c r="L248" s="281"/>
      <c r="M248" s="221"/>
      <c r="N248" s="422"/>
      <c r="O248" s="422"/>
      <c r="P248" s="422"/>
      <c r="Q248" s="422"/>
      <c r="R248" s="220"/>
      <c r="S248" s="221"/>
      <c r="T248" s="212">
        <f>IFERROR(ROUND(SUM(W249,W250)/I248, 2),0)</f>
        <v>0</v>
      </c>
      <c r="U248" s="202">
        <v>251</v>
      </c>
      <c r="V248" s="274">
        <f>T248+ROUND(U248, 2)</f>
        <v>251</v>
      </c>
      <c r="W248" s="182">
        <f>ROUND(T248*I248, 2)</f>
        <v>0</v>
      </c>
      <c r="X248" s="14">
        <f>ROUND(I248*ROUND(U248, 2), 2)</f>
        <v>0</v>
      </c>
      <c r="Y248" s="14">
        <f>W248+X248</f>
        <v>0</v>
      </c>
    </row>
    <row r="249" spans="1:25" ht="22.8" hidden="1" x14ac:dyDescent="0.4">
      <c r="A249" s="91" t="s">
        <v>1075</v>
      </c>
      <c r="B249" s="91"/>
      <c r="C249" s="92" t="s">
        <v>433</v>
      </c>
      <c r="D249" s="93"/>
      <c r="E249" s="93"/>
      <c r="F249" s="94" t="s">
        <v>70</v>
      </c>
      <c r="G249" s="95">
        <v>0.15</v>
      </c>
      <c r="H249" s="180"/>
      <c r="I249" s="229">
        <v>0</v>
      </c>
      <c r="J249" s="321"/>
      <c r="K249" s="257"/>
      <c r="L249" s="280"/>
      <c r="M249" s="401"/>
      <c r="N249" s="423"/>
      <c r="O249" s="423"/>
      <c r="P249" s="423"/>
      <c r="Q249" s="423"/>
      <c r="R249" s="218"/>
      <c r="S249" s="218"/>
      <c r="T249" s="213">
        <v>88.8</v>
      </c>
      <c r="U249" s="211"/>
      <c r="V249" s="273"/>
      <c r="W249" s="206">
        <f>ROUND(ROUND(T249, 2)*I249, 2)</f>
        <v>0</v>
      </c>
    </row>
    <row r="250" spans="1:25" ht="118.95" hidden="1" customHeight="1" x14ac:dyDescent="0.4">
      <c r="A250" s="91" t="s">
        <v>1080</v>
      </c>
      <c r="B250" s="91"/>
      <c r="C250" s="92" t="s">
        <v>1081</v>
      </c>
      <c r="D250" s="93"/>
      <c r="E250" s="93" t="s">
        <v>1082</v>
      </c>
      <c r="F250" s="94" t="s">
        <v>70</v>
      </c>
      <c r="G250" s="95">
        <v>0.3</v>
      </c>
      <c r="H250" s="180"/>
      <c r="I250" s="229">
        <v>0</v>
      </c>
      <c r="J250" s="321"/>
      <c r="K250" s="257"/>
      <c r="L250" s="280"/>
      <c r="M250" s="401"/>
      <c r="N250" s="423"/>
      <c r="O250" s="423"/>
      <c r="P250" s="423"/>
      <c r="Q250" s="423"/>
      <c r="R250" s="218"/>
      <c r="S250" s="218"/>
      <c r="T250" s="213">
        <v>252.47</v>
      </c>
      <c r="U250" s="211"/>
      <c r="V250" s="273"/>
      <c r="W250" s="206">
        <f>ROUND(ROUND(T250, 2)*I250, 2)</f>
        <v>0</v>
      </c>
    </row>
    <row r="251" spans="1:25" ht="36" hidden="1" x14ac:dyDescent="0.3">
      <c r="A251" s="91" t="s">
        <v>1088</v>
      </c>
      <c r="B251" s="91" t="s">
        <v>1070</v>
      </c>
      <c r="C251" s="97" t="s">
        <v>1071</v>
      </c>
      <c r="D251" s="93"/>
      <c r="E251" s="93" t="s">
        <v>63</v>
      </c>
      <c r="F251" s="93" t="s">
        <v>64</v>
      </c>
      <c r="G251" s="98">
        <v>1</v>
      </c>
      <c r="H251" s="181"/>
      <c r="I251" s="231">
        <v>0</v>
      </c>
      <c r="J251" s="323"/>
      <c r="K251" s="258"/>
      <c r="L251" s="281"/>
      <c r="M251" s="221"/>
      <c r="N251" s="422"/>
      <c r="O251" s="422"/>
      <c r="P251" s="422"/>
      <c r="Q251" s="422"/>
      <c r="R251" s="220"/>
      <c r="S251" s="221"/>
      <c r="T251" s="212">
        <f>IFERROR(ROUND(SUM(W252,W253)/I251, 2),0)</f>
        <v>0</v>
      </c>
      <c r="U251" s="202">
        <v>251</v>
      </c>
      <c r="V251" s="274">
        <f>T251+ROUND(U251, 2)</f>
        <v>251</v>
      </c>
      <c r="W251" s="182">
        <f>ROUND(T251*I251, 2)</f>
        <v>0</v>
      </c>
      <c r="X251" s="14">
        <f>ROUND(I251*ROUND(U251, 2), 2)</f>
        <v>0</v>
      </c>
      <c r="Y251" s="14">
        <f>W251+X251</f>
        <v>0</v>
      </c>
    </row>
    <row r="252" spans="1:25" ht="91.5" hidden="1" customHeight="1" x14ac:dyDescent="0.4">
      <c r="A252" s="91" t="s">
        <v>1090</v>
      </c>
      <c r="B252" s="91"/>
      <c r="C252" s="92" t="s">
        <v>1091</v>
      </c>
      <c r="D252" s="93"/>
      <c r="E252" s="93" t="s">
        <v>1092</v>
      </c>
      <c r="F252" s="94" t="s">
        <v>70</v>
      </c>
      <c r="G252" s="95">
        <v>0.3</v>
      </c>
      <c r="H252" s="180"/>
      <c r="I252" s="229">
        <v>0</v>
      </c>
      <c r="J252" s="321"/>
      <c r="K252" s="257"/>
      <c r="L252" s="280"/>
      <c r="M252" s="401"/>
      <c r="N252" s="423"/>
      <c r="O252" s="423"/>
      <c r="P252" s="423"/>
      <c r="Q252" s="423"/>
      <c r="R252" s="218"/>
      <c r="S252" s="218"/>
      <c r="T252" s="213">
        <v>388.89</v>
      </c>
      <c r="U252" s="211"/>
      <c r="V252" s="273"/>
      <c r="W252" s="206">
        <f>ROUND(ROUND(T252, 2)*I252, 2)</f>
        <v>0</v>
      </c>
    </row>
    <row r="253" spans="1:25" ht="22.8" hidden="1" x14ac:dyDescent="0.4">
      <c r="A253" s="91" t="s">
        <v>1098</v>
      </c>
      <c r="B253" s="91"/>
      <c r="C253" s="92" t="s">
        <v>433</v>
      </c>
      <c r="D253" s="93"/>
      <c r="E253" s="93"/>
      <c r="F253" s="94" t="s">
        <v>70</v>
      </c>
      <c r="G253" s="95">
        <v>0.15</v>
      </c>
      <c r="H253" s="180"/>
      <c r="I253" s="229">
        <v>0</v>
      </c>
      <c r="J253" s="321"/>
      <c r="K253" s="257"/>
      <c r="L253" s="280"/>
      <c r="M253" s="401"/>
      <c r="N253" s="423"/>
      <c r="O253" s="423"/>
      <c r="P253" s="423"/>
      <c r="Q253" s="423"/>
      <c r="R253" s="218"/>
      <c r="S253" s="218"/>
      <c r="T253" s="213">
        <v>88.8</v>
      </c>
      <c r="U253" s="211"/>
      <c r="V253" s="273"/>
      <c r="W253" s="206">
        <f>ROUND(ROUND(T253, 2)*I253, 2)</f>
        <v>0</v>
      </c>
    </row>
    <row r="254" spans="1:25" ht="36" hidden="1" x14ac:dyDescent="0.3">
      <c r="A254" s="91" t="s">
        <v>1103</v>
      </c>
      <c r="B254" s="91" t="s">
        <v>1070</v>
      </c>
      <c r="C254" s="97" t="s">
        <v>1071</v>
      </c>
      <c r="D254" s="93"/>
      <c r="E254" s="93" t="s">
        <v>63</v>
      </c>
      <c r="F254" s="93" t="s">
        <v>64</v>
      </c>
      <c r="G254" s="98">
        <v>1</v>
      </c>
      <c r="H254" s="181"/>
      <c r="I254" s="231">
        <v>0</v>
      </c>
      <c r="J254" s="323"/>
      <c r="K254" s="258"/>
      <c r="L254" s="281"/>
      <c r="M254" s="221"/>
      <c r="N254" s="422"/>
      <c r="O254" s="422"/>
      <c r="P254" s="422"/>
      <c r="Q254" s="422"/>
      <c r="R254" s="220"/>
      <c r="S254" s="221"/>
      <c r="T254" s="212">
        <f>IFERROR(ROUND(SUM(W255,W256)/I254, 2),0)</f>
        <v>0</v>
      </c>
      <c r="U254" s="202">
        <v>251</v>
      </c>
      <c r="V254" s="274">
        <f>T254+ROUND(U254, 2)</f>
        <v>251</v>
      </c>
      <c r="W254" s="182">
        <f>ROUND(T254*I254, 2)</f>
        <v>0</v>
      </c>
      <c r="X254" s="14">
        <f>ROUND(I254*ROUND(U254, 2), 2)</f>
        <v>0</v>
      </c>
      <c r="Y254" s="14">
        <f>W254+X254</f>
        <v>0</v>
      </c>
    </row>
    <row r="255" spans="1:25" ht="22.8" hidden="1" x14ac:dyDescent="0.4">
      <c r="A255" s="91" t="s">
        <v>1105</v>
      </c>
      <c r="B255" s="91"/>
      <c r="C255" s="92" t="s">
        <v>433</v>
      </c>
      <c r="D255" s="93"/>
      <c r="E255" s="93"/>
      <c r="F255" s="94" t="s">
        <v>70</v>
      </c>
      <c r="G255" s="95">
        <v>0.15</v>
      </c>
      <c r="H255" s="180"/>
      <c r="I255" s="229">
        <v>0</v>
      </c>
      <c r="J255" s="321"/>
      <c r="K255" s="257"/>
      <c r="L255" s="280"/>
      <c r="M255" s="401"/>
      <c r="N255" s="423"/>
      <c r="O255" s="423"/>
      <c r="P255" s="423"/>
      <c r="Q255" s="423"/>
      <c r="R255" s="218"/>
      <c r="S255" s="218"/>
      <c r="T255" s="213">
        <v>88.8</v>
      </c>
      <c r="U255" s="211"/>
      <c r="V255" s="273"/>
      <c r="W255" s="206">
        <f>ROUND(ROUND(T255, 2)*I255, 2)</f>
        <v>0</v>
      </c>
    </row>
    <row r="256" spans="1:25" ht="63" hidden="1" customHeight="1" x14ac:dyDescent="0.4">
      <c r="A256" s="91" t="s">
        <v>1110</v>
      </c>
      <c r="B256" s="91"/>
      <c r="C256" s="92" t="s">
        <v>1111</v>
      </c>
      <c r="D256" s="93"/>
      <c r="E256" s="93" t="s">
        <v>1112</v>
      </c>
      <c r="F256" s="94" t="s">
        <v>70</v>
      </c>
      <c r="G256" s="95">
        <v>0.3</v>
      </c>
      <c r="H256" s="180"/>
      <c r="I256" s="229">
        <v>0</v>
      </c>
      <c r="J256" s="321"/>
      <c r="K256" s="257"/>
      <c r="L256" s="280"/>
      <c r="M256" s="401"/>
      <c r="N256" s="423"/>
      <c r="O256" s="423"/>
      <c r="P256" s="423"/>
      <c r="Q256" s="423"/>
      <c r="R256" s="218"/>
      <c r="S256" s="218"/>
      <c r="T256" s="213">
        <v>0</v>
      </c>
      <c r="U256" s="211"/>
      <c r="V256" s="273"/>
      <c r="W256" s="206">
        <f>ROUND(ROUND(T256, 2)*I256, 2)</f>
        <v>0</v>
      </c>
    </row>
    <row r="257" spans="1:25" ht="36" hidden="1" x14ac:dyDescent="0.3">
      <c r="A257" s="91" t="s">
        <v>1118</v>
      </c>
      <c r="B257" s="91" t="s">
        <v>1070</v>
      </c>
      <c r="C257" s="97" t="s">
        <v>1071</v>
      </c>
      <c r="D257" s="93"/>
      <c r="E257" s="93" t="s">
        <v>63</v>
      </c>
      <c r="F257" s="93" t="s">
        <v>64</v>
      </c>
      <c r="G257" s="98">
        <v>1</v>
      </c>
      <c r="H257" s="181"/>
      <c r="I257" s="231">
        <v>0</v>
      </c>
      <c r="J257" s="323"/>
      <c r="K257" s="258"/>
      <c r="L257" s="281"/>
      <c r="M257" s="221"/>
      <c r="N257" s="422"/>
      <c r="O257" s="422"/>
      <c r="P257" s="422"/>
      <c r="Q257" s="422"/>
      <c r="R257" s="220"/>
      <c r="S257" s="221"/>
      <c r="T257" s="212">
        <f>IFERROR(ROUND(SUM(W258,W259)/I257, 2),0)</f>
        <v>0</v>
      </c>
      <c r="U257" s="202">
        <v>251</v>
      </c>
      <c r="V257" s="274">
        <f>T257+ROUND(U257, 2)</f>
        <v>251</v>
      </c>
      <c r="W257" s="182">
        <f>ROUND(T257*I257, 2)</f>
        <v>0</v>
      </c>
      <c r="X257" s="14">
        <f>ROUND(I257*ROUND(U257, 2), 2)</f>
        <v>0</v>
      </c>
      <c r="Y257" s="14">
        <f>W257+X257</f>
        <v>0</v>
      </c>
    </row>
    <row r="258" spans="1:25" ht="91.5" hidden="1" customHeight="1" x14ac:dyDescent="0.4">
      <c r="A258" s="91" t="s">
        <v>1120</v>
      </c>
      <c r="B258" s="91"/>
      <c r="C258" s="92" t="s">
        <v>1091</v>
      </c>
      <c r="D258" s="93"/>
      <c r="E258" s="93" t="s">
        <v>1121</v>
      </c>
      <c r="F258" s="94" t="s">
        <v>70</v>
      </c>
      <c r="G258" s="95">
        <v>0.3</v>
      </c>
      <c r="H258" s="180"/>
      <c r="I258" s="229">
        <v>0</v>
      </c>
      <c r="J258" s="321"/>
      <c r="K258" s="257"/>
      <c r="L258" s="280"/>
      <c r="M258" s="401"/>
      <c r="N258" s="423"/>
      <c r="O258" s="423"/>
      <c r="P258" s="423"/>
      <c r="Q258" s="423"/>
      <c r="R258" s="218"/>
      <c r="S258" s="218"/>
      <c r="T258" s="213">
        <v>388.89</v>
      </c>
      <c r="U258" s="211"/>
      <c r="V258" s="273"/>
      <c r="W258" s="206">
        <f>ROUND(ROUND(T258, 2)*I258, 2)</f>
        <v>0</v>
      </c>
    </row>
    <row r="259" spans="1:25" ht="22.8" hidden="1" x14ac:dyDescent="0.4">
      <c r="A259" s="91" t="s">
        <v>1126</v>
      </c>
      <c r="B259" s="91"/>
      <c r="C259" s="92" t="s">
        <v>433</v>
      </c>
      <c r="D259" s="93"/>
      <c r="E259" s="93"/>
      <c r="F259" s="94" t="s">
        <v>70</v>
      </c>
      <c r="G259" s="95">
        <v>0.15</v>
      </c>
      <c r="H259" s="180"/>
      <c r="I259" s="229">
        <v>0</v>
      </c>
      <c r="J259" s="321"/>
      <c r="K259" s="257"/>
      <c r="L259" s="280"/>
      <c r="M259" s="401"/>
      <c r="N259" s="423"/>
      <c r="O259" s="423"/>
      <c r="P259" s="423"/>
      <c r="Q259" s="423"/>
      <c r="R259" s="218"/>
      <c r="S259" s="218"/>
      <c r="T259" s="213">
        <v>88.8</v>
      </c>
      <c r="U259" s="211"/>
      <c r="V259" s="273"/>
      <c r="W259" s="206">
        <f>ROUND(ROUND(T259, 2)*I259, 2)</f>
        <v>0</v>
      </c>
    </row>
    <row r="260" spans="1:25" ht="36" hidden="1" x14ac:dyDescent="0.3">
      <c r="A260" s="91" t="s">
        <v>1131</v>
      </c>
      <c r="B260" s="91" t="s">
        <v>1070</v>
      </c>
      <c r="C260" s="97" t="s">
        <v>1071</v>
      </c>
      <c r="D260" s="93"/>
      <c r="E260" s="93" t="s">
        <v>63</v>
      </c>
      <c r="F260" s="93" t="s">
        <v>64</v>
      </c>
      <c r="G260" s="98">
        <v>1</v>
      </c>
      <c r="H260" s="181"/>
      <c r="I260" s="231">
        <v>0</v>
      </c>
      <c r="J260" s="323"/>
      <c r="K260" s="258"/>
      <c r="L260" s="281"/>
      <c r="M260" s="221"/>
      <c r="N260" s="422"/>
      <c r="O260" s="422"/>
      <c r="P260" s="422"/>
      <c r="Q260" s="422"/>
      <c r="R260" s="220"/>
      <c r="S260" s="221"/>
      <c r="T260" s="212">
        <f>IFERROR(ROUND(SUM(W261,W262)/I260, 2),0)</f>
        <v>0</v>
      </c>
      <c r="U260" s="202">
        <v>251</v>
      </c>
      <c r="V260" s="274">
        <f>T260+ROUND(U260, 2)</f>
        <v>251</v>
      </c>
      <c r="W260" s="182">
        <f>ROUND(T260*I260, 2)</f>
        <v>0</v>
      </c>
      <c r="X260" s="14">
        <f>ROUND(I260*ROUND(U260, 2), 2)</f>
        <v>0</v>
      </c>
      <c r="Y260" s="14">
        <f>W260+X260</f>
        <v>0</v>
      </c>
    </row>
    <row r="261" spans="1:25" ht="22.8" hidden="1" x14ac:dyDescent="0.4">
      <c r="A261" s="91" t="s">
        <v>1133</v>
      </c>
      <c r="B261" s="91"/>
      <c r="C261" s="92" t="s">
        <v>433</v>
      </c>
      <c r="D261" s="93"/>
      <c r="E261" s="93"/>
      <c r="F261" s="94" t="s">
        <v>70</v>
      </c>
      <c r="G261" s="95">
        <v>0.15</v>
      </c>
      <c r="H261" s="180"/>
      <c r="I261" s="229">
        <v>0</v>
      </c>
      <c r="J261" s="321"/>
      <c r="K261" s="257"/>
      <c r="L261" s="280"/>
      <c r="M261" s="401"/>
      <c r="N261" s="423"/>
      <c r="O261" s="423"/>
      <c r="P261" s="423"/>
      <c r="Q261" s="423"/>
      <c r="R261" s="218"/>
      <c r="S261" s="218"/>
      <c r="T261" s="213">
        <v>88.8</v>
      </c>
      <c r="U261" s="211"/>
      <c r="V261" s="273"/>
      <c r="W261" s="206">
        <f>ROUND(ROUND(T261, 2)*I261, 2)</f>
        <v>0</v>
      </c>
    </row>
    <row r="262" spans="1:25" ht="73.05" hidden="1" customHeight="1" x14ac:dyDescent="0.4">
      <c r="A262" s="91" t="s">
        <v>1138</v>
      </c>
      <c r="B262" s="91"/>
      <c r="C262" s="92" t="s">
        <v>1091</v>
      </c>
      <c r="D262" s="93"/>
      <c r="E262" s="93" t="s">
        <v>1139</v>
      </c>
      <c r="F262" s="94" t="s">
        <v>70</v>
      </c>
      <c r="G262" s="95">
        <v>0.3</v>
      </c>
      <c r="H262" s="180"/>
      <c r="I262" s="229">
        <v>0</v>
      </c>
      <c r="J262" s="321"/>
      <c r="K262" s="257"/>
      <c r="L262" s="280"/>
      <c r="M262" s="401"/>
      <c r="N262" s="423"/>
      <c r="O262" s="423"/>
      <c r="P262" s="423"/>
      <c r="Q262" s="423"/>
      <c r="R262" s="218"/>
      <c r="S262" s="218"/>
      <c r="T262" s="213">
        <v>388.89</v>
      </c>
      <c r="U262" s="211"/>
      <c r="V262" s="273"/>
      <c r="W262" s="206">
        <f>ROUND(ROUND(T262, 2)*I262, 2)</f>
        <v>0</v>
      </c>
    </row>
    <row r="263" spans="1:25" ht="36" hidden="1" x14ac:dyDescent="0.3">
      <c r="A263" s="91" t="s">
        <v>1144</v>
      </c>
      <c r="B263" s="91" t="s">
        <v>1070</v>
      </c>
      <c r="C263" s="97" t="s">
        <v>1071</v>
      </c>
      <c r="D263" s="93"/>
      <c r="E263" s="93" t="s">
        <v>63</v>
      </c>
      <c r="F263" s="93" t="s">
        <v>64</v>
      </c>
      <c r="G263" s="98">
        <v>1</v>
      </c>
      <c r="H263" s="181"/>
      <c r="I263" s="231">
        <v>0</v>
      </c>
      <c r="J263" s="323"/>
      <c r="K263" s="258"/>
      <c r="L263" s="281"/>
      <c r="M263" s="221"/>
      <c r="N263" s="422"/>
      <c r="O263" s="422"/>
      <c r="P263" s="422"/>
      <c r="Q263" s="422"/>
      <c r="R263" s="220"/>
      <c r="S263" s="221"/>
      <c r="T263" s="212">
        <f>IFERROR(ROUND(SUM(W264,W265)/I263, 2),0)</f>
        <v>0</v>
      </c>
      <c r="U263" s="202">
        <v>251</v>
      </c>
      <c r="V263" s="274">
        <f>T263+ROUND(U263, 2)</f>
        <v>251</v>
      </c>
      <c r="W263" s="182">
        <f>ROUND(T263*I263, 2)</f>
        <v>0</v>
      </c>
      <c r="X263" s="14">
        <f>ROUND(I263*ROUND(U263, 2), 2)</f>
        <v>0</v>
      </c>
      <c r="Y263" s="14">
        <f>W263+X263</f>
        <v>0</v>
      </c>
    </row>
    <row r="264" spans="1:25" ht="81" hidden="1" customHeight="1" x14ac:dyDescent="0.4">
      <c r="A264" s="91" t="s">
        <v>1146</v>
      </c>
      <c r="B264" s="91"/>
      <c r="C264" s="92" t="s">
        <v>1091</v>
      </c>
      <c r="D264" s="93"/>
      <c r="E264" s="93" t="s">
        <v>1147</v>
      </c>
      <c r="F264" s="94" t="s">
        <v>70</v>
      </c>
      <c r="G264" s="95">
        <v>0.3</v>
      </c>
      <c r="H264" s="180"/>
      <c r="I264" s="229">
        <v>0</v>
      </c>
      <c r="J264" s="321"/>
      <c r="K264" s="257"/>
      <c r="L264" s="280"/>
      <c r="M264" s="401"/>
      <c r="N264" s="423"/>
      <c r="O264" s="423"/>
      <c r="P264" s="423"/>
      <c r="Q264" s="423"/>
      <c r="R264" s="218"/>
      <c r="S264" s="218"/>
      <c r="T264" s="213">
        <v>388.89</v>
      </c>
      <c r="U264" s="211"/>
      <c r="V264" s="273"/>
      <c r="W264" s="206">
        <f>ROUND(ROUND(T264, 2)*I264, 2)</f>
        <v>0</v>
      </c>
    </row>
    <row r="265" spans="1:25" ht="22.8" hidden="1" x14ac:dyDescent="0.4">
      <c r="A265" s="91" t="s">
        <v>1152</v>
      </c>
      <c r="B265" s="91"/>
      <c r="C265" s="92" t="s">
        <v>433</v>
      </c>
      <c r="D265" s="93"/>
      <c r="E265" s="93"/>
      <c r="F265" s="94" t="s">
        <v>70</v>
      </c>
      <c r="G265" s="95">
        <v>0.15</v>
      </c>
      <c r="H265" s="180"/>
      <c r="I265" s="229">
        <v>0</v>
      </c>
      <c r="J265" s="321"/>
      <c r="K265" s="257"/>
      <c r="L265" s="280"/>
      <c r="M265" s="401"/>
      <c r="N265" s="423"/>
      <c r="O265" s="423"/>
      <c r="P265" s="423"/>
      <c r="Q265" s="423"/>
      <c r="R265" s="218"/>
      <c r="S265" s="218"/>
      <c r="T265" s="213">
        <v>88.8</v>
      </c>
      <c r="U265" s="211"/>
      <c r="V265" s="273"/>
      <c r="W265" s="206">
        <f>ROUND(ROUND(T265, 2)*I265, 2)</f>
        <v>0</v>
      </c>
    </row>
    <row r="266" spans="1:25" ht="36" hidden="1" x14ac:dyDescent="0.3">
      <c r="A266" s="91" t="s">
        <v>1157</v>
      </c>
      <c r="B266" s="91" t="s">
        <v>1070</v>
      </c>
      <c r="C266" s="97" t="s">
        <v>1071</v>
      </c>
      <c r="D266" s="93"/>
      <c r="E266" s="93" t="s">
        <v>63</v>
      </c>
      <c r="F266" s="93" t="s">
        <v>64</v>
      </c>
      <c r="G266" s="98">
        <v>1</v>
      </c>
      <c r="H266" s="181"/>
      <c r="I266" s="231">
        <v>0</v>
      </c>
      <c r="J266" s="323"/>
      <c r="K266" s="258"/>
      <c r="L266" s="281"/>
      <c r="M266" s="221"/>
      <c r="N266" s="422"/>
      <c r="O266" s="422"/>
      <c r="P266" s="422"/>
      <c r="Q266" s="422"/>
      <c r="R266" s="220"/>
      <c r="S266" s="221"/>
      <c r="T266" s="212">
        <f>IFERROR(ROUND(SUM(W267,W268)/I266, 2),0)</f>
        <v>0</v>
      </c>
      <c r="U266" s="202">
        <v>251</v>
      </c>
      <c r="V266" s="274">
        <f>T266+ROUND(U266, 2)</f>
        <v>251</v>
      </c>
      <c r="W266" s="182">
        <f>ROUND(T266*I266, 2)</f>
        <v>0</v>
      </c>
      <c r="X266" s="14">
        <f>ROUND(I266*ROUND(U266, 2), 2)</f>
        <v>0</v>
      </c>
      <c r="Y266" s="14">
        <f>W266+X266</f>
        <v>0</v>
      </c>
    </row>
    <row r="267" spans="1:25" ht="22.8" hidden="1" x14ac:dyDescent="0.4">
      <c r="A267" s="91" t="s">
        <v>1159</v>
      </c>
      <c r="B267" s="91"/>
      <c r="C267" s="92" t="s">
        <v>433</v>
      </c>
      <c r="D267" s="93"/>
      <c r="E267" s="93"/>
      <c r="F267" s="94" t="s">
        <v>70</v>
      </c>
      <c r="G267" s="95">
        <v>0.15</v>
      </c>
      <c r="H267" s="180"/>
      <c r="I267" s="229">
        <v>0</v>
      </c>
      <c r="J267" s="321"/>
      <c r="K267" s="257"/>
      <c r="L267" s="280"/>
      <c r="M267" s="401"/>
      <c r="N267" s="423"/>
      <c r="O267" s="423"/>
      <c r="P267" s="423"/>
      <c r="Q267" s="423"/>
      <c r="R267" s="218"/>
      <c r="S267" s="218"/>
      <c r="T267" s="213">
        <v>88.8</v>
      </c>
      <c r="U267" s="211"/>
      <c r="V267" s="273"/>
      <c r="W267" s="206">
        <f>ROUND(ROUND(T267, 2)*I267, 2)</f>
        <v>0</v>
      </c>
    </row>
    <row r="268" spans="1:25" ht="82.05" hidden="1" customHeight="1" x14ac:dyDescent="0.4">
      <c r="A268" s="91" t="s">
        <v>1164</v>
      </c>
      <c r="B268" s="91"/>
      <c r="C268" s="92" t="s">
        <v>1091</v>
      </c>
      <c r="D268" s="93"/>
      <c r="E268" s="93" t="s">
        <v>1121</v>
      </c>
      <c r="F268" s="94" t="s">
        <v>70</v>
      </c>
      <c r="G268" s="95">
        <v>0.3</v>
      </c>
      <c r="H268" s="180"/>
      <c r="I268" s="229">
        <v>0</v>
      </c>
      <c r="J268" s="321"/>
      <c r="K268" s="257"/>
      <c r="L268" s="280"/>
      <c r="M268" s="401"/>
      <c r="N268" s="423"/>
      <c r="O268" s="423"/>
      <c r="P268" s="423"/>
      <c r="Q268" s="423"/>
      <c r="R268" s="218"/>
      <c r="S268" s="218"/>
      <c r="T268" s="213">
        <v>388.89</v>
      </c>
      <c r="U268" s="211"/>
      <c r="V268" s="273"/>
      <c r="W268" s="206">
        <f>ROUND(ROUND(T268, 2)*I268, 2)</f>
        <v>0</v>
      </c>
    </row>
    <row r="269" spans="1:25" ht="31.05" customHeight="1" x14ac:dyDescent="0.3">
      <c r="A269" s="74" t="s">
        <v>1169</v>
      </c>
      <c r="B269" s="74" t="s">
        <v>1170</v>
      </c>
      <c r="C269" s="75" t="s">
        <v>1171</v>
      </c>
      <c r="D269" s="76"/>
      <c r="E269" s="76" t="s">
        <v>1172</v>
      </c>
      <c r="F269" s="76" t="s">
        <v>64</v>
      </c>
      <c r="G269" s="77">
        <v>1</v>
      </c>
      <c r="H269" s="177"/>
      <c r="I269" s="228">
        <v>5404.01</v>
      </c>
      <c r="J269" s="322"/>
      <c r="K269" s="258"/>
      <c r="L269" s="281"/>
      <c r="M269" s="221"/>
      <c r="N269" s="422"/>
      <c r="O269" s="422"/>
      <c r="P269" s="422"/>
      <c r="Q269" s="422"/>
      <c r="R269" s="220"/>
      <c r="S269" s="221"/>
      <c r="T269" s="212">
        <f>IFERROR(ROUND(SUM(W270,W271)/I269, 2),0)</f>
        <v>68.28</v>
      </c>
      <c r="U269" s="202">
        <v>428</v>
      </c>
      <c r="V269" s="274">
        <f>T269+ROUND(U269, 2)</f>
        <v>496.28</v>
      </c>
      <c r="W269" s="182">
        <f>ROUND(T269*I269, 2)</f>
        <v>368985.8</v>
      </c>
      <c r="X269" s="14">
        <f>ROUND(I269*ROUND(U269, 2), 2)</f>
        <v>2312916.2799999998</v>
      </c>
      <c r="Y269" s="14">
        <f>W269+X269</f>
        <v>2681902.0799999996</v>
      </c>
    </row>
    <row r="270" spans="1:25" ht="82.5" hidden="1" customHeight="1" x14ac:dyDescent="0.4">
      <c r="A270" s="91" t="s">
        <v>1175</v>
      </c>
      <c r="B270" s="91"/>
      <c r="C270" s="92" t="s">
        <v>1176</v>
      </c>
      <c r="D270" s="93"/>
      <c r="E270" s="93" t="s">
        <v>1177</v>
      </c>
      <c r="F270" s="94" t="s">
        <v>70</v>
      </c>
      <c r="G270" s="95">
        <v>0.3</v>
      </c>
      <c r="H270" s="180"/>
      <c r="I270" s="229">
        <v>1621.203</v>
      </c>
      <c r="J270" s="321"/>
      <c r="K270" s="257"/>
      <c r="L270" s="280"/>
      <c r="M270" s="401"/>
      <c r="N270" s="423"/>
      <c r="O270" s="423"/>
      <c r="P270" s="423"/>
      <c r="Q270" s="423"/>
      <c r="R270" s="218"/>
      <c r="S270" s="218"/>
      <c r="T270" s="213">
        <v>183.2</v>
      </c>
      <c r="U270" s="211"/>
      <c r="V270" s="273"/>
      <c r="W270" s="206">
        <f>ROUND(ROUND(T270, 2)*I270, 2)</f>
        <v>297004.39</v>
      </c>
    </row>
    <row r="271" spans="1:25" ht="22.8" hidden="1" x14ac:dyDescent="0.4">
      <c r="A271" s="91" t="s">
        <v>1181</v>
      </c>
      <c r="B271" s="91"/>
      <c r="C271" s="92" t="s">
        <v>433</v>
      </c>
      <c r="D271" s="93"/>
      <c r="E271" s="93"/>
      <c r="F271" s="94" t="s">
        <v>70</v>
      </c>
      <c r="G271" s="95">
        <v>0.15</v>
      </c>
      <c r="H271" s="180"/>
      <c r="I271" s="229">
        <v>810.60199999999998</v>
      </c>
      <c r="J271" s="321"/>
      <c r="K271" s="257"/>
      <c r="L271" s="280"/>
      <c r="M271" s="401"/>
      <c r="N271" s="423"/>
      <c r="O271" s="423"/>
      <c r="P271" s="423"/>
      <c r="Q271" s="423"/>
      <c r="R271" s="218"/>
      <c r="S271" s="218"/>
      <c r="T271" s="213">
        <v>88.8</v>
      </c>
      <c r="U271" s="211"/>
      <c r="V271" s="273"/>
      <c r="W271" s="206">
        <f>ROUND(ROUND(T271, 2)*I271, 2)</f>
        <v>71981.460000000006</v>
      </c>
    </row>
    <row r="272" spans="1:25" ht="26.55" customHeight="1" x14ac:dyDescent="0.3">
      <c r="A272" s="74" t="s">
        <v>1184</v>
      </c>
      <c r="B272" s="74" t="s">
        <v>1170</v>
      </c>
      <c r="C272" s="75" t="s">
        <v>1171</v>
      </c>
      <c r="D272" s="76"/>
      <c r="E272" s="76" t="s">
        <v>1185</v>
      </c>
      <c r="F272" s="76" t="s">
        <v>64</v>
      </c>
      <c r="G272" s="77">
        <v>1</v>
      </c>
      <c r="H272" s="177"/>
      <c r="I272" s="228">
        <v>8.4</v>
      </c>
      <c r="J272" s="322"/>
      <c r="K272" s="258"/>
      <c r="L272" s="281"/>
      <c r="M272" s="221"/>
      <c r="N272" s="422"/>
      <c r="O272" s="422"/>
      <c r="P272" s="422"/>
      <c r="Q272" s="422"/>
      <c r="R272" s="220"/>
      <c r="S272" s="221"/>
      <c r="T272" s="212">
        <f>IFERROR(ROUND(SUM(W273,W274)/I272, 2),0)</f>
        <v>75.27</v>
      </c>
      <c r="U272" s="202">
        <v>428</v>
      </c>
      <c r="V272" s="274">
        <f>T272+ROUND(U272, 2)</f>
        <v>503.27</v>
      </c>
      <c r="W272" s="182">
        <f>ROUND(T272*I272, 2)</f>
        <v>632.27</v>
      </c>
      <c r="X272" s="14">
        <f>ROUND(I272*ROUND(U272, 2), 2)</f>
        <v>3595.2</v>
      </c>
      <c r="Y272" s="14">
        <f>W272+X272</f>
        <v>4227.4699999999993</v>
      </c>
    </row>
    <row r="273" spans="1:25" ht="22.8" hidden="1" x14ac:dyDescent="0.4">
      <c r="A273" s="91" t="s">
        <v>1186</v>
      </c>
      <c r="B273" s="91"/>
      <c r="C273" s="92" t="s">
        <v>433</v>
      </c>
      <c r="D273" s="93"/>
      <c r="E273" s="93"/>
      <c r="F273" s="94" t="s">
        <v>70</v>
      </c>
      <c r="G273" s="95">
        <v>0.15</v>
      </c>
      <c r="H273" s="180"/>
      <c r="I273" s="229">
        <v>1.26</v>
      </c>
      <c r="J273" s="321"/>
      <c r="K273" s="257"/>
      <c r="L273" s="280"/>
      <c r="M273" s="401"/>
      <c r="N273" s="423"/>
      <c r="O273" s="423"/>
      <c r="P273" s="423"/>
      <c r="Q273" s="423"/>
      <c r="R273" s="218"/>
      <c r="S273" s="218"/>
      <c r="T273" s="213">
        <v>88.8</v>
      </c>
      <c r="U273" s="211"/>
      <c r="V273" s="273"/>
      <c r="W273" s="206">
        <f>ROUND(ROUND(T273, 2)*I273, 2)</f>
        <v>111.89</v>
      </c>
    </row>
    <row r="274" spans="1:25" ht="97.05" hidden="1" customHeight="1" x14ac:dyDescent="0.4">
      <c r="A274" s="91" t="s">
        <v>1189</v>
      </c>
      <c r="B274" s="91"/>
      <c r="C274" s="92" t="s">
        <v>1091</v>
      </c>
      <c r="D274" s="93"/>
      <c r="E274" s="93" t="s">
        <v>1190</v>
      </c>
      <c r="F274" s="94" t="s">
        <v>70</v>
      </c>
      <c r="G274" s="95">
        <v>0.3</v>
      </c>
      <c r="H274" s="180"/>
      <c r="I274" s="229">
        <v>2.52</v>
      </c>
      <c r="J274" s="321"/>
      <c r="K274" s="257"/>
      <c r="L274" s="280"/>
      <c r="M274" s="401"/>
      <c r="N274" s="423"/>
      <c r="O274" s="423"/>
      <c r="P274" s="423"/>
      <c r="Q274" s="423"/>
      <c r="R274" s="218"/>
      <c r="S274" s="218"/>
      <c r="T274" s="213">
        <v>206.5</v>
      </c>
      <c r="U274" s="211"/>
      <c r="V274" s="273"/>
      <c r="W274" s="206">
        <f>ROUND(ROUND(T274, 2)*I274, 2)</f>
        <v>520.38</v>
      </c>
    </row>
    <row r="275" spans="1:25" ht="28.5" customHeight="1" x14ac:dyDescent="0.3">
      <c r="A275" s="74" t="s">
        <v>1193</v>
      </c>
      <c r="B275" s="74" t="s">
        <v>1170</v>
      </c>
      <c r="C275" s="75" t="s">
        <v>1171</v>
      </c>
      <c r="D275" s="76"/>
      <c r="E275" s="76" t="s">
        <v>1194</v>
      </c>
      <c r="F275" s="76" t="s">
        <v>64</v>
      </c>
      <c r="G275" s="77">
        <v>1</v>
      </c>
      <c r="H275" s="177"/>
      <c r="I275" s="228">
        <v>20.66</v>
      </c>
      <c r="J275" s="322"/>
      <c r="K275" s="258"/>
      <c r="L275" s="281"/>
      <c r="M275" s="221"/>
      <c r="N275" s="422"/>
      <c r="O275" s="422"/>
      <c r="P275" s="422"/>
      <c r="Q275" s="422"/>
      <c r="R275" s="220"/>
      <c r="S275" s="221"/>
      <c r="T275" s="212">
        <f>IFERROR(ROUND(SUM(W276,W277)/I275, 2),0)</f>
        <v>75.27</v>
      </c>
      <c r="U275" s="202">
        <v>428</v>
      </c>
      <c r="V275" s="274">
        <f>T275+ROUND(U275, 2)</f>
        <v>503.27</v>
      </c>
      <c r="W275" s="182">
        <f>ROUND(T275*I275, 2)</f>
        <v>1555.08</v>
      </c>
      <c r="X275" s="14">
        <f>ROUND(I275*ROUND(U275, 2), 2)</f>
        <v>8842.48</v>
      </c>
      <c r="Y275" s="14">
        <f>W275+X275</f>
        <v>10397.56</v>
      </c>
    </row>
    <row r="276" spans="1:25" ht="86.55" hidden="1" customHeight="1" x14ac:dyDescent="0.4">
      <c r="A276" s="91" t="s">
        <v>1195</v>
      </c>
      <c r="B276" s="91"/>
      <c r="C276" s="92" t="s">
        <v>1091</v>
      </c>
      <c r="D276" s="93"/>
      <c r="E276" s="93" t="s">
        <v>1196</v>
      </c>
      <c r="F276" s="94" t="s">
        <v>70</v>
      </c>
      <c r="G276" s="95">
        <v>0.3</v>
      </c>
      <c r="H276" s="180"/>
      <c r="I276" s="229">
        <v>6.1980000000000004</v>
      </c>
      <c r="J276" s="321"/>
      <c r="K276" s="257"/>
      <c r="L276" s="280"/>
      <c r="M276" s="401"/>
      <c r="N276" s="423"/>
      <c r="O276" s="423"/>
      <c r="P276" s="423"/>
      <c r="Q276" s="423"/>
      <c r="R276" s="218"/>
      <c r="S276" s="218"/>
      <c r="T276" s="213">
        <v>206.5</v>
      </c>
      <c r="U276" s="211"/>
      <c r="V276" s="273"/>
      <c r="W276" s="206">
        <f>ROUND(ROUND(T276, 2)*I276, 2)</f>
        <v>1279.8900000000001</v>
      </c>
    </row>
    <row r="277" spans="1:25" ht="22.8" hidden="1" x14ac:dyDescent="0.4">
      <c r="A277" s="91" t="s">
        <v>1199</v>
      </c>
      <c r="B277" s="91"/>
      <c r="C277" s="92" t="s">
        <v>433</v>
      </c>
      <c r="D277" s="93"/>
      <c r="E277" s="93"/>
      <c r="F277" s="94" t="s">
        <v>70</v>
      </c>
      <c r="G277" s="95">
        <v>0.15</v>
      </c>
      <c r="H277" s="180"/>
      <c r="I277" s="229">
        <v>3.0990000000000002</v>
      </c>
      <c r="J277" s="321"/>
      <c r="K277" s="257"/>
      <c r="L277" s="280"/>
      <c r="M277" s="401"/>
      <c r="N277" s="423"/>
      <c r="O277" s="423"/>
      <c r="P277" s="423"/>
      <c r="Q277" s="423"/>
      <c r="R277" s="218"/>
      <c r="S277" s="218"/>
      <c r="T277" s="213">
        <v>88.8</v>
      </c>
      <c r="U277" s="211"/>
      <c r="V277" s="273"/>
      <c r="W277" s="206">
        <f>ROUND(ROUND(T277, 2)*I277, 2)</f>
        <v>275.19</v>
      </c>
    </row>
    <row r="278" spans="1:25" ht="29.55" customHeight="1" x14ac:dyDescent="0.3">
      <c r="A278" s="74" t="s">
        <v>1202</v>
      </c>
      <c r="B278" s="74" t="s">
        <v>1170</v>
      </c>
      <c r="C278" s="75" t="s">
        <v>1171</v>
      </c>
      <c r="D278" s="76"/>
      <c r="E278" s="76" t="s">
        <v>1203</v>
      </c>
      <c r="F278" s="76" t="s">
        <v>64</v>
      </c>
      <c r="G278" s="77">
        <v>1</v>
      </c>
      <c r="H278" s="177"/>
      <c r="I278" s="228">
        <v>10.39</v>
      </c>
      <c r="J278" s="322"/>
      <c r="K278" s="258"/>
      <c r="L278" s="281"/>
      <c r="M278" s="221"/>
      <c r="N278" s="422"/>
      <c r="O278" s="422"/>
      <c r="P278" s="422"/>
      <c r="Q278" s="422"/>
      <c r="R278" s="220"/>
      <c r="S278" s="221"/>
      <c r="T278" s="212">
        <f>IFERROR(ROUND(SUM(W279,W280)/I278, 2),0)</f>
        <v>75.27</v>
      </c>
      <c r="U278" s="202">
        <v>428</v>
      </c>
      <c r="V278" s="274">
        <f>T278+ROUND(U278, 2)</f>
        <v>503.27</v>
      </c>
      <c r="W278" s="182">
        <f>ROUND(T278*I278, 2)</f>
        <v>782.06</v>
      </c>
      <c r="X278" s="14">
        <f>ROUND(I278*ROUND(U278, 2), 2)</f>
        <v>4446.92</v>
      </c>
      <c r="Y278" s="14">
        <f>W278+X278</f>
        <v>5228.9799999999996</v>
      </c>
    </row>
    <row r="279" spans="1:25" ht="22.8" hidden="1" x14ac:dyDescent="0.4">
      <c r="A279" s="91" t="s">
        <v>1204</v>
      </c>
      <c r="B279" s="91"/>
      <c r="C279" s="92" t="s">
        <v>433</v>
      </c>
      <c r="D279" s="93"/>
      <c r="E279" s="93"/>
      <c r="F279" s="94" t="s">
        <v>70</v>
      </c>
      <c r="G279" s="95">
        <v>0.15</v>
      </c>
      <c r="H279" s="180"/>
      <c r="I279" s="229">
        <v>1.5589999999999999</v>
      </c>
      <c r="J279" s="321"/>
      <c r="K279" s="257"/>
      <c r="L279" s="280"/>
      <c r="M279" s="401"/>
      <c r="N279" s="423"/>
      <c r="O279" s="423"/>
      <c r="P279" s="423"/>
      <c r="Q279" s="423"/>
      <c r="R279" s="218"/>
      <c r="S279" s="218"/>
      <c r="T279" s="213">
        <v>88.8</v>
      </c>
      <c r="U279" s="211"/>
      <c r="V279" s="273"/>
      <c r="W279" s="206">
        <f>ROUND(ROUND(T279, 2)*I279, 2)</f>
        <v>138.44</v>
      </c>
    </row>
    <row r="280" spans="1:25" ht="100.95" hidden="1" customHeight="1" x14ac:dyDescent="0.4">
      <c r="A280" s="91" t="s">
        <v>1207</v>
      </c>
      <c r="B280" s="91"/>
      <c r="C280" s="92" t="s">
        <v>1091</v>
      </c>
      <c r="D280" s="93"/>
      <c r="E280" s="93" t="s">
        <v>1208</v>
      </c>
      <c r="F280" s="94" t="s">
        <v>70</v>
      </c>
      <c r="G280" s="95">
        <v>0.3</v>
      </c>
      <c r="H280" s="180"/>
      <c r="I280" s="229">
        <v>3.117</v>
      </c>
      <c r="J280" s="321"/>
      <c r="K280" s="257"/>
      <c r="L280" s="280"/>
      <c r="M280" s="401"/>
      <c r="N280" s="423"/>
      <c r="O280" s="423"/>
      <c r="P280" s="423"/>
      <c r="Q280" s="423"/>
      <c r="R280" s="218"/>
      <c r="S280" s="218"/>
      <c r="T280" s="213">
        <v>206.5</v>
      </c>
      <c r="U280" s="211"/>
      <c r="V280" s="273"/>
      <c r="W280" s="206">
        <f>ROUND(ROUND(T280, 2)*I280, 2)</f>
        <v>643.66</v>
      </c>
    </row>
    <row r="281" spans="1:25" ht="28.05" customHeight="1" x14ac:dyDescent="0.3">
      <c r="A281" s="74" t="s">
        <v>1211</v>
      </c>
      <c r="B281" s="74" t="s">
        <v>1170</v>
      </c>
      <c r="C281" s="75" t="s">
        <v>1171</v>
      </c>
      <c r="D281" s="76"/>
      <c r="E281" s="76" t="s">
        <v>1212</v>
      </c>
      <c r="F281" s="76" t="s">
        <v>64</v>
      </c>
      <c r="G281" s="77">
        <v>1</v>
      </c>
      <c r="H281" s="177"/>
      <c r="I281" s="228">
        <v>5.0999999999999996</v>
      </c>
      <c r="J281" s="322"/>
      <c r="K281" s="258"/>
      <c r="L281" s="281"/>
      <c r="M281" s="221"/>
      <c r="N281" s="422"/>
      <c r="O281" s="422"/>
      <c r="P281" s="422"/>
      <c r="Q281" s="422"/>
      <c r="R281" s="220"/>
      <c r="S281" s="221"/>
      <c r="T281" s="212">
        <f>IFERROR(ROUND(SUM(W282,W283)/I281, 2),0)</f>
        <v>75.27</v>
      </c>
      <c r="U281" s="202">
        <v>428</v>
      </c>
      <c r="V281" s="274">
        <f>T281+ROUND(U281, 2)</f>
        <v>503.27</v>
      </c>
      <c r="W281" s="182">
        <f>ROUND(T281*I281, 2)</f>
        <v>383.88</v>
      </c>
      <c r="X281" s="14">
        <f>ROUND(I281*ROUND(U281, 2), 2)</f>
        <v>2182.8000000000002</v>
      </c>
      <c r="Y281" s="14">
        <f>W281+X281</f>
        <v>2566.6800000000003</v>
      </c>
    </row>
    <row r="282" spans="1:25" ht="98.55" hidden="1" customHeight="1" x14ac:dyDescent="0.4">
      <c r="A282" s="91" t="s">
        <v>1213</v>
      </c>
      <c r="B282" s="91"/>
      <c r="C282" s="92" t="s">
        <v>1091</v>
      </c>
      <c r="D282" s="93"/>
      <c r="E282" s="93" t="s">
        <v>1214</v>
      </c>
      <c r="F282" s="94" t="s">
        <v>70</v>
      </c>
      <c r="G282" s="95">
        <v>0.3</v>
      </c>
      <c r="H282" s="180"/>
      <c r="I282" s="229">
        <v>1.53</v>
      </c>
      <c r="J282" s="321"/>
      <c r="K282" s="257"/>
      <c r="L282" s="280"/>
      <c r="M282" s="401"/>
      <c r="N282" s="423"/>
      <c r="O282" s="423"/>
      <c r="P282" s="423"/>
      <c r="Q282" s="423"/>
      <c r="R282" s="218"/>
      <c r="S282" s="218"/>
      <c r="T282" s="213">
        <v>206.5</v>
      </c>
      <c r="U282" s="211"/>
      <c r="V282" s="273"/>
      <c r="W282" s="206">
        <f>ROUND(ROUND(T282, 2)*I282, 2)</f>
        <v>315.95</v>
      </c>
    </row>
    <row r="283" spans="1:25" ht="22.8" hidden="1" x14ac:dyDescent="0.4">
      <c r="A283" s="91" t="s">
        <v>1217</v>
      </c>
      <c r="B283" s="91"/>
      <c r="C283" s="92" t="s">
        <v>433</v>
      </c>
      <c r="D283" s="93"/>
      <c r="E283" s="93"/>
      <c r="F283" s="94" t="s">
        <v>70</v>
      </c>
      <c r="G283" s="95">
        <v>0.15</v>
      </c>
      <c r="H283" s="180"/>
      <c r="I283" s="229">
        <v>0.76500000000000001</v>
      </c>
      <c r="J283" s="321"/>
      <c r="K283" s="257"/>
      <c r="L283" s="280"/>
      <c r="M283" s="401"/>
      <c r="N283" s="423"/>
      <c r="O283" s="423"/>
      <c r="P283" s="423"/>
      <c r="Q283" s="423"/>
      <c r="R283" s="218"/>
      <c r="S283" s="218"/>
      <c r="T283" s="213">
        <v>88.8</v>
      </c>
      <c r="U283" s="211"/>
      <c r="V283" s="273"/>
      <c r="W283" s="206">
        <f>ROUND(ROUND(T283, 2)*I283, 2)</f>
        <v>67.930000000000007</v>
      </c>
    </row>
    <row r="284" spans="1:25" ht="25.5" customHeight="1" x14ac:dyDescent="0.3">
      <c r="A284" s="74" t="s">
        <v>1220</v>
      </c>
      <c r="B284" s="74" t="s">
        <v>1170</v>
      </c>
      <c r="C284" s="75" t="s">
        <v>1171</v>
      </c>
      <c r="D284" s="76"/>
      <c r="E284" s="76" t="s">
        <v>1221</v>
      </c>
      <c r="F284" s="76" t="s">
        <v>64</v>
      </c>
      <c r="G284" s="77">
        <v>1</v>
      </c>
      <c r="H284" s="177"/>
      <c r="I284" s="228">
        <v>11.75</v>
      </c>
      <c r="J284" s="331"/>
      <c r="K284" s="258"/>
      <c r="L284" s="281"/>
      <c r="M284" s="221"/>
      <c r="N284" s="422"/>
      <c r="O284" s="422"/>
      <c r="P284" s="422"/>
      <c r="Q284" s="422"/>
      <c r="R284" s="220"/>
      <c r="S284" s="221"/>
      <c r="T284" s="212">
        <f>IFERROR(ROUND(SUM(W285,W286)/I284, 2),0)</f>
        <v>75.27</v>
      </c>
      <c r="U284" s="202">
        <v>428</v>
      </c>
      <c r="V284" s="274">
        <f>T284+ROUND(U284, 2)</f>
        <v>503.27</v>
      </c>
      <c r="W284" s="182">
        <f>ROUND(T284*I284, 2)</f>
        <v>884.42</v>
      </c>
      <c r="X284" s="14">
        <f>ROUND(I284*ROUND(U284, 2), 2)</f>
        <v>5029</v>
      </c>
      <c r="Y284" s="14">
        <f>W284+X284</f>
        <v>5913.42</v>
      </c>
    </row>
    <row r="285" spans="1:25" ht="22.8" hidden="1" x14ac:dyDescent="0.4">
      <c r="A285" s="91" t="s">
        <v>1222</v>
      </c>
      <c r="B285" s="91"/>
      <c r="C285" s="92" t="s">
        <v>433</v>
      </c>
      <c r="D285" s="93"/>
      <c r="E285" s="93"/>
      <c r="F285" s="94" t="s">
        <v>70</v>
      </c>
      <c r="G285" s="95">
        <v>0.15</v>
      </c>
      <c r="H285" s="180"/>
      <c r="I285" s="229">
        <v>1.7629999999999999</v>
      </c>
      <c r="J285" s="321"/>
      <c r="K285" s="257"/>
      <c r="L285" s="280"/>
      <c r="M285" s="401"/>
      <c r="N285" s="423"/>
      <c r="O285" s="423"/>
      <c r="P285" s="423"/>
      <c r="Q285" s="423"/>
      <c r="R285" s="218"/>
      <c r="S285" s="218"/>
      <c r="T285" s="213">
        <v>88.8</v>
      </c>
      <c r="U285" s="211"/>
      <c r="V285" s="273"/>
      <c r="W285" s="206">
        <f>ROUND(ROUND(T285, 2)*I285, 2)</f>
        <v>156.55000000000001</v>
      </c>
    </row>
    <row r="286" spans="1:25" ht="76.05" hidden="1" customHeight="1" x14ac:dyDescent="0.4">
      <c r="A286" s="91" t="s">
        <v>1225</v>
      </c>
      <c r="B286" s="91"/>
      <c r="C286" s="92" t="s">
        <v>1091</v>
      </c>
      <c r="D286" s="93"/>
      <c r="E286" s="93" t="s">
        <v>1226</v>
      </c>
      <c r="F286" s="94" t="s">
        <v>70</v>
      </c>
      <c r="G286" s="95">
        <v>0.3</v>
      </c>
      <c r="H286" s="180"/>
      <c r="I286" s="229">
        <v>3.5249999999999999</v>
      </c>
      <c r="J286" s="321"/>
      <c r="K286" s="257"/>
      <c r="L286" s="280"/>
      <c r="M286" s="401"/>
      <c r="N286" s="423"/>
      <c r="O286" s="423"/>
      <c r="P286" s="423"/>
      <c r="Q286" s="423"/>
      <c r="R286" s="218"/>
      <c r="S286" s="218"/>
      <c r="T286" s="213">
        <v>206.5</v>
      </c>
      <c r="U286" s="211"/>
      <c r="V286" s="273"/>
      <c r="W286" s="206">
        <f>ROUND(ROUND(T286, 2)*I286, 2)</f>
        <v>727.91</v>
      </c>
    </row>
    <row r="287" spans="1:25" ht="28.05" customHeight="1" x14ac:dyDescent="0.3">
      <c r="A287" s="74" t="s">
        <v>1229</v>
      </c>
      <c r="B287" s="74" t="s">
        <v>1170</v>
      </c>
      <c r="C287" s="75" t="s">
        <v>1171</v>
      </c>
      <c r="D287" s="76"/>
      <c r="E287" s="76" t="s">
        <v>1230</v>
      </c>
      <c r="F287" s="76" t="s">
        <v>64</v>
      </c>
      <c r="G287" s="77">
        <v>1</v>
      </c>
      <c r="H287" s="177"/>
      <c r="I287" s="228">
        <v>78.400000000000006</v>
      </c>
      <c r="J287" s="322"/>
      <c r="K287" s="258"/>
      <c r="L287" s="281"/>
      <c r="M287" s="221"/>
      <c r="N287" s="422"/>
      <c r="O287" s="422"/>
      <c r="P287" s="422"/>
      <c r="Q287" s="422"/>
      <c r="R287" s="220"/>
      <c r="S287" s="221"/>
      <c r="T287" s="212">
        <f>IFERROR(ROUND(SUM(W288,W289)/I287, 2),0)</f>
        <v>75.27</v>
      </c>
      <c r="U287" s="202">
        <v>428</v>
      </c>
      <c r="V287" s="274">
        <f>T287+ROUND(U287, 2)</f>
        <v>503.27</v>
      </c>
      <c r="W287" s="182">
        <f>ROUND(T287*I287, 2)</f>
        <v>5901.17</v>
      </c>
      <c r="X287" s="14">
        <f>ROUND(I287*ROUND(U287, 2), 2)</f>
        <v>33555.199999999997</v>
      </c>
      <c r="Y287" s="14">
        <f>W287+X287</f>
        <v>39456.369999999995</v>
      </c>
    </row>
    <row r="288" spans="1:25" ht="98.55" hidden="1" customHeight="1" x14ac:dyDescent="0.4">
      <c r="A288" s="91" t="s">
        <v>1231</v>
      </c>
      <c r="B288" s="91"/>
      <c r="C288" s="92" t="s">
        <v>1091</v>
      </c>
      <c r="D288" s="93"/>
      <c r="E288" s="93" t="s">
        <v>1232</v>
      </c>
      <c r="F288" s="94" t="s">
        <v>70</v>
      </c>
      <c r="G288" s="95">
        <v>0.3</v>
      </c>
      <c r="H288" s="180"/>
      <c r="I288" s="229">
        <v>23.52</v>
      </c>
      <c r="J288" s="321"/>
      <c r="K288" s="257"/>
      <c r="L288" s="280"/>
      <c r="M288" s="401"/>
      <c r="N288" s="423"/>
      <c r="O288" s="423"/>
      <c r="P288" s="423"/>
      <c r="Q288" s="423"/>
      <c r="R288" s="218"/>
      <c r="S288" s="218"/>
      <c r="T288" s="213">
        <v>206.5</v>
      </c>
      <c r="U288" s="211"/>
      <c r="V288" s="273"/>
      <c r="W288" s="206">
        <f>ROUND(ROUND(T288, 2)*I288, 2)</f>
        <v>4856.88</v>
      </c>
    </row>
    <row r="289" spans="1:25" ht="22.8" hidden="1" x14ac:dyDescent="0.4">
      <c r="A289" s="91" t="s">
        <v>1235</v>
      </c>
      <c r="B289" s="91"/>
      <c r="C289" s="92" t="s">
        <v>433</v>
      </c>
      <c r="D289" s="93"/>
      <c r="E289" s="93"/>
      <c r="F289" s="94" t="s">
        <v>70</v>
      </c>
      <c r="G289" s="95">
        <v>0.15</v>
      </c>
      <c r="H289" s="180"/>
      <c r="I289" s="229">
        <v>11.76</v>
      </c>
      <c r="J289" s="321"/>
      <c r="K289" s="257"/>
      <c r="L289" s="280"/>
      <c r="M289" s="401"/>
      <c r="N289" s="423"/>
      <c r="O289" s="423"/>
      <c r="P289" s="423"/>
      <c r="Q289" s="423"/>
      <c r="R289" s="218"/>
      <c r="S289" s="218"/>
      <c r="T289" s="213">
        <v>88.8</v>
      </c>
      <c r="U289" s="211"/>
      <c r="V289" s="273"/>
      <c r="W289" s="206">
        <f>ROUND(ROUND(T289, 2)*I289, 2)</f>
        <v>1044.29</v>
      </c>
    </row>
    <row r="290" spans="1:25" ht="28.5" customHeight="1" x14ac:dyDescent="0.3">
      <c r="A290" s="74" t="s">
        <v>1238</v>
      </c>
      <c r="B290" s="74" t="s">
        <v>1170</v>
      </c>
      <c r="C290" s="75" t="s">
        <v>1171</v>
      </c>
      <c r="D290" s="76"/>
      <c r="E290" s="76" t="s">
        <v>1239</v>
      </c>
      <c r="F290" s="76" t="s">
        <v>64</v>
      </c>
      <c r="G290" s="77">
        <v>1</v>
      </c>
      <c r="H290" s="177"/>
      <c r="I290" s="228">
        <v>351.8</v>
      </c>
      <c r="J290" s="322"/>
      <c r="K290" s="258"/>
      <c r="L290" s="281"/>
      <c r="M290" s="221"/>
      <c r="N290" s="422"/>
      <c r="O290" s="422"/>
      <c r="P290" s="422"/>
      <c r="Q290" s="422"/>
      <c r="R290" s="220"/>
      <c r="S290" s="221"/>
      <c r="T290" s="212">
        <f>IFERROR(ROUND(SUM(W291,W292)/I290, 2),0)</f>
        <v>75.27</v>
      </c>
      <c r="U290" s="202">
        <v>428</v>
      </c>
      <c r="V290" s="274">
        <f>T290+ROUND(U290, 2)</f>
        <v>503.27</v>
      </c>
      <c r="W290" s="182">
        <f>ROUND(T290*I290, 2)</f>
        <v>26479.99</v>
      </c>
      <c r="X290" s="14">
        <f>ROUND(I290*ROUND(U290, 2), 2)</f>
        <v>150570.4</v>
      </c>
      <c r="Y290" s="14">
        <f>W290+X290</f>
        <v>177050.38999999998</v>
      </c>
    </row>
    <row r="291" spans="1:25" ht="22.8" hidden="1" x14ac:dyDescent="0.4">
      <c r="A291" s="91" t="s">
        <v>1240</v>
      </c>
      <c r="B291" s="91"/>
      <c r="C291" s="92" t="s">
        <v>433</v>
      </c>
      <c r="D291" s="93"/>
      <c r="E291" s="93"/>
      <c r="F291" s="94" t="s">
        <v>70</v>
      </c>
      <c r="G291" s="95">
        <v>0.15</v>
      </c>
      <c r="H291" s="180"/>
      <c r="I291" s="229">
        <v>52.77</v>
      </c>
      <c r="J291" s="321"/>
      <c r="K291" s="257"/>
      <c r="L291" s="280"/>
      <c r="M291" s="401"/>
      <c r="N291" s="423"/>
      <c r="O291" s="423"/>
      <c r="P291" s="423"/>
      <c r="Q291" s="423"/>
      <c r="R291" s="218"/>
      <c r="S291" s="218"/>
      <c r="T291" s="213">
        <v>88.8</v>
      </c>
      <c r="U291" s="211"/>
      <c r="V291" s="273"/>
      <c r="W291" s="206">
        <f>ROUND(ROUND(T291, 2)*I291, 2)</f>
        <v>4685.9799999999996</v>
      </c>
    </row>
    <row r="292" spans="1:25" ht="77.55" hidden="1" customHeight="1" x14ac:dyDescent="0.4">
      <c r="A292" s="91" t="s">
        <v>1243</v>
      </c>
      <c r="B292" s="91"/>
      <c r="C292" s="92" t="s">
        <v>1091</v>
      </c>
      <c r="D292" s="93"/>
      <c r="E292" s="93" t="s">
        <v>1244</v>
      </c>
      <c r="F292" s="94" t="s">
        <v>70</v>
      </c>
      <c r="G292" s="95">
        <v>0.3</v>
      </c>
      <c r="H292" s="180"/>
      <c r="I292" s="229">
        <v>105.54</v>
      </c>
      <c r="J292" s="321"/>
      <c r="K292" s="257"/>
      <c r="L292" s="280"/>
      <c r="M292" s="401"/>
      <c r="N292" s="423"/>
      <c r="O292" s="423"/>
      <c r="P292" s="423"/>
      <c r="Q292" s="423"/>
      <c r="R292" s="218"/>
      <c r="S292" s="218"/>
      <c r="T292" s="213">
        <v>206.5</v>
      </c>
      <c r="U292" s="211"/>
      <c r="V292" s="273"/>
      <c r="W292" s="206">
        <f>ROUND(ROUND(T292, 2)*I292, 2)</f>
        <v>21794.01</v>
      </c>
    </row>
    <row r="293" spans="1:25" ht="22.5" customHeight="1" x14ac:dyDescent="0.3">
      <c r="A293" s="74" t="s">
        <v>1247</v>
      </c>
      <c r="B293" s="74" t="s">
        <v>1170</v>
      </c>
      <c r="C293" s="75" t="s">
        <v>1171</v>
      </c>
      <c r="D293" s="76"/>
      <c r="E293" s="76" t="s">
        <v>1248</v>
      </c>
      <c r="F293" s="76" t="s">
        <v>64</v>
      </c>
      <c r="G293" s="77">
        <v>1</v>
      </c>
      <c r="H293" s="177"/>
      <c r="I293" s="228">
        <v>2020.16</v>
      </c>
      <c r="J293" s="322"/>
      <c r="K293" s="258"/>
      <c r="L293" s="281"/>
      <c r="M293" s="221"/>
      <c r="N293" s="422"/>
      <c r="O293" s="422"/>
      <c r="P293" s="422"/>
      <c r="Q293" s="422"/>
      <c r="R293" s="220"/>
      <c r="S293" s="221"/>
      <c r="T293" s="212">
        <f>IFERROR(ROUND(SUM(W294,W295)/I293, 2),0)</f>
        <v>68.28</v>
      </c>
      <c r="U293" s="202">
        <v>428</v>
      </c>
      <c r="V293" s="274">
        <f>T293+ROUND(U293, 2)</f>
        <v>496.28</v>
      </c>
      <c r="W293" s="182">
        <f>ROUND(T293*I293, 2)</f>
        <v>137936.51999999999</v>
      </c>
      <c r="X293" s="14">
        <f>ROUND(I293*ROUND(U293, 2), 2)</f>
        <v>864628.48</v>
      </c>
      <c r="Y293" s="14">
        <f>W293+X293</f>
        <v>1002565</v>
      </c>
    </row>
    <row r="294" spans="1:25" ht="81" hidden="1" customHeight="1" x14ac:dyDescent="0.4">
      <c r="A294" s="91" t="s">
        <v>1249</v>
      </c>
      <c r="B294" s="91"/>
      <c r="C294" s="92" t="s">
        <v>1111</v>
      </c>
      <c r="D294" s="93"/>
      <c r="E294" s="93" t="s">
        <v>1250</v>
      </c>
      <c r="F294" s="94" t="s">
        <v>70</v>
      </c>
      <c r="G294" s="95">
        <v>0.3</v>
      </c>
      <c r="H294" s="180"/>
      <c r="I294" s="229">
        <v>606.048</v>
      </c>
      <c r="J294" s="321"/>
      <c r="K294" s="257"/>
      <c r="L294" s="280"/>
      <c r="M294" s="401"/>
      <c r="N294" s="423"/>
      <c r="O294" s="423"/>
      <c r="P294" s="423"/>
      <c r="Q294" s="423"/>
      <c r="R294" s="218"/>
      <c r="S294" s="218"/>
      <c r="T294" s="213">
        <v>183.2</v>
      </c>
      <c r="U294" s="211"/>
      <c r="V294" s="273"/>
      <c r="W294" s="206">
        <f>ROUND(ROUND(T294, 2)*I294, 2)</f>
        <v>111027.99</v>
      </c>
    </row>
    <row r="295" spans="1:25" ht="22.8" hidden="1" x14ac:dyDescent="0.4">
      <c r="A295" s="91" t="s">
        <v>1253</v>
      </c>
      <c r="B295" s="91"/>
      <c r="C295" s="92" t="s">
        <v>433</v>
      </c>
      <c r="D295" s="93"/>
      <c r="E295" s="93"/>
      <c r="F295" s="94" t="s">
        <v>70</v>
      </c>
      <c r="G295" s="95">
        <v>0.15</v>
      </c>
      <c r="H295" s="180"/>
      <c r="I295" s="229">
        <v>303.024</v>
      </c>
      <c r="J295" s="321"/>
      <c r="K295" s="257"/>
      <c r="L295" s="280"/>
      <c r="M295" s="401"/>
      <c r="N295" s="423"/>
      <c r="O295" s="423"/>
      <c r="P295" s="423"/>
      <c r="Q295" s="423"/>
      <c r="R295" s="218"/>
      <c r="S295" s="218"/>
      <c r="T295" s="213">
        <v>88.8</v>
      </c>
      <c r="U295" s="211"/>
      <c r="V295" s="273"/>
      <c r="W295" s="206">
        <f>ROUND(ROUND(T295, 2)*I295, 2)</f>
        <v>26908.53</v>
      </c>
    </row>
    <row r="296" spans="1:25" ht="22.8" hidden="1" x14ac:dyDescent="0.3">
      <c r="A296" s="91" t="s">
        <v>1256</v>
      </c>
      <c r="B296" s="91" t="s">
        <v>1170</v>
      </c>
      <c r="C296" s="97" t="s">
        <v>1171</v>
      </c>
      <c r="D296" s="93"/>
      <c r="E296" s="93" t="s">
        <v>1257</v>
      </c>
      <c r="F296" s="93" t="s">
        <v>64</v>
      </c>
      <c r="G296" s="98">
        <v>1</v>
      </c>
      <c r="H296" s="181"/>
      <c r="I296" s="231">
        <v>141.44999999999999</v>
      </c>
      <c r="J296" s="323"/>
      <c r="K296" s="258"/>
      <c r="L296" s="281"/>
      <c r="M296" s="221"/>
      <c r="N296" s="422"/>
      <c r="O296" s="422"/>
      <c r="P296" s="422"/>
      <c r="Q296" s="422"/>
      <c r="R296" s="220"/>
      <c r="S296" s="221"/>
      <c r="T296" s="212">
        <f>IFERROR(ROUND(SUM(W297,W298)/I296, 2),0)</f>
        <v>75.27</v>
      </c>
      <c r="U296" s="202">
        <v>428</v>
      </c>
      <c r="V296" s="274">
        <f>T296+ROUND(U296, 2)</f>
        <v>503.27</v>
      </c>
      <c r="W296" s="182">
        <f>ROUND(T296*I296, 2)</f>
        <v>10646.94</v>
      </c>
      <c r="X296" s="14">
        <f>ROUND(I296*ROUND(U296, 2), 2)</f>
        <v>60540.6</v>
      </c>
      <c r="Y296" s="14">
        <f>W296+X296</f>
        <v>71187.539999999994</v>
      </c>
    </row>
    <row r="297" spans="1:25" ht="22.8" hidden="1" x14ac:dyDescent="0.4">
      <c r="A297" s="91" t="s">
        <v>1258</v>
      </c>
      <c r="B297" s="91"/>
      <c r="C297" s="92" t="s">
        <v>433</v>
      </c>
      <c r="D297" s="93"/>
      <c r="E297" s="93"/>
      <c r="F297" s="94" t="s">
        <v>70</v>
      </c>
      <c r="G297" s="95">
        <v>0.15</v>
      </c>
      <c r="H297" s="180"/>
      <c r="I297" s="229">
        <v>21.218</v>
      </c>
      <c r="J297" s="321"/>
      <c r="K297" s="257"/>
      <c r="L297" s="280"/>
      <c r="M297" s="401"/>
      <c r="N297" s="423"/>
      <c r="O297" s="423"/>
      <c r="P297" s="423"/>
      <c r="Q297" s="423"/>
      <c r="R297" s="218"/>
      <c r="S297" s="218"/>
      <c r="T297" s="213">
        <v>88.8</v>
      </c>
      <c r="U297" s="211"/>
      <c r="V297" s="273"/>
      <c r="W297" s="206">
        <f>ROUND(ROUND(T297, 2)*I297, 2)</f>
        <v>1884.16</v>
      </c>
    </row>
    <row r="298" spans="1:25" ht="67.5" hidden="1" customHeight="1" x14ac:dyDescent="0.4">
      <c r="A298" s="91" t="s">
        <v>1261</v>
      </c>
      <c r="B298" s="91"/>
      <c r="C298" s="92" t="s">
        <v>1091</v>
      </c>
      <c r="D298" s="93"/>
      <c r="E298" s="93" t="s">
        <v>1262</v>
      </c>
      <c r="F298" s="94" t="s">
        <v>70</v>
      </c>
      <c r="G298" s="95">
        <v>0.3</v>
      </c>
      <c r="H298" s="180"/>
      <c r="I298" s="229">
        <v>42.435000000000002</v>
      </c>
      <c r="J298" s="321"/>
      <c r="K298" s="257"/>
      <c r="L298" s="280"/>
      <c r="M298" s="401"/>
      <c r="N298" s="423"/>
      <c r="O298" s="423"/>
      <c r="P298" s="423"/>
      <c r="Q298" s="423"/>
      <c r="R298" s="218"/>
      <c r="S298" s="218"/>
      <c r="T298" s="213">
        <v>206.5</v>
      </c>
      <c r="U298" s="211"/>
      <c r="V298" s="273"/>
      <c r="W298" s="206">
        <f>ROUND(ROUND(T298, 2)*I298, 2)</f>
        <v>8762.83</v>
      </c>
    </row>
    <row r="299" spans="1:25" ht="28.05" customHeight="1" x14ac:dyDescent="0.3">
      <c r="A299" s="74" t="s">
        <v>1265</v>
      </c>
      <c r="B299" s="74" t="s">
        <v>1170</v>
      </c>
      <c r="C299" s="75" t="s">
        <v>1171</v>
      </c>
      <c r="D299" s="76"/>
      <c r="E299" s="76" t="s">
        <v>1266</v>
      </c>
      <c r="F299" s="76" t="s">
        <v>64</v>
      </c>
      <c r="G299" s="77">
        <v>1</v>
      </c>
      <c r="H299" s="177"/>
      <c r="I299" s="228">
        <v>25.11</v>
      </c>
      <c r="J299" s="322"/>
      <c r="K299" s="258"/>
      <c r="L299" s="281"/>
      <c r="M299" s="221"/>
      <c r="N299" s="422"/>
      <c r="O299" s="422"/>
      <c r="P299" s="422"/>
      <c r="Q299" s="422"/>
      <c r="R299" s="220"/>
      <c r="S299" s="221"/>
      <c r="T299" s="212">
        <f>IFERROR(ROUND(SUM(W300,W301)/I299, 2),0)</f>
        <v>75.27</v>
      </c>
      <c r="U299" s="202">
        <v>428</v>
      </c>
      <c r="V299" s="274">
        <f>T299+ROUND(U299, 2)</f>
        <v>503.27</v>
      </c>
      <c r="W299" s="182">
        <f>ROUND(T299*I299, 2)</f>
        <v>1890.03</v>
      </c>
      <c r="X299" s="14">
        <f>ROUND(I299*ROUND(U299, 2), 2)</f>
        <v>10747.08</v>
      </c>
      <c r="Y299" s="14">
        <f>W299+X299</f>
        <v>12637.11</v>
      </c>
    </row>
    <row r="300" spans="1:25" ht="96.45" hidden="1" customHeight="1" x14ac:dyDescent="0.4">
      <c r="A300" s="91" t="s">
        <v>1267</v>
      </c>
      <c r="B300" s="91"/>
      <c r="C300" s="92" t="s">
        <v>1091</v>
      </c>
      <c r="D300" s="93"/>
      <c r="E300" s="93" t="s">
        <v>1268</v>
      </c>
      <c r="F300" s="94" t="s">
        <v>70</v>
      </c>
      <c r="G300" s="95">
        <v>0.3</v>
      </c>
      <c r="H300" s="180"/>
      <c r="I300" s="229">
        <v>7.5330000000000004</v>
      </c>
      <c r="J300" s="321"/>
      <c r="K300" s="257"/>
      <c r="L300" s="280"/>
      <c r="M300" s="401"/>
      <c r="N300" s="423"/>
      <c r="O300" s="423"/>
      <c r="P300" s="423"/>
      <c r="Q300" s="423"/>
      <c r="R300" s="218"/>
      <c r="S300" s="218"/>
      <c r="T300" s="213">
        <v>206.5</v>
      </c>
      <c r="U300" s="211"/>
      <c r="V300" s="273"/>
      <c r="W300" s="206">
        <f>ROUND(ROUND(T300, 2)*I300, 2)</f>
        <v>1555.56</v>
      </c>
    </row>
    <row r="301" spans="1:25" ht="22.8" hidden="1" x14ac:dyDescent="0.4">
      <c r="A301" s="91" t="s">
        <v>1271</v>
      </c>
      <c r="B301" s="91"/>
      <c r="C301" s="92" t="s">
        <v>433</v>
      </c>
      <c r="D301" s="93"/>
      <c r="E301" s="93"/>
      <c r="F301" s="94" t="s">
        <v>70</v>
      </c>
      <c r="G301" s="95">
        <v>0.15</v>
      </c>
      <c r="H301" s="180"/>
      <c r="I301" s="229">
        <v>3.7669999999999999</v>
      </c>
      <c r="J301" s="321"/>
      <c r="K301" s="257"/>
      <c r="L301" s="280"/>
      <c r="M301" s="401"/>
      <c r="N301" s="423"/>
      <c r="O301" s="423"/>
      <c r="P301" s="423"/>
      <c r="Q301" s="423"/>
      <c r="R301" s="218"/>
      <c r="S301" s="218"/>
      <c r="T301" s="213">
        <v>88.8</v>
      </c>
      <c r="U301" s="211"/>
      <c r="V301" s="273"/>
      <c r="W301" s="206">
        <f>ROUND(ROUND(T301, 2)*I301, 2)</f>
        <v>334.51</v>
      </c>
    </row>
    <row r="302" spans="1:25" ht="27.45" customHeight="1" x14ac:dyDescent="0.3">
      <c r="A302" s="74" t="s">
        <v>1274</v>
      </c>
      <c r="B302" s="74" t="s">
        <v>1170</v>
      </c>
      <c r="C302" s="75" t="s">
        <v>1171</v>
      </c>
      <c r="D302" s="76"/>
      <c r="E302" s="76" t="s">
        <v>1275</v>
      </c>
      <c r="F302" s="76" t="s">
        <v>64</v>
      </c>
      <c r="G302" s="77">
        <v>1</v>
      </c>
      <c r="H302" s="177"/>
      <c r="I302" s="228">
        <v>4509.45</v>
      </c>
      <c r="J302" s="322"/>
      <c r="K302" s="258"/>
      <c r="L302" s="281"/>
      <c r="M302" s="221"/>
      <c r="N302" s="422"/>
      <c r="O302" s="422"/>
      <c r="P302" s="422"/>
      <c r="Q302" s="422"/>
      <c r="R302" s="220"/>
      <c r="S302" s="221"/>
      <c r="T302" s="212">
        <f>IFERROR(ROUND(SUM(W303,W304)/I302, 2),0)</f>
        <v>68.28</v>
      </c>
      <c r="U302" s="202">
        <v>428</v>
      </c>
      <c r="V302" s="274">
        <f>T302+ROUND(U302, 2)</f>
        <v>496.28</v>
      </c>
      <c r="W302" s="182">
        <f>ROUND(T302*I302, 2)</f>
        <v>307905.25</v>
      </c>
      <c r="X302" s="14">
        <f>ROUND(I302*ROUND(U302, 2), 2)</f>
        <v>1930044.6</v>
      </c>
      <c r="Y302" s="14">
        <f>W302+X302</f>
        <v>2237949.85</v>
      </c>
    </row>
    <row r="303" spans="1:25" ht="22.8" hidden="1" x14ac:dyDescent="0.4">
      <c r="A303" s="91" t="s">
        <v>1276</v>
      </c>
      <c r="B303" s="91"/>
      <c r="C303" s="92" t="s">
        <v>433</v>
      </c>
      <c r="D303" s="93"/>
      <c r="E303" s="93"/>
      <c r="F303" s="94" t="s">
        <v>70</v>
      </c>
      <c r="G303" s="95">
        <v>0.15</v>
      </c>
      <c r="H303" s="180"/>
      <c r="I303" s="229">
        <v>676.41800000000001</v>
      </c>
      <c r="J303" s="329"/>
      <c r="K303" s="257"/>
      <c r="L303" s="280"/>
      <c r="M303" s="401"/>
      <c r="N303" s="423"/>
      <c r="O303" s="423"/>
      <c r="P303" s="423"/>
      <c r="Q303" s="423"/>
      <c r="R303" s="218"/>
      <c r="S303" s="218"/>
      <c r="T303" s="213">
        <v>88.8</v>
      </c>
      <c r="U303" s="211"/>
      <c r="V303" s="273"/>
      <c r="W303" s="206">
        <f>ROUND(ROUND(T303, 2)*I303, 2)</f>
        <v>60065.919999999998</v>
      </c>
    </row>
    <row r="304" spans="1:25" ht="90" hidden="1" customHeight="1" x14ac:dyDescent="0.4">
      <c r="A304" s="91" t="s">
        <v>1279</v>
      </c>
      <c r="B304" s="91"/>
      <c r="C304" s="92" t="s">
        <v>1176</v>
      </c>
      <c r="D304" s="93"/>
      <c r="E304" s="93" t="s">
        <v>1177</v>
      </c>
      <c r="F304" s="94" t="s">
        <v>70</v>
      </c>
      <c r="G304" s="95">
        <v>0.3</v>
      </c>
      <c r="H304" s="180"/>
      <c r="I304" s="229">
        <v>1352.835</v>
      </c>
      <c r="J304" s="329"/>
      <c r="K304" s="257"/>
      <c r="L304" s="280"/>
      <c r="M304" s="401"/>
      <c r="N304" s="423"/>
      <c r="O304" s="423"/>
      <c r="P304" s="423"/>
      <c r="Q304" s="423"/>
      <c r="R304" s="218"/>
      <c r="S304" s="218"/>
      <c r="T304" s="213">
        <v>183.2</v>
      </c>
      <c r="U304" s="211"/>
      <c r="V304" s="273"/>
      <c r="W304" s="206">
        <f>ROUND(ROUND(T304, 2)*I304, 2)</f>
        <v>247839.37</v>
      </c>
    </row>
    <row r="305" spans="1:25" ht="32.549999999999997" customHeight="1" x14ac:dyDescent="0.3">
      <c r="A305" s="74" t="s">
        <v>1282</v>
      </c>
      <c r="B305" s="74" t="s">
        <v>1170</v>
      </c>
      <c r="C305" s="75" t="s">
        <v>1171</v>
      </c>
      <c r="D305" s="76"/>
      <c r="E305" s="76" t="s">
        <v>1283</v>
      </c>
      <c r="F305" s="76" t="s">
        <v>64</v>
      </c>
      <c r="G305" s="77">
        <v>1</v>
      </c>
      <c r="H305" s="177"/>
      <c r="I305" s="228">
        <v>8.64</v>
      </c>
      <c r="J305" s="322"/>
      <c r="K305" s="258"/>
      <c r="L305" s="281"/>
      <c r="M305" s="221"/>
      <c r="N305" s="422"/>
      <c r="O305" s="422"/>
      <c r="P305" s="422"/>
      <c r="Q305" s="422"/>
      <c r="R305" s="220"/>
      <c r="S305" s="221"/>
      <c r="T305" s="212">
        <f>IFERROR(ROUND(SUM(W306,W307)/I305, 2),0)</f>
        <v>75.27</v>
      </c>
      <c r="U305" s="202">
        <v>428</v>
      </c>
      <c r="V305" s="274">
        <f>T305+ROUND(U305, 2)</f>
        <v>503.27</v>
      </c>
      <c r="W305" s="182">
        <f>ROUND(T305*I305, 2)</f>
        <v>650.33000000000004</v>
      </c>
      <c r="X305" s="14">
        <f>ROUND(I305*ROUND(U305, 2), 2)</f>
        <v>3697.92</v>
      </c>
      <c r="Y305" s="14">
        <f>W305+X305</f>
        <v>4348.25</v>
      </c>
    </row>
    <row r="306" spans="1:25" ht="95.55" hidden="1" customHeight="1" x14ac:dyDescent="0.4">
      <c r="A306" s="91" t="s">
        <v>1284</v>
      </c>
      <c r="B306" s="91"/>
      <c r="C306" s="92" t="s">
        <v>1091</v>
      </c>
      <c r="D306" s="93"/>
      <c r="E306" s="93" t="s">
        <v>1190</v>
      </c>
      <c r="F306" s="94" t="s">
        <v>70</v>
      </c>
      <c r="G306" s="95">
        <v>0.3</v>
      </c>
      <c r="H306" s="180"/>
      <c r="I306" s="229">
        <v>2.5920000000000001</v>
      </c>
      <c r="J306" s="321"/>
      <c r="K306" s="257"/>
      <c r="L306" s="280"/>
      <c r="M306" s="401"/>
      <c r="N306" s="423"/>
      <c r="O306" s="423"/>
      <c r="P306" s="423"/>
      <c r="Q306" s="423"/>
      <c r="R306" s="218"/>
      <c r="S306" s="218"/>
      <c r="T306" s="213">
        <v>206.5</v>
      </c>
      <c r="U306" s="211"/>
      <c r="V306" s="273"/>
      <c r="W306" s="206">
        <f>ROUND(ROUND(T306, 2)*I306, 2)</f>
        <v>535.25</v>
      </c>
    </row>
    <row r="307" spans="1:25" ht="22.8" hidden="1" x14ac:dyDescent="0.4">
      <c r="A307" s="91" t="s">
        <v>1287</v>
      </c>
      <c r="B307" s="91"/>
      <c r="C307" s="92" t="s">
        <v>433</v>
      </c>
      <c r="D307" s="93"/>
      <c r="E307" s="93"/>
      <c r="F307" s="94" t="s">
        <v>70</v>
      </c>
      <c r="G307" s="95">
        <v>0.15</v>
      </c>
      <c r="H307" s="180"/>
      <c r="I307" s="229">
        <v>1.296</v>
      </c>
      <c r="J307" s="321"/>
      <c r="K307" s="257"/>
      <c r="L307" s="280"/>
      <c r="M307" s="401"/>
      <c r="N307" s="423"/>
      <c r="O307" s="423"/>
      <c r="P307" s="423"/>
      <c r="Q307" s="423"/>
      <c r="R307" s="218"/>
      <c r="S307" s="218"/>
      <c r="T307" s="213">
        <v>88.8</v>
      </c>
      <c r="U307" s="211"/>
      <c r="V307" s="273"/>
      <c r="W307" s="206">
        <f>ROUND(ROUND(T307, 2)*I307, 2)</f>
        <v>115.08</v>
      </c>
    </row>
    <row r="308" spans="1:25" ht="24" customHeight="1" x14ac:dyDescent="0.3">
      <c r="A308" s="74" t="s">
        <v>1290</v>
      </c>
      <c r="B308" s="74" t="s">
        <v>1170</v>
      </c>
      <c r="C308" s="75" t="s">
        <v>1171</v>
      </c>
      <c r="D308" s="76"/>
      <c r="E308" s="76" t="s">
        <v>1291</v>
      </c>
      <c r="F308" s="76" t="s">
        <v>64</v>
      </c>
      <c r="G308" s="77">
        <v>1</v>
      </c>
      <c r="H308" s="177"/>
      <c r="I308" s="228">
        <v>34.68</v>
      </c>
      <c r="J308" s="322"/>
      <c r="K308" s="258"/>
      <c r="L308" s="281"/>
      <c r="M308" s="221"/>
      <c r="N308" s="422"/>
      <c r="O308" s="422"/>
      <c r="P308" s="422"/>
      <c r="Q308" s="422"/>
      <c r="R308" s="220"/>
      <c r="S308" s="221"/>
      <c r="T308" s="212">
        <f>IFERROR(ROUND(SUM(W309,W310)/I308, 2),0)</f>
        <v>75.27</v>
      </c>
      <c r="U308" s="202">
        <v>428</v>
      </c>
      <c r="V308" s="274">
        <f>T308+ROUND(U308, 2)</f>
        <v>503.27</v>
      </c>
      <c r="W308" s="182">
        <f>ROUND(T308*I308, 2)</f>
        <v>2610.36</v>
      </c>
      <c r="X308" s="14">
        <f>ROUND(I308*ROUND(U308, 2), 2)</f>
        <v>14843.04</v>
      </c>
      <c r="Y308" s="14">
        <f>W308+X308</f>
        <v>17453.400000000001</v>
      </c>
    </row>
    <row r="309" spans="1:25" ht="22.8" hidden="1" x14ac:dyDescent="0.4">
      <c r="A309" s="91" t="s">
        <v>1292</v>
      </c>
      <c r="B309" s="91"/>
      <c r="C309" s="92" t="s">
        <v>433</v>
      </c>
      <c r="D309" s="93"/>
      <c r="E309" s="93"/>
      <c r="F309" s="94" t="s">
        <v>70</v>
      </c>
      <c r="G309" s="95">
        <v>0.15</v>
      </c>
      <c r="H309" s="180"/>
      <c r="I309" s="229">
        <v>5.202</v>
      </c>
      <c r="J309" s="321"/>
      <c r="K309" s="257"/>
      <c r="L309" s="280"/>
      <c r="M309" s="401"/>
      <c r="N309" s="423"/>
      <c r="O309" s="423"/>
      <c r="P309" s="423"/>
      <c r="Q309" s="423"/>
      <c r="R309" s="218"/>
      <c r="S309" s="218"/>
      <c r="T309" s="213">
        <v>88.8</v>
      </c>
      <c r="U309" s="211"/>
      <c r="V309" s="273"/>
      <c r="W309" s="206">
        <f>ROUND(ROUND(T309, 2)*I309, 2)</f>
        <v>461.94</v>
      </c>
    </row>
    <row r="310" spans="1:25" ht="84.45" hidden="1" customHeight="1" x14ac:dyDescent="0.4">
      <c r="A310" s="91" t="s">
        <v>1295</v>
      </c>
      <c r="B310" s="91"/>
      <c r="C310" s="92" t="s">
        <v>1091</v>
      </c>
      <c r="D310" s="93"/>
      <c r="E310" s="93" t="s">
        <v>1196</v>
      </c>
      <c r="F310" s="94" t="s">
        <v>70</v>
      </c>
      <c r="G310" s="95">
        <v>0.3</v>
      </c>
      <c r="H310" s="180"/>
      <c r="I310" s="229">
        <v>10.404</v>
      </c>
      <c r="J310" s="321"/>
      <c r="K310" s="257"/>
      <c r="L310" s="280"/>
      <c r="M310" s="401"/>
      <c r="N310" s="423"/>
      <c r="O310" s="423"/>
      <c r="P310" s="423"/>
      <c r="Q310" s="423"/>
      <c r="R310" s="218"/>
      <c r="S310" s="218"/>
      <c r="T310" s="213">
        <v>206.5</v>
      </c>
      <c r="U310" s="211"/>
      <c r="V310" s="273"/>
      <c r="W310" s="206">
        <f>ROUND(ROUND(T310, 2)*I310, 2)</f>
        <v>2148.4299999999998</v>
      </c>
    </row>
    <row r="311" spans="1:25" ht="30.45" customHeight="1" x14ac:dyDescent="0.3">
      <c r="A311" s="74" t="s">
        <v>1298</v>
      </c>
      <c r="B311" s="74" t="s">
        <v>1170</v>
      </c>
      <c r="C311" s="75" t="s">
        <v>1171</v>
      </c>
      <c r="D311" s="76"/>
      <c r="E311" s="76" t="s">
        <v>1299</v>
      </c>
      <c r="F311" s="76" t="s">
        <v>64</v>
      </c>
      <c r="G311" s="77">
        <v>1</v>
      </c>
      <c r="H311" s="177"/>
      <c r="I311" s="228">
        <v>24.37</v>
      </c>
      <c r="J311" s="322"/>
      <c r="K311" s="258"/>
      <c r="L311" s="281"/>
      <c r="M311" s="221"/>
      <c r="N311" s="422"/>
      <c r="O311" s="422"/>
      <c r="P311" s="422"/>
      <c r="Q311" s="422"/>
      <c r="R311" s="220"/>
      <c r="S311" s="221"/>
      <c r="T311" s="212">
        <f>IFERROR(ROUND(SUM(W312,W313)/I311, 2),0)</f>
        <v>75.27</v>
      </c>
      <c r="U311" s="202">
        <v>428</v>
      </c>
      <c r="V311" s="274">
        <f>T311+ROUND(U311, 2)</f>
        <v>503.27</v>
      </c>
      <c r="W311" s="182">
        <f>ROUND(T311*I311, 2)</f>
        <v>1834.33</v>
      </c>
      <c r="X311" s="14">
        <f>ROUND(I311*ROUND(U311, 2), 2)</f>
        <v>10430.36</v>
      </c>
      <c r="Y311" s="14">
        <f>W311+X311</f>
        <v>12264.69</v>
      </c>
    </row>
    <row r="312" spans="1:25" ht="104.55" hidden="1" customHeight="1" x14ac:dyDescent="0.4">
      <c r="A312" s="91" t="s">
        <v>1300</v>
      </c>
      <c r="B312" s="91"/>
      <c r="C312" s="92" t="s">
        <v>1091</v>
      </c>
      <c r="D312" s="93"/>
      <c r="E312" s="93" t="s">
        <v>1208</v>
      </c>
      <c r="F312" s="94" t="s">
        <v>70</v>
      </c>
      <c r="G312" s="95">
        <v>0.3</v>
      </c>
      <c r="H312" s="180"/>
      <c r="I312" s="229">
        <v>7.3109999999999999</v>
      </c>
      <c r="J312" s="321"/>
      <c r="K312" s="257"/>
      <c r="L312" s="280"/>
      <c r="M312" s="401"/>
      <c r="N312" s="423"/>
      <c r="O312" s="423"/>
      <c r="P312" s="423"/>
      <c r="Q312" s="423"/>
      <c r="R312" s="218"/>
      <c r="S312" s="218"/>
      <c r="T312" s="213">
        <v>206.5</v>
      </c>
      <c r="U312" s="211"/>
      <c r="V312" s="273"/>
      <c r="W312" s="206">
        <f>ROUND(ROUND(T312, 2)*I312, 2)</f>
        <v>1509.72</v>
      </c>
    </row>
    <row r="313" spans="1:25" ht="22.8" hidden="1" x14ac:dyDescent="0.4">
      <c r="A313" s="91" t="s">
        <v>1303</v>
      </c>
      <c r="B313" s="91"/>
      <c r="C313" s="92" t="s">
        <v>433</v>
      </c>
      <c r="D313" s="93"/>
      <c r="E313" s="93"/>
      <c r="F313" s="94" t="s">
        <v>70</v>
      </c>
      <c r="G313" s="95">
        <v>0.15</v>
      </c>
      <c r="H313" s="180"/>
      <c r="I313" s="229">
        <v>3.6560000000000001</v>
      </c>
      <c r="J313" s="321"/>
      <c r="K313" s="257"/>
      <c r="L313" s="280"/>
      <c r="M313" s="401"/>
      <c r="N313" s="423"/>
      <c r="O313" s="423"/>
      <c r="P313" s="423"/>
      <c r="Q313" s="423"/>
      <c r="R313" s="218"/>
      <c r="S313" s="218"/>
      <c r="T313" s="213">
        <v>88.8</v>
      </c>
      <c r="U313" s="211"/>
      <c r="V313" s="273"/>
      <c r="W313" s="206">
        <f>ROUND(ROUND(T313, 2)*I313, 2)</f>
        <v>324.64999999999998</v>
      </c>
    </row>
    <row r="314" spans="1:25" ht="25.95" customHeight="1" x14ac:dyDescent="0.3">
      <c r="A314" s="74" t="s">
        <v>1306</v>
      </c>
      <c r="B314" s="74" t="s">
        <v>1170</v>
      </c>
      <c r="C314" s="75" t="s">
        <v>1171</v>
      </c>
      <c r="D314" s="76"/>
      <c r="E314" s="76" t="s">
        <v>1307</v>
      </c>
      <c r="F314" s="76" t="s">
        <v>64</v>
      </c>
      <c r="G314" s="77">
        <v>1</v>
      </c>
      <c r="H314" s="177"/>
      <c r="I314" s="228">
        <v>4.95</v>
      </c>
      <c r="J314" s="322"/>
      <c r="K314" s="258"/>
      <c r="L314" s="281"/>
      <c r="M314" s="221"/>
      <c r="N314" s="422"/>
      <c r="O314" s="422"/>
      <c r="P314" s="422"/>
      <c r="Q314" s="422"/>
      <c r="R314" s="220"/>
      <c r="S314" s="221"/>
      <c r="T314" s="212">
        <f>IFERROR(ROUND(SUM(W315,W316)/I314, 2),0)</f>
        <v>75.28</v>
      </c>
      <c r="U314" s="202">
        <v>428</v>
      </c>
      <c r="V314" s="274">
        <f>T314+ROUND(U314, 2)</f>
        <v>503.28</v>
      </c>
      <c r="W314" s="182">
        <f>ROUND(T314*I314, 2)</f>
        <v>372.64</v>
      </c>
      <c r="X314" s="14">
        <f>ROUND(I314*ROUND(U314, 2), 2)</f>
        <v>2118.6</v>
      </c>
      <c r="Y314" s="14">
        <f>W314+X314</f>
        <v>2491.2399999999998</v>
      </c>
    </row>
    <row r="315" spans="1:25" ht="22.8" hidden="1" x14ac:dyDescent="0.4">
      <c r="A315" s="91" t="s">
        <v>1308</v>
      </c>
      <c r="B315" s="91"/>
      <c r="C315" s="92" t="s">
        <v>433</v>
      </c>
      <c r="D315" s="93"/>
      <c r="E315" s="93"/>
      <c r="F315" s="94" t="s">
        <v>70</v>
      </c>
      <c r="G315" s="95">
        <v>0.15</v>
      </c>
      <c r="H315" s="180"/>
      <c r="I315" s="229">
        <v>0.74299999999999999</v>
      </c>
      <c r="J315" s="321"/>
      <c r="K315" s="257"/>
      <c r="L315" s="280"/>
      <c r="M315" s="401"/>
      <c r="N315" s="423"/>
      <c r="O315" s="423"/>
      <c r="P315" s="423"/>
      <c r="Q315" s="423"/>
      <c r="R315" s="218"/>
      <c r="S315" s="218"/>
      <c r="T315" s="213">
        <v>88.8</v>
      </c>
      <c r="U315" s="211"/>
      <c r="V315" s="273"/>
      <c r="W315" s="206">
        <f>ROUND(ROUND(T315, 2)*I315, 2)</f>
        <v>65.98</v>
      </c>
    </row>
    <row r="316" spans="1:25" ht="105" hidden="1" customHeight="1" x14ac:dyDescent="0.4">
      <c r="A316" s="91" t="s">
        <v>1311</v>
      </c>
      <c r="B316" s="91"/>
      <c r="C316" s="92" t="s">
        <v>1091</v>
      </c>
      <c r="D316" s="93"/>
      <c r="E316" s="93" t="s">
        <v>1214</v>
      </c>
      <c r="F316" s="94" t="s">
        <v>70</v>
      </c>
      <c r="G316" s="95">
        <v>0.3</v>
      </c>
      <c r="H316" s="180"/>
      <c r="I316" s="229">
        <v>1.4850000000000001</v>
      </c>
      <c r="J316" s="321"/>
      <c r="K316" s="257"/>
      <c r="L316" s="280"/>
      <c r="M316" s="401"/>
      <c r="N316" s="423"/>
      <c r="O316" s="423"/>
      <c r="P316" s="423"/>
      <c r="Q316" s="423"/>
      <c r="R316" s="218"/>
      <c r="S316" s="218"/>
      <c r="T316" s="213">
        <v>206.5</v>
      </c>
      <c r="U316" s="211"/>
      <c r="V316" s="273"/>
      <c r="W316" s="206">
        <f>ROUND(ROUND(T316, 2)*I316, 2)</f>
        <v>306.64999999999998</v>
      </c>
    </row>
    <row r="317" spans="1:25" ht="27.45" customHeight="1" x14ac:dyDescent="0.3">
      <c r="A317" s="74" t="s">
        <v>1314</v>
      </c>
      <c r="B317" s="74" t="s">
        <v>1170</v>
      </c>
      <c r="C317" s="75" t="s">
        <v>1171</v>
      </c>
      <c r="D317" s="76"/>
      <c r="E317" s="76" t="s">
        <v>1315</v>
      </c>
      <c r="F317" s="76" t="s">
        <v>64</v>
      </c>
      <c r="G317" s="77">
        <v>1</v>
      </c>
      <c r="H317" s="177"/>
      <c r="I317" s="228">
        <v>11.73</v>
      </c>
      <c r="J317" s="322"/>
      <c r="K317" s="258"/>
      <c r="L317" s="281"/>
      <c r="M317" s="221"/>
      <c r="N317" s="422"/>
      <c r="O317" s="422"/>
      <c r="P317" s="422"/>
      <c r="Q317" s="422"/>
      <c r="R317" s="220"/>
      <c r="S317" s="221"/>
      <c r="T317" s="212">
        <f>IFERROR(ROUND(SUM(W318,W319)/I317, 2),0)</f>
        <v>75.27</v>
      </c>
      <c r="U317" s="202">
        <v>428</v>
      </c>
      <c r="V317" s="274">
        <f>T317+ROUND(U317, 2)</f>
        <v>503.27</v>
      </c>
      <c r="W317" s="182">
        <f>ROUND(T317*I317, 2)</f>
        <v>882.92</v>
      </c>
      <c r="X317" s="14">
        <f>ROUND(I317*ROUND(U317, 2), 2)</f>
        <v>5020.4399999999996</v>
      </c>
      <c r="Y317" s="14">
        <f>W317+X317</f>
        <v>5903.36</v>
      </c>
    </row>
    <row r="318" spans="1:25" ht="105.45" hidden="1" customHeight="1" x14ac:dyDescent="0.4">
      <c r="A318" s="91" t="s">
        <v>1316</v>
      </c>
      <c r="B318" s="91"/>
      <c r="C318" s="137" t="s">
        <v>1091</v>
      </c>
      <c r="D318" s="93"/>
      <c r="E318" s="93" t="s">
        <v>1226</v>
      </c>
      <c r="F318" s="94" t="s">
        <v>70</v>
      </c>
      <c r="G318" s="95">
        <v>0.3</v>
      </c>
      <c r="H318" s="180"/>
      <c r="I318" s="229">
        <v>3.5190000000000001</v>
      </c>
      <c r="J318" s="321"/>
      <c r="K318" s="257"/>
      <c r="L318" s="280"/>
      <c r="M318" s="401"/>
      <c r="N318" s="423"/>
      <c r="O318" s="423"/>
      <c r="P318" s="423"/>
      <c r="Q318" s="423"/>
      <c r="R318" s="218"/>
      <c r="S318" s="218"/>
      <c r="T318" s="213">
        <v>206.5</v>
      </c>
      <c r="U318" s="211"/>
      <c r="V318" s="273"/>
      <c r="W318" s="206">
        <f>ROUND(ROUND(T318, 2)*I318, 2)</f>
        <v>726.67</v>
      </c>
    </row>
    <row r="319" spans="1:25" ht="22.8" hidden="1" x14ac:dyDescent="0.4">
      <c r="A319" s="91" t="s">
        <v>1319</v>
      </c>
      <c r="B319" s="91"/>
      <c r="C319" s="137" t="s">
        <v>433</v>
      </c>
      <c r="D319" s="93"/>
      <c r="E319" s="93"/>
      <c r="F319" s="94" t="s">
        <v>70</v>
      </c>
      <c r="G319" s="95">
        <v>0.15</v>
      </c>
      <c r="H319" s="180"/>
      <c r="I319" s="229">
        <v>1.76</v>
      </c>
      <c r="J319" s="321"/>
      <c r="K319" s="257"/>
      <c r="L319" s="280"/>
      <c r="M319" s="401"/>
      <c r="N319" s="423"/>
      <c r="O319" s="423"/>
      <c r="P319" s="423"/>
      <c r="Q319" s="423"/>
      <c r="R319" s="218"/>
      <c r="S319" s="218"/>
      <c r="T319" s="213">
        <v>88.8</v>
      </c>
      <c r="U319" s="211"/>
      <c r="V319" s="273"/>
      <c r="W319" s="206">
        <f>ROUND(ROUND(T319, 2)*I319, 2)</f>
        <v>156.29</v>
      </c>
    </row>
    <row r="320" spans="1:25" ht="27" customHeight="1" x14ac:dyDescent="0.3">
      <c r="A320" s="74" t="s">
        <v>1322</v>
      </c>
      <c r="B320" s="74" t="s">
        <v>1170</v>
      </c>
      <c r="C320" s="75" t="s">
        <v>1171</v>
      </c>
      <c r="D320" s="76"/>
      <c r="E320" s="76" t="s">
        <v>1323</v>
      </c>
      <c r="F320" s="76" t="s">
        <v>64</v>
      </c>
      <c r="G320" s="77">
        <v>1</v>
      </c>
      <c r="H320" s="177"/>
      <c r="I320" s="228">
        <v>18.63</v>
      </c>
      <c r="J320" s="322"/>
      <c r="K320" s="258"/>
      <c r="L320" s="281"/>
      <c r="M320" s="221"/>
      <c r="N320" s="422"/>
      <c r="O320" s="422"/>
      <c r="P320" s="422"/>
      <c r="Q320" s="422"/>
      <c r="R320" s="220"/>
      <c r="S320" s="221"/>
      <c r="T320" s="212">
        <f>IFERROR(ROUND(SUM(W321,W322)/I320, 2),0)</f>
        <v>75.27</v>
      </c>
      <c r="U320" s="202">
        <v>428</v>
      </c>
      <c r="V320" s="274">
        <f>T320+ROUND(U320, 2)</f>
        <v>503.27</v>
      </c>
      <c r="W320" s="182">
        <f>ROUND(T320*I320, 2)</f>
        <v>1402.28</v>
      </c>
      <c r="X320" s="14">
        <f>ROUND(I320*ROUND(U320, 2), 2)</f>
        <v>7973.64</v>
      </c>
      <c r="Y320" s="14">
        <f>W320+X320</f>
        <v>9375.92</v>
      </c>
    </row>
    <row r="321" spans="1:25" ht="22.8" hidden="1" x14ac:dyDescent="0.4">
      <c r="A321" s="91" t="s">
        <v>1324</v>
      </c>
      <c r="B321" s="91"/>
      <c r="C321" s="92" t="s">
        <v>433</v>
      </c>
      <c r="D321" s="93"/>
      <c r="E321" s="93"/>
      <c r="F321" s="94" t="s">
        <v>70</v>
      </c>
      <c r="G321" s="95">
        <v>0.15</v>
      </c>
      <c r="H321" s="180"/>
      <c r="I321" s="229">
        <v>2.7949999999999999</v>
      </c>
      <c r="J321" s="321"/>
      <c r="K321" s="257"/>
      <c r="L321" s="280"/>
      <c r="M321" s="401"/>
      <c r="N321" s="423"/>
      <c r="O321" s="423"/>
      <c r="P321" s="423"/>
      <c r="Q321" s="423"/>
      <c r="R321" s="218"/>
      <c r="S321" s="218"/>
      <c r="T321" s="213">
        <v>88.8</v>
      </c>
      <c r="U321" s="211"/>
      <c r="V321" s="273"/>
      <c r="W321" s="206">
        <f>ROUND(ROUND(T321, 2)*I321, 2)</f>
        <v>248.2</v>
      </c>
    </row>
    <row r="322" spans="1:25" ht="105" hidden="1" customHeight="1" x14ac:dyDescent="0.4">
      <c r="A322" s="91" t="s">
        <v>1327</v>
      </c>
      <c r="B322" s="91"/>
      <c r="C322" s="92" t="s">
        <v>1091</v>
      </c>
      <c r="D322" s="93"/>
      <c r="E322" s="93" t="s">
        <v>1268</v>
      </c>
      <c r="F322" s="94" t="s">
        <v>70</v>
      </c>
      <c r="G322" s="95">
        <v>0.3</v>
      </c>
      <c r="H322" s="180"/>
      <c r="I322" s="229">
        <v>5.5890000000000004</v>
      </c>
      <c r="J322" s="321"/>
      <c r="K322" s="257"/>
      <c r="L322" s="280"/>
      <c r="M322" s="401"/>
      <c r="N322" s="423"/>
      <c r="O322" s="423"/>
      <c r="P322" s="423"/>
      <c r="Q322" s="423"/>
      <c r="R322" s="218"/>
      <c r="S322" s="218"/>
      <c r="T322" s="213">
        <v>206.5</v>
      </c>
      <c r="U322" s="211"/>
      <c r="V322" s="273"/>
      <c r="W322" s="206">
        <f>ROUND(ROUND(T322, 2)*I322, 2)</f>
        <v>1154.1300000000001</v>
      </c>
    </row>
    <row r="323" spans="1:25" ht="30" customHeight="1" x14ac:dyDescent="0.3">
      <c r="A323" s="74" t="s">
        <v>1330</v>
      </c>
      <c r="B323" s="74" t="s">
        <v>1170</v>
      </c>
      <c r="C323" s="75" t="s">
        <v>1171</v>
      </c>
      <c r="D323" s="76"/>
      <c r="E323" s="76" t="s">
        <v>1331</v>
      </c>
      <c r="F323" s="76" t="s">
        <v>64</v>
      </c>
      <c r="G323" s="77">
        <v>1</v>
      </c>
      <c r="H323" s="177"/>
      <c r="I323" s="228">
        <v>390.43</v>
      </c>
      <c r="J323" s="322"/>
      <c r="K323" s="258"/>
      <c r="L323" s="281"/>
      <c r="M323" s="221"/>
      <c r="N323" s="422"/>
      <c r="O323" s="422"/>
      <c r="P323" s="422"/>
      <c r="Q323" s="422"/>
      <c r="R323" s="220"/>
      <c r="S323" s="221"/>
      <c r="T323" s="212">
        <f>IFERROR(ROUND(SUM(W324,W325)/I323, 2),0)</f>
        <v>75.27</v>
      </c>
      <c r="U323" s="202">
        <v>428</v>
      </c>
      <c r="V323" s="274">
        <f>T323+ROUND(U323, 2)</f>
        <v>503.27</v>
      </c>
      <c r="W323" s="182">
        <f>ROUND(T323*I323, 2)</f>
        <v>29387.67</v>
      </c>
      <c r="X323" s="14">
        <f>ROUND(I323*ROUND(U323, 2), 2)</f>
        <v>167104.04</v>
      </c>
      <c r="Y323" s="14">
        <f>W323+X323</f>
        <v>196491.71000000002</v>
      </c>
    </row>
    <row r="324" spans="1:25" ht="112.05" hidden="1" customHeight="1" x14ac:dyDescent="0.4">
      <c r="A324" s="91" t="s">
        <v>1332</v>
      </c>
      <c r="B324" s="91"/>
      <c r="C324" s="92" t="s">
        <v>1091</v>
      </c>
      <c r="D324" s="93"/>
      <c r="E324" s="93" t="s">
        <v>1244</v>
      </c>
      <c r="F324" s="94" t="s">
        <v>70</v>
      </c>
      <c r="G324" s="95">
        <v>0.3</v>
      </c>
      <c r="H324" s="180"/>
      <c r="I324" s="229">
        <v>117.129</v>
      </c>
      <c r="J324" s="321"/>
      <c r="K324" s="257"/>
      <c r="L324" s="280"/>
      <c r="M324" s="401"/>
      <c r="N324" s="423"/>
      <c r="O324" s="423"/>
      <c r="P324" s="423"/>
      <c r="Q324" s="423"/>
      <c r="R324" s="218"/>
      <c r="S324" s="218"/>
      <c r="T324" s="213">
        <v>206.5</v>
      </c>
      <c r="U324" s="211"/>
      <c r="V324" s="273"/>
      <c r="W324" s="206">
        <f>ROUND(ROUND(T324, 2)*I324, 2)</f>
        <v>24187.14</v>
      </c>
    </row>
    <row r="325" spans="1:25" ht="22.8" hidden="1" x14ac:dyDescent="0.4">
      <c r="A325" s="91" t="s">
        <v>1335</v>
      </c>
      <c r="B325" s="91"/>
      <c r="C325" s="92" t="s">
        <v>433</v>
      </c>
      <c r="D325" s="93"/>
      <c r="E325" s="93"/>
      <c r="F325" s="94" t="s">
        <v>70</v>
      </c>
      <c r="G325" s="95">
        <v>0.15</v>
      </c>
      <c r="H325" s="180"/>
      <c r="I325" s="229">
        <v>58.564999999999998</v>
      </c>
      <c r="J325" s="321"/>
      <c r="K325" s="257"/>
      <c r="L325" s="280"/>
      <c r="M325" s="401"/>
      <c r="N325" s="423"/>
      <c r="O325" s="423"/>
      <c r="P325" s="423"/>
      <c r="Q325" s="423"/>
      <c r="R325" s="218"/>
      <c r="S325" s="218"/>
      <c r="T325" s="213">
        <v>88.8</v>
      </c>
      <c r="U325" s="211"/>
      <c r="V325" s="273"/>
      <c r="W325" s="206">
        <f>ROUND(ROUND(T325, 2)*I325, 2)</f>
        <v>5200.57</v>
      </c>
    </row>
    <row r="326" spans="1:25" ht="24" customHeight="1" x14ac:dyDescent="0.3">
      <c r="A326" s="74" t="s">
        <v>1338</v>
      </c>
      <c r="B326" s="74" t="s">
        <v>1170</v>
      </c>
      <c r="C326" s="75" t="s">
        <v>1171</v>
      </c>
      <c r="D326" s="76"/>
      <c r="E326" s="76" t="s">
        <v>1339</v>
      </c>
      <c r="F326" s="76" t="s">
        <v>64</v>
      </c>
      <c r="G326" s="77">
        <v>1</v>
      </c>
      <c r="H326" s="177"/>
      <c r="I326" s="228">
        <v>2002.74</v>
      </c>
      <c r="J326" s="322"/>
      <c r="K326" s="258"/>
      <c r="L326" s="281"/>
      <c r="M326" s="221"/>
      <c r="N326" s="422"/>
      <c r="O326" s="422"/>
      <c r="P326" s="422"/>
      <c r="Q326" s="422"/>
      <c r="R326" s="220"/>
      <c r="S326" s="221"/>
      <c r="T326" s="212">
        <f>IFERROR(ROUND(SUM(W327,W328)/I326, 2),0)</f>
        <v>68.28</v>
      </c>
      <c r="U326" s="202">
        <v>428</v>
      </c>
      <c r="V326" s="274">
        <f>T326+ROUND(U326, 2)</f>
        <v>496.28</v>
      </c>
      <c r="W326" s="182">
        <f>ROUND(T326*I326, 2)</f>
        <v>136747.09</v>
      </c>
      <c r="X326" s="14">
        <f>ROUND(I326*ROUND(U326, 2), 2)</f>
        <v>857172.72</v>
      </c>
      <c r="Y326" s="14">
        <f>W326+X326</f>
        <v>993919.80999999994</v>
      </c>
    </row>
    <row r="327" spans="1:25" ht="22.8" hidden="1" x14ac:dyDescent="0.4">
      <c r="A327" s="91" t="s">
        <v>1340</v>
      </c>
      <c r="B327" s="91"/>
      <c r="C327" s="92" t="s">
        <v>433</v>
      </c>
      <c r="D327" s="93"/>
      <c r="E327" s="93"/>
      <c r="F327" s="94" t="s">
        <v>70</v>
      </c>
      <c r="G327" s="95">
        <v>0.15</v>
      </c>
      <c r="H327" s="180"/>
      <c r="I327" s="229">
        <v>300.411</v>
      </c>
      <c r="J327" s="321"/>
      <c r="K327" s="257"/>
      <c r="L327" s="280"/>
      <c r="M327" s="401"/>
      <c r="N327" s="423"/>
      <c r="O327" s="423"/>
      <c r="P327" s="423"/>
      <c r="Q327" s="423"/>
      <c r="R327" s="218"/>
      <c r="S327" s="218"/>
      <c r="T327" s="213">
        <v>88.8</v>
      </c>
      <c r="U327" s="211"/>
      <c r="V327" s="273"/>
      <c r="W327" s="206">
        <f>ROUND(ROUND(T327, 2)*I327, 2)</f>
        <v>26676.5</v>
      </c>
    </row>
    <row r="328" spans="1:25" ht="91.95" hidden="1" customHeight="1" x14ac:dyDescent="0.4">
      <c r="A328" s="91" t="s">
        <v>1343</v>
      </c>
      <c r="B328" s="91"/>
      <c r="C328" s="92" t="s">
        <v>1111</v>
      </c>
      <c r="D328" s="93"/>
      <c r="E328" s="93" t="s">
        <v>1250</v>
      </c>
      <c r="F328" s="94" t="s">
        <v>70</v>
      </c>
      <c r="G328" s="95">
        <v>0.3</v>
      </c>
      <c r="H328" s="180"/>
      <c r="I328" s="229">
        <v>600.822</v>
      </c>
      <c r="J328" s="321"/>
      <c r="K328" s="257"/>
      <c r="L328" s="280"/>
      <c r="M328" s="401"/>
      <c r="N328" s="423"/>
      <c r="O328" s="423"/>
      <c r="P328" s="423"/>
      <c r="Q328" s="423"/>
      <c r="R328" s="218"/>
      <c r="S328" s="218"/>
      <c r="T328" s="213">
        <v>183.2</v>
      </c>
      <c r="U328" s="211"/>
      <c r="V328" s="273"/>
      <c r="W328" s="206">
        <f>ROUND(ROUND(T328, 2)*I328, 2)</f>
        <v>110070.59</v>
      </c>
    </row>
    <row r="329" spans="1:25" ht="22.95" customHeight="1" x14ac:dyDescent="0.3">
      <c r="A329" s="74" t="s">
        <v>1346</v>
      </c>
      <c r="B329" s="74" t="s">
        <v>1170</v>
      </c>
      <c r="C329" s="75" t="s">
        <v>1171</v>
      </c>
      <c r="D329" s="76"/>
      <c r="E329" s="76" t="s">
        <v>1347</v>
      </c>
      <c r="F329" s="76" t="s">
        <v>64</v>
      </c>
      <c r="G329" s="77">
        <v>1</v>
      </c>
      <c r="H329" s="177"/>
      <c r="I329" s="228">
        <v>23.23</v>
      </c>
      <c r="J329" s="322"/>
      <c r="K329" s="258"/>
      <c r="L329" s="281"/>
      <c r="M329" s="221"/>
      <c r="N329" s="422"/>
      <c r="O329" s="422"/>
      <c r="P329" s="422"/>
      <c r="Q329" s="422"/>
      <c r="R329" s="220"/>
      <c r="S329" s="221"/>
      <c r="T329" s="212">
        <f>IFERROR(ROUND(SUM(W330,W331)/I329, 2),0)</f>
        <v>75.27</v>
      </c>
      <c r="U329" s="202">
        <v>428</v>
      </c>
      <c r="V329" s="274">
        <f>T329+ROUND(U329, 2)</f>
        <v>503.27</v>
      </c>
      <c r="W329" s="182">
        <f>ROUND(T329*I329, 2)</f>
        <v>1748.52</v>
      </c>
      <c r="X329" s="14">
        <f>ROUND(I329*ROUND(U329, 2), 2)</f>
        <v>9942.44</v>
      </c>
      <c r="Y329" s="14">
        <f>W329+X329</f>
        <v>11690.960000000001</v>
      </c>
    </row>
    <row r="330" spans="1:25" ht="73.05" hidden="1" customHeight="1" x14ac:dyDescent="0.4">
      <c r="A330" s="91" t="s">
        <v>1348</v>
      </c>
      <c r="B330" s="91"/>
      <c r="C330" s="92" t="s">
        <v>1349</v>
      </c>
      <c r="D330" s="93"/>
      <c r="E330" s="93" t="s">
        <v>1350</v>
      </c>
      <c r="F330" s="94" t="s">
        <v>70</v>
      </c>
      <c r="G330" s="95">
        <v>0.3</v>
      </c>
      <c r="H330" s="180"/>
      <c r="I330" s="229">
        <v>6.9690000000000003</v>
      </c>
      <c r="J330" s="321"/>
      <c r="K330" s="257"/>
      <c r="L330" s="280"/>
      <c r="M330" s="401"/>
      <c r="N330" s="423"/>
      <c r="O330" s="423"/>
      <c r="P330" s="423"/>
      <c r="Q330" s="423"/>
      <c r="R330" s="218"/>
      <c r="S330" s="218"/>
      <c r="T330" s="213">
        <v>206.5</v>
      </c>
      <c r="U330" s="211"/>
      <c r="V330" s="273"/>
      <c r="W330" s="206">
        <f>ROUND(ROUND(T330, 2)*I330, 2)</f>
        <v>1439.1</v>
      </c>
    </row>
    <row r="331" spans="1:25" ht="22.8" hidden="1" x14ac:dyDescent="0.4">
      <c r="A331" s="91" t="s">
        <v>1354</v>
      </c>
      <c r="B331" s="91"/>
      <c r="C331" s="92" t="s">
        <v>433</v>
      </c>
      <c r="D331" s="93"/>
      <c r="E331" s="93"/>
      <c r="F331" s="94" t="s">
        <v>70</v>
      </c>
      <c r="G331" s="95">
        <v>0.15</v>
      </c>
      <c r="H331" s="180"/>
      <c r="I331" s="229">
        <v>3.4849999999999999</v>
      </c>
      <c r="J331" s="321"/>
      <c r="K331" s="257"/>
      <c r="L331" s="280"/>
      <c r="M331" s="401"/>
      <c r="N331" s="423"/>
      <c r="O331" s="423"/>
      <c r="P331" s="423"/>
      <c r="Q331" s="423"/>
      <c r="R331" s="218"/>
      <c r="S331" s="218"/>
      <c r="T331" s="213">
        <v>88.8</v>
      </c>
      <c r="U331" s="211"/>
      <c r="V331" s="273"/>
      <c r="W331" s="206">
        <f>ROUND(ROUND(T331, 2)*I331, 2)</f>
        <v>309.47000000000003</v>
      </c>
    </row>
    <row r="332" spans="1:25" ht="25.95" customHeight="1" x14ac:dyDescent="0.3">
      <c r="A332" s="74" t="s">
        <v>1357</v>
      </c>
      <c r="B332" s="74" t="s">
        <v>1170</v>
      </c>
      <c r="C332" s="75" t="s">
        <v>1171</v>
      </c>
      <c r="D332" s="76"/>
      <c r="E332" s="76" t="s">
        <v>1358</v>
      </c>
      <c r="F332" s="76" t="s">
        <v>64</v>
      </c>
      <c r="G332" s="77">
        <v>1</v>
      </c>
      <c r="H332" s="177"/>
      <c r="I332" s="228">
        <v>107.1</v>
      </c>
      <c r="J332" s="322"/>
      <c r="K332" s="258"/>
      <c r="L332" s="281"/>
      <c r="M332" s="221"/>
      <c r="N332" s="422"/>
      <c r="O332" s="422"/>
      <c r="P332" s="422"/>
      <c r="Q332" s="422"/>
      <c r="R332" s="220"/>
      <c r="S332" s="221"/>
      <c r="T332" s="212">
        <f>IFERROR(ROUND(SUM(W333,W334)/I332, 2),0)</f>
        <v>75.27</v>
      </c>
      <c r="U332" s="202">
        <v>428</v>
      </c>
      <c r="V332" s="274">
        <f>T332+ROUND(U332, 2)</f>
        <v>503.27</v>
      </c>
      <c r="W332" s="182">
        <f>ROUND(T332*I332, 2)</f>
        <v>8061.42</v>
      </c>
      <c r="X332" s="14">
        <f>ROUND(I332*ROUND(U332, 2), 2)</f>
        <v>45838.8</v>
      </c>
      <c r="Y332" s="14">
        <f>W332+X332</f>
        <v>53900.22</v>
      </c>
    </row>
    <row r="333" spans="1:25" ht="22.8" hidden="1" x14ac:dyDescent="0.4">
      <c r="A333" s="91" t="s">
        <v>1359</v>
      </c>
      <c r="B333" s="91"/>
      <c r="C333" s="92" t="s">
        <v>433</v>
      </c>
      <c r="D333" s="93"/>
      <c r="E333" s="93"/>
      <c r="F333" s="94" t="s">
        <v>70</v>
      </c>
      <c r="G333" s="95">
        <v>0.15</v>
      </c>
      <c r="H333" s="180"/>
      <c r="I333" s="229">
        <v>16.065000000000001</v>
      </c>
      <c r="J333" s="321"/>
      <c r="K333" s="257"/>
      <c r="L333" s="280"/>
      <c r="M333" s="401"/>
      <c r="N333" s="423"/>
      <c r="O333" s="423"/>
      <c r="P333" s="423"/>
      <c r="Q333" s="423"/>
      <c r="R333" s="218"/>
      <c r="S333" s="218"/>
      <c r="T333" s="213">
        <v>88.8</v>
      </c>
      <c r="U333" s="211"/>
      <c r="V333" s="273"/>
      <c r="W333" s="206">
        <f>ROUND(ROUND(T333, 2)*I333, 2)</f>
        <v>1426.57</v>
      </c>
    </row>
    <row r="334" spans="1:25" ht="84.45" hidden="1" customHeight="1" x14ac:dyDescent="0.4">
      <c r="A334" s="91" t="s">
        <v>1362</v>
      </c>
      <c r="B334" s="91"/>
      <c r="C334" s="92" t="s">
        <v>1091</v>
      </c>
      <c r="D334" s="93"/>
      <c r="E334" s="93" t="s">
        <v>1363</v>
      </c>
      <c r="F334" s="94" t="s">
        <v>70</v>
      </c>
      <c r="G334" s="95">
        <v>0.3</v>
      </c>
      <c r="H334" s="180"/>
      <c r="I334" s="229">
        <v>32.130000000000003</v>
      </c>
      <c r="J334" s="321"/>
      <c r="K334" s="257"/>
      <c r="L334" s="280"/>
      <c r="M334" s="401"/>
      <c r="N334" s="423"/>
      <c r="O334" s="423"/>
      <c r="P334" s="423"/>
      <c r="Q334" s="423"/>
      <c r="R334" s="218"/>
      <c r="S334" s="218"/>
      <c r="T334" s="213">
        <v>206.5</v>
      </c>
      <c r="U334" s="211"/>
      <c r="V334" s="273"/>
      <c r="W334" s="206">
        <f>ROUND(ROUND(T334, 2)*I334, 2)</f>
        <v>6634.85</v>
      </c>
    </row>
    <row r="335" spans="1:25" ht="54" customHeight="1" x14ac:dyDescent="0.3">
      <c r="A335" s="74" t="s">
        <v>1366</v>
      </c>
      <c r="B335" s="309" t="s">
        <v>1367</v>
      </c>
      <c r="C335" s="310" t="s">
        <v>1368</v>
      </c>
      <c r="D335" s="311"/>
      <c r="E335" s="311" t="s">
        <v>1369</v>
      </c>
      <c r="F335" s="311" t="s">
        <v>64</v>
      </c>
      <c r="G335" s="312">
        <v>1</v>
      </c>
      <c r="H335" s="313"/>
      <c r="I335" s="228">
        <v>205.88</v>
      </c>
      <c r="J335" s="322"/>
      <c r="K335" s="258"/>
      <c r="L335" s="281"/>
      <c r="M335" s="221"/>
      <c r="N335" s="422"/>
      <c r="O335" s="422"/>
      <c r="P335" s="422"/>
      <c r="Q335" s="422"/>
      <c r="R335" s="220"/>
      <c r="S335" s="221"/>
      <c r="T335" s="212">
        <f>IFERROR(ROUND(SUM(W336,W337,W338,W339)/I335, 2),0)</f>
        <v>749.14</v>
      </c>
      <c r="U335" s="202">
        <v>2364</v>
      </c>
      <c r="V335" s="274">
        <f>T335+ROUND(U335, 2)</f>
        <v>3113.14</v>
      </c>
      <c r="W335" s="182">
        <f>ROUND(T335*I335, 2)</f>
        <v>154232.94</v>
      </c>
      <c r="X335" s="14">
        <f>ROUND(I335*ROUND(U335, 2), 2)</f>
        <v>486700.32</v>
      </c>
      <c r="Y335" s="14">
        <f>W335+X335</f>
        <v>640933.26</v>
      </c>
    </row>
    <row r="336" spans="1:25" ht="22.8" hidden="1" x14ac:dyDescent="0.4">
      <c r="A336" s="91" t="s">
        <v>1372</v>
      </c>
      <c r="B336" s="91"/>
      <c r="C336" s="92" t="s">
        <v>426</v>
      </c>
      <c r="D336" s="93"/>
      <c r="E336" s="93"/>
      <c r="F336" s="94" t="s">
        <v>70</v>
      </c>
      <c r="G336" s="95">
        <v>0.25</v>
      </c>
      <c r="H336" s="180"/>
      <c r="I336" s="229">
        <v>51.47</v>
      </c>
      <c r="J336" s="321"/>
      <c r="K336" s="257"/>
      <c r="L336" s="280"/>
      <c r="M336" s="401"/>
      <c r="N336" s="423"/>
      <c r="O336" s="423"/>
      <c r="P336" s="423"/>
      <c r="Q336" s="423"/>
      <c r="R336" s="218"/>
      <c r="S336" s="218"/>
      <c r="T336" s="213">
        <v>40.270000000000003</v>
      </c>
      <c r="U336" s="211"/>
      <c r="V336" s="273"/>
      <c r="W336" s="206">
        <f>ROUND(ROUND(T336, 2)*I336, 2)</f>
        <v>2072.6999999999998</v>
      </c>
    </row>
    <row r="337" spans="1:25" ht="22.8" hidden="1" x14ac:dyDescent="0.4">
      <c r="A337" s="91" t="s">
        <v>1375</v>
      </c>
      <c r="B337" s="91"/>
      <c r="C337" s="92" t="s">
        <v>452</v>
      </c>
      <c r="D337" s="93"/>
      <c r="E337" s="93"/>
      <c r="F337" s="94" t="s">
        <v>70</v>
      </c>
      <c r="G337" s="95">
        <v>0.15</v>
      </c>
      <c r="H337" s="180"/>
      <c r="I337" s="229">
        <v>30.882000000000001</v>
      </c>
      <c r="J337" s="321"/>
      <c r="K337" s="257"/>
      <c r="L337" s="280"/>
      <c r="M337" s="401"/>
      <c r="N337" s="423"/>
      <c r="O337" s="423"/>
      <c r="P337" s="423"/>
      <c r="Q337" s="423"/>
      <c r="R337" s="218"/>
      <c r="S337" s="218"/>
      <c r="T337" s="213">
        <v>68.400000000000006</v>
      </c>
      <c r="U337" s="211"/>
      <c r="V337" s="273"/>
      <c r="W337" s="206">
        <f>ROUND(ROUND(T337, 2)*I337, 2)</f>
        <v>2112.33</v>
      </c>
    </row>
    <row r="338" spans="1:25" ht="54" hidden="1" customHeight="1" x14ac:dyDescent="0.4">
      <c r="A338" s="91" t="s">
        <v>1378</v>
      </c>
      <c r="B338" s="91"/>
      <c r="C338" s="80" t="s">
        <v>693</v>
      </c>
      <c r="D338" s="93"/>
      <c r="E338" s="93" t="s">
        <v>402</v>
      </c>
      <c r="F338" s="94" t="s">
        <v>70</v>
      </c>
      <c r="G338" s="95">
        <v>1.2</v>
      </c>
      <c r="H338" s="180"/>
      <c r="I338" s="229">
        <v>494.11200000000002</v>
      </c>
      <c r="J338" s="321"/>
      <c r="K338" s="257"/>
      <c r="L338" s="280"/>
      <c r="M338" s="401"/>
      <c r="N338" s="423"/>
      <c r="O338" s="423"/>
      <c r="P338" s="423"/>
      <c r="Q338" s="423"/>
      <c r="R338" s="218"/>
      <c r="S338" s="218"/>
      <c r="T338" s="213">
        <v>16.11</v>
      </c>
      <c r="U338" s="211"/>
      <c r="V338" s="273"/>
      <c r="W338" s="206">
        <f>ROUND(ROUND(T338, 2)*I338, 2)</f>
        <v>7960.14</v>
      </c>
    </row>
    <row r="339" spans="1:25" ht="21" hidden="1" customHeight="1" x14ac:dyDescent="0.4">
      <c r="A339" s="91" t="s">
        <v>1381</v>
      </c>
      <c r="B339" s="91"/>
      <c r="C339" s="80" t="s">
        <v>1382</v>
      </c>
      <c r="D339" s="93"/>
      <c r="E339" s="93" t="s">
        <v>1383</v>
      </c>
      <c r="F339" s="94" t="s">
        <v>64</v>
      </c>
      <c r="G339" s="95">
        <v>1.07</v>
      </c>
      <c r="H339" s="180"/>
      <c r="I339" s="229">
        <v>220.292</v>
      </c>
      <c r="J339" s="321"/>
      <c r="K339" s="257"/>
      <c r="L339" s="280"/>
      <c r="M339" s="401"/>
      <c r="N339" s="423"/>
      <c r="O339" s="423"/>
      <c r="P339" s="423"/>
      <c r="Q339" s="423"/>
      <c r="R339" s="218"/>
      <c r="S339" s="218"/>
      <c r="T339" s="213">
        <v>645</v>
      </c>
      <c r="U339" s="211"/>
      <c r="V339" s="273"/>
      <c r="W339" s="206">
        <f>ROUND(ROUND(T339, 2)*I339, 2)</f>
        <v>142088.34</v>
      </c>
    </row>
    <row r="340" spans="1:25" ht="55.95" customHeight="1" x14ac:dyDescent="0.3">
      <c r="A340" s="74" t="s">
        <v>1387</v>
      </c>
      <c r="B340" s="74" t="s">
        <v>1367</v>
      </c>
      <c r="C340" s="75" t="s">
        <v>1368</v>
      </c>
      <c r="D340" s="76"/>
      <c r="E340" s="76" t="s">
        <v>1388</v>
      </c>
      <c r="F340" s="76" t="s">
        <v>64</v>
      </c>
      <c r="G340" s="77">
        <v>1</v>
      </c>
      <c r="H340" s="177"/>
      <c r="I340" s="228">
        <v>33.03</v>
      </c>
      <c r="J340" s="322"/>
      <c r="K340" s="258"/>
      <c r="L340" s="281"/>
      <c r="M340" s="221"/>
      <c r="N340" s="422"/>
      <c r="O340" s="422"/>
      <c r="P340" s="422"/>
      <c r="Q340" s="422"/>
      <c r="R340" s="220"/>
      <c r="S340" s="221"/>
      <c r="T340" s="212">
        <f>IFERROR(ROUND(SUM(W341,W342,W343,W344)/I340, 2),0)</f>
        <v>848.01</v>
      </c>
      <c r="U340" s="202">
        <v>2364</v>
      </c>
      <c r="V340" s="274">
        <f>T340+ROUND(U340, 2)</f>
        <v>3212.01</v>
      </c>
      <c r="W340" s="182">
        <f>ROUND(T340*I340, 2)</f>
        <v>28009.77</v>
      </c>
      <c r="X340" s="14">
        <f>ROUND(I340*ROUND(U340, 2), 2)</f>
        <v>78082.92</v>
      </c>
      <c r="Y340" s="14">
        <f>W340+X340</f>
        <v>106092.69</v>
      </c>
    </row>
    <row r="341" spans="1:25" ht="55.05" hidden="1" customHeight="1" x14ac:dyDescent="0.4">
      <c r="A341" s="91" t="s">
        <v>1389</v>
      </c>
      <c r="B341" s="91"/>
      <c r="C341" s="80" t="s">
        <v>1390</v>
      </c>
      <c r="D341" s="93"/>
      <c r="E341" s="93" t="s">
        <v>1391</v>
      </c>
      <c r="F341" s="94" t="s">
        <v>64</v>
      </c>
      <c r="G341" s="95">
        <v>1.07</v>
      </c>
      <c r="H341" s="180"/>
      <c r="I341" s="229">
        <v>35.341999999999999</v>
      </c>
      <c r="J341" s="321"/>
      <c r="K341" s="257"/>
      <c r="L341" s="280"/>
      <c r="M341" s="401"/>
      <c r="N341" s="423"/>
      <c r="O341" s="423"/>
      <c r="P341" s="423"/>
      <c r="Q341" s="423"/>
      <c r="R341" s="218"/>
      <c r="S341" s="218"/>
      <c r="T341" s="213">
        <v>737.4</v>
      </c>
      <c r="U341" s="211"/>
      <c r="V341" s="273"/>
      <c r="W341" s="206">
        <f>ROUND(ROUND(T341, 2)*I341, 2)</f>
        <v>26061.19</v>
      </c>
    </row>
    <row r="342" spans="1:25" ht="55.95" hidden="1" customHeight="1" x14ac:dyDescent="0.4">
      <c r="A342" s="91" t="s">
        <v>1395</v>
      </c>
      <c r="B342" s="91"/>
      <c r="C342" s="80" t="s">
        <v>693</v>
      </c>
      <c r="D342" s="93"/>
      <c r="E342" s="93" t="s">
        <v>402</v>
      </c>
      <c r="F342" s="94" t="s">
        <v>70</v>
      </c>
      <c r="G342" s="95">
        <v>1.2</v>
      </c>
      <c r="H342" s="180"/>
      <c r="I342" s="229">
        <v>79.272000000000006</v>
      </c>
      <c r="J342" s="321"/>
      <c r="K342" s="257"/>
      <c r="L342" s="280"/>
      <c r="M342" s="401"/>
      <c r="N342" s="423"/>
      <c r="O342" s="423"/>
      <c r="P342" s="423"/>
      <c r="Q342" s="423"/>
      <c r="R342" s="218"/>
      <c r="S342" s="218"/>
      <c r="T342" s="213">
        <v>16.11</v>
      </c>
      <c r="U342" s="211"/>
      <c r="V342" s="273"/>
      <c r="W342" s="206">
        <f>ROUND(ROUND(T342, 2)*I342, 2)</f>
        <v>1277.07</v>
      </c>
    </row>
    <row r="343" spans="1:25" ht="22.8" hidden="1" x14ac:dyDescent="0.4">
      <c r="A343" s="91" t="s">
        <v>1398</v>
      </c>
      <c r="B343" s="91"/>
      <c r="C343" s="92" t="s">
        <v>452</v>
      </c>
      <c r="D343" s="93"/>
      <c r="E343" s="93"/>
      <c r="F343" s="94" t="s">
        <v>70</v>
      </c>
      <c r="G343" s="95">
        <v>0.15</v>
      </c>
      <c r="H343" s="180"/>
      <c r="I343" s="229">
        <v>4.9550000000000001</v>
      </c>
      <c r="J343" s="321"/>
      <c r="K343" s="257"/>
      <c r="L343" s="280"/>
      <c r="M343" s="401"/>
      <c r="N343" s="423"/>
      <c r="O343" s="423"/>
      <c r="P343" s="423"/>
      <c r="Q343" s="423"/>
      <c r="R343" s="218"/>
      <c r="S343" s="218"/>
      <c r="T343" s="213">
        <v>68.400000000000006</v>
      </c>
      <c r="U343" s="211"/>
      <c r="V343" s="273"/>
      <c r="W343" s="206">
        <f>ROUND(ROUND(T343, 2)*I343, 2)</f>
        <v>338.92</v>
      </c>
    </row>
    <row r="344" spans="1:25" ht="22.8" hidden="1" x14ac:dyDescent="0.4">
      <c r="A344" s="91" t="s">
        <v>1401</v>
      </c>
      <c r="B344" s="91"/>
      <c r="C344" s="92" t="s">
        <v>426</v>
      </c>
      <c r="D344" s="93"/>
      <c r="E344" s="93"/>
      <c r="F344" s="94" t="s">
        <v>70</v>
      </c>
      <c r="G344" s="95">
        <v>0.25</v>
      </c>
      <c r="H344" s="180"/>
      <c r="I344" s="229">
        <v>8.2579999999999991</v>
      </c>
      <c r="J344" s="321"/>
      <c r="K344" s="257"/>
      <c r="L344" s="280"/>
      <c r="M344" s="401"/>
      <c r="N344" s="423"/>
      <c r="O344" s="423"/>
      <c r="P344" s="423"/>
      <c r="Q344" s="423"/>
      <c r="R344" s="218"/>
      <c r="S344" s="218"/>
      <c r="T344" s="213">
        <v>40.270000000000003</v>
      </c>
      <c r="U344" s="211"/>
      <c r="V344" s="273"/>
      <c r="W344" s="206">
        <f>ROUND(ROUND(T344, 2)*I344, 2)</f>
        <v>332.55</v>
      </c>
    </row>
    <row r="345" spans="1:25" ht="60.45" customHeight="1" x14ac:dyDescent="0.3">
      <c r="A345" s="74" t="s">
        <v>1404</v>
      </c>
      <c r="B345" s="74" t="s">
        <v>1367</v>
      </c>
      <c r="C345" s="75" t="s">
        <v>1368</v>
      </c>
      <c r="D345" s="76"/>
      <c r="E345" s="76" t="s">
        <v>1405</v>
      </c>
      <c r="F345" s="76" t="s">
        <v>64</v>
      </c>
      <c r="G345" s="77">
        <v>1</v>
      </c>
      <c r="H345" s="177"/>
      <c r="I345" s="228">
        <v>55.79</v>
      </c>
      <c r="J345" s="322"/>
      <c r="K345" s="258"/>
      <c r="L345" s="281"/>
      <c r="M345" s="221"/>
      <c r="N345" s="422"/>
      <c r="O345" s="422"/>
      <c r="P345" s="422"/>
      <c r="Q345" s="422"/>
      <c r="R345" s="220"/>
      <c r="S345" s="221"/>
      <c r="T345" s="212">
        <f>IFERROR(ROUND(SUM(W346,W347,W348,W349)/I345, 2),0)</f>
        <v>870.05</v>
      </c>
      <c r="U345" s="202">
        <v>2364</v>
      </c>
      <c r="V345" s="274">
        <f>T345+ROUND(U345, 2)</f>
        <v>3234.05</v>
      </c>
      <c r="W345" s="182">
        <f>ROUND(T345*I345, 2)</f>
        <v>48540.09</v>
      </c>
      <c r="X345" s="14">
        <f>ROUND(I345*ROUND(U345, 2), 2)</f>
        <v>131887.56</v>
      </c>
      <c r="Y345" s="14">
        <f>W345+X345</f>
        <v>180427.65</v>
      </c>
    </row>
    <row r="346" spans="1:25" ht="22.8" hidden="1" x14ac:dyDescent="0.4">
      <c r="A346" s="91" t="s">
        <v>1406</v>
      </c>
      <c r="B346" s="91"/>
      <c r="C346" s="92" t="s">
        <v>426</v>
      </c>
      <c r="D346" s="93"/>
      <c r="E346" s="93"/>
      <c r="F346" s="94" t="s">
        <v>70</v>
      </c>
      <c r="G346" s="95">
        <v>0.25</v>
      </c>
      <c r="H346" s="180"/>
      <c r="I346" s="229">
        <v>13.948</v>
      </c>
      <c r="J346" s="321"/>
      <c r="K346" s="257"/>
      <c r="L346" s="280"/>
      <c r="M346" s="401"/>
      <c r="N346" s="423"/>
      <c r="O346" s="423"/>
      <c r="P346" s="423"/>
      <c r="Q346" s="423"/>
      <c r="R346" s="218"/>
      <c r="S346" s="218"/>
      <c r="T346" s="213">
        <v>40.270000000000003</v>
      </c>
      <c r="U346" s="211"/>
      <c r="V346" s="273"/>
      <c r="W346" s="206">
        <f>ROUND(ROUND(T346, 2)*I346, 2)</f>
        <v>561.69000000000005</v>
      </c>
    </row>
    <row r="347" spans="1:25" ht="22.8" hidden="1" x14ac:dyDescent="0.4">
      <c r="A347" s="91" t="s">
        <v>1409</v>
      </c>
      <c r="B347" s="91"/>
      <c r="C347" s="92" t="s">
        <v>452</v>
      </c>
      <c r="D347" s="93"/>
      <c r="E347" s="93"/>
      <c r="F347" s="94" t="s">
        <v>70</v>
      </c>
      <c r="G347" s="95">
        <v>0.15</v>
      </c>
      <c r="H347" s="180"/>
      <c r="I347" s="229">
        <v>8.3689999999999998</v>
      </c>
      <c r="J347" s="321"/>
      <c r="K347" s="257"/>
      <c r="L347" s="280"/>
      <c r="M347" s="401"/>
      <c r="N347" s="423"/>
      <c r="O347" s="423"/>
      <c r="P347" s="423"/>
      <c r="Q347" s="423"/>
      <c r="R347" s="218"/>
      <c r="S347" s="218"/>
      <c r="T347" s="213">
        <v>68.400000000000006</v>
      </c>
      <c r="U347" s="211"/>
      <c r="V347" s="273"/>
      <c r="W347" s="206">
        <f>ROUND(ROUND(T347, 2)*I347, 2)</f>
        <v>572.44000000000005</v>
      </c>
    </row>
    <row r="348" spans="1:25" ht="70.05" hidden="1" customHeight="1" x14ac:dyDescent="0.4">
      <c r="A348" s="91" t="s">
        <v>1412</v>
      </c>
      <c r="B348" s="91"/>
      <c r="C348" s="80" t="s">
        <v>693</v>
      </c>
      <c r="D348" s="93"/>
      <c r="E348" s="93" t="s">
        <v>402</v>
      </c>
      <c r="F348" s="94" t="s">
        <v>70</v>
      </c>
      <c r="G348" s="95">
        <v>1.2</v>
      </c>
      <c r="H348" s="180"/>
      <c r="I348" s="229">
        <v>133.89599999999999</v>
      </c>
      <c r="J348" s="321"/>
      <c r="K348" s="257"/>
      <c r="L348" s="280"/>
      <c r="M348" s="401"/>
      <c r="N348" s="423"/>
      <c r="O348" s="423"/>
      <c r="P348" s="423"/>
      <c r="Q348" s="423"/>
      <c r="R348" s="218"/>
      <c r="S348" s="218"/>
      <c r="T348" s="213">
        <v>16.11</v>
      </c>
      <c r="U348" s="211"/>
      <c r="V348" s="273"/>
      <c r="W348" s="206">
        <f>ROUND(ROUND(T348, 2)*I348, 2)</f>
        <v>2157.06</v>
      </c>
    </row>
    <row r="349" spans="1:25" ht="36" hidden="1" x14ac:dyDescent="0.4">
      <c r="A349" s="91" t="s">
        <v>1415</v>
      </c>
      <c r="B349" s="91"/>
      <c r="C349" s="80" t="s">
        <v>1416</v>
      </c>
      <c r="D349" s="93"/>
      <c r="E349" s="93" t="s">
        <v>1417</v>
      </c>
      <c r="F349" s="94" t="s">
        <v>64</v>
      </c>
      <c r="G349" s="95">
        <v>1.07</v>
      </c>
      <c r="H349" s="180"/>
      <c r="I349" s="229">
        <v>59.695</v>
      </c>
      <c r="J349" s="321"/>
      <c r="K349" s="257"/>
      <c r="L349" s="280"/>
      <c r="M349" s="401"/>
      <c r="N349" s="423"/>
      <c r="O349" s="423"/>
      <c r="P349" s="423"/>
      <c r="Q349" s="423"/>
      <c r="R349" s="218"/>
      <c r="S349" s="218"/>
      <c r="T349" s="213">
        <v>758</v>
      </c>
      <c r="U349" s="211"/>
      <c r="V349" s="273"/>
      <c r="W349" s="206">
        <f>ROUND(ROUND(T349, 2)*I349, 2)</f>
        <v>45248.81</v>
      </c>
    </row>
    <row r="350" spans="1:25" ht="57.45" customHeight="1" x14ac:dyDescent="0.3">
      <c r="A350" s="74" t="s">
        <v>1421</v>
      </c>
      <c r="B350" s="74" t="s">
        <v>1367</v>
      </c>
      <c r="C350" s="75" t="s">
        <v>1368</v>
      </c>
      <c r="D350" s="76"/>
      <c r="E350" s="76" t="s">
        <v>1422</v>
      </c>
      <c r="F350" s="76" t="s">
        <v>64</v>
      </c>
      <c r="G350" s="77">
        <v>1</v>
      </c>
      <c r="H350" s="177"/>
      <c r="I350" s="228">
        <v>5.65</v>
      </c>
      <c r="J350" s="322"/>
      <c r="K350" s="258"/>
      <c r="L350" s="281"/>
      <c r="M350" s="221"/>
      <c r="N350" s="422"/>
      <c r="O350" s="422"/>
      <c r="P350" s="422"/>
      <c r="Q350" s="422"/>
      <c r="R350" s="220"/>
      <c r="S350" s="221"/>
      <c r="T350" s="212">
        <f>IFERROR(ROUND(SUM(W351,W352,W353)/I350, 2),0)</f>
        <v>810.64</v>
      </c>
      <c r="U350" s="202">
        <v>2364</v>
      </c>
      <c r="V350" s="274">
        <f>T350+ROUND(U350, 2)</f>
        <v>3174.64</v>
      </c>
      <c r="W350" s="182">
        <f>ROUND(T350*I350, 2)</f>
        <v>4580.12</v>
      </c>
      <c r="X350" s="14">
        <f>ROUND(I350*ROUND(U350, 2), 2)</f>
        <v>13356.6</v>
      </c>
      <c r="Y350" s="14">
        <f>W350+X350</f>
        <v>17936.72</v>
      </c>
    </row>
    <row r="351" spans="1:25" ht="63.45" hidden="1" customHeight="1" x14ac:dyDescent="0.4">
      <c r="A351" s="91" t="s">
        <v>1423</v>
      </c>
      <c r="B351" s="91"/>
      <c r="C351" s="80" t="s">
        <v>1424</v>
      </c>
      <c r="D351" s="93"/>
      <c r="E351" s="93" t="s">
        <v>1425</v>
      </c>
      <c r="F351" s="94" t="s">
        <v>64</v>
      </c>
      <c r="G351" s="95">
        <v>1.07</v>
      </c>
      <c r="H351" s="180"/>
      <c r="I351" s="229">
        <v>6.0460000000000003</v>
      </c>
      <c r="J351" s="321"/>
      <c r="K351" s="257"/>
      <c r="L351" s="280"/>
      <c r="M351" s="401"/>
      <c r="N351" s="423"/>
      <c r="O351" s="423"/>
      <c r="P351" s="423"/>
      <c r="Q351" s="423"/>
      <c r="R351" s="218"/>
      <c r="S351" s="218"/>
      <c r="T351" s="213">
        <v>712</v>
      </c>
      <c r="U351" s="211"/>
      <c r="V351" s="273"/>
      <c r="W351" s="206">
        <f>ROUND(ROUND(T351, 2)*I351, 2)</f>
        <v>4304.75</v>
      </c>
    </row>
    <row r="352" spans="1:25" ht="75" hidden="1" customHeight="1" x14ac:dyDescent="0.4">
      <c r="A352" s="91" t="s">
        <v>1429</v>
      </c>
      <c r="B352" s="91"/>
      <c r="C352" s="80" t="s">
        <v>693</v>
      </c>
      <c r="D352" s="93"/>
      <c r="E352" s="93" t="s">
        <v>402</v>
      </c>
      <c r="F352" s="94" t="s">
        <v>70</v>
      </c>
      <c r="G352" s="95">
        <v>1.2</v>
      </c>
      <c r="H352" s="180"/>
      <c r="I352" s="229">
        <v>13.56</v>
      </c>
      <c r="J352" s="321"/>
      <c r="K352" s="257"/>
      <c r="L352" s="280"/>
      <c r="M352" s="401"/>
      <c r="N352" s="423"/>
      <c r="O352" s="423"/>
      <c r="P352" s="423"/>
      <c r="Q352" s="423"/>
      <c r="R352" s="218"/>
      <c r="S352" s="218"/>
      <c r="T352" s="213">
        <v>16.11</v>
      </c>
      <c r="U352" s="211"/>
      <c r="V352" s="273"/>
      <c r="W352" s="206">
        <f>ROUND(ROUND(T352, 2)*I352, 2)</f>
        <v>218.45</v>
      </c>
    </row>
    <row r="353" spans="1:25" ht="22.8" hidden="1" x14ac:dyDescent="0.4">
      <c r="A353" s="91" t="s">
        <v>1432</v>
      </c>
      <c r="B353" s="91"/>
      <c r="C353" s="92" t="s">
        <v>426</v>
      </c>
      <c r="D353" s="93"/>
      <c r="E353" s="93"/>
      <c r="F353" s="94" t="s">
        <v>70</v>
      </c>
      <c r="G353" s="95">
        <v>0.25</v>
      </c>
      <c r="H353" s="180"/>
      <c r="I353" s="229">
        <v>1.413</v>
      </c>
      <c r="J353" s="321"/>
      <c r="K353" s="257"/>
      <c r="L353" s="280"/>
      <c r="M353" s="401"/>
      <c r="N353" s="423"/>
      <c r="O353" s="423"/>
      <c r="P353" s="423"/>
      <c r="Q353" s="423"/>
      <c r="R353" s="218"/>
      <c r="S353" s="218"/>
      <c r="T353" s="213">
        <v>40.270000000000003</v>
      </c>
      <c r="U353" s="211"/>
      <c r="V353" s="273"/>
      <c r="W353" s="206">
        <f>ROUND(ROUND(T353, 2)*I353, 2)</f>
        <v>56.9</v>
      </c>
    </row>
    <row r="354" spans="1:25" ht="65.55" customHeight="1" x14ac:dyDescent="0.3">
      <c r="A354" s="74" t="s">
        <v>1435</v>
      </c>
      <c r="B354" s="74" t="s">
        <v>1367</v>
      </c>
      <c r="C354" s="75" t="s">
        <v>1368</v>
      </c>
      <c r="D354" s="76"/>
      <c r="E354" s="76" t="s">
        <v>1436</v>
      </c>
      <c r="F354" s="76" t="s">
        <v>64</v>
      </c>
      <c r="G354" s="77">
        <v>1</v>
      </c>
      <c r="H354" s="177"/>
      <c r="I354" s="228">
        <v>8.18</v>
      </c>
      <c r="J354" s="322"/>
      <c r="K354" s="258"/>
      <c r="L354" s="281"/>
      <c r="M354" s="221"/>
      <c r="N354" s="422"/>
      <c r="O354" s="422"/>
      <c r="P354" s="422"/>
      <c r="Q354" s="422"/>
      <c r="R354" s="220"/>
      <c r="S354" s="221"/>
      <c r="T354" s="212">
        <f>IFERROR(ROUND(SUM(W355,W356,W357,W358)/I354, 2),0)</f>
        <v>790.9</v>
      </c>
      <c r="U354" s="202">
        <v>2364</v>
      </c>
      <c r="V354" s="274">
        <f>T354+ROUND(U354, 2)</f>
        <v>3154.9</v>
      </c>
      <c r="W354" s="182">
        <f>ROUND(T354*I354, 2)</f>
        <v>6469.56</v>
      </c>
      <c r="X354" s="14">
        <f>ROUND(I354*ROUND(U354, 2), 2)</f>
        <v>19337.52</v>
      </c>
      <c r="Y354" s="14">
        <f>W354+X354</f>
        <v>25807.08</v>
      </c>
    </row>
    <row r="355" spans="1:25" ht="22.8" hidden="1" x14ac:dyDescent="0.4">
      <c r="A355" s="79" t="s">
        <v>1437</v>
      </c>
      <c r="B355" s="79"/>
      <c r="C355" s="85" t="s">
        <v>426</v>
      </c>
      <c r="D355" s="81"/>
      <c r="E355" s="81"/>
      <c r="F355" s="82" t="s">
        <v>70</v>
      </c>
      <c r="G355" s="83">
        <v>0.25</v>
      </c>
      <c r="H355" s="178"/>
      <c r="I355" s="229">
        <v>2.0449999999999999</v>
      </c>
      <c r="J355" s="321"/>
      <c r="K355" s="257"/>
      <c r="L355" s="280"/>
      <c r="M355" s="401"/>
      <c r="N355" s="423"/>
      <c r="O355" s="423"/>
      <c r="P355" s="423"/>
      <c r="Q355" s="423"/>
      <c r="R355" s="218"/>
      <c r="S355" s="218"/>
      <c r="T355" s="213">
        <v>40.270000000000003</v>
      </c>
      <c r="U355" s="211"/>
      <c r="V355" s="273"/>
      <c r="W355" s="206">
        <f>ROUND(ROUND(T355, 2)*I355, 2)</f>
        <v>82.35</v>
      </c>
    </row>
    <row r="356" spans="1:25" ht="22.8" hidden="1" x14ac:dyDescent="0.4">
      <c r="A356" s="79" t="s">
        <v>1440</v>
      </c>
      <c r="B356" s="79"/>
      <c r="C356" s="85" t="s">
        <v>452</v>
      </c>
      <c r="D356" s="81"/>
      <c r="E356" s="81"/>
      <c r="F356" s="82" t="s">
        <v>70</v>
      </c>
      <c r="G356" s="83">
        <v>0.15</v>
      </c>
      <c r="H356" s="178"/>
      <c r="I356" s="229">
        <v>1.2270000000000001</v>
      </c>
      <c r="J356" s="321"/>
      <c r="K356" s="257"/>
      <c r="L356" s="280"/>
      <c r="M356" s="401"/>
      <c r="N356" s="423"/>
      <c r="O356" s="423"/>
      <c r="P356" s="423"/>
      <c r="Q356" s="423"/>
      <c r="R356" s="218"/>
      <c r="S356" s="218"/>
      <c r="T356" s="213">
        <v>68.400000000000006</v>
      </c>
      <c r="U356" s="211"/>
      <c r="V356" s="273"/>
      <c r="W356" s="206">
        <f>ROUND(ROUND(T356, 2)*I356, 2)</f>
        <v>83.93</v>
      </c>
    </row>
    <row r="357" spans="1:25" ht="73.95" hidden="1" customHeight="1" x14ac:dyDescent="0.4">
      <c r="A357" s="79" t="s">
        <v>1443</v>
      </c>
      <c r="B357" s="79"/>
      <c r="C357" s="80" t="s">
        <v>693</v>
      </c>
      <c r="D357" s="81"/>
      <c r="E357" s="81" t="s">
        <v>402</v>
      </c>
      <c r="F357" s="82" t="s">
        <v>70</v>
      </c>
      <c r="G357" s="83">
        <v>1.2</v>
      </c>
      <c r="H357" s="178"/>
      <c r="I357" s="229">
        <v>19.632000000000001</v>
      </c>
      <c r="J357" s="321"/>
      <c r="K357" s="257"/>
      <c r="L357" s="280"/>
      <c r="M357" s="401"/>
      <c r="N357" s="423"/>
      <c r="O357" s="423"/>
      <c r="P357" s="423"/>
      <c r="Q357" s="423"/>
      <c r="R357" s="218"/>
      <c r="S357" s="218"/>
      <c r="T357" s="213">
        <v>16.11</v>
      </c>
      <c r="U357" s="211"/>
      <c r="V357" s="273"/>
      <c r="W357" s="206">
        <f>ROUND(ROUND(T357, 2)*I357, 2)</f>
        <v>316.27</v>
      </c>
    </row>
    <row r="358" spans="1:25" ht="67.5" hidden="1" customHeight="1" x14ac:dyDescent="0.4">
      <c r="A358" s="79" t="s">
        <v>1446</v>
      </c>
      <c r="B358" s="79"/>
      <c r="C358" s="80" t="s">
        <v>1416</v>
      </c>
      <c r="D358" s="81"/>
      <c r="E358" s="81" t="s">
        <v>1447</v>
      </c>
      <c r="F358" s="82" t="s">
        <v>64</v>
      </c>
      <c r="G358" s="83">
        <v>1.07</v>
      </c>
      <c r="H358" s="178"/>
      <c r="I358" s="229">
        <v>8.7530000000000001</v>
      </c>
      <c r="J358" s="321"/>
      <c r="K358" s="257"/>
      <c r="L358" s="280"/>
      <c r="M358" s="401"/>
      <c r="N358" s="423"/>
      <c r="O358" s="423"/>
      <c r="P358" s="423"/>
      <c r="Q358" s="423"/>
      <c r="R358" s="218"/>
      <c r="S358" s="218"/>
      <c r="T358" s="213">
        <v>684</v>
      </c>
      <c r="U358" s="211"/>
      <c r="V358" s="273"/>
      <c r="W358" s="206">
        <f>ROUND(ROUND(T358, 2)*I358, 2)</f>
        <v>5987.05</v>
      </c>
    </row>
    <row r="359" spans="1:25" ht="61.05" customHeight="1" x14ac:dyDescent="0.3">
      <c r="A359" s="74" t="s">
        <v>1450</v>
      </c>
      <c r="B359" s="74" t="s">
        <v>1367</v>
      </c>
      <c r="C359" s="75" t="s">
        <v>1368</v>
      </c>
      <c r="D359" s="76"/>
      <c r="E359" s="76" t="s">
        <v>1451</v>
      </c>
      <c r="F359" s="76" t="s">
        <v>64</v>
      </c>
      <c r="G359" s="77">
        <v>1</v>
      </c>
      <c r="H359" s="177"/>
      <c r="I359" s="228">
        <v>175.58</v>
      </c>
      <c r="J359" s="322"/>
      <c r="K359" s="258"/>
      <c r="L359" s="281"/>
      <c r="M359" s="221"/>
      <c r="N359" s="422"/>
      <c r="O359" s="422"/>
      <c r="P359" s="422"/>
      <c r="Q359" s="422"/>
      <c r="R359" s="220"/>
      <c r="S359" s="221"/>
      <c r="T359" s="212">
        <f>IFERROR(ROUND(SUM(W360,W361,W362)/I359, 2),0)</f>
        <v>412.53</v>
      </c>
      <c r="U359" s="202">
        <v>2364</v>
      </c>
      <c r="V359" s="274">
        <f>T359+ROUND(U359, 2)</f>
        <v>2776.5299999999997</v>
      </c>
      <c r="W359" s="182">
        <f>ROUND(T359*I359, 2)</f>
        <v>72432.02</v>
      </c>
      <c r="X359" s="14">
        <f>ROUND(I359*ROUND(U359, 2), 2)</f>
        <v>415071.12</v>
      </c>
      <c r="Y359" s="14">
        <f>W359+X359</f>
        <v>487503.14</v>
      </c>
    </row>
    <row r="360" spans="1:25" ht="36" hidden="1" x14ac:dyDescent="0.4">
      <c r="A360" s="79" t="s">
        <v>1452</v>
      </c>
      <c r="B360" s="79"/>
      <c r="C360" s="80" t="s">
        <v>1390</v>
      </c>
      <c r="D360" s="81"/>
      <c r="E360" s="81" t="s">
        <v>1453</v>
      </c>
      <c r="F360" s="82" t="s">
        <v>64</v>
      </c>
      <c r="G360" s="83">
        <v>1.07</v>
      </c>
      <c r="H360" s="178"/>
      <c r="I360" s="229">
        <v>187.87100000000001</v>
      </c>
      <c r="J360" s="321"/>
      <c r="K360" s="257"/>
      <c r="L360" s="280"/>
      <c r="M360" s="401"/>
      <c r="N360" s="423"/>
      <c r="O360" s="423"/>
      <c r="P360" s="423"/>
      <c r="Q360" s="423"/>
      <c r="R360" s="218"/>
      <c r="S360" s="218"/>
      <c r="T360" s="213">
        <v>340</v>
      </c>
      <c r="U360" s="211"/>
      <c r="V360" s="273"/>
      <c r="W360" s="206">
        <f>ROUND(ROUND(T360, 2)*I360, 2)</f>
        <v>63876.14</v>
      </c>
    </row>
    <row r="361" spans="1:25" ht="36" hidden="1" x14ac:dyDescent="0.4">
      <c r="A361" s="79" t="s">
        <v>1456</v>
      </c>
      <c r="B361" s="79"/>
      <c r="C361" s="80" t="s">
        <v>693</v>
      </c>
      <c r="D361" s="81"/>
      <c r="E361" s="81" t="s">
        <v>402</v>
      </c>
      <c r="F361" s="82" t="s">
        <v>70</v>
      </c>
      <c r="G361" s="83">
        <v>1.2</v>
      </c>
      <c r="H361" s="178"/>
      <c r="I361" s="229">
        <v>421.392</v>
      </c>
      <c r="J361" s="321"/>
      <c r="K361" s="257"/>
      <c r="L361" s="280"/>
      <c r="M361" s="401"/>
      <c r="N361" s="423"/>
      <c r="O361" s="423"/>
      <c r="P361" s="423"/>
      <c r="Q361" s="423"/>
      <c r="R361" s="218"/>
      <c r="S361" s="218"/>
      <c r="T361" s="213">
        <v>16.11</v>
      </c>
      <c r="U361" s="211"/>
      <c r="V361" s="273"/>
      <c r="W361" s="206">
        <f>ROUND(ROUND(T361, 2)*I361, 2)</f>
        <v>6788.63</v>
      </c>
    </row>
    <row r="362" spans="1:25" ht="22.8" hidden="1" x14ac:dyDescent="0.4">
      <c r="A362" s="79" t="s">
        <v>1459</v>
      </c>
      <c r="B362" s="79"/>
      <c r="C362" s="85" t="s">
        <v>426</v>
      </c>
      <c r="D362" s="81"/>
      <c r="E362" s="81"/>
      <c r="F362" s="82" t="s">
        <v>70</v>
      </c>
      <c r="G362" s="83">
        <v>0.25</v>
      </c>
      <c r="H362" s="192"/>
      <c r="I362" s="230">
        <v>43.895000000000003</v>
      </c>
      <c r="J362" s="321"/>
      <c r="K362" s="257"/>
      <c r="L362" s="280"/>
      <c r="M362" s="401"/>
      <c r="N362" s="423"/>
      <c r="O362" s="423"/>
      <c r="P362" s="423"/>
      <c r="Q362" s="423"/>
      <c r="R362" s="218"/>
      <c r="S362" s="218"/>
      <c r="T362" s="213">
        <v>40.270000000000003</v>
      </c>
      <c r="U362" s="211"/>
      <c r="V362" s="273"/>
      <c r="W362" s="206">
        <f>ROUND(ROUND(T362, 2)*I362, 2)</f>
        <v>1767.65</v>
      </c>
    </row>
    <row r="363" spans="1:25" ht="60.45" customHeight="1" x14ac:dyDescent="0.3">
      <c r="A363" s="74" t="s">
        <v>1462</v>
      </c>
      <c r="B363" s="74" t="s">
        <v>1367</v>
      </c>
      <c r="C363" s="75" t="s">
        <v>1368</v>
      </c>
      <c r="D363" s="76"/>
      <c r="E363" s="76" t="s">
        <v>1463</v>
      </c>
      <c r="F363" s="76" t="s">
        <v>64</v>
      </c>
      <c r="G363" s="77">
        <v>1</v>
      </c>
      <c r="H363" s="177"/>
      <c r="I363" s="228">
        <v>400.4</v>
      </c>
      <c r="J363" s="322"/>
      <c r="K363" s="258"/>
      <c r="L363" s="281"/>
      <c r="M363" s="221"/>
      <c r="N363" s="422"/>
      <c r="O363" s="422"/>
      <c r="P363" s="422"/>
      <c r="Q363" s="422"/>
      <c r="R363" s="220"/>
      <c r="S363" s="221"/>
      <c r="T363" s="212">
        <f>IFERROR(ROUND(SUM(W364,W365,W366,W367,W368)/I363, 2),0)</f>
        <v>953.83</v>
      </c>
      <c r="U363" s="202">
        <v>2364</v>
      </c>
      <c r="V363" s="274">
        <f>T363+ROUND(U363, 2)</f>
        <v>3317.83</v>
      </c>
      <c r="W363" s="182">
        <f>ROUND(T363*I363, 2)</f>
        <v>381913.53</v>
      </c>
      <c r="X363" s="14">
        <f>ROUND(I363*ROUND(U363, 2), 2)</f>
        <v>946545.6</v>
      </c>
      <c r="Y363" s="14">
        <f>W363+X363</f>
        <v>1328459.1299999999</v>
      </c>
    </row>
    <row r="364" spans="1:25" ht="22.8" hidden="1" x14ac:dyDescent="0.4">
      <c r="A364" s="79" t="s">
        <v>1464</v>
      </c>
      <c r="B364" s="79"/>
      <c r="C364" s="85" t="s">
        <v>1044</v>
      </c>
      <c r="D364" s="81"/>
      <c r="E364" s="81" t="s">
        <v>1465</v>
      </c>
      <c r="F364" s="82" t="s">
        <v>70</v>
      </c>
      <c r="G364" s="83">
        <v>0.25</v>
      </c>
      <c r="H364" s="178"/>
      <c r="I364" s="229">
        <v>100.1</v>
      </c>
      <c r="J364" s="321"/>
      <c r="K364" s="257"/>
      <c r="L364" s="280"/>
      <c r="M364" s="401"/>
      <c r="N364" s="423"/>
      <c r="O364" s="423"/>
      <c r="P364" s="423"/>
      <c r="Q364" s="423"/>
      <c r="R364" s="218"/>
      <c r="S364" s="218"/>
      <c r="T364" s="213">
        <v>40.270000000000003</v>
      </c>
      <c r="U364" s="211"/>
      <c r="V364" s="273"/>
      <c r="W364" s="206">
        <f>ROUND(ROUND(T364, 2)*I364, 2)</f>
        <v>4031.03</v>
      </c>
    </row>
    <row r="365" spans="1:25" ht="55.05" hidden="1" customHeight="1" x14ac:dyDescent="0.4">
      <c r="A365" s="79" t="s">
        <v>1468</v>
      </c>
      <c r="B365" s="79"/>
      <c r="C365" s="80" t="s">
        <v>693</v>
      </c>
      <c r="D365" s="81"/>
      <c r="E365" s="81" t="s">
        <v>402</v>
      </c>
      <c r="F365" s="82" t="s">
        <v>70</v>
      </c>
      <c r="G365" s="83">
        <v>1.2</v>
      </c>
      <c r="H365" s="178"/>
      <c r="I365" s="229">
        <v>960.96</v>
      </c>
      <c r="J365" s="321"/>
      <c r="K365" s="257"/>
      <c r="L365" s="280"/>
      <c r="M365" s="401"/>
      <c r="N365" s="423"/>
      <c r="O365" s="423"/>
      <c r="P365" s="423"/>
      <c r="Q365" s="423"/>
      <c r="R365" s="218"/>
      <c r="S365" s="218"/>
      <c r="T365" s="213">
        <v>16.11</v>
      </c>
      <c r="U365" s="211"/>
      <c r="V365" s="273"/>
      <c r="W365" s="206">
        <f>ROUND(ROUND(T365, 2)*I365, 2)</f>
        <v>15481.07</v>
      </c>
    </row>
    <row r="366" spans="1:25" ht="69" hidden="1" customHeight="1" x14ac:dyDescent="0.4">
      <c r="A366" s="79" t="s">
        <v>1471</v>
      </c>
      <c r="B366" s="79"/>
      <c r="C366" s="85" t="s">
        <v>1007</v>
      </c>
      <c r="D366" s="81"/>
      <c r="E366" s="81" t="s">
        <v>1472</v>
      </c>
      <c r="F366" s="82" t="s">
        <v>87</v>
      </c>
      <c r="G366" s="83">
        <v>0.23</v>
      </c>
      <c r="H366" s="178"/>
      <c r="I366" s="229">
        <v>13.444000000000001</v>
      </c>
      <c r="J366" s="321"/>
      <c r="K366" s="257"/>
      <c r="L366" s="280"/>
      <c r="M366" s="401"/>
      <c r="N366" s="423"/>
      <c r="O366" s="423"/>
      <c r="P366" s="423"/>
      <c r="Q366" s="423"/>
      <c r="R366" s="218"/>
      <c r="S366" s="218"/>
      <c r="T366" s="213">
        <v>97.71</v>
      </c>
      <c r="U366" s="211"/>
      <c r="V366" s="273"/>
      <c r="W366" s="206">
        <f>ROUND(ROUND(T366, 2)*I366, 2)</f>
        <v>1313.61</v>
      </c>
    </row>
    <row r="367" spans="1:25" ht="55.95" hidden="1" customHeight="1" x14ac:dyDescent="0.4">
      <c r="A367" s="79" t="s">
        <v>1475</v>
      </c>
      <c r="B367" s="79"/>
      <c r="C367" s="80" t="s">
        <v>1476</v>
      </c>
      <c r="D367" s="81"/>
      <c r="E367" s="81" t="s">
        <v>1477</v>
      </c>
      <c r="F367" s="82" t="s">
        <v>87</v>
      </c>
      <c r="G367" s="83">
        <v>0.23</v>
      </c>
      <c r="H367" s="178"/>
      <c r="I367" s="229">
        <v>12.537000000000001</v>
      </c>
      <c r="J367" s="321"/>
      <c r="K367" s="257"/>
      <c r="L367" s="280"/>
      <c r="M367" s="401"/>
      <c r="N367" s="423"/>
      <c r="O367" s="423"/>
      <c r="P367" s="423"/>
      <c r="Q367" s="423"/>
      <c r="R367" s="218"/>
      <c r="S367" s="218"/>
      <c r="T367" s="213">
        <v>96.24</v>
      </c>
      <c r="U367" s="211"/>
      <c r="V367" s="273"/>
      <c r="W367" s="206">
        <f>ROUND(ROUND(T367, 2)*I367, 2)</f>
        <v>1206.56</v>
      </c>
    </row>
    <row r="368" spans="1:25" ht="64.05" hidden="1" customHeight="1" x14ac:dyDescent="0.4">
      <c r="A368" s="79" t="s">
        <v>1481</v>
      </c>
      <c r="B368" s="79"/>
      <c r="C368" s="80" t="s">
        <v>1390</v>
      </c>
      <c r="D368" s="81"/>
      <c r="E368" s="81" t="s">
        <v>1482</v>
      </c>
      <c r="F368" s="82" t="s">
        <v>64</v>
      </c>
      <c r="G368" s="83">
        <v>1.07</v>
      </c>
      <c r="H368" s="178"/>
      <c r="I368" s="229">
        <v>428.428</v>
      </c>
      <c r="J368" s="321"/>
      <c r="K368" s="257"/>
      <c r="L368" s="280"/>
      <c r="M368" s="401"/>
      <c r="N368" s="423"/>
      <c r="O368" s="423"/>
      <c r="P368" s="423"/>
      <c r="Q368" s="423"/>
      <c r="R368" s="218"/>
      <c r="S368" s="218"/>
      <c r="T368" s="213">
        <v>840</v>
      </c>
      <c r="U368" s="211"/>
      <c r="V368" s="273"/>
      <c r="W368" s="206">
        <f>ROUND(ROUND(T368, 2)*I368, 2)</f>
        <v>359879.52</v>
      </c>
    </row>
    <row r="369" spans="1:25" ht="62.55" customHeight="1" x14ac:dyDescent="0.3">
      <c r="A369" s="74" t="s">
        <v>1485</v>
      </c>
      <c r="B369" s="74" t="s">
        <v>1367</v>
      </c>
      <c r="C369" s="75" t="s">
        <v>1368</v>
      </c>
      <c r="D369" s="76"/>
      <c r="E369" s="76" t="s">
        <v>1486</v>
      </c>
      <c r="F369" s="76" t="s">
        <v>64</v>
      </c>
      <c r="G369" s="77">
        <v>1</v>
      </c>
      <c r="H369" s="177"/>
      <c r="I369" s="228">
        <v>158.19</v>
      </c>
      <c r="J369" s="322"/>
      <c r="K369" s="258"/>
      <c r="L369" s="281"/>
      <c r="M369" s="221"/>
      <c r="N369" s="422"/>
      <c r="O369" s="422"/>
      <c r="P369" s="422"/>
      <c r="Q369" s="422"/>
      <c r="R369" s="220"/>
      <c r="S369" s="221"/>
      <c r="T369" s="212">
        <f>IFERROR(ROUND(SUM(W370,W371,W372,W373,W374)/I369, 2),0)</f>
        <v>753.98</v>
      </c>
      <c r="U369" s="202">
        <v>2364</v>
      </c>
      <c r="V369" s="274">
        <f>T369+ROUND(U369, 2)</f>
        <v>3117.98</v>
      </c>
      <c r="W369" s="182">
        <f>ROUND(T369*I369, 2)</f>
        <v>119272.1</v>
      </c>
      <c r="X369" s="14">
        <f>ROUND(I369*ROUND(U369, 2), 2)</f>
        <v>373961.16</v>
      </c>
      <c r="Y369" s="14">
        <f>W369+X369</f>
        <v>493233.26</v>
      </c>
    </row>
    <row r="370" spans="1:25" ht="46.05" hidden="1" customHeight="1" x14ac:dyDescent="0.4">
      <c r="A370" s="79" t="s">
        <v>1487</v>
      </c>
      <c r="B370" s="79"/>
      <c r="C370" s="80" t="s">
        <v>1382</v>
      </c>
      <c r="D370" s="81"/>
      <c r="E370" s="81" t="s">
        <v>1488</v>
      </c>
      <c r="F370" s="82" t="s">
        <v>64</v>
      </c>
      <c r="G370" s="83">
        <v>1.07</v>
      </c>
      <c r="H370" s="178"/>
      <c r="I370" s="229">
        <v>169.26300000000001</v>
      </c>
      <c r="J370" s="321"/>
      <c r="K370" s="257"/>
      <c r="L370" s="280"/>
      <c r="M370" s="401"/>
      <c r="N370" s="423"/>
      <c r="O370" s="423"/>
      <c r="P370" s="423"/>
      <c r="Q370" s="423"/>
      <c r="R370" s="218"/>
      <c r="S370" s="218"/>
      <c r="T370" s="213">
        <v>645</v>
      </c>
      <c r="U370" s="211"/>
      <c r="V370" s="273"/>
      <c r="W370" s="206">
        <f>ROUND(ROUND(T370, 2)*I370, 2)</f>
        <v>109174.64</v>
      </c>
    </row>
    <row r="371" spans="1:25" ht="60.45" hidden="1" customHeight="1" x14ac:dyDescent="0.4">
      <c r="A371" s="79" t="s">
        <v>1491</v>
      </c>
      <c r="B371" s="79"/>
      <c r="C371" s="80" t="s">
        <v>1476</v>
      </c>
      <c r="D371" s="81"/>
      <c r="E371" s="81" t="s">
        <v>1492</v>
      </c>
      <c r="F371" s="82" t="s">
        <v>87</v>
      </c>
      <c r="G371" s="83">
        <v>0.23</v>
      </c>
      <c r="H371" s="178"/>
      <c r="I371" s="229">
        <v>7.9489999999999998</v>
      </c>
      <c r="J371" s="321"/>
      <c r="K371" s="257"/>
      <c r="L371" s="280"/>
      <c r="M371" s="401"/>
      <c r="N371" s="423"/>
      <c r="O371" s="423"/>
      <c r="P371" s="423"/>
      <c r="Q371" s="423"/>
      <c r="R371" s="218"/>
      <c r="S371" s="218"/>
      <c r="T371" s="213">
        <v>96.24</v>
      </c>
      <c r="U371" s="211"/>
      <c r="V371" s="273"/>
      <c r="W371" s="206">
        <f>ROUND(ROUND(T371, 2)*I371, 2)</f>
        <v>765.01</v>
      </c>
    </row>
    <row r="372" spans="1:25" ht="66" hidden="1" customHeight="1" x14ac:dyDescent="0.4">
      <c r="A372" s="79" t="s">
        <v>1495</v>
      </c>
      <c r="B372" s="79"/>
      <c r="C372" s="80" t="s">
        <v>693</v>
      </c>
      <c r="D372" s="81"/>
      <c r="E372" s="81" t="s">
        <v>402</v>
      </c>
      <c r="F372" s="82" t="s">
        <v>70</v>
      </c>
      <c r="G372" s="83">
        <v>1.2</v>
      </c>
      <c r="H372" s="178"/>
      <c r="I372" s="229">
        <v>379.65600000000001</v>
      </c>
      <c r="J372" s="321"/>
      <c r="K372" s="257"/>
      <c r="L372" s="280"/>
      <c r="M372" s="401"/>
      <c r="N372" s="423"/>
      <c r="O372" s="423"/>
      <c r="P372" s="423"/>
      <c r="Q372" s="423"/>
      <c r="R372" s="218"/>
      <c r="S372" s="218"/>
      <c r="T372" s="213">
        <v>16.11</v>
      </c>
      <c r="U372" s="211"/>
      <c r="V372" s="273"/>
      <c r="W372" s="206">
        <f>ROUND(ROUND(T372, 2)*I372, 2)</f>
        <v>6116.26</v>
      </c>
    </row>
    <row r="373" spans="1:25" ht="22.8" hidden="1" x14ac:dyDescent="0.4">
      <c r="A373" s="79" t="s">
        <v>1498</v>
      </c>
      <c r="B373" s="79"/>
      <c r="C373" s="85" t="s">
        <v>452</v>
      </c>
      <c r="D373" s="81"/>
      <c r="E373" s="81"/>
      <c r="F373" s="82" t="s">
        <v>70</v>
      </c>
      <c r="G373" s="83">
        <v>0.15</v>
      </c>
      <c r="H373" s="178"/>
      <c r="I373" s="229">
        <v>23.728999999999999</v>
      </c>
      <c r="J373" s="321"/>
      <c r="K373" s="257"/>
      <c r="L373" s="280"/>
      <c r="M373" s="401"/>
      <c r="N373" s="423"/>
      <c r="O373" s="423"/>
      <c r="P373" s="423"/>
      <c r="Q373" s="423"/>
      <c r="R373" s="218"/>
      <c r="S373" s="218"/>
      <c r="T373" s="213">
        <v>68.400000000000006</v>
      </c>
      <c r="U373" s="211"/>
      <c r="V373" s="273"/>
      <c r="W373" s="206">
        <f>ROUND(ROUND(T373, 2)*I373, 2)</f>
        <v>1623.06</v>
      </c>
    </row>
    <row r="374" spans="1:25" ht="22.8" hidden="1" x14ac:dyDescent="0.4">
      <c r="A374" s="79" t="s">
        <v>1501</v>
      </c>
      <c r="B374" s="79"/>
      <c r="C374" s="85" t="s">
        <v>426</v>
      </c>
      <c r="D374" s="81"/>
      <c r="E374" s="81"/>
      <c r="F374" s="82" t="s">
        <v>70</v>
      </c>
      <c r="G374" s="83">
        <v>0.25</v>
      </c>
      <c r="H374" s="178"/>
      <c r="I374" s="229">
        <v>39.548000000000002</v>
      </c>
      <c r="J374" s="321"/>
      <c r="K374" s="257"/>
      <c r="L374" s="280"/>
      <c r="M374" s="401"/>
      <c r="N374" s="423"/>
      <c r="O374" s="423"/>
      <c r="P374" s="423"/>
      <c r="Q374" s="423"/>
      <c r="R374" s="218"/>
      <c r="S374" s="218"/>
      <c r="T374" s="213">
        <v>40.270000000000003</v>
      </c>
      <c r="U374" s="211"/>
      <c r="V374" s="273"/>
      <c r="W374" s="206">
        <f>ROUND(ROUND(T374, 2)*I374, 2)</f>
        <v>1592.6</v>
      </c>
    </row>
    <row r="375" spans="1:25" ht="54.45" customHeight="1" x14ac:dyDescent="0.3">
      <c r="A375" s="74" t="s">
        <v>1504</v>
      </c>
      <c r="B375" s="74" t="s">
        <v>1367</v>
      </c>
      <c r="C375" s="75" t="s">
        <v>1368</v>
      </c>
      <c r="D375" s="76"/>
      <c r="E375" s="76" t="s">
        <v>1505</v>
      </c>
      <c r="F375" s="76" t="s">
        <v>64</v>
      </c>
      <c r="G375" s="77">
        <v>1</v>
      </c>
      <c r="H375" s="177"/>
      <c r="I375" s="228">
        <v>15.27</v>
      </c>
      <c r="J375" s="322"/>
      <c r="K375" s="258"/>
      <c r="L375" s="281"/>
      <c r="M375" s="221"/>
      <c r="N375" s="422"/>
      <c r="O375" s="422"/>
      <c r="P375" s="422"/>
      <c r="Q375" s="422"/>
      <c r="R375" s="220"/>
      <c r="S375" s="221"/>
      <c r="T375" s="212">
        <f>IFERROR(ROUND(SUM(W376,W377,W378,W379)/I375, 2),0)</f>
        <v>847.59</v>
      </c>
      <c r="U375" s="202">
        <v>2364</v>
      </c>
      <c r="V375" s="274">
        <f>T375+ROUND(U375, 2)</f>
        <v>3211.59</v>
      </c>
      <c r="W375" s="182">
        <f>ROUND(T375*I375, 2)</f>
        <v>12942.7</v>
      </c>
      <c r="X375" s="14">
        <f>ROUND(I375*ROUND(U375, 2), 2)</f>
        <v>36098.28</v>
      </c>
      <c r="Y375" s="14">
        <f>W375+X375</f>
        <v>49040.979999999996</v>
      </c>
    </row>
    <row r="376" spans="1:25" ht="22.8" hidden="1" x14ac:dyDescent="0.4">
      <c r="A376" s="79" t="s">
        <v>1506</v>
      </c>
      <c r="B376" s="79"/>
      <c r="C376" s="85" t="s">
        <v>426</v>
      </c>
      <c r="D376" s="81"/>
      <c r="E376" s="81"/>
      <c r="F376" s="82" t="s">
        <v>70</v>
      </c>
      <c r="G376" s="83">
        <v>0.25</v>
      </c>
      <c r="H376" s="178"/>
      <c r="I376" s="229">
        <v>3.8180000000000001</v>
      </c>
      <c r="J376" s="321"/>
      <c r="K376" s="257"/>
      <c r="L376" s="280"/>
      <c r="M376" s="401"/>
      <c r="N376" s="423"/>
      <c r="O376" s="423"/>
      <c r="P376" s="423"/>
      <c r="Q376" s="423"/>
      <c r="R376" s="218"/>
      <c r="S376" s="218"/>
      <c r="T376" s="213">
        <v>40.270000000000003</v>
      </c>
      <c r="U376" s="211"/>
      <c r="V376" s="273"/>
      <c r="W376" s="206">
        <f>ROUND(ROUND(T376, 2)*I376, 2)</f>
        <v>153.75</v>
      </c>
    </row>
    <row r="377" spans="1:25" ht="22.8" hidden="1" x14ac:dyDescent="0.4">
      <c r="A377" s="79" t="s">
        <v>1509</v>
      </c>
      <c r="B377" s="79"/>
      <c r="C377" s="85" t="s">
        <v>452</v>
      </c>
      <c r="D377" s="81"/>
      <c r="E377" s="81"/>
      <c r="F377" s="82" t="s">
        <v>70</v>
      </c>
      <c r="G377" s="83">
        <v>0.15</v>
      </c>
      <c r="H377" s="178"/>
      <c r="I377" s="229">
        <v>2.2909999999999999</v>
      </c>
      <c r="J377" s="321"/>
      <c r="K377" s="257"/>
      <c r="L377" s="280"/>
      <c r="M377" s="401"/>
      <c r="N377" s="423"/>
      <c r="O377" s="423"/>
      <c r="P377" s="423"/>
      <c r="Q377" s="423"/>
      <c r="R377" s="218"/>
      <c r="S377" s="218"/>
      <c r="T377" s="213">
        <v>68.400000000000006</v>
      </c>
      <c r="U377" s="211"/>
      <c r="V377" s="273"/>
      <c r="W377" s="206">
        <f>ROUND(ROUND(T377, 2)*I377, 2)</f>
        <v>156.69999999999999</v>
      </c>
    </row>
    <row r="378" spans="1:25" ht="71.55" hidden="1" customHeight="1" x14ac:dyDescent="0.4">
      <c r="A378" s="79" t="s">
        <v>1512</v>
      </c>
      <c r="B378" s="79"/>
      <c r="C378" s="80" t="s">
        <v>693</v>
      </c>
      <c r="D378" s="81"/>
      <c r="E378" s="81" t="s">
        <v>402</v>
      </c>
      <c r="F378" s="82" t="s">
        <v>70</v>
      </c>
      <c r="G378" s="83">
        <v>1.2</v>
      </c>
      <c r="H378" s="178"/>
      <c r="I378" s="229">
        <v>36.648000000000003</v>
      </c>
      <c r="J378" s="321"/>
      <c r="K378" s="257"/>
      <c r="L378" s="280"/>
      <c r="M378" s="401"/>
      <c r="N378" s="423"/>
      <c r="O378" s="423"/>
      <c r="P378" s="423"/>
      <c r="Q378" s="423"/>
      <c r="R378" s="218"/>
      <c r="S378" s="218"/>
      <c r="T378" s="213">
        <v>16.11</v>
      </c>
      <c r="U378" s="211"/>
      <c r="V378" s="273"/>
      <c r="W378" s="206">
        <f>ROUND(ROUND(T378, 2)*I378, 2)</f>
        <v>590.4</v>
      </c>
    </row>
    <row r="379" spans="1:25" ht="15.45" hidden="1" customHeight="1" x14ac:dyDescent="0.4">
      <c r="A379" s="79" t="s">
        <v>1515</v>
      </c>
      <c r="B379" s="79"/>
      <c r="C379" s="80" t="s">
        <v>1390</v>
      </c>
      <c r="D379" s="81"/>
      <c r="E379" s="81" t="s">
        <v>1391</v>
      </c>
      <c r="F379" s="82" t="s">
        <v>64</v>
      </c>
      <c r="G379" s="83">
        <v>1.07</v>
      </c>
      <c r="H379" s="178"/>
      <c r="I379" s="229">
        <v>16.338999999999999</v>
      </c>
      <c r="J379" s="321"/>
      <c r="K379" s="257"/>
      <c r="L379" s="280"/>
      <c r="M379" s="401"/>
      <c r="N379" s="423"/>
      <c r="O379" s="423"/>
      <c r="P379" s="423"/>
      <c r="Q379" s="423"/>
      <c r="R379" s="218"/>
      <c r="S379" s="218"/>
      <c r="T379" s="213">
        <v>737</v>
      </c>
      <c r="U379" s="211"/>
      <c r="V379" s="273"/>
      <c r="W379" s="206">
        <f>ROUND(ROUND(T379, 2)*I379, 2)</f>
        <v>12041.84</v>
      </c>
    </row>
    <row r="380" spans="1:25" ht="55.05" customHeight="1" x14ac:dyDescent="0.3">
      <c r="A380" s="74" t="s">
        <v>1518</v>
      </c>
      <c r="B380" s="74" t="s">
        <v>1367</v>
      </c>
      <c r="C380" s="75" t="s">
        <v>1368</v>
      </c>
      <c r="D380" s="76"/>
      <c r="E380" s="76" t="s">
        <v>1519</v>
      </c>
      <c r="F380" s="76" t="s">
        <v>64</v>
      </c>
      <c r="G380" s="77">
        <v>1</v>
      </c>
      <c r="H380" s="177"/>
      <c r="I380" s="228">
        <v>35.9</v>
      </c>
      <c r="J380" s="322"/>
      <c r="K380" s="258"/>
      <c r="L380" s="281"/>
      <c r="M380" s="221"/>
      <c r="N380" s="422"/>
      <c r="O380" s="422"/>
      <c r="P380" s="422"/>
      <c r="Q380" s="422"/>
      <c r="R380" s="220"/>
      <c r="S380" s="221"/>
      <c r="T380" s="212">
        <f>IFERROR(ROUND(SUM(W381,W382,W383,W384)/I380, 2),0)</f>
        <v>870.05</v>
      </c>
      <c r="U380" s="202">
        <v>2364</v>
      </c>
      <c r="V380" s="274">
        <f>T380+ROUND(U380, 2)</f>
        <v>3234.05</v>
      </c>
      <c r="W380" s="182">
        <f>ROUND(T380*I380, 2)</f>
        <v>31234.799999999999</v>
      </c>
      <c r="X380" s="14">
        <f>ROUND(I380*ROUND(U380, 2), 2)</f>
        <v>84867.6</v>
      </c>
      <c r="Y380" s="14">
        <f>W380+X380</f>
        <v>116102.40000000001</v>
      </c>
    </row>
    <row r="381" spans="1:25" ht="52.05" hidden="1" customHeight="1" x14ac:dyDescent="0.4">
      <c r="A381" s="79" t="s">
        <v>1520</v>
      </c>
      <c r="B381" s="79"/>
      <c r="C381" s="80" t="s">
        <v>1416</v>
      </c>
      <c r="D381" s="81"/>
      <c r="E381" s="81" t="s">
        <v>1417</v>
      </c>
      <c r="F381" s="82" t="s">
        <v>64</v>
      </c>
      <c r="G381" s="83">
        <v>1.07</v>
      </c>
      <c r="H381" s="178"/>
      <c r="I381" s="229">
        <v>38.412999999999997</v>
      </c>
      <c r="J381" s="321"/>
      <c r="K381" s="260"/>
      <c r="L381" s="283"/>
      <c r="M381" s="401"/>
      <c r="N381" s="423"/>
      <c r="O381" s="423"/>
      <c r="P381" s="423"/>
      <c r="Q381" s="423"/>
      <c r="R381" s="218"/>
      <c r="S381" s="218"/>
      <c r="T381" s="213">
        <v>758</v>
      </c>
      <c r="U381" s="211"/>
      <c r="V381" s="273"/>
      <c r="W381" s="206">
        <f>ROUND(ROUND(T381, 2)*I381, 2)</f>
        <v>29117.05</v>
      </c>
    </row>
    <row r="382" spans="1:25" ht="14.55" hidden="1" customHeight="1" x14ac:dyDescent="0.4">
      <c r="A382" s="79" t="s">
        <v>1523</v>
      </c>
      <c r="B382" s="79"/>
      <c r="C382" s="80" t="s">
        <v>693</v>
      </c>
      <c r="D382" s="81"/>
      <c r="E382" s="81" t="s">
        <v>402</v>
      </c>
      <c r="F382" s="82" t="s">
        <v>70</v>
      </c>
      <c r="G382" s="83">
        <v>1.2</v>
      </c>
      <c r="H382" s="178"/>
      <c r="I382" s="229">
        <v>86.16</v>
      </c>
      <c r="J382" s="321"/>
      <c r="K382" s="260"/>
      <c r="L382" s="283"/>
      <c r="M382" s="401"/>
      <c r="N382" s="423"/>
      <c r="O382" s="423"/>
      <c r="P382" s="423"/>
      <c r="Q382" s="423"/>
      <c r="R382" s="218"/>
      <c r="S382" s="218"/>
      <c r="T382" s="213">
        <v>16.11</v>
      </c>
      <c r="U382" s="211"/>
      <c r="V382" s="273"/>
      <c r="W382" s="206">
        <f>ROUND(ROUND(T382, 2)*I382, 2)</f>
        <v>1388.04</v>
      </c>
    </row>
    <row r="383" spans="1:25" ht="30.45" hidden="1" customHeight="1" x14ac:dyDescent="0.4">
      <c r="A383" s="79" t="s">
        <v>1526</v>
      </c>
      <c r="B383" s="79"/>
      <c r="C383" s="85" t="s">
        <v>452</v>
      </c>
      <c r="D383" s="81"/>
      <c r="E383" s="81"/>
      <c r="F383" s="82" t="s">
        <v>70</v>
      </c>
      <c r="G383" s="83">
        <v>0.15</v>
      </c>
      <c r="H383" s="178"/>
      <c r="I383" s="229">
        <v>5.3849999999999998</v>
      </c>
      <c r="J383" s="321"/>
      <c r="K383" s="260"/>
      <c r="L383" s="283"/>
      <c r="M383" s="401"/>
      <c r="N383" s="423"/>
      <c r="O383" s="423"/>
      <c r="P383" s="423"/>
      <c r="Q383" s="423"/>
      <c r="R383" s="218"/>
      <c r="S383" s="218"/>
      <c r="T383" s="213">
        <v>68.400000000000006</v>
      </c>
      <c r="U383" s="211"/>
      <c r="V383" s="273"/>
      <c r="W383" s="206">
        <f>ROUND(ROUND(T383, 2)*I383, 2)</f>
        <v>368.33</v>
      </c>
    </row>
    <row r="384" spans="1:25" ht="22.05" hidden="1" customHeight="1" x14ac:dyDescent="0.4">
      <c r="A384" s="79" t="s">
        <v>1529</v>
      </c>
      <c r="B384" s="79"/>
      <c r="C384" s="85" t="s">
        <v>426</v>
      </c>
      <c r="D384" s="81"/>
      <c r="E384" s="81"/>
      <c r="F384" s="82" t="s">
        <v>70</v>
      </c>
      <c r="G384" s="83">
        <v>0.25</v>
      </c>
      <c r="H384" s="178"/>
      <c r="I384" s="229">
        <v>8.9749999999999996</v>
      </c>
      <c r="J384" s="321"/>
      <c r="K384" s="260"/>
      <c r="L384" s="283"/>
      <c r="M384" s="401"/>
      <c r="N384" s="423"/>
      <c r="O384" s="423"/>
      <c r="P384" s="423"/>
      <c r="Q384" s="423"/>
      <c r="R384" s="218"/>
      <c r="S384" s="218"/>
      <c r="T384" s="213">
        <v>40.270000000000003</v>
      </c>
      <c r="U384" s="211"/>
      <c r="V384" s="273"/>
      <c r="W384" s="206">
        <f>ROUND(ROUND(T384, 2)*I384, 2)</f>
        <v>361.42</v>
      </c>
    </row>
    <row r="385" spans="1:25" ht="52.95" customHeight="1" x14ac:dyDescent="0.3">
      <c r="A385" s="74" t="s">
        <v>1532</v>
      </c>
      <c r="B385" s="74" t="s">
        <v>1367</v>
      </c>
      <c r="C385" s="75" t="s">
        <v>1368</v>
      </c>
      <c r="D385" s="76"/>
      <c r="E385" s="76" t="s">
        <v>1533</v>
      </c>
      <c r="F385" s="76" t="s">
        <v>64</v>
      </c>
      <c r="G385" s="77">
        <v>1</v>
      </c>
      <c r="H385" s="177"/>
      <c r="I385" s="228">
        <v>5.75</v>
      </c>
      <c r="J385" s="322"/>
      <c r="K385" s="258"/>
      <c r="L385" s="281"/>
      <c r="M385" s="221"/>
      <c r="N385" s="422"/>
      <c r="O385" s="422"/>
      <c r="P385" s="422"/>
      <c r="Q385" s="422"/>
      <c r="R385" s="220"/>
      <c r="S385" s="221"/>
      <c r="T385" s="212">
        <f>IFERROR(ROUND(SUM(W386,W387,W388,W389)/I385, 2),0)</f>
        <v>820.9</v>
      </c>
      <c r="U385" s="202">
        <v>2364</v>
      </c>
      <c r="V385" s="274">
        <f>T385+ROUND(U385, 2)</f>
        <v>3184.9</v>
      </c>
      <c r="W385" s="182">
        <f>ROUND(T385*I385, 2)</f>
        <v>4720.18</v>
      </c>
      <c r="X385" s="14">
        <f>ROUND(I385*ROUND(U385, 2), 2)</f>
        <v>13593</v>
      </c>
      <c r="Y385" s="14">
        <f>W385+X385</f>
        <v>18313.18</v>
      </c>
    </row>
    <row r="386" spans="1:25" ht="22.8" hidden="1" x14ac:dyDescent="0.4">
      <c r="A386" s="79" t="s">
        <v>1534</v>
      </c>
      <c r="B386" s="79"/>
      <c r="C386" s="85" t="s">
        <v>426</v>
      </c>
      <c r="D386" s="81"/>
      <c r="E386" s="81"/>
      <c r="F386" s="82" t="s">
        <v>70</v>
      </c>
      <c r="G386" s="83">
        <v>0.25</v>
      </c>
      <c r="H386" s="178"/>
      <c r="I386" s="229">
        <v>1.4379999999999999</v>
      </c>
      <c r="J386" s="321"/>
      <c r="K386" s="257"/>
      <c r="L386" s="280"/>
      <c r="M386" s="401"/>
      <c r="N386" s="423"/>
      <c r="O386" s="423"/>
      <c r="P386" s="423"/>
      <c r="Q386" s="423"/>
      <c r="R386" s="218"/>
      <c r="S386" s="218"/>
      <c r="T386" s="213">
        <v>40.270000000000003</v>
      </c>
      <c r="U386" s="211"/>
      <c r="V386" s="273"/>
      <c r="W386" s="206">
        <f>ROUND(ROUND(T386, 2)*I386, 2)</f>
        <v>57.91</v>
      </c>
    </row>
    <row r="387" spans="1:25" ht="22.8" hidden="1" x14ac:dyDescent="0.4">
      <c r="A387" s="79" t="s">
        <v>1537</v>
      </c>
      <c r="B387" s="79"/>
      <c r="C387" s="85" t="s">
        <v>452</v>
      </c>
      <c r="D387" s="81"/>
      <c r="E387" s="81"/>
      <c r="F387" s="82" t="s">
        <v>70</v>
      </c>
      <c r="G387" s="83">
        <v>0.15</v>
      </c>
      <c r="H387" s="178"/>
      <c r="I387" s="229">
        <v>0.86299999999999999</v>
      </c>
      <c r="J387" s="321"/>
      <c r="K387" s="257"/>
      <c r="L387" s="280"/>
      <c r="M387" s="401"/>
      <c r="N387" s="423"/>
      <c r="O387" s="423"/>
      <c r="P387" s="423"/>
      <c r="Q387" s="423"/>
      <c r="R387" s="218"/>
      <c r="S387" s="218"/>
      <c r="T387" s="213">
        <v>68.400000000000006</v>
      </c>
      <c r="U387" s="211"/>
      <c r="V387" s="273"/>
      <c r="W387" s="206">
        <f>ROUND(ROUND(T387, 2)*I387, 2)</f>
        <v>59.03</v>
      </c>
    </row>
    <row r="388" spans="1:25" ht="69" hidden="1" customHeight="1" x14ac:dyDescent="0.4">
      <c r="A388" s="79" t="s">
        <v>1540</v>
      </c>
      <c r="B388" s="79"/>
      <c r="C388" s="80" t="s">
        <v>693</v>
      </c>
      <c r="D388" s="81"/>
      <c r="E388" s="81" t="s">
        <v>402</v>
      </c>
      <c r="F388" s="82" t="s">
        <v>70</v>
      </c>
      <c r="G388" s="83">
        <v>1.2</v>
      </c>
      <c r="H388" s="178"/>
      <c r="I388" s="229">
        <v>13.8</v>
      </c>
      <c r="J388" s="321"/>
      <c r="K388" s="257"/>
      <c r="L388" s="280"/>
      <c r="M388" s="401"/>
      <c r="N388" s="423"/>
      <c r="O388" s="423"/>
      <c r="P388" s="423"/>
      <c r="Q388" s="423"/>
      <c r="R388" s="218"/>
      <c r="S388" s="218"/>
      <c r="T388" s="213">
        <v>16.11</v>
      </c>
      <c r="U388" s="211"/>
      <c r="V388" s="273"/>
      <c r="W388" s="206">
        <f>ROUND(ROUND(T388, 2)*I388, 2)</f>
        <v>222.32</v>
      </c>
    </row>
    <row r="389" spans="1:25" ht="58.05" hidden="1" customHeight="1" x14ac:dyDescent="0.4">
      <c r="A389" s="79" t="s">
        <v>1543</v>
      </c>
      <c r="B389" s="79"/>
      <c r="C389" s="80" t="s">
        <v>1424</v>
      </c>
      <c r="D389" s="81"/>
      <c r="E389" s="81" t="s">
        <v>1544</v>
      </c>
      <c r="F389" s="82" t="s">
        <v>64</v>
      </c>
      <c r="G389" s="83">
        <v>1.07</v>
      </c>
      <c r="H389" s="178"/>
      <c r="I389" s="229">
        <v>6.1529999999999996</v>
      </c>
      <c r="J389" s="321"/>
      <c r="K389" s="257"/>
      <c r="L389" s="280"/>
      <c r="M389" s="401"/>
      <c r="N389" s="423"/>
      <c r="O389" s="423"/>
      <c r="P389" s="423"/>
      <c r="Q389" s="423"/>
      <c r="R389" s="218"/>
      <c r="S389" s="218"/>
      <c r="T389" s="213">
        <v>712</v>
      </c>
      <c r="U389" s="211"/>
      <c r="V389" s="273"/>
      <c r="W389" s="206">
        <f>ROUND(ROUND(T389, 2)*I389, 2)</f>
        <v>4380.9399999999996</v>
      </c>
    </row>
    <row r="390" spans="1:25" ht="55.5" customHeight="1" x14ac:dyDescent="0.3">
      <c r="A390" s="74" t="s">
        <v>1547</v>
      </c>
      <c r="B390" s="74" t="s">
        <v>1367</v>
      </c>
      <c r="C390" s="75" t="s">
        <v>1368</v>
      </c>
      <c r="D390" s="76"/>
      <c r="E390" s="76" t="s">
        <v>1548</v>
      </c>
      <c r="F390" s="76" t="s">
        <v>64</v>
      </c>
      <c r="G390" s="77">
        <v>1</v>
      </c>
      <c r="H390" s="177"/>
      <c r="I390" s="228">
        <v>8.15</v>
      </c>
      <c r="J390" s="322"/>
      <c r="K390" s="258"/>
      <c r="L390" s="281"/>
      <c r="M390" s="221"/>
      <c r="N390" s="422"/>
      <c r="O390" s="422"/>
      <c r="P390" s="422"/>
      <c r="Q390" s="422"/>
      <c r="R390" s="220"/>
      <c r="S390" s="221"/>
      <c r="T390" s="212">
        <f>IFERROR(ROUND(SUM(W391,W392,W393,W394)/I390, 2),0)</f>
        <v>790.92</v>
      </c>
      <c r="U390" s="202">
        <v>2364</v>
      </c>
      <c r="V390" s="274">
        <f>T390+ROUND(U390, 2)</f>
        <v>3154.92</v>
      </c>
      <c r="W390" s="182">
        <f>ROUND(T390*I390, 2)</f>
        <v>6446</v>
      </c>
      <c r="X390" s="14">
        <f>ROUND(I390*ROUND(U390, 2), 2)</f>
        <v>19266.599999999999</v>
      </c>
      <c r="Y390" s="14">
        <f>W390+X390</f>
        <v>25712.6</v>
      </c>
    </row>
    <row r="391" spans="1:25" ht="68.55" hidden="1" customHeight="1" x14ac:dyDescent="0.4">
      <c r="A391" s="79" t="s">
        <v>1549</v>
      </c>
      <c r="B391" s="79"/>
      <c r="C391" s="140" t="s">
        <v>1416</v>
      </c>
      <c r="D391" s="81"/>
      <c r="E391" s="81" t="s">
        <v>1447</v>
      </c>
      <c r="F391" s="82" t="s">
        <v>64</v>
      </c>
      <c r="G391" s="83">
        <v>1.07</v>
      </c>
      <c r="H391" s="178"/>
      <c r="I391" s="229">
        <v>8.7210000000000001</v>
      </c>
      <c r="J391" s="321"/>
      <c r="K391" s="257"/>
      <c r="L391" s="280"/>
      <c r="M391" s="401"/>
      <c r="N391" s="423"/>
      <c r="O391" s="423"/>
      <c r="P391" s="423"/>
      <c r="Q391" s="423"/>
      <c r="R391" s="218"/>
      <c r="S391" s="218"/>
      <c r="T391" s="213">
        <v>684</v>
      </c>
      <c r="U391" s="211"/>
      <c r="V391" s="273"/>
      <c r="W391" s="206">
        <f>ROUND(ROUND(T391, 2)*I391, 2)</f>
        <v>5965.16</v>
      </c>
    </row>
    <row r="392" spans="1:25" ht="64.95" hidden="1" customHeight="1" x14ac:dyDescent="0.4">
      <c r="A392" s="79" t="s">
        <v>1552</v>
      </c>
      <c r="B392" s="79"/>
      <c r="C392" s="140" t="s">
        <v>693</v>
      </c>
      <c r="D392" s="81"/>
      <c r="E392" s="81" t="s">
        <v>402</v>
      </c>
      <c r="F392" s="82" t="s">
        <v>70</v>
      </c>
      <c r="G392" s="83">
        <v>1.2</v>
      </c>
      <c r="H392" s="178"/>
      <c r="I392" s="229">
        <v>19.559999999999999</v>
      </c>
      <c r="J392" s="321"/>
      <c r="K392" s="257"/>
      <c r="L392" s="280"/>
      <c r="M392" s="401"/>
      <c r="N392" s="423"/>
      <c r="O392" s="423"/>
      <c r="P392" s="423"/>
      <c r="Q392" s="423"/>
      <c r="R392" s="218"/>
      <c r="S392" s="218"/>
      <c r="T392" s="213">
        <v>16.11</v>
      </c>
      <c r="U392" s="211"/>
      <c r="V392" s="273"/>
      <c r="W392" s="206">
        <f>ROUND(ROUND(T392, 2)*I392, 2)</f>
        <v>315.11</v>
      </c>
    </row>
    <row r="393" spans="1:25" ht="22.8" hidden="1" x14ac:dyDescent="0.4">
      <c r="A393" s="79" t="s">
        <v>1555</v>
      </c>
      <c r="B393" s="79"/>
      <c r="C393" s="141" t="s">
        <v>452</v>
      </c>
      <c r="D393" s="81"/>
      <c r="E393" s="81"/>
      <c r="F393" s="82" t="s">
        <v>70</v>
      </c>
      <c r="G393" s="83">
        <v>0.15</v>
      </c>
      <c r="H393" s="178"/>
      <c r="I393" s="229">
        <v>1.2230000000000001</v>
      </c>
      <c r="J393" s="321"/>
      <c r="K393" s="257"/>
      <c r="L393" s="280"/>
      <c r="M393" s="401"/>
      <c r="N393" s="423"/>
      <c r="O393" s="423"/>
      <c r="P393" s="423"/>
      <c r="Q393" s="423"/>
      <c r="R393" s="218"/>
      <c r="S393" s="218"/>
      <c r="T393" s="213">
        <v>68.400000000000006</v>
      </c>
      <c r="U393" s="211"/>
      <c r="V393" s="273"/>
      <c r="W393" s="206">
        <f>ROUND(ROUND(T393, 2)*I393, 2)</f>
        <v>83.65</v>
      </c>
    </row>
    <row r="394" spans="1:25" ht="22.8" hidden="1" x14ac:dyDescent="0.4">
      <c r="A394" s="79" t="s">
        <v>1558</v>
      </c>
      <c r="B394" s="79"/>
      <c r="C394" s="141" t="s">
        <v>426</v>
      </c>
      <c r="D394" s="81"/>
      <c r="E394" s="81"/>
      <c r="F394" s="82" t="s">
        <v>70</v>
      </c>
      <c r="G394" s="83">
        <v>0.25</v>
      </c>
      <c r="H394" s="178"/>
      <c r="I394" s="229">
        <v>2.0379999999999998</v>
      </c>
      <c r="J394" s="321"/>
      <c r="K394" s="257"/>
      <c r="L394" s="280"/>
      <c r="M394" s="401"/>
      <c r="N394" s="423"/>
      <c r="O394" s="423"/>
      <c r="P394" s="423"/>
      <c r="Q394" s="423"/>
      <c r="R394" s="218"/>
      <c r="S394" s="218"/>
      <c r="T394" s="213">
        <v>40.270000000000003</v>
      </c>
      <c r="U394" s="211"/>
      <c r="V394" s="273"/>
      <c r="W394" s="206">
        <f>ROUND(ROUND(T394, 2)*I394, 2)</f>
        <v>82.07</v>
      </c>
    </row>
    <row r="395" spans="1:25" ht="66" customHeight="1" x14ac:dyDescent="0.3">
      <c r="A395" s="74" t="s">
        <v>1561</v>
      </c>
      <c r="B395" s="74" t="s">
        <v>1367</v>
      </c>
      <c r="C395" s="75" t="s">
        <v>1368</v>
      </c>
      <c r="D395" s="76"/>
      <c r="E395" s="76" t="s">
        <v>1562</v>
      </c>
      <c r="F395" s="76" t="s">
        <v>64</v>
      </c>
      <c r="G395" s="77">
        <v>1</v>
      </c>
      <c r="H395" s="177"/>
      <c r="I395" s="228">
        <v>127.34</v>
      </c>
      <c r="J395" s="322"/>
      <c r="K395" s="258"/>
      <c r="L395" s="281"/>
      <c r="M395" s="221"/>
      <c r="N395" s="422"/>
      <c r="O395" s="422"/>
      <c r="P395" s="422"/>
      <c r="Q395" s="422"/>
      <c r="R395" s="220"/>
      <c r="S395" s="221"/>
      <c r="T395" s="212">
        <f>IFERROR(ROUND(SUM(W396,W397,W398,W399)/I395, 2),0)</f>
        <v>422.79</v>
      </c>
      <c r="U395" s="202">
        <v>2364</v>
      </c>
      <c r="V395" s="274">
        <f>T395+ROUND(U395, 2)</f>
        <v>2786.79</v>
      </c>
      <c r="W395" s="182">
        <f>ROUND(T395*I395, 2)</f>
        <v>53838.080000000002</v>
      </c>
      <c r="X395" s="14">
        <f>ROUND(I395*ROUND(U395, 2), 2)</f>
        <v>301031.76</v>
      </c>
      <c r="Y395" s="14">
        <f>W395+X395</f>
        <v>354869.84</v>
      </c>
    </row>
    <row r="396" spans="1:25" ht="22.8" hidden="1" x14ac:dyDescent="0.4">
      <c r="A396" s="79" t="s">
        <v>1563</v>
      </c>
      <c r="B396" s="79"/>
      <c r="C396" s="141" t="s">
        <v>426</v>
      </c>
      <c r="D396" s="81"/>
      <c r="E396" s="81"/>
      <c r="F396" s="82" t="s">
        <v>70</v>
      </c>
      <c r="G396" s="83">
        <v>0.25</v>
      </c>
      <c r="H396" s="178"/>
      <c r="I396" s="229">
        <v>31.835000000000001</v>
      </c>
      <c r="J396" s="321"/>
      <c r="K396" s="257"/>
      <c r="L396" s="280"/>
      <c r="M396" s="401"/>
      <c r="N396" s="423"/>
      <c r="O396" s="423"/>
      <c r="P396" s="423"/>
      <c r="Q396" s="423"/>
      <c r="R396" s="218"/>
      <c r="S396" s="218"/>
      <c r="T396" s="213">
        <v>40.270000000000003</v>
      </c>
      <c r="U396" s="211"/>
      <c r="V396" s="273"/>
      <c r="W396" s="206">
        <f>ROUND(ROUND(T396, 2)*I396, 2)</f>
        <v>1282</v>
      </c>
    </row>
    <row r="397" spans="1:25" ht="22.8" hidden="1" x14ac:dyDescent="0.4">
      <c r="A397" s="79" t="s">
        <v>1566</v>
      </c>
      <c r="B397" s="79"/>
      <c r="C397" s="141" t="s">
        <v>452</v>
      </c>
      <c r="D397" s="81"/>
      <c r="E397" s="81"/>
      <c r="F397" s="82" t="s">
        <v>70</v>
      </c>
      <c r="G397" s="83">
        <v>0.15</v>
      </c>
      <c r="H397" s="178"/>
      <c r="I397" s="229">
        <v>19.100999999999999</v>
      </c>
      <c r="J397" s="321"/>
      <c r="K397" s="257"/>
      <c r="L397" s="280"/>
      <c r="M397" s="401"/>
      <c r="N397" s="423"/>
      <c r="O397" s="423"/>
      <c r="P397" s="423"/>
      <c r="Q397" s="423"/>
      <c r="R397" s="218"/>
      <c r="S397" s="218"/>
      <c r="T397" s="213">
        <v>68.400000000000006</v>
      </c>
      <c r="U397" s="211"/>
      <c r="V397" s="273"/>
      <c r="W397" s="206">
        <f>ROUND(ROUND(T397, 2)*I397, 2)</f>
        <v>1306.51</v>
      </c>
    </row>
    <row r="398" spans="1:25" ht="67.5" hidden="1" customHeight="1" x14ac:dyDescent="0.4">
      <c r="A398" s="79" t="s">
        <v>1569</v>
      </c>
      <c r="B398" s="79"/>
      <c r="C398" s="140" t="s">
        <v>693</v>
      </c>
      <c r="D398" s="81"/>
      <c r="E398" s="81" t="s">
        <v>402</v>
      </c>
      <c r="F398" s="82" t="s">
        <v>70</v>
      </c>
      <c r="G398" s="83">
        <v>1.2</v>
      </c>
      <c r="H398" s="178"/>
      <c r="I398" s="229">
        <v>305.61599999999999</v>
      </c>
      <c r="J398" s="321"/>
      <c r="K398" s="257"/>
      <c r="L398" s="280"/>
      <c r="M398" s="401"/>
      <c r="N398" s="423"/>
      <c r="O398" s="423"/>
      <c r="P398" s="423"/>
      <c r="Q398" s="423"/>
      <c r="R398" s="218"/>
      <c r="S398" s="218"/>
      <c r="T398" s="213">
        <v>16.11</v>
      </c>
      <c r="U398" s="211"/>
      <c r="V398" s="273"/>
      <c r="W398" s="206">
        <f>ROUND(ROUND(T398, 2)*I398, 2)</f>
        <v>4923.47</v>
      </c>
    </row>
    <row r="399" spans="1:25" ht="55.5" hidden="1" customHeight="1" x14ac:dyDescent="0.4">
      <c r="A399" s="79" t="s">
        <v>1572</v>
      </c>
      <c r="B399" s="79"/>
      <c r="C399" s="140" t="s">
        <v>1390</v>
      </c>
      <c r="D399" s="81"/>
      <c r="E399" s="81" t="s">
        <v>1573</v>
      </c>
      <c r="F399" s="82" t="s">
        <v>64</v>
      </c>
      <c r="G399" s="83">
        <v>1.07</v>
      </c>
      <c r="H399" s="178"/>
      <c r="I399" s="229">
        <v>136.25399999999999</v>
      </c>
      <c r="J399" s="321"/>
      <c r="K399" s="257"/>
      <c r="L399" s="280"/>
      <c r="M399" s="401"/>
      <c r="N399" s="423"/>
      <c r="O399" s="423"/>
      <c r="P399" s="423"/>
      <c r="Q399" s="423"/>
      <c r="R399" s="218"/>
      <c r="S399" s="218"/>
      <c r="T399" s="213">
        <v>340</v>
      </c>
      <c r="U399" s="211"/>
      <c r="V399" s="273"/>
      <c r="W399" s="206">
        <f>ROUND(ROUND(T399, 2)*I399, 2)</f>
        <v>46326.36</v>
      </c>
    </row>
    <row r="400" spans="1:25" ht="61.5" customHeight="1" x14ac:dyDescent="0.3">
      <c r="A400" s="74" t="s">
        <v>1576</v>
      </c>
      <c r="B400" s="74" t="s">
        <v>1367</v>
      </c>
      <c r="C400" s="75" t="s">
        <v>1368</v>
      </c>
      <c r="D400" s="76"/>
      <c r="E400" s="76" t="s">
        <v>1577</v>
      </c>
      <c r="F400" s="76" t="s">
        <v>64</v>
      </c>
      <c r="G400" s="77">
        <v>1</v>
      </c>
      <c r="H400" s="177"/>
      <c r="I400" s="228">
        <v>351.08</v>
      </c>
      <c r="J400" s="322"/>
      <c r="K400" s="258"/>
      <c r="L400" s="281"/>
      <c r="M400" s="221"/>
      <c r="N400" s="422"/>
      <c r="O400" s="422"/>
      <c r="P400" s="422"/>
      <c r="Q400" s="422"/>
      <c r="R400" s="220"/>
      <c r="S400" s="221"/>
      <c r="T400" s="212">
        <f>IFERROR(ROUND(SUM(W401,W402,W403,W404,W405)/I400, 2),0)</f>
        <v>965.93</v>
      </c>
      <c r="U400" s="202">
        <v>2364</v>
      </c>
      <c r="V400" s="274">
        <f>T400+ROUND(U400, 2)</f>
        <v>3329.93</v>
      </c>
      <c r="W400" s="182">
        <f>ROUND(T400*I400, 2)</f>
        <v>339118.7</v>
      </c>
      <c r="X400" s="14">
        <f>ROUND(I400*ROUND(U400, 2), 2)</f>
        <v>829953.12</v>
      </c>
      <c r="Y400" s="14">
        <f>W400+X400</f>
        <v>1169071.82</v>
      </c>
    </row>
    <row r="401" spans="1:25" ht="72.45" hidden="1" customHeight="1" x14ac:dyDescent="0.4">
      <c r="A401" s="79" t="s">
        <v>1578</v>
      </c>
      <c r="B401" s="79"/>
      <c r="C401" s="140" t="s">
        <v>1390</v>
      </c>
      <c r="D401" s="81"/>
      <c r="E401" s="81" t="s">
        <v>1482</v>
      </c>
      <c r="F401" s="82" t="s">
        <v>64</v>
      </c>
      <c r="G401" s="83">
        <v>1.07</v>
      </c>
      <c r="H401" s="178"/>
      <c r="I401" s="229">
        <v>375.65600000000001</v>
      </c>
      <c r="J401" s="321"/>
      <c r="K401" s="257"/>
      <c r="L401" s="280"/>
      <c r="M401" s="401"/>
      <c r="N401" s="423"/>
      <c r="O401" s="423"/>
      <c r="P401" s="423"/>
      <c r="Q401" s="423"/>
      <c r="R401" s="218"/>
      <c r="S401" s="218"/>
      <c r="T401" s="213">
        <v>837</v>
      </c>
      <c r="U401" s="211"/>
      <c r="V401" s="273"/>
      <c r="W401" s="206">
        <f>ROUND(ROUND(T401, 2)*I401, 2)</f>
        <v>314424.07</v>
      </c>
    </row>
    <row r="402" spans="1:25" ht="70.95" hidden="1" customHeight="1" x14ac:dyDescent="0.4">
      <c r="A402" s="79" t="s">
        <v>1581</v>
      </c>
      <c r="B402" s="79"/>
      <c r="C402" s="140" t="s">
        <v>1476</v>
      </c>
      <c r="D402" s="81"/>
      <c r="E402" s="81" t="s">
        <v>1472</v>
      </c>
      <c r="F402" s="82" t="s">
        <v>87</v>
      </c>
      <c r="G402" s="83">
        <v>0.23</v>
      </c>
      <c r="H402" s="178"/>
      <c r="I402" s="229">
        <v>17.728000000000002</v>
      </c>
      <c r="J402" s="321"/>
      <c r="K402" s="257"/>
      <c r="L402" s="280"/>
      <c r="M402" s="401"/>
      <c r="N402" s="423"/>
      <c r="O402" s="423"/>
      <c r="P402" s="423"/>
      <c r="Q402" s="423"/>
      <c r="R402" s="218"/>
      <c r="S402" s="218"/>
      <c r="T402" s="213">
        <v>96.24</v>
      </c>
      <c r="U402" s="211"/>
      <c r="V402" s="273"/>
      <c r="W402" s="206">
        <f>ROUND(ROUND(T402, 2)*I402, 2)</f>
        <v>1706.14</v>
      </c>
    </row>
    <row r="403" spans="1:25" ht="36" hidden="1" x14ac:dyDescent="0.4">
      <c r="A403" s="79" t="s">
        <v>1584</v>
      </c>
      <c r="B403" s="79"/>
      <c r="C403" s="140" t="s">
        <v>693</v>
      </c>
      <c r="D403" s="81"/>
      <c r="E403" s="81" t="s">
        <v>402</v>
      </c>
      <c r="F403" s="82" t="s">
        <v>70</v>
      </c>
      <c r="G403" s="83">
        <v>1.2</v>
      </c>
      <c r="H403" s="178"/>
      <c r="I403" s="229">
        <v>842.59199999999998</v>
      </c>
      <c r="J403" s="321"/>
      <c r="K403" s="257"/>
      <c r="L403" s="280"/>
      <c r="M403" s="401"/>
      <c r="N403" s="423"/>
      <c r="O403" s="423"/>
      <c r="P403" s="423"/>
      <c r="Q403" s="423"/>
      <c r="R403" s="218"/>
      <c r="S403" s="218"/>
      <c r="T403" s="213">
        <v>16.11</v>
      </c>
      <c r="U403" s="211"/>
      <c r="V403" s="273"/>
      <c r="W403" s="206">
        <f>ROUND(ROUND(T403, 2)*I403, 2)</f>
        <v>13574.16</v>
      </c>
    </row>
    <row r="404" spans="1:25" ht="22.8" hidden="1" x14ac:dyDescent="0.4">
      <c r="A404" s="79" t="s">
        <v>1587</v>
      </c>
      <c r="B404" s="79"/>
      <c r="C404" s="141" t="s">
        <v>452</v>
      </c>
      <c r="D404" s="81"/>
      <c r="E404" s="81"/>
      <c r="F404" s="82" t="s">
        <v>70</v>
      </c>
      <c r="G404" s="83">
        <v>0.15</v>
      </c>
      <c r="H404" s="178"/>
      <c r="I404" s="229">
        <v>52.661999999999999</v>
      </c>
      <c r="J404" s="321"/>
      <c r="K404" s="257"/>
      <c r="L404" s="280"/>
      <c r="M404" s="401"/>
      <c r="N404" s="423"/>
      <c r="O404" s="423"/>
      <c r="P404" s="423"/>
      <c r="Q404" s="423"/>
      <c r="R404" s="218"/>
      <c r="S404" s="218"/>
      <c r="T404" s="213">
        <v>68.400000000000006</v>
      </c>
      <c r="U404" s="211"/>
      <c r="V404" s="273"/>
      <c r="W404" s="206">
        <f>ROUND(ROUND(T404, 2)*I404, 2)</f>
        <v>3602.08</v>
      </c>
    </row>
    <row r="405" spans="1:25" ht="22.8" hidden="1" x14ac:dyDescent="0.4">
      <c r="A405" s="79" t="s">
        <v>1590</v>
      </c>
      <c r="B405" s="79"/>
      <c r="C405" s="141" t="s">
        <v>1591</v>
      </c>
      <c r="D405" s="81"/>
      <c r="E405" s="81" t="s">
        <v>1592</v>
      </c>
      <c r="F405" s="82" t="s">
        <v>70</v>
      </c>
      <c r="G405" s="83">
        <v>0.25</v>
      </c>
      <c r="H405" s="178"/>
      <c r="I405" s="229">
        <v>87.77</v>
      </c>
      <c r="J405" s="321"/>
      <c r="K405" s="257"/>
      <c r="L405" s="280"/>
      <c r="M405" s="401"/>
      <c r="N405" s="423"/>
      <c r="O405" s="423"/>
      <c r="P405" s="423"/>
      <c r="Q405" s="423"/>
      <c r="R405" s="218"/>
      <c r="S405" s="218"/>
      <c r="T405" s="213">
        <v>66.23</v>
      </c>
      <c r="U405" s="211"/>
      <c r="V405" s="273"/>
      <c r="W405" s="206">
        <f>ROUND(ROUND(T405, 2)*I405, 2)</f>
        <v>5813.01</v>
      </c>
    </row>
    <row r="406" spans="1:25" ht="63" customHeight="1" x14ac:dyDescent="0.3">
      <c r="A406" s="74" t="s">
        <v>1596</v>
      </c>
      <c r="B406" s="74" t="s">
        <v>1597</v>
      </c>
      <c r="C406" s="75" t="s">
        <v>1598</v>
      </c>
      <c r="D406" s="76"/>
      <c r="E406" s="76" t="s">
        <v>1599</v>
      </c>
      <c r="F406" s="76" t="s">
        <v>64</v>
      </c>
      <c r="G406" s="77">
        <v>1</v>
      </c>
      <c r="H406" s="177"/>
      <c r="I406" s="228">
        <v>3.87</v>
      </c>
      <c r="J406" s="322"/>
      <c r="K406" s="258"/>
      <c r="L406" s="281"/>
      <c r="M406" s="221"/>
      <c r="N406" s="422"/>
      <c r="O406" s="422"/>
      <c r="P406" s="422"/>
      <c r="Q406" s="422"/>
      <c r="R406" s="220"/>
      <c r="S406" s="221"/>
      <c r="T406" s="212">
        <f>IFERROR(ROUND(SUM(W407,W408,W409,W410)/I406, 2),0)</f>
        <v>1404.3</v>
      </c>
      <c r="U406" s="202">
        <v>2983</v>
      </c>
      <c r="V406" s="274">
        <f>T406+ROUND(U406, 2)</f>
        <v>4387.3</v>
      </c>
      <c r="W406" s="182">
        <f>ROUND(T406*I406, 2)</f>
        <v>5434.64</v>
      </c>
      <c r="X406" s="14">
        <f>ROUND(I406*ROUND(U406, 2), 2)</f>
        <v>11544.21</v>
      </c>
      <c r="Y406" s="14">
        <f>W406+X406</f>
        <v>16978.849999999999</v>
      </c>
    </row>
    <row r="407" spans="1:25" ht="36" hidden="1" x14ac:dyDescent="0.4">
      <c r="A407" s="79" t="s">
        <v>1602</v>
      </c>
      <c r="B407" s="79"/>
      <c r="C407" s="85" t="s">
        <v>1603</v>
      </c>
      <c r="D407" s="81"/>
      <c r="E407" s="81" t="s">
        <v>1604</v>
      </c>
      <c r="F407" s="82" t="s">
        <v>64</v>
      </c>
      <c r="G407" s="83">
        <v>1.1000000000000001</v>
      </c>
      <c r="H407" s="178"/>
      <c r="I407" s="229">
        <v>4.2569999999999997</v>
      </c>
      <c r="J407" s="321"/>
      <c r="K407" s="257"/>
      <c r="L407" s="280"/>
      <c r="M407" s="401"/>
      <c r="N407" s="423"/>
      <c r="O407" s="423"/>
      <c r="P407" s="423"/>
      <c r="Q407" s="423"/>
      <c r="R407" s="218"/>
      <c r="S407" s="218"/>
      <c r="T407" s="213">
        <v>1223</v>
      </c>
      <c r="U407" s="211"/>
      <c r="V407" s="273"/>
      <c r="W407" s="206">
        <f>ROUND(ROUND(T407, 2)*I407, 2)</f>
        <v>5206.3100000000004</v>
      </c>
    </row>
    <row r="408" spans="1:25" ht="67.5" hidden="1" customHeight="1" x14ac:dyDescent="0.4">
      <c r="A408" s="79" t="s">
        <v>1608</v>
      </c>
      <c r="B408" s="79"/>
      <c r="C408" s="80" t="s">
        <v>693</v>
      </c>
      <c r="D408" s="81"/>
      <c r="E408" s="81" t="s">
        <v>402</v>
      </c>
      <c r="F408" s="82" t="s">
        <v>70</v>
      </c>
      <c r="G408" s="83">
        <v>1.2</v>
      </c>
      <c r="H408" s="178"/>
      <c r="I408" s="229">
        <v>9.2880000000000003</v>
      </c>
      <c r="J408" s="321"/>
      <c r="K408" s="257"/>
      <c r="L408" s="280"/>
      <c r="M408" s="401"/>
      <c r="N408" s="423"/>
      <c r="O408" s="423"/>
      <c r="P408" s="423"/>
      <c r="Q408" s="423"/>
      <c r="R408" s="218"/>
      <c r="S408" s="218"/>
      <c r="T408" s="213">
        <v>16.11</v>
      </c>
      <c r="U408" s="211"/>
      <c r="V408" s="273"/>
      <c r="W408" s="206">
        <f>ROUND(ROUND(T408, 2)*I408, 2)</f>
        <v>149.63</v>
      </c>
    </row>
    <row r="409" spans="1:25" ht="22.8" hidden="1" x14ac:dyDescent="0.4">
      <c r="A409" s="79" t="s">
        <v>1611</v>
      </c>
      <c r="B409" s="79"/>
      <c r="C409" s="85" t="s">
        <v>426</v>
      </c>
      <c r="D409" s="81"/>
      <c r="E409" s="81"/>
      <c r="F409" s="82" t="s">
        <v>70</v>
      </c>
      <c r="G409" s="83">
        <v>0.25</v>
      </c>
      <c r="H409" s="178"/>
      <c r="I409" s="229">
        <v>0.96799999999999997</v>
      </c>
      <c r="J409" s="321"/>
      <c r="K409" s="257"/>
      <c r="L409" s="280"/>
      <c r="M409" s="401"/>
      <c r="N409" s="423"/>
      <c r="O409" s="423"/>
      <c r="P409" s="423"/>
      <c r="Q409" s="423"/>
      <c r="R409" s="218"/>
      <c r="S409" s="218"/>
      <c r="T409" s="213">
        <v>40.270000000000003</v>
      </c>
      <c r="U409" s="211"/>
      <c r="V409" s="273"/>
      <c r="W409" s="206">
        <f>ROUND(ROUND(T409, 2)*I409, 2)</f>
        <v>38.979999999999997</v>
      </c>
    </row>
    <row r="410" spans="1:25" ht="22.8" hidden="1" x14ac:dyDescent="0.4">
      <c r="A410" s="79" t="s">
        <v>1614</v>
      </c>
      <c r="B410" s="79"/>
      <c r="C410" s="85" t="s">
        <v>452</v>
      </c>
      <c r="D410" s="81"/>
      <c r="E410" s="81"/>
      <c r="F410" s="82" t="s">
        <v>70</v>
      </c>
      <c r="G410" s="83">
        <v>0.15</v>
      </c>
      <c r="H410" s="178"/>
      <c r="I410" s="229">
        <v>0.58099999999999996</v>
      </c>
      <c r="J410" s="321"/>
      <c r="K410" s="257"/>
      <c r="L410" s="280"/>
      <c r="M410" s="401"/>
      <c r="N410" s="423"/>
      <c r="O410" s="423"/>
      <c r="P410" s="423"/>
      <c r="Q410" s="423"/>
      <c r="R410" s="218"/>
      <c r="S410" s="218"/>
      <c r="T410" s="213">
        <v>68.400000000000006</v>
      </c>
      <c r="U410" s="211"/>
      <c r="V410" s="273"/>
      <c r="W410" s="206">
        <f>ROUND(ROUND(T410, 2)*I410, 2)</f>
        <v>39.74</v>
      </c>
    </row>
    <row r="411" spans="1:25" ht="58.95" customHeight="1" x14ac:dyDescent="0.3">
      <c r="A411" s="74" t="s">
        <v>1617</v>
      </c>
      <c r="B411" s="74" t="s">
        <v>1597</v>
      </c>
      <c r="C411" s="75" t="s">
        <v>1598</v>
      </c>
      <c r="D411" s="76"/>
      <c r="E411" s="76" t="s">
        <v>1618</v>
      </c>
      <c r="F411" s="76" t="s">
        <v>64</v>
      </c>
      <c r="G411" s="77">
        <v>1</v>
      </c>
      <c r="H411" s="177"/>
      <c r="I411" s="228">
        <v>4.41</v>
      </c>
      <c r="J411" s="322"/>
      <c r="K411" s="258"/>
      <c r="L411" s="281"/>
      <c r="M411" s="221"/>
      <c r="N411" s="422"/>
      <c r="O411" s="422"/>
      <c r="P411" s="422"/>
      <c r="Q411" s="422"/>
      <c r="R411" s="220"/>
      <c r="S411" s="221"/>
      <c r="T411" s="212">
        <f>IFERROR(ROUND(SUM(W412,W413,W414,W415)/I411, 2),0)</f>
        <v>1000.5</v>
      </c>
      <c r="U411" s="202">
        <v>2983</v>
      </c>
      <c r="V411" s="274">
        <f>T411+ROUND(U411, 2)</f>
        <v>3983.5</v>
      </c>
      <c r="W411" s="182">
        <f>ROUND(T411*I411, 2)</f>
        <v>4412.21</v>
      </c>
      <c r="X411" s="14">
        <f>ROUND(I411*ROUND(U411, 2), 2)</f>
        <v>13155.03</v>
      </c>
      <c r="Y411" s="14">
        <f>W411+X411</f>
        <v>17567.240000000002</v>
      </c>
    </row>
    <row r="412" spans="1:25" ht="22.8" x14ac:dyDescent="0.4">
      <c r="A412" s="79" t="s">
        <v>1619</v>
      </c>
      <c r="B412" s="79"/>
      <c r="C412" s="85" t="s">
        <v>452</v>
      </c>
      <c r="D412" s="81"/>
      <c r="E412" s="81"/>
      <c r="F412" s="82" t="s">
        <v>70</v>
      </c>
      <c r="G412" s="83">
        <v>0.15</v>
      </c>
      <c r="H412" s="178"/>
      <c r="I412" s="229">
        <v>0.66200000000000003</v>
      </c>
      <c r="J412" s="321"/>
      <c r="K412" s="257"/>
      <c r="L412" s="280"/>
      <c r="M412" s="401"/>
      <c r="N412" s="423"/>
      <c r="O412" s="423"/>
      <c r="P412" s="423"/>
      <c r="Q412" s="423"/>
      <c r="R412" s="218"/>
      <c r="S412" s="218"/>
      <c r="T412" s="213">
        <v>68.400000000000006</v>
      </c>
      <c r="U412" s="211"/>
      <c r="V412" s="273"/>
      <c r="W412" s="206">
        <f>ROUND(ROUND(T412, 2)*I412, 2)</f>
        <v>45.28</v>
      </c>
    </row>
    <row r="413" spans="1:25" ht="22.8" x14ac:dyDescent="0.4">
      <c r="A413" s="79" t="s">
        <v>1622</v>
      </c>
      <c r="B413" s="79"/>
      <c r="C413" s="85" t="s">
        <v>1591</v>
      </c>
      <c r="D413" s="81"/>
      <c r="E413" s="81"/>
      <c r="F413" s="82" t="s">
        <v>70</v>
      </c>
      <c r="G413" s="83">
        <v>0.25</v>
      </c>
      <c r="H413" s="178"/>
      <c r="I413" s="229">
        <v>1.103</v>
      </c>
      <c r="J413" s="321"/>
      <c r="K413" s="257"/>
      <c r="L413" s="280"/>
      <c r="M413" s="401"/>
      <c r="N413" s="423"/>
      <c r="O413" s="423"/>
      <c r="P413" s="423"/>
      <c r="Q413" s="423"/>
      <c r="R413" s="218"/>
      <c r="S413" s="218"/>
      <c r="T413" s="213">
        <v>66.23</v>
      </c>
      <c r="U413" s="211"/>
      <c r="V413" s="273"/>
      <c r="W413" s="206">
        <f>ROUND(ROUND(T413, 2)*I413, 2)</f>
        <v>73.05</v>
      </c>
    </row>
    <row r="414" spans="1:25" ht="66" customHeight="1" x14ac:dyDescent="0.4">
      <c r="A414" s="79" t="s">
        <v>1625</v>
      </c>
      <c r="B414" s="79"/>
      <c r="C414" s="80" t="s">
        <v>693</v>
      </c>
      <c r="D414" s="81"/>
      <c r="E414" s="81" t="s">
        <v>402</v>
      </c>
      <c r="F414" s="82" t="s">
        <v>70</v>
      </c>
      <c r="G414" s="83">
        <v>1.2</v>
      </c>
      <c r="H414" s="178"/>
      <c r="I414" s="229">
        <v>10.584</v>
      </c>
      <c r="J414" s="321"/>
      <c r="K414" s="257"/>
      <c r="L414" s="280"/>
      <c r="M414" s="401"/>
      <c r="N414" s="423"/>
      <c r="O414" s="423"/>
      <c r="P414" s="423"/>
      <c r="Q414" s="423"/>
      <c r="R414" s="218"/>
      <c r="S414" s="218"/>
      <c r="T414" s="213">
        <v>16.11</v>
      </c>
      <c r="U414" s="211"/>
      <c r="V414" s="273"/>
      <c r="W414" s="206">
        <f>ROUND(ROUND(T414, 2)*I414, 2)</f>
        <v>170.51</v>
      </c>
    </row>
    <row r="415" spans="1:25" ht="54" x14ac:dyDescent="0.4">
      <c r="A415" s="79" t="s">
        <v>1628</v>
      </c>
      <c r="B415" s="79"/>
      <c r="C415" s="80" t="s">
        <v>512</v>
      </c>
      <c r="D415" s="81"/>
      <c r="E415" s="81" t="s">
        <v>1629</v>
      </c>
      <c r="F415" s="82" t="s">
        <v>64</v>
      </c>
      <c r="G415" s="83">
        <v>1.1000000000000001</v>
      </c>
      <c r="H415" s="178"/>
      <c r="I415" s="229">
        <v>4.851</v>
      </c>
      <c r="J415" s="321"/>
      <c r="K415" s="257"/>
      <c r="L415" s="280"/>
      <c r="M415" s="401"/>
      <c r="N415" s="423"/>
      <c r="O415" s="423"/>
      <c r="P415" s="423"/>
      <c r="Q415" s="423"/>
      <c r="R415" s="218"/>
      <c r="S415" s="218"/>
      <c r="T415" s="213">
        <v>850</v>
      </c>
      <c r="U415" s="211"/>
      <c r="V415" s="273"/>
      <c r="W415" s="206">
        <f>ROUND(ROUND(T415, 2)*I415, 2)</f>
        <v>4123.3500000000004</v>
      </c>
    </row>
    <row r="416" spans="1:25" ht="40.049999999999997" customHeight="1" x14ac:dyDescent="0.45">
      <c r="A416" s="168" t="s">
        <v>1632</v>
      </c>
      <c r="B416" s="168" t="s">
        <v>1633</v>
      </c>
      <c r="C416" s="184" t="s">
        <v>1634</v>
      </c>
      <c r="D416" s="185"/>
      <c r="E416" s="185"/>
      <c r="F416" s="185"/>
      <c r="G416" s="185"/>
      <c r="H416" s="185"/>
      <c r="I416" s="223"/>
      <c r="J416" s="324"/>
      <c r="K416" s="257"/>
      <c r="L416" s="280"/>
      <c r="M416" s="219"/>
      <c r="N416" s="421"/>
      <c r="O416" s="421"/>
      <c r="P416" s="421"/>
      <c r="Q416" s="421"/>
      <c r="R416" s="224"/>
      <c r="S416" s="219"/>
      <c r="T416" s="210"/>
      <c r="U416" s="211"/>
      <c r="V416" s="273"/>
      <c r="W416" s="205">
        <f>SUM(W417,W421,W425,W429,W433,W436,W439,W442,W447,W451,W455,W459,W464,W469,W474,W478,W483)</f>
        <v>1571187.82</v>
      </c>
      <c r="X416" s="6">
        <f>SUM(X417,X421,X425,X429,X433,X436,X439,X442,X447,X451,X455,X459,X464,X469,X474,X478,X483)</f>
        <v>3206950.7800000003</v>
      </c>
      <c r="Y416" s="6">
        <f>SUM(Y417,Y421,Y425,Y429,Y433,Y436,Y439,Y442,Y447,Y451,Y455,Y459,Y464,Y469,Y474,Y478,Y483)</f>
        <v>4778138.5999999996</v>
      </c>
    </row>
    <row r="417" spans="1:25" ht="54" hidden="1" x14ac:dyDescent="0.3">
      <c r="A417" s="79" t="s">
        <v>1635</v>
      </c>
      <c r="B417" s="79" t="s">
        <v>1636</v>
      </c>
      <c r="C417" s="142" t="s">
        <v>1637</v>
      </c>
      <c r="D417" s="81"/>
      <c r="E417" s="81"/>
      <c r="F417" s="81" t="s">
        <v>64</v>
      </c>
      <c r="G417" s="143">
        <v>1</v>
      </c>
      <c r="H417" s="193"/>
      <c r="I417" s="231">
        <v>0</v>
      </c>
      <c r="J417" s="323"/>
      <c r="K417" s="258"/>
      <c r="L417" s="281"/>
      <c r="M417" s="221"/>
      <c r="N417" s="422"/>
      <c r="O417" s="422"/>
      <c r="P417" s="422"/>
      <c r="Q417" s="422"/>
      <c r="R417" s="220"/>
      <c r="S417" s="221"/>
      <c r="T417" s="212">
        <f>IFERROR(ROUND(SUM(W418,W419,W420)/I417, 2),0)</f>
        <v>0</v>
      </c>
      <c r="U417" s="202">
        <v>2956</v>
      </c>
      <c r="V417" s="274">
        <f>T417+ROUND(U417, 2)</f>
        <v>2956</v>
      </c>
      <c r="W417" s="182">
        <f>ROUND(T417*I417, 2)</f>
        <v>0</v>
      </c>
      <c r="X417" s="14">
        <f>ROUND(I417*ROUND(U417, 2), 2)</f>
        <v>0</v>
      </c>
      <c r="Y417" s="14">
        <f>W417+X417</f>
        <v>0</v>
      </c>
    </row>
    <row r="418" spans="1:25" ht="36" hidden="1" x14ac:dyDescent="0.4">
      <c r="A418" s="79" t="s">
        <v>1641</v>
      </c>
      <c r="B418" s="79"/>
      <c r="C418" s="85" t="s">
        <v>1642</v>
      </c>
      <c r="D418" s="81"/>
      <c r="E418" s="81" t="s">
        <v>868</v>
      </c>
      <c r="F418" s="82" t="s">
        <v>70</v>
      </c>
      <c r="G418" s="83">
        <v>1.8</v>
      </c>
      <c r="H418" s="178"/>
      <c r="I418" s="229">
        <v>0</v>
      </c>
      <c r="J418" s="321"/>
      <c r="K418" s="257"/>
      <c r="L418" s="280"/>
      <c r="M418" s="401"/>
      <c r="N418" s="423"/>
      <c r="O418" s="423"/>
      <c r="P418" s="423"/>
      <c r="Q418" s="423"/>
      <c r="R418" s="218"/>
      <c r="S418" s="218"/>
      <c r="T418" s="213">
        <v>6.8</v>
      </c>
      <c r="U418" s="211"/>
      <c r="V418" s="273"/>
      <c r="W418" s="206">
        <f>ROUND(ROUND(T418, 2)*I418, 2)</f>
        <v>0</v>
      </c>
    </row>
    <row r="419" spans="1:25" ht="22.8" hidden="1" x14ac:dyDescent="0.4">
      <c r="A419" s="79" t="s">
        <v>1648</v>
      </c>
      <c r="B419" s="79"/>
      <c r="C419" s="85" t="s">
        <v>1649</v>
      </c>
      <c r="D419" s="81"/>
      <c r="E419" s="81"/>
      <c r="F419" s="82" t="s">
        <v>87</v>
      </c>
      <c r="G419" s="83">
        <v>1</v>
      </c>
      <c r="H419" s="178"/>
      <c r="I419" s="229">
        <v>0</v>
      </c>
      <c r="J419" s="321"/>
      <c r="K419" s="257"/>
      <c r="L419" s="280"/>
      <c r="M419" s="401"/>
      <c r="N419" s="423"/>
      <c r="O419" s="423"/>
      <c r="P419" s="423"/>
      <c r="Q419" s="423"/>
      <c r="R419" s="218"/>
      <c r="S419" s="218"/>
      <c r="T419" s="213">
        <v>18.34</v>
      </c>
      <c r="U419" s="211"/>
      <c r="V419" s="273"/>
      <c r="W419" s="206">
        <f>ROUND(ROUND(T419, 2)*I419, 2)</f>
        <v>0</v>
      </c>
    </row>
    <row r="420" spans="1:25" ht="22.8" hidden="1" x14ac:dyDescent="0.4">
      <c r="A420" s="79" t="s">
        <v>1655</v>
      </c>
      <c r="B420" s="79"/>
      <c r="C420" s="85" t="s">
        <v>760</v>
      </c>
      <c r="D420" s="81"/>
      <c r="E420" s="81"/>
      <c r="F420" s="82" t="s">
        <v>70</v>
      </c>
      <c r="G420" s="83">
        <v>0.25</v>
      </c>
      <c r="H420" s="178"/>
      <c r="I420" s="229">
        <v>0</v>
      </c>
      <c r="J420" s="321"/>
      <c r="K420" s="257"/>
      <c r="L420" s="280"/>
      <c r="M420" s="401"/>
      <c r="N420" s="423"/>
      <c r="O420" s="423"/>
      <c r="P420" s="423"/>
      <c r="Q420" s="423"/>
      <c r="R420" s="218"/>
      <c r="S420" s="218"/>
      <c r="T420" s="213">
        <v>100</v>
      </c>
      <c r="U420" s="211"/>
      <c r="V420" s="273"/>
      <c r="W420" s="206">
        <f>ROUND(ROUND(T420, 2)*I420, 2)</f>
        <v>0</v>
      </c>
    </row>
    <row r="421" spans="1:25" ht="36" hidden="1" x14ac:dyDescent="0.3">
      <c r="A421" s="79" t="s">
        <v>1660</v>
      </c>
      <c r="B421" s="79" t="s">
        <v>1661</v>
      </c>
      <c r="C421" s="142" t="s">
        <v>1662</v>
      </c>
      <c r="D421" s="81"/>
      <c r="E421" s="81" t="s">
        <v>1663</v>
      </c>
      <c r="F421" s="81" t="s">
        <v>64</v>
      </c>
      <c r="G421" s="143">
        <v>1</v>
      </c>
      <c r="H421" s="193"/>
      <c r="I421" s="231">
        <v>0</v>
      </c>
      <c r="J421" s="323"/>
      <c r="K421" s="258"/>
      <c r="L421" s="281"/>
      <c r="M421" s="221"/>
      <c r="N421" s="422"/>
      <c r="O421" s="422"/>
      <c r="P421" s="422"/>
      <c r="Q421" s="422"/>
      <c r="R421" s="220"/>
      <c r="S421" s="221"/>
      <c r="T421" s="212">
        <f>IFERROR(ROUND(SUM(W422,W423,W424)/I421, 2),0)</f>
        <v>0</v>
      </c>
      <c r="U421" s="202">
        <v>1001</v>
      </c>
      <c r="V421" s="274">
        <f>T421+ROUND(U421, 2)</f>
        <v>1001</v>
      </c>
      <c r="W421" s="182">
        <f>ROUND(T421*I421, 2)</f>
        <v>0</v>
      </c>
      <c r="X421" s="14">
        <f>ROUND(I421*ROUND(U421, 2), 2)</f>
        <v>0</v>
      </c>
      <c r="Y421" s="14">
        <f>W421+X421</f>
        <v>0</v>
      </c>
    </row>
    <row r="422" spans="1:25" ht="36" hidden="1" x14ac:dyDescent="0.4">
      <c r="A422" s="79" t="s">
        <v>1667</v>
      </c>
      <c r="B422" s="79"/>
      <c r="C422" s="80" t="s">
        <v>736</v>
      </c>
      <c r="D422" s="81"/>
      <c r="E422" s="81" t="s">
        <v>782</v>
      </c>
      <c r="F422" s="82" t="s">
        <v>70</v>
      </c>
      <c r="G422" s="83">
        <v>4.5</v>
      </c>
      <c r="H422" s="178"/>
      <c r="I422" s="229">
        <v>0</v>
      </c>
      <c r="J422" s="321"/>
      <c r="K422" s="257"/>
      <c r="L422" s="280"/>
      <c r="M422" s="401"/>
      <c r="N422" s="423"/>
      <c r="O422" s="423"/>
      <c r="P422" s="423"/>
      <c r="Q422" s="423"/>
      <c r="R422" s="218"/>
      <c r="S422" s="218"/>
      <c r="T422" s="213">
        <v>12.58</v>
      </c>
      <c r="U422" s="211"/>
      <c r="V422" s="273"/>
      <c r="W422" s="206">
        <f>ROUND(ROUND(T422, 2)*I422, 2)</f>
        <v>0</v>
      </c>
    </row>
    <row r="423" spans="1:25" ht="22.8" hidden="1" x14ac:dyDescent="0.4">
      <c r="A423" s="79" t="s">
        <v>1672</v>
      </c>
      <c r="B423" s="79"/>
      <c r="C423" s="85" t="s">
        <v>1673</v>
      </c>
      <c r="D423" s="81"/>
      <c r="E423" s="81"/>
      <c r="F423" s="82" t="s">
        <v>116</v>
      </c>
      <c r="G423" s="83">
        <v>0.3</v>
      </c>
      <c r="H423" s="178"/>
      <c r="I423" s="229">
        <v>0</v>
      </c>
      <c r="J423" s="321"/>
      <c r="K423" s="257"/>
      <c r="L423" s="280"/>
      <c r="M423" s="401"/>
      <c r="N423" s="423"/>
      <c r="O423" s="423"/>
      <c r="P423" s="423"/>
      <c r="Q423" s="423"/>
      <c r="R423" s="218"/>
      <c r="S423" s="218"/>
      <c r="T423" s="213">
        <v>73.099999999999994</v>
      </c>
      <c r="U423" s="211"/>
      <c r="V423" s="273"/>
      <c r="W423" s="206">
        <f>ROUND(ROUND(T423, 2)*I423, 2)</f>
        <v>0</v>
      </c>
    </row>
    <row r="424" spans="1:25" ht="22.8" hidden="1" x14ac:dyDescent="0.4">
      <c r="A424" s="79" t="s">
        <v>1679</v>
      </c>
      <c r="B424" s="79"/>
      <c r="C424" s="85" t="s">
        <v>433</v>
      </c>
      <c r="D424" s="81"/>
      <c r="E424" s="81"/>
      <c r="F424" s="82" t="s">
        <v>70</v>
      </c>
      <c r="G424" s="83">
        <v>0.15</v>
      </c>
      <c r="H424" s="178"/>
      <c r="I424" s="229">
        <v>0</v>
      </c>
      <c r="J424" s="321"/>
      <c r="K424" s="257"/>
      <c r="L424" s="280"/>
      <c r="M424" s="401"/>
      <c r="N424" s="423"/>
      <c r="O424" s="423"/>
      <c r="P424" s="423"/>
      <c r="Q424" s="423"/>
      <c r="R424" s="218"/>
      <c r="S424" s="218"/>
      <c r="T424" s="213">
        <v>88.8</v>
      </c>
      <c r="U424" s="211"/>
      <c r="V424" s="273"/>
      <c r="W424" s="206">
        <f>ROUND(ROUND(T424, 2)*I424, 2)</f>
        <v>0</v>
      </c>
    </row>
    <row r="425" spans="1:25" ht="36" hidden="1" x14ac:dyDescent="0.3">
      <c r="A425" s="79" t="s">
        <v>1684</v>
      </c>
      <c r="B425" s="79" t="s">
        <v>1661</v>
      </c>
      <c r="C425" s="142" t="s">
        <v>1662</v>
      </c>
      <c r="D425" s="81"/>
      <c r="E425" s="81" t="s">
        <v>1685</v>
      </c>
      <c r="F425" s="81" t="s">
        <v>64</v>
      </c>
      <c r="G425" s="143">
        <v>1</v>
      </c>
      <c r="H425" s="193"/>
      <c r="I425" s="231">
        <v>0</v>
      </c>
      <c r="J425" s="323"/>
      <c r="K425" s="258"/>
      <c r="L425" s="281"/>
      <c r="M425" s="221"/>
      <c r="N425" s="422"/>
      <c r="O425" s="422"/>
      <c r="P425" s="422"/>
      <c r="Q425" s="422"/>
      <c r="R425" s="220"/>
      <c r="S425" s="221"/>
      <c r="T425" s="212">
        <f>IFERROR(ROUND(SUM(W426,W427,W428)/I425, 2),0)</f>
        <v>0</v>
      </c>
      <c r="U425" s="202">
        <v>1001</v>
      </c>
      <c r="V425" s="274">
        <f>T425+ROUND(U425, 2)</f>
        <v>1001</v>
      </c>
      <c r="W425" s="182">
        <f>ROUND(T425*I425, 2)</f>
        <v>0</v>
      </c>
      <c r="X425" s="14">
        <f>ROUND(I425*ROUND(U425, 2), 2)</f>
        <v>0</v>
      </c>
      <c r="Y425" s="14">
        <f>W425+X425</f>
        <v>0</v>
      </c>
    </row>
    <row r="426" spans="1:25" ht="22.8" hidden="1" x14ac:dyDescent="0.4">
      <c r="A426" s="79" t="s">
        <v>1687</v>
      </c>
      <c r="B426" s="79"/>
      <c r="C426" s="85" t="s">
        <v>433</v>
      </c>
      <c r="D426" s="81"/>
      <c r="E426" s="81"/>
      <c r="F426" s="82" t="s">
        <v>70</v>
      </c>
      <c r="G426" s="83">
        <v>0.15</v>
      </c>
      <c r="H426" s="178"/>
      <c r="I426" s="229">
        <v>0</v>
      </c>
      <c r="J426" s="321"/>
      <c r="K426" s="257"/>
      <c r="L426" s="280"/>
      <c r="M426" s="401"/>
      <c r="N426" s="423"/>
      <c r="O426" s="423"/>
      <c r="P426" s="423"/>
      <c r="Q426" s="423"/>
      <c r="R426" s="218"/>
      <c r="S426" s="218"/>
      <c r="T426" s="213">
        <v>88.8</v>
      </c>
      <c r="U426" s="211"/>
      <c r="V426" s="273"/>
      <c r="W426" s="206">
        <f>ROUND(ROUND(T426, 2)*I426, 2)</f>
        <v>0</v>
      </c>
    </row>
    <row r="427" spans="1:25" ht="22.8" hidden="1" x14ac:dyDescent="0.4">
      <c r="A427" s="79" t="s">
        <v>1692</v>
      </c>
      <c r="B427" s="79"/>
      <c r="C427" s="85" t="s">
        <v>1673</v>
      </c>
      <c r="D427" s="81"/>
      <c r="E427" s="81"/>
      <c r="F427" s="82" t="s">
        <v>116</v>
      </c>
      <c r="G427" s="83">
        <v>0.3</v>
      </c>
      <c r="H427" s="178"/>
      <c r="I427" s="229">
        <v>0</v>
      </c>
      <c r="J427" s="321"/>
      <c r="K427" s="257"/>
      <c r="L427" s="280"/>
      <c r="M427" s="401"/>
      <c r="N427" s="423"/>
      <c r="O427" s="423"/>
      <c r="P427" s="423"/>
      <c r="Q427" s="423"/>
      <c r="R427" s="218"/>
      <c r="S427" s="218"/>
      <c r="T427" s="213">
        <v>73.099999999999994</v>
      </c>
      <c r="U427" s="211"/>
      <c r="V427" s="273"/>
      <c r="W427" s="206">
        <f>ROUND(ROUND(T427, 2)*I427, 2)</f>
        <v>0</v>
      </c>
    </row>
    <row r="428" spans="1:25" ht="36" hidden="1" x14ac:dyDescent="0.4">
      <c r="A428" s="79" t="s">
        <v>1697</v>
      </c>
      <c r="B428" s="79"/>
      <c r="C428" s="80" t="s">
        <v>736</v>
      </c>
      <c r="D428" s="81"/>
      <c r="E428" s="81" t="s">
        <v>817</v>
      </c>
      <c r="F428" s="82" t="s">
        <v>70</v>
      </c>
      <c r="G428" s="83">
        <v>4.5</v>
      </c>
      <c r="H428" s="178"/>
      <c r="I428" s="229">
        <v>0</v>
      </c>
      <c r="J428" s="321"/>
      <c r="K428" s="257"/>
      <c r="L428" s="280"/>
      <c r="M428" s="401"/>
      <c r="N428" s="423"/>
      <c r="O428" s="423"/>
      <c r="P428" s="423"/>
      <c r="Q428" s="423"/>
      <c r="R428" s="218"/>
      <c r="S428" s="218"/>
      <c r="T428" s="213">
        <v>12.58</v>
      </c>
      <c r="U428" s="211"/>
      <c r="V428" s="273"/>
      <c r="W428" s="206">
        <f>ROUND(ROUND(T428, 2)*I428, 2)</f>
        <v>0</v>
      </c>
    </row>
    <row r="429" spans="1:25" ht="51.45" customHeight="1" x14ac:dyDescent="0.3">
      <c r="A429" s="74" t="s">
        <v>1702</v>
      </c>
      <c r="B429" s="74" t="s">
        <v>1661</v>
      </c>
      <c r="C429" s="75" t="s">
        <v>1662</v>
      </c>
      <c r="D429" s="76"/>
      <c r="E429" s="76" t="s">
        <v>1663</v>
      </c>
      <c r="F429" s="76" t="s">
        <v>64</v>
      </c>
      <c r="G429" s="77">
        <v>1</v>
      </c>
      <c r="H429" s="177"/>
      <c r="I429" s="228">
        <v>662.77499999999998</v>
      </c>
      <c r="J429" s="322"/>
      <c r="K429" s="258"/>
      <c r="L429" s="281"/>
      <c r="M429" s="221"/>
      <c r="N429" s="422"/>
      <c r="O429" s="422"/>
      <c r="P429" s="422"/>
      <c r="Q429" s="422"/>
      <c r="R429" s="220"/>
      <c r="S429" s="221"/>
      <c r="T429" s="212">
        <f>IFERROR(ROUND(SUM(W430,W431,W432)/I429, 2),0)</f>
        <v>89.57</v>
      </c>
      <c r="U429" s="202">
        <v>1001</v>
      </c>
      <c r="V429" s="274">
        <f>T429+ROUND(U429, 2)</f>
        <v>1090.57</v>
      </c>
      <c r="W429" s="182">
        <f>ROUND(T429*I429, 2)</f>
        <v>59364.76</v>
      </c>
      <c r="X429" s="14">
        <f>ROUND(I429*ROUND(U429, 2), 2)</f>
        <v>663437.78</v>
      </c>
      <c r="Y429" s="14">
        <f>W429+X429</f>
        <v>722802.54</v>
      </c>
    </row>
    <row r="430" spans="1:25" ht="36" hidden="1" x14ac:dyDescent="0.4">
      <c r="A430" s="91" t="s">
        <v>1703</v>
      </c>
      <c r="B430" s="91"/>
      <c r="C430" s="96" t="s">
        <v>736</v>
      </c>
      <c r="D430" s="93"/>
      <c r="E430" s="93"/>
      <c r="F430" s="94" t="s">
        <v>70</v>
      </c>
      <c r="G430" s="95">
        <v>4.5</v>
      </c>
      <c r="H430" s="180"/>
      <c r="I430" s="229">
        <v>2982.4879999999998</v>
      </c>
      <c r="J430" s="321"/>
      <c r="K430" s="257"/>
      <c r="L430" s="280"/>
      <c r="M430" s="401"/>
      <c r="N430" s="423"/>
      <c r="O430" s="423"/>
      <c r="P430" s="423"/>
      <c r="Q430" s="423"/>
      <c r="R430" s="218"/>
      <c r="S430" s="218"/>
      <c r="T430" s="213">
        <v>12.07</v>
      </c>
      <c r="U430" s="211"/>
      <c r="V430" s="273"/>
      <c r="W430" s="206">
        <f>ROUND(ROUND(T430, 2)*I430, 2)</f>
        <v>35998.629999999997</v>
      </c>
    </row>
    <row r="431" spans="1:25" ht="22.8" hidden="1" x14ac:dyDescent="0.4">
      <c r="A431" s="91" t="s">
        <v>1706</v>
      </c>
      <c r="B431" s="91"/>
      <c r="C431" s="92" t="s">
        <v>789</v>
      </c>
      <c r="D431" s="93"/>
      <c r="E431" s="93"/>
      <c r="F431" s="94" t="s">
        <v>116</v>
      </c>
      <c r="G431" s="95">
        <v>0.3</v>
      </c>
      <c r="H431" s="180"/>
      <c r="I431" s="229">
        <v>198.833</v>
      </c>
      <c r="J431" s="321"/>
      <c r="K431" s="257"/>
      <c r="L431" s="280"/>
      <c r="M431" s="401"/>
      <c r="N431" s="423"/>
      <c r="O431" s="423"/>
      <c r="P431" s="423"/>
      <c r="Q431" s="423"/>
      <c r="R431" s="218"/>
      <c r="S431" s="218"/>
      <c r="T431" s="213">
        <v>73.099999999999994</v>
      </c>
      <c r="U431" s="211"/>
      <c r="V431" s="273"/>
      <c r="W431" s="206">
        <f>ROUND(ROUND(T431, 2)*I431, 2)</f>
        <v>14534.69</v>
      </c>
    </row>
    <row r="432" spans="1:25" ht="22.8" hidden="1" x14ac:dyDescent="0.4">
      <c r="A432" s="91" t="s">
        <v>1709</v>
      </c>
      <c r="B432" s="91"/>
      <c r="C432" s="92" t="s">
        <v>433</v>
      </c>
      <c r="D432" s="93"/>
      <c r="E432" s="93"/>
      <c r="F432" s="94" t="s">
        <v>70</v>
      </c>
      <c r="G432" s="95">
        <v>0.15</v>
      </c>
      <c r="H432" s="180"/>
      <c r="I432" s="229">
        <v>99.415999999999997</v>
      </c>
      <c r="J432" s="321"/>
      <c r="K432" s="257"/>
      <c r="L432" s="280"/>
      <c r="M432" s="401"/>
      <c r="N432" s="423"/>
      <c r="O432" s="423"/>
      <c r="P432" s="423"/>
      <c r="Q432" s="423"/>
      <c r="R432" s="218"/>
      <c r="S432" s="218"/>
      <c r="T432" s="213">
        <v>88.8</v>
      </c>
      <c r="U432" s="211"/>
      <c r="V432" s="273"/>
      <c r="W432" s="206">
        <f>ROUND(ROUND(T432, 2)*I432, 2)</f>
        <v>8828.14</v>
      </c>
    </row>
    <row r="433" spans="1:25" ht="55.05" customHeight="1" x14ac:dyDescent="0.3">
      <c r="A433" s="74" t="s">
        <v>1712</v>
      </c>
      <c r="B433" s="74" t="s">
        <v>1661</v>
      </c>
      <c r="C433" s="75" t="s">
        <v>1662</v>
      </c>
      <c r="D433" s="76"/>
      <c r="E433" s="76" t="s">
        <v>1685</v>
      </c>
      <c r="F433" s="76" t="s">
        <v>64</v>
      </c>
      <c r="G433" s="77">
        <v>1</v>
      </c>
      <c r="H433" s="177"/>
      <c r="I433" s="228">
        <v>662.77499999999998</v>
      </c>
      <c r="J433" s="322"/>
      <c r="K433" s="258"/>
      <c r="L433" s="281"/>
      <c r="M433" s="221"/>
      <c r="N433" s="422"/>
      <c r="O433" s="422"/>
      <c r="P433" s="422"/>
      <c r="Q433" s="422"/>
      <c r="R433" s="220"/>
      <c r="S433" s="221"/>
      <c r="T433" s="212">
        <f>IFERROR(ROUND(SUM(W434,W435)/I433, 2),0)</f>
        <v>67.63</v>
      </c>
      <c r="U433" s="202">
        <v>1001</v>
      </c>
      <c r="V433" s="274">
        <f>T433+ROUND(U433, 2)</f>
        <v>1068.6300000000001</v>
      </c>
      <c r="W433" s="182">
        <f>ROUND(T433*I433, 2)</f>
        <v>44823.47</v>
      </c>
      <c r="X433" s="14">
        <f>ROUND(I433*ROUND(U433, 2), 2)</f>
        <v>663437.78</v>
      </c>
      <c r="Y433" s="14">
        <f>W433+X433</f>
        <v>708261.25</v>
      </c>
    </row>
    <row r="434" spans="1:25" ht="22.8" hidden="1" x14ac:dyDescent="0.4">
      <c r="A434" s="91" t="s">
        <v>1713</v>
      </c>
      <c r="B434" s="91"/>
      <c r="C434" s="92" t="s">
        <v>433</v>
      </c>
      <c r="D434" s="93"/>
      <c r="E434" s="93"/>
      <c r="F434" s="94" t="s">
        <v>70</v>
      </c>
      <c r="G434" s="95">
        <v>0.15</v>
      </c>
      <c r="H434" s="180"/>
      <c r="I434" s="229">
        <v>99.415999999999997</v>
      </c>
      <c r="J434" s="321"/>
      <c r="K434" s="257"/>
      <c r="L434" s="280"/>
      <c r="M434" s="401"/>
      <c r="N434" s="423"/>
      <c r="O434" s="423"/>
      <c r="P434" s="423"/>
      <c r="Q434" s="423"/>
      <c r="R434" s="218"/>
      <c r="S434" s="218"/>
      <c r="T434" s="213">
        <v>88.8</v>
      </c>
      <c r="U434" s="211"/>
      <c r="V434" s="273"/>
      <c r="W434" s="206">
        <f>ROUND(ROUND(T434, 2)*I434, 2)</f>
        <v>8828.14</v>
      </c>
    </row>
    <row r="435" spans="1:25" ht="36" hidden="1" x14ac:dyDescent="0.4">
      <c r="A435" s="91" t="s">
        <v>1716</v>
      </c>
      <c r="B435" s="91"/>
      <c r="C435" s="96" t="s">
        <v>736</v>
      </c>
      <c r="D435" s="93"/>
      <c r="E435" s="93"/>
      <c r="F435" s="94" t="s">
        <v>70</v>
      </c>
      <c r="G435" s="95">
        <v>4.5</v>
      </c>
      <c r="H435" s="180"/>
      <c r="I435" s="229">
        <v>2982.4879999999998</v>
      </c>
      <c r="J435" s="321"/>
      <c r="K435" s="257"/>
      <c r="L435" s="280"/>
      <c r="M435" s="401"/>
      <c r="N435" s="423"/>
      <c r="O435" s="423"/>
      <c r="P435" s="423"/>
      <c r="Q435" s="423"/>
      <c r="R435" s="218"/>
      <c r="S435" s="218"/>
      <c r="T435" s="213">
        <v>12.07</v>
      </c>
      <c r="U435" s="211"/>
      <c r="V435" s="273"/>
      <c r="W435" s="206">
        <f>ROUND(ROUND(T435, 2)*I435, 2)</f>
        <v>35998.629999999997</v>
      </c>
    </row>
    <row r="436" spans="1:25" ht="46.05" customHeight="1" x14ac:dyDescent="0.3">
      <c r="A436" s="74" t="s">
        <v>1719</v>
      </c>
      <c r="B436" s="74" t="s">
        <v>1720</v>
      </c>
      <c r="C436" s="75" t="s">
        <v>1721</v>
      </c>
      <c r="D436" s="76"/>
      <c r="E436" s="76" t="s">
        <v>63</v>
      </c>
      <c r="F436" s="76" t="s">
        <v>64</v>
      </c>
      <c r="G436" s="77">
        <v>1</v>
      </c>
      <c r="H436" s="177"/>
      <c r="I436" s="228">
        <v>389.59500000000003</v>
      </c>
      <c r="J436" s="322"/>
      <c r="K436" s="258"/>
      <c r="L436" s="281"/>
      <c r="M436" s="221"/>
      <c r="N436" s="422"/>
      <c r="O436" s="422"/>
      <c r="P436" s="422"/>
      <c r="Q436" s="422"/>
      <c r="R436" s="220"/>
      <c r="S436" s="221"/>
      <c r="T436" s="212">
        <f>IFERROR(ROUND(SUM(W437,W438)/I436, 2),0)</f>
        <v>143.88</v>
      </c>
      <c r="U436" s="202">
        <v>275</v>
      </c>
      <c r="V436" s="274">
        <f>T436+ROUND(U436, 2)</f>
        <v>418.88</v>
      </c>
      <c r="W436" s="182">
        <f>ROUND(T436*I436, 2)</f>
        <v>56054.93</v>
      </c>
      <c r="X436" s="14">
        <f>ROUND(I436*ROUND(U436, 2), 2)</f>
        <v>107138.63</v>
      </c>
      <c r="Y436" s="14">
        <f>W436+X436</f>
        <v>163193.56</v>
      </c>
    </row>
    <row r="437" spans="1:25" ht="22.8" hidden="1" x14ac:dyDescent="0.4">
      <c r="A437" s="91" t="s">
        <v>1725</v>
      </c>
      <c r="B437" s="91"/>
      <c r="C437" s="92" t="s">
        <v>1726</v>
      </c>
      <c r="D437" s="93"/>
      <c r="E437" s="93"/>
      <c r="F437" s="94" t="s">
        <v>70</v>
      </c>
      <c r="G437" s="95">
        <v>0.3</v>
      </c>
      <c r="H437" s="180"/>
      <c r="I437" s="229">
        <v>116.879</v>
      </c>
      <c r="J437" s="321"/>
      <c r="K437" s="257"/>
      <c r="L437" s="280"/>
      <c r="M437" s="401"/>
      <c r="N437" s="423"/>
      <c r="O437" s="423"/>
      <c r="P437" s="423"/>
      <c r="Q437" s="423"/>
      <c r="R437" s="218"/>
      <c r="S437" s="218"/>
      <c r="T437" s="213">
        <v>450</v>
      </c>
      <c r="U437" s="211"/>
      <c r="V437" s="273"/>
      <c r="W437" s="206">
        <f>ROUND(ROUND(T437, 2)*I437, 2)</f>
        <v>52595.55</v>
      </c>
    </row>
    <row r="438" spans="1:25" ht="22.8" hidden="1" x14ac:dyDescent="0.4">
      <c r="A438" s="91" t="s">
        <v>1732</v>
      </c>
      <c r="B438" s="91"/>
      <c r="C438" s="92" t="s">
        <v>433</v>
      </c>
      <c r="D438" s="93"/>
      <c r="E438" s="93"/>
      <c r="F438" s="94" t="s">
        <v>70</v>
      </c>
      <c r="G438" s="95">
        <v>0.1</v>
      </c>
      <c r="H438" s="180"/>
      <c r="I438" s="229">
        <v>38.96</v>
      </c>
      <c r="J438" s="321"/>
      <c r="K438" s="257"/>
      <c r="L438" s="280"/>
      <c r="M438" s="401"/>
      <c r="N438" s="423"/>
      <c r="O438" s="423"/>
      <c r="P438" s="423"/>
      <c r="Q438" s="423"/>
      <c r="R438" s="218"/>
      <c r="S438" s="218"/>
      <c r="T438" s="213">
        <v>88.8</v>
      </c>
      <c r="U438" s="211"/>
      <c r="V438" s="273"/>
      <c r="W438" s="206">
        <f>ROUND(ROUND(T438, 2)*I438, 2)</f>
        <v>3459.65</v>
      </c>
    </row>
    <row r="439" spans="1:25" ht="52.95" customHeight="1" x14ac:dyDescent="0.3">
      <c r="A439" s="74" t="s">
        <v>1737</v>
      </c>
      <c r="B439" s="74" t="s">
        <v>1720</v>
      </c>
      <c r="C439" s="75" t="s">
        <v>1721</v>
      </c>
      <c r="D439" s="76"/>
      <c r="E439" s="76" t="s">
        <v>81</v>
      </c>
      <c r="F439" s="76" t="s">
        <v>64</v>
      </c>
      <c r="G439" s="77">
        <v>1</v>
      </c>
      <c r="H439" s="177"/>
      <c r="I439" s="228">
        <v>273.18</v>
      </c>
      <c r="J439" s="322"/>
      <c r="K439" s="258"/>
      <c r="L439" s="281"/>
      <c r="M439" s="221"/>
      <c r="N439" s="422"/>
      <c r="O439" s="422"/>
      <c r="P439" s="422"/>
      <c r="Q439" s="422"/>
      <c r="R439" s="220"/>
      <c r="S439" s="221"/>
      <c r="T439" s="212">
        <f>IFERROR(ROUND(SUM(W440,W441)/I439, 2),0)</f>
        <v>30.41</v>
      </c>
      <c r="U439" s="202">
        <v>303</v>
      </c>
      <c r="V439" s="274">
        <f>T439+ROUND(U439, 2)</f>
        <v>333.41</v>
      </c>
      <c r="W439" s="182">
        <f>ROUND(T439*I439, 2)</f>
        <v>8307.4</v>
      </c>
      <c r="X439" s="14">
        <f>ROUND(I439*ROUND(U439, 2), 2)</f>
        <v>82773.539999999994</v>
      </c>
      <c r="Y439" s="14">
        <f>W439+X439</f>
        <v>91080.939999999988</v>
      </c>
    </row>
    <row r="440" spans="1:25" ht="22.8" hidden="1" x14ac:dyDescent="0.4">
      <c r="A440" s="91" t="s">
        <v>1738</v>
      </c>
      <c r="B440" s="91"/>
      <c r="C440" s="92" t="s">
        <v>433</v>
      </c>
      <c r="D440" s="93"/>
      <c r="E440" s="93"/>
      <c r="F440" s="94" t="s">
        <v>70</v>
      </c>
      <c r="G440" s="95">
        <v>0.1</v>
      </c>
      <c r="H440" s="180"/>
      <c r="I440" s="229">
        <v>27.318000000000001</v>
      </c>
      <c r="J440" s="321"/>
      <c r="K440" s="257"/>
      <c r="L440" s="280"/>
      <c r="M440" s="401"/>
      <c r="N440" s="423"/>
      <c r="O440" s="423"/>
      <c r="P440" s="423"/>
      <c r="Q440" s="423"/>
      <c r="R440" s="218"/>
      <c r="S440" s="218"/>
      <c r="T440" s="213">
        <v>88.8</v>
      </c>
      <c r="U440" s="211"/>
      <c r="V440" s="273"/>
      <c r="W440" s="206">
        <f>ROUND(ROUND(T440, 2)*I440, 2)</f>
        <v>2425.84</v>
      </c>
    </row>
    <row r="441" spans="1:25" ht="36" hidden="1" x14ac:dyDescent="0.4">
      <c r="A441" s="91" t="s">
        <v>1741</v>
      </c>
      <c r="B441" s="91"/>
      <c r="C441" s="92" t="s">
        <v>1742</v>
      </c>
      <c r="D441" s="93"/>
      <c r="E441" s="93"/>
      <c r="F441" s="94" t="s">
        <v>70</v>
      </c>
      <c r="G441" s="95">
        <v>0.3</v>
      </c>
      <c r="H441" s="180"/>
      <c r="I441" s="229">
        <v>81.953999999999994</v>
      </c>
      <c r="J441" s="321"/>
      <c r="K441" s="257"/>
      <c r="L441" s="280"/>
      <c r="M441" s="401"/>
      <c r="N441" s="423"/>
      <c r="O441" s="423"/>
      <c r="P441" s="423"/>
      <c r="Q441" s="423"/>
      <c r="R441" s="218"/>
      <c r="S441" s="218"/>
      <c r="T441" s="213">
        <v>71.75</v>
      </c>
      <c r="U441" s="211"/>
      <c r="V441" s="273"/>
      <c r="W441" s="206">
        <f>ROUND(ROUND(T441, 2)*I441, 2)</f>
        <v>5880.2</v>
      </c>
    </row>
    <row r="442" spans="1:25" ht="36" hidden="1" x14ac:dyDescent="0.3">
      <c r="A442" s="91" t="s">
        <v>1746</v>
      </c>
      <c r="B442" s="91" t="s">
        <v>1747</v>
      </c>
      <c r="C442" s="97" t="s">
        <v>1748</v>
      </c>
      <c r="D442" s="93"/>
      <c r="E442" s="93" t="s">
        <v>63</v>
      </c>
      <c r="F442" s="93" t="s">
        <v>64</v>
      </c>
      <c r="G442" s="98">
        <v>1</v>
      </c>
      <c r="H442" s="181"/>
      <c r="I442" s="231">
        <v>0</v>
      </c>
      <c r="J442" s="323"/>
      <c r="K442" s="258"/>
      <c r="L442" s="281"/>
      <c r="M442" s="221"/>
      <c r="N442" s="422"/>
      <c r="O442" s="422"/>
      <c r="P442" s="422"/>
      <c r="Q442" s="422"/>
      <c r="R442" s="220"/>
      <c r="S442" s="221"/>
      <c r="T442" s="212">
        <f>IFERROR(ROUND(SUM(W443,W444,W445,W446)/I442, 2),0)</f>
        <v>0</v>
      </c>
      <c r="U442" s="202">
        <v>2541</v>
      </c>
      <c r="V442" s="274">
        <f>T442+ROUND(U442, 2)</f>
        <v>2541</v>
      </c>
      <c r="W442" s="182">
        <f>ROUND(T442*I442, 2)</f>
        <v>0</v>
      </c>
      <c r="X442" s="14">
        <f>ROUND(I442*ROUND(U442, 2), 2)</f>
        <v>0</v>
      </c>
      <c r="Y442" s="14">
        <f>W442+X442</f>
        <v>0</v>
      </c>
    </row>
    <row r="443" spans="1:25" ht="22.8" hidden="1" x14ac:dyDescent="0.4">
      <c r="A443" s="91" t="s">
        <v>1752</v>
      </c>
      <c r="B443" s="91"/>
      <c r="C443" s="92" t="s">
        <v>1753</v>
      </c>
      <c r="D443" s="93"/>
      <c r="E443" s="93"/>
      <c r="F443" s="94" t="s">
        <v>70</v>
      </c>
      <c r="G443" s="95">
        <v>0.35</v>
      </c>
      <c r="H443" s="180"/>
      <c r="I443" s="229">
        <v>0</v>
      </c>
      <c r="J443" s="321"/>
      <c r="K443" s="257"/>
      <c r="L443" s="280"/>
      <c r="M443" s="401"/>
      <c r="N443" s="423"/>
      <c r="O443" s="423"/>
      <c r="P443" s="423"/>
      <c r="Q443" s="423"/>
      <c r="R443" s="218"/>
      <c r="S443" s="218"/>
      <c r="T443" s="213">
        <v>55</v>
      </c>
      <c r="U443" s="211"/>
      <c r="V443" s="273"/>
      <c r="W443" s="206">
        <f>ROUND(ROUND(T443, 2)*I443, 2)</f>
        <v>0</v>
      </c>
    </row>
    <row r="444" spans="1:25" ht="22.8" hidden="1" x14ac:dyDescent="0.4">
      <c r="A444" s="91" t="s">
        <v>1759</v>
      </c>
      <c r="B444" s="91"/>
      <c r="C444" s="92" t="s">
        <v>1760</v>
      </c>
      <c r="D444" s="93"/>
      <c r="E444" s="93"/>
      <c r="F444" s="94" t="s">
        <v>116</v>
      </c>
      <c r="G444" s="95">
        <v>20</v>
      </c>
      <c r="H444" s="180"/>
      <c r="I444" s="229">
        <v>0</v>
      </c>
      <c r="J444" s="321"/>
      <c r="K444" s="257"/>
      <c r="L444" s="280"/>
      <c r="M444" s="401"/>
      <c r="N444" s="423"/>
      <c r="O444" s="423"/>
      <c r="P444" s="423"/>
      <c r="Q444" s="423"/>
      <c r="R444" s="218"/>
      <c r="S444" s="218"/>
      <c r="T444" s="213">
        <v>1.5</v>
      </c>
      <c r="U444" s="211"/>
      <c r="V444" s="273"/>
      <c r="W444" s="206">
        <f>ROUND(ROUND(T444, 2)*I444, 2)</f>
        <v>0</v>
      </c>
    </row>
    <row r="445" spans="1:25" ht="36" hidden="1" x14ac:dyDescent="0.4">
      <c r="A445" s="91" t="s">
        <v>1766</v>
      </c>
      <c r="B445" s="91"/>
      <c r="C445" s="92" t="s">
        <v>1767</v>
      </c>
      <c r="D445" s="93"/>
      <c r="E445" s="93"/>
      <c r="F445" s="94" t="s">
        <v>64</v>
      </c>
      <c r="G445" s="95">
        <v>1.05</v>
      </c>
      <c r="H445" s="180"/>
      <c r="I445" s="229">
        <v>0</v>
      </c>
      <c r="J445" s="321"/>
      <c r="K445" s="257"/>
      <c r="L445" s="280"/>
      <c r="M445" s="401"/>
      <c r="N445" s="423"/>
      <c r="O445" s="423"/>
      <c r="P445" s="423"/>
      <c r="Q445" s="423"/>
      <c r="R445" s="218"/>
      <c r="S445" s="218"/>
      <c r="T445" s="213">
        <v>135.53</v>
      </c>
      <c r="U445" s="211"/>
      <c r="V445" s="273"/>
      <c r="W445" s="206">
        <f>ROUND(ROUND(T445, 2)*I445, 2)</f>
        <v>0</v>
      </c>
    </row>
    <row r="446" spans="1:25" ht="22.8" hidden="1" x14ac:dyDescent="0.4">
      <c r="A446" s="91" t="s">
        <v>1773</v>
      </c>
      <c r="B446" s="91"/>
      <c r="C446" s="92" t="s">
        <v>1774</v>
      </c>
      <c r="D446" s="93"/>
      <c r="E446" s="93"/>
      <c r="F446" s="94" t="s">
        <v>116</v>
      </c>
      <c r="G446" s="95">
        <v>0.6</v>
      </c>
      <c r="H446" s="180"/>
      <c r="I446" s="229">
        <v>0</v>
      </c>
      <c r="J446" s="321"/>
      <c r="K446" s="257"/>
      <c r="L446" s="280"/>
      <c r="M446" s="401"/>
      <c r="N446" s="423"/>
      <c r="O446" s="423"/>
      <c r="P446" s="423"/>
      <c r="Q446" s="423"/>
      <c r="R446" s="218"/>
      <c r="S446" s="218"/>
      <c r="T446" s="213">
        <v>119.25</v>
      </c>
      <c r="U446" s="211"/>
      <c r="V446" s="273"/>
      <c r="W446" s="206">
        <f>ROUND(ROUND(T446, 2)*I446, 2)</f>
        <v>0</v>
      </c>
    </row>
    <row r="447" spans="1:25" ht="40.5" customHeight="1" x14ac:dyDescent="0.3">
      <c r="A447" s="74" t="s">
        <v>1780</v>
      </c>
      <c r="B447" s="74" t="s">
        <v>1781</v>
      </c>
      <c r="C447" s="75" t="s">
        <v>1782</v>
      </c>
      <c r="D447" s="76"/>
      <c r="E447" s="76" t="s">
        <v>1783</v>
      </c>
      <c r="F447" s="76" t="s">
        <v>64</v>
      </c>
      <c r="G447" s="77">
        <v>1</v>
      </c>
      <c r="H447" s="177"/>
      <c r="I447" s="228">
        <v>71.94</v>
      </c>
      <c r="J447" s="322"/>
      <c r="K447" s="258"/>
      <c r="L447" s="281"/>
      <c r="M447" s="221"/>
      <c r="N447" s="422"/>
      <c r="O447" s="422"/>
      <c r="P447" s="422"/>
      <c r="Q447" s="422"/>
      <c r="R447" s="220"/>
      <c r="S447" s="221"/>
      <c r="T447" s="212">
        <f>IFERROR(ROUND(SUM(W448,W449,W450)/I447, 2),0)</f>
        <v>2042.1</v>
      </c>
      <c r="U447" s="202">
        <v>1291</v>
      </c>
      <c r="V447" s="274">
        <f>T447+ROUND(U447, 2)</f>
        <v>3333.1</v>
      </c>
      <c r="W447" s="182">
        <f>ROUND(T447*I447, 2)</f>
        <v>146908.67000000001</v>
      </c>
      <c r="X447" s="14">
        <f>ROUND(I447*ROUND(U447, 2), 2)</f>
        <v>92874.54</v>
      </c>
      <c r="Y447" s="14">
        <f>W447+X447</f>
        <v>239783.21000000002</v>
      </c>
    </row>
    <row r="448" spans="1:25" ht="22.8" hidden="1" x14ac:dyDescent="0.4">
      <c r="A448" s="91" t="s">
        <v>1786</v>
      </c>
      <c r="B448" s="91"/>
      <c r="C448" s="92" t="s">
        <v>1787</v>
      </c>
      <c r="D448" s="93"/>
      <c r="E448" s="93"/>
      <c r="F448" s="94" t="s">
        <v>87</v>
      </c>
      <c r="G448" s="95">
        <v>1</v>
      </c>
      <c r="H448" s="180"/>
      <c r="I448" s="229">
        <v>516.29999999999995</v>
      </c>
      <c r="J448" s="321"/>
      <c r="K448" s="257"/>
      <c r="L448" s="280"/>
      <c r="M448" s="401"/>
      <c r="N448" s="423"/>
      <c r="O448" s="423"/>
      <c r="P448" s="423"/>
      <c r="Q448" s="423"/>
      <c r="R448" s="218"/>
      <c r="S448" s="218"/>
      <c r="T448" s="213">
        <v>44.71</v>
      </c>
      <c r="U448" s="211"/>
      <c r="V448" s="273"/>
      <c r="W448" s="206">
        <f>ROUND(ROUND(T448, 2)*I448, 2)</f>
        <v>23083.77</v>
      </c>
    </row>
    <row r="449" spans="1:25" ht="22.8" hidden="1" x14ac:dyDescent="0.4">
      <c r="A449" s="91" t="s">
        <v>1791</v>
      </c>
      <c r="B449" s="91"/>
      <c r="C449" s="92" t="s">
        <v>1792</v>
      </c>
      <c r="D449" s="93"/>
      <c r="E449" s="93"/>
      <c r="F449" s="94" t="s">
        <v>87</v>
      </c>
      <c r="G449" s="95">
        <v>1</v>
      </c>
      <c r="H449" s="180"/>
      <c r="I449" s="229">
        <v>98.3</v>
      </c>
      <c r="J449" s="321"/>
      <c r="K449" s="257"/>
      <c r="L449" s="280"/>
      <c r="M449" s="401"/>
      <c r="N449" s="423"/>
      <c r="O449" s="423"/>
      <c r="P449" s="423"/>
      <c r="Q449" s="423"/>
      <c r="R449" s="218"/>
      <c r="S449" s="218"/>
      <c r="T449" s="213">
        <v>35.76</v>
      </c>
      <c r="U449" s="211"/>
      <c r="V449" s="273"/>
      <c r="W449" s="206">
        <f>ROUND(ROUND(T449, 2)*I449, 2)</f>
        <v>3515.21</v>
      </c>
    </row>
    <row r="450" spans="1:25" ht="22.8" hidden="1" x14ac:dyDescent="0.4">
      <c r="A450" s="91" t="s">
        <v>1796</v>
      </c>
      <c r="B450" s="91"/>
      <c r="C450" s="92" t="s">
        <v>1797</v>
      </c>
      <c r="D450" s="93"/>
      <c r="E450" s="93"/>
      <c r="F450" s="94" t="s">
        <v>64</v>
      </c>
      <c r="G450" s="95">
        <v>1.1000000000000001</v>
      </c>
      <c r="H450" s="180"/>
      <c r="I450" s="229">
        <v>79.134</v>
      </c>
      <c r="J450" s="321"/>
      <c r="K450" s="257"/>
      <c r="L450" s="280"/>
      <c r="M450" s="401"/>
      <c r="N450" s="423"/>
      <c r="O450" s="423"/>
      <c r="P450" s="423"/>
      <c r="Q450" s="423"/>
      <c r="R450" s="218"/>
      <c r="S450" s="218"/>
      <c r="T450" s="213">
        <v>1520.33</v>
      </c>
      <c r="U450" s="211"/>
      <c r="V450" s="273"/>
      <c r="W450" s="206">
        <f>ROUND(ROUND(T450, 2)*I450, 2)</f>
        <v>120309.79</v>
      </c>
    </row>
    <row r="451" spans="1:25" ht="36" customHeight="1" x14ac:dyDescent="0.3">
      <c r="A451" s="74" t="s">
        <v>1801</v>
      </c>
      <c r="B451" s="74" t="s">
        <v>1781</v>
      </c>
      <c r="C451" s="75" t="s">
        <v>1782</v>
      </c>
      <c r="D451" s="76"/>
      <c r="E451" s="76" t="s">
        <v>1802</v>
      </c>
      <c r="F451" s="76" t="s">
        <v>64</v>
      </c>
      <c r="G451" s="77">
        <v>1</v>
      </c>
      <c r="H451" s="177"/>
      <c r="I451" s="228">
        <v>73.87</v>
      </c>
      <c r="J451" s="322"/>
      <c r="K451" s="258"/>
      <c r="L451" s="281"/>
      <c r="M451" s="221"/>
      <c r="N451" s="422"/>
      <c r="O451" s="422"/>
      <c r="P451" s="422"/>
      <c r="Q451" s="422"/>
      <c r="R451" s="220"/>
      <c r="S451" s="221"/>
      <c r="T451" s="212">
        <f>IFERROR(ROUND(SUM(W452,W453,W454)/I451, 2),0)</f>
        <v>1895.81</v>
      </c>
      <c r="U451" s="202">
        <v>1291</v>
      </c>
      <c r="V451" s="274">
        <f>T451+ROUND(U451, 2)</f>
        <v>3186.81</v>
      </c>
      <c r="W451" s="182">
        <f>ROUND(T451*I451, 2)</f>
        <v>140043.48000000001</v>
      </c>
      <c r="X451" s="14">
        <f>ROUND(I451*ROUND(U451, 2), 2)</f>
        <v>95366.17</v>
      </c>
      <c r="Y451" s="14">
        <f>W451+X451</f>
        <v>235409.65000000002</v>
      </c>
    </row>
    <row r="452" spans="1:25" ht="22.8" hidden="1" x14ac:dyDescent="0.4">
      <c r="A452" s="91" t="s">
        <v>1803</v>
      </c>
      <c r="B452" s="91"/>
      <c r="C452" s="92" t="s">
        <v>1797</v>
      </c>
      <c r="D452" s="93"/>
      <c r="E452" s="93"/>
      <c r="F452" s="94" t="s">
        <v>64</v>
      </c>
      <c r="G452" s="95">
        <v>1.1000000000000001</v>
      </c>
      <c r="H452" s="180"/>
      <c r="I452" s="229">
        <v>81.257000000000005</v>
      </c>
      <c r="J452" s="321"/>
      <c r="K452" s="257"/>
      <c r="L452" s="280"/>
      <c r="M452" s="401"/>
      <c r="N452" s="423"/>
      <c r="O452" s="423"/>
      <c r="P452" s="423"/>
      <c r="Q452" s="423"/>
      <c r="R452" s="218"/>
      <c r="S452" s="218"/>
      <c r="T452" s="213">
        <v>1520.33</v>
      </c>
      <c r="U452" s="211"/>
      <c r="V452" s="273"/>
      <c r="W452" s="206">
        <f>ROUND(ROUND(T452, 2)*I452, 2)</f>
        <v>123537.45</v>
      </c>
    </row>
    <row r="453" spans="1:25" ht="22.8" hidden="1" x14ac:dyDescent="0.4">
      <c r="A453" s="91" t="s">
        <v>1806</v>
      </c>
      <c r="B453" s="91"/>
      <c r="C453" s="92" t="s">
        <v>1787</v>
      </c>
      <c r="D453" s="93"/>
      <c r="E453" s="93"/>
      <c r="F453" s="94" t="s">
        <v>87</v>
      </c>
      <c r="G453" s="95">
        <v>1</v>
      </c>
      <c r="H453" s="180"/>
      <c r="I453" s="229">
        <v>264.8</v>
      </c>
      <c r="J453" s="321"/>
      <c r="K453" s="257"/>
      <c r="L453" s="280"/>
      <c r="M453" s="401"/>
      <c r="N453" s="423"/>
      <c r="O453" s="423"/>
      <c r="P453" s="423"/>
      <c r="Q453" s="423"/>
      <c r="R453" s="218"/>
      <c r="S453" s="218"/>
      <c r="T453" s="213">
        <v>44.71</v>
      </c>
      <c r="U453" s="211"/>
      <c r="V453" s="273"/>
      <c r="W453" s="206">
        <f>ROUND(ROUND(T453, 2)*I453, 2)</f>
        <v>11839.21</v>
      </c>
    </row>
    <row r="454" spans="1:25" ht="22.8" hidden="1" x14ac:dyDescent="0.4">
      <c r="A454" s="91" t="s">
        <v>1809</v>
      </c>
      <c r="B454" s="91"/>
      <c r="C454" s="92" t="s">
        <v>1792</v>
      </c>
      <c r="D454" s="93"/>
      <c r="E454" s="93"/>
      <c r="F454" s="94" t="s">
        <v>87</v>
      </c>
      <c r="G454" s="95">
        <v>1</v>
      </c>
      <c r="H454" s="180"/>
      <c r="I454" s="229">
        <v>130.5</v>
      </c>
      <c r="J454" s="321"/>
      <c r="K454" s="257"/>
      <c r="L454" s="280"/>
      <c r="M454" s="401"/>
      <c r="N454" s="423"/>
      <c r="O454" s="423"/>
      <c r="P454" s="423"/>
      <c r="Q454" s="423"/>
      <c r="R454" s="218"/>
      <c r="S454" s="218"/>
      <c r="T454" s="213">
        <v>35.76</v>
      </c>
      <c r="U454" s="211"/>
      <c r="V454" s="273"/>
      <c r="W454" s="206">
        <f>ROUND(ROUND(T454, 2)*I454, 2)</f>
        <v>4666.68</v>
      </c>
    </row>
    <row r="455" spans="1:25" ht="36" hidden="1" x14ac:dyDescent="0.3">
      <c r="A455" s="91" t="s">
        <v>1812</v>
      </c>
      <c r="B455" s="91" t="s">
        <v>1813</v>
      </c>
      <c r="C455" s="97" t="s">
        <v>1814</v>
      </c>
      <c r="D455" s="93"/>
      <c r="E455" s="93" t="s">
        <v>63</v>
      </c>
      <c r="F455" s="93" t="s">
        <v>64</v>
      </c>
      <c r="G455" s="98">
        <v>1</v>
      </c>
      <c r="H455" s="181"/>
      <c r="I455" s="231">
        <v>0</v>
      </c>
      <c r="J455" s="323"/>
      <c r="K455" s="258"/>
      <c r="L455" s="281"/>
      <c r="M455" s="221"/>
      <c r="N455" s="422"/>
      <c r="O455" s="422"/>
      <c r="P455" s="422"/>
      <c r="Q455" s="422"/>
      <c r="R455" s="220"/>
      <c r="S455" s="221"/>
      <c r="T455" s="212">
        <f>IFERROR(ROUND(SUM(W456,W457,W458)/I455, 2),0)</f>
        <v>0</v>
      </c>
      <c r="U455" s="202">
        <v>1477</v>
      </c>
      <c r="V455" s="274">
        <f>T455+ROUND(U455, 2)</f>
        <v>1477</v>
      </c>
      <c r="W455" s="182">
        <f>ROUND(T455*I455, 2)</f>
        <v>0</v>
      </c>
      <c r="X455" s="14">
        <f>ROUND(I455*ROUND(U455, 2), 2)</f>
        <v>0</v>
      </c>
      <c r="Y455" s="14">
        <f>W455+X455</f>
        <v>0</v>
      </c>
    </row>
    <row r="456" spans="1:25" ht="22.8" hidden="1" x14ac:dyDescent="0.4">
      <c r="A456" s="91" t="s">
        <v>1818</v>
      </c>
      <c r="B456" s="91"/>
      <c r="C456" s="92" t="s">
        <v>1787</v>
      </c>
      <c r="D456" s="93"/>
      <c r="E456" s="93"/>
      <c r="F456" s="94" t="s">
        <v>87</v>
      </c>
      <c r="G456" s="95">
        <v>1</v>
      </c>
      <c r="H456" s="180"/>
      <c r="I456" s="229">
        <v>0</v>
      </c>
      <c r="J456" s="321"/>
      <c r="K456" s="257"/>
      <c r="L456" s="280"/>
      <c r="M456" s="401"/>
      <c r="N456" s="423"/>
      <c r="O456" s="423"/>
      <c r="P456" s="423"/>
      <c r="Q456" s="423"/>
      <c r="R456" s="218"/>
      <c r="S456" s="218"/>
      <c r="T456" s="213">
        <v>54.18</v>
      </c>
      <c r="U456" s="211"/>
      <c r="V456" s="273"/>
      <c r="W456" s="206">
        <f>ROUND(ROUND(T456, 2)*I456, 2)</f>
        <v>0</v>
      </c>
    </row>
    <row r="457" spans="1:25" ht="22.8" hidden="1" x14ac:dyDescent="0.4">
      <c r="A457" s="91" t="s">
        <v>1823</v>
      </c>
      <c r="B457" s="91"/>
      <c r="C457" s="92" t="s">
        <v>1792</v>
      </c>
      <c r="D457" s="93"/>
      <c r="E457" s="93"/>
      <c r="F457" s="94" t="s">
        <v>87</v>
      </c>
      <c r="G457" s="95">
        <v>1</v>
      </c>
      <c r="H457" s="180"/>
      <c r="I457" s="229">
        <v>0</v>
      </c>
      <c r="J457" s="321"/>
      <c r="K457" s="257"/>
      <c r="L457" s="280"/>
      <c r="M457" s="401"/>
      <c r="N457" s="423"/>
      <c r="O457" s="423"/>
      <c r="P457" s="423"/>
      <c r="Q457" s="423"/>
      <c r="R457" s="218"/>
      <c r="S457" s="218"/>
      <c r="T457" s="213">
        <v>43.33</v>
      </c>
      <c r="U457" s="211"/>
      <c r="V457" s="273"/>
      <c r="W457" s="206">
        <f>ROUND(ROUND(T457, 2)*I457, 2)</f>
        <v>0</v>
      </c>
    </row>
    <row r="458" spans="1:25" ht="22.8" hidden="1" x14ac:dyDescent="0.4">
      <c r="A458" s="91" t="s">
        <v>1828</v>
      </c>
      <c r="B458" s="91"/>
      <c r="C458" s="96" t="s">
        <v>1829</v>
      </c>
      <c r="D458" s="87"/>
      <c r="E458" s="87"/>
      <c r="F458" s="88" t="s">
        <v>64</v>
      </c>
      <c r="G458" s="89">
        <v>1.1000000000000001</v>
      </c>
      <c r="H458" s="179"/>
      <c r="I458" s="230">
        <v>0</v>
      </c>
      <c r="J458" s="321"/>
      <c r="K458" s="257"/>
      <c r="L458" s="280"/>
      <c r="M458" s="401"/>
      <c r="N458" s="423"/>
      <c r="O458" s="423"/>
      <c r="P458" s="423"/>
      <c r="Q458" s="423"/>
      <c r="R458" s="218"/>
      <c r="S458" s="218"/>
      <c r="T458" s="213">
        <v>312.73</v>
      </c>
      <c r="U458" s="211"/>
      <c r="V458" s="273"/>
      <c r="W458" s="206">
        <f>ROUND(ROUND(T458, 2)*I458, 2)</f>
        <v>0</v>
      </c>
    </row>
    <row r="459" spans="1:25" ht="37.049999999999997" customHeight="1" x14ac:dyDescent="0.3">
      <c r="A459" s="74" t="s">
        <v>1835</v>
      </c>
      <c r="B459" s="74" t="s">
        <v>1813</v>
      </c>
      <c r="C459" s="75" t="s">
        <v>1814</v>
      </c>
      <c r="D459" s="76"/>
      <c r="E459" s="76" t="s">
        <v>1836</v>
      </c>
      <c r="F459" s="76" t="s">
        <v>64</v>
      </c>
      <c r="G459" s="77">
        <v>1</v>
      </c>
      <c r="H459" s="177"/>
      <c r="I459" s="228">
        <v>8.0399999999999991</v>
      </c>
      <c r="J459" s="322"/>
      <c r="K459" s="258"/>
      <c r="L459" s="281"/>
      <c r="M459" s="221"/>
      <c r="N459" s="422"/>
      <c r="O459" s="422"/>
      <c r="P459" s="422"/>
      <c r="Q459" s="422"/>
      <c r="R459" s="220"/>
      <c r="S459" s="221"/>
      <c r="T459" s="212">
        <f>IFERROR(ROUND(SUM(W460,W461,W462,W463)/I459, 2),0)</f>
        <v>845.65</v>
      </c>
      <c r="U459" s="202">
        <v>1477</v>
      </c>
      <c r="V459" s="274">
        <f>T459+ROUND(U459, 2)</f>
        <v>2322.65</v>
      </c>
      <c r="W459" s="182">
        <f>ROUND(T459*I459, 2)</f>
        <v>6799.03</v>
      </c>
      <c r="X459" s="14">
        <f>ROUND(I459*ROUND(U459, 2), 2)</f>
        <v>11875.08</v>
      </c>
      <c r="Y459" s="14">
        <f>W459+X459</f>
        <v>18674.11</v>
      </c>
    </row>
    <row r="460" spans="1:25" ht="22.8" hidden="1" x14ac:dyDescent="0.4">
      <c r="A460" s="91" t="s">
        <v>1837</v>
      </c>
      <c r="B460" s="91"/>
      <c r="C460" s="96" t="s">
        <v>1838</v>
      </c>
      <c r="D460" s="93"/>
      <c r="E460" s="93"/>
      <c r="F460" s="94" t="s">
        <v>64</v>
      </c>
      <c r="G460" s="95">
        <v>1.1000000000000001</v>
      </c>
      <c r="H460" s="180"/>
      <c r="I460" s="229">
        <v>17.687999999999999</v>
      </c>
      <c r="J460" s="321"/>
      <c r="K460" s="257"/>
      <c r="L460" s="280"/>
      <c r="M460" s="401"/>
      <c r="N460" s="423"/>
      <c r="O460" s="423"/>
      <c r="P460" s="423"/>
      <c r="Q460" s="423"/>
      <c r="R460" s="218"/>
      <c r="S460" s="218"/>
      <c r="T460" s="213">
        <v>276.08999999999997</v>
      </c>
      <c r="U460" s="211"/>
      <c r="V460" s="273"/>
      <c r="W460" s="206">
        <f>ROUND(ROUND(T460, 2)*I460, 2)</f>
        <v>4883.4799999999996</v>
      </c>
    </row>
    <row r="461" spans="1:25" ht="22.8" hidden="1" x14ac:dyDescent="0.4">
      <c r="A461" s="91" t="s">
        <v>1842</v>
      </c>
      <c r="B461" s="91"/>
      <c r="C461" s="92" t="s">
        <v>1787</v>
      </c>
      <c r="D461" s="93"/>
      <c r="E461" s="93"/>
      <c r="F461" s="94" t="s">
        <v>87</v>
      </c>
      <c r="G461" s="95">
        <v>1</v>
      </c>
      <c r="H461" s="180"/>
      <c r="I461" s="229">
        <v>32</v>
      </c>
      <c r="J461" s="321"/>
      <c r="K461" s="257"/>
      <c r="L461" s="280"/>
      <c r="M461" s="401"/>
      <c r="N461" s="423"/>
      <c r="O461" s="423"/>
      <c r="P461" s="423"/>
      <c r="Q461" s="423"/>
      <c r="R461" s="218"/>
      <c r="S461" s="218"/>
      <c r="T461" s="213">
        <v>44.71</v>
      </c>
      <c r="U461" s="211"/>
      <c r="V461" s="273"/>
      <c r="W461" s="206">
        <f>ROUND(ROUND(T461, 2)*I461, 2)</f>
        <v>1430.72</v>
      </c>
    </row>
    <row r="462" spans="1:25" ht="22.8" hidden="1" x14ac:dyDescent="0.4">
      <c r="A462" s="91" t="s">
        <v>1845</v>
      </c>
      <c r="B462" s="91"/>
      <c r="C462" s="92" t="s">
        <v>1792</v>
      </c>
      <c r="D462" s="93"/>
      <c r="E462" s="93"/>
      <c r="F462" s="94" t="s">
        <v>87</v>
      </c>
      <c r="G462" s="95">
        <v>1</v>
      </c>
      <c r="H462" s="180"/>
      <c r="I462" s="229">
        <v>6.4</v>
      </c>
      <c r="J462" s="321"/>
      <c r="K462" s="257"/>
      <c r="L462" s="280"/>
      <c r="M462" s="401"/>
      <c r="N462" s="423"/>
      <c r="O462" s="423"/>
      <c r="P462" s="423"/>
      <c r="Q462" s="423"/>
      <c r="R462" s="218"/>
      <c r="S462" s="218"/>
      <c r="T462" s="213">
        <v>35.76</v>
      </c>
      <c r="U462" s="211"/>
      <c r="V462" s="273"/>
      <c r="W462" s="206">
        <f>ROUND(ROUND(T462, 2)*I462, 2)</f>
        <v>228.86</v>
      </c>
    </row>
    <row r="463" spans="1:25" ht="22.8" hidden="1" x14ac:dyDescent="0.4">
      <c r="A463" s="91" t="s">
        <v>1848</v>
      </c>
      <c r="B463" s="91"/>
      <c r="C463" s="92" t="s">
        <v>1849</v>
      </c>
      <c r="D463" s="93"/>
      <c r="E463" s="93"/>
      <c r="F463" s="94" t="s">
        <v>116</v>
      </c>
      <c r="G463" s="95">
        <v>1</v>
      </c>
      <c r="H463" s="180"/>
      <c r="I463" s="229">
        <v>3.2</v>
      </c>
      <c r="J463" s="321"/>
      <c r="K463" s="257"/>
      <c r="L463" s="280"/>
      <c r="M463" s="401"/>
      <c r="N463" s="423"/>
      <c r="O463" s="423"/>
      <c r="P463" s="423"/>
      <c r="Q463" s="423"/>
      <c r="R463" s="218"/>
      <c r="S463" s="218"/>
      <c r="T463" s="213">
        <v>80</v>
      </c>
      <c r="U463" s="211"/>
      <c r="V463" s="273"/>
      <c r="W463" s="206">
        <f>ROUND(ROUND(T463, 2)*I463, 2)</f>
        <v>256</v>
      </c>
    </row>
    <row r="464" spans="1:25" ht="49.5" customHeight="1" x14ac:dyDescent="0.3">
      <c r="A464" s="74" t="s">
        <v>1853</v>
      </c>
      <c r="B464" s="74" t="s">
        <v>1813</v>
      </c>
      <c r="C464" s="75" t="s">
        <v>1814</v>
      </c>
      <c r="D464" s="76"/>
      <c r="E464" s="76" t="s">
        <v>1854</v>
      </c>
      <c r="F464" s="76" t="s">
        <v>64</v>
      </c>
      <c r="G464" s="77">
        <v>1</v>
      </c>
      <c r="H464" s="177"/>
      <c r="I464" s="228">
        <v>204.12</v>
      </c>
      <c r="J464" s="322"/>
      <c r="K464" s="258"/>
      <c r="L464" s="281"/>
      <c r="M464" s="221"/>
      <c r="N464" s="422"/>
      <c r="O464" s="422"/>
      <c r="P464" s="422"/>
      <c r="Q464" s="422"/>
      <c r="R464" s="220"/>
      <c r="S464" s="221"/>
      <c r="T464" s="212">
        <f>IFERROR(ROUND(SUM(W465,W466,W467,W468)/I464, 2),0)</f>
        <v>902.26</v>
      </c>
      <c r="U464" s="202">
        <v>1477</v>
      </c>
      <c r="V464" s="274">
        <f>T464+ROUND(U464, 2)</f>
        <v>2379.2600000000002</v>
      </c>
      <c r="W464" s="182">
        <f>ROUND(T464*I464, 2)</f>
        <v>184169.31</v>
      </c>
      <c r="X464" s="14">
        <f>ROUND(I464*ROUND(U464, 2), 2)</f>
        <v>301485.24</v>
      </c>
      <c r="Y464" s="14">
        <f>W464+X464</f>
        <v>485654.55</v>
      </c>
    </row>
    <row r="465" spans="1:25" ht="22.8" hidden="1" x14ac:dyDescent="0.4">
      <c r="A465" s="91" t="s">
        <v>1855</v>
      </c>
      <c r="B465" s="91"/>
      <c r="C465" s="92" t="s">
        <v>1849</v>
      </c>
      <c r="D465" s="93"/>
      <c r="E465" s="93"/>
      <c r="F465" s="94" t="s">
        <v>116</v>
      </c>
      <c r="G465" s="95">
        <v>1</v>
      </c>
      <c r="H465" s="180"/>
      <c r="I465" s="229">
        <v>88.5</v>
      </c>
      <c r="J465" s="321"/>
      <c r="K465" s="257"/>
      <c r="L465" s="280"/>
      <c r="M465" s="401"/>
      <c r="N465" s="423"/>
      <c r="O465" s="423"/>
      <c r="P465" s="423"/>
      <c r="Q465" s="423"/>
      <c r="R465" s="218"/>
      <c r="S465" s="218"/>
      <c r="T465" s="213">
        <v>80</v>
      </c>
      <c r="U465" s="211"/>
      <c r="V465" s="273"/>
      <c r="W465" s="206">
        <f>ROUND(ROUND(T465, 2)*I465, 2)</f>
        <v>7080</v>
      </c>
    </row>
    <row r="466" spans="1:25" ht="22.8" hidden="1" x14ac:dyDescent="0.4">
      <c r="A466" s="91" t="s">
        <v>1858</v>
      </c>
      <c r="B466" s="91"/>
      <c r="C466" s="92" t="s">
        <v>1787</v>
      </c>
      <c r="D466" s="93"/>
      <c r="E466" s="93"/>
      <c r="F466" s="94" t="s">
        <v>87</v>
      </c>
      <c r="G466" s="95">
        <v>1</v>
      </c>
      <c r="H466" s="180"/>
      <c r="I466" s="229">
        <v>1024</v>
      </c>
      <c r="J466" s="321"/>
      <c r="K466" s="257"/>
      <c r="L466" s="280"/>
      <c r="M466" s="401"/>
      <c r="N466" s="423"/>
      <c r="O466" s="423"/>
      <c r="P466" s="423"/>
      <c r="Q466" s="423"/>
      <c r="R466" s="218"/>
      <c r="S466" s="218"/>
      <c r="T466" s="213">
        <v>44.71</v>
      </c>
      <c r="U466" s="211"/>
      <c r="V466" s="273"/>
      <c r="W466" s="206">
        <f>ROUND(ROUND(T466, 2)*I466, 2)</f>
        <v>45783.040000000001</v>
      </c>
    </row>
    <row r="467" spans="1:25" ht="22.8" hidden="1" x14ac:dyDescent="0.4">
      <c r="A467" s="91" t="s">
        <v>1861</v>
      </c>
      <c r="B467" s="91"/>
      <c r="C467" s="92" t="s">
        <v>1792</v>
      </c>
      <c r="D467" s="93"/>
      <c r="E467" s="93"/>
      <c r="F467" s="94" t="s">
        <v>87</v>
      </c>
      <c r="G467" s="95">
        <v>1</v>
      </c>
      <c r="H467" s="180"/>
      <c r="I467" s="229">
        <v>204.8</v>
      </c>
      <c r="J467" s="321"/>
      <c r="K467" s="257"/>
      <c r="L467" s="280"/>
      <c r="M467" s="401"/>
      <c r="N467" s="423"/>
      <c r="O467" s="423"/>
      <c r="P467" s="423"/>
      <c r="Q467" s="423"/>
      <c r="R467" s="218"/>
      <c r="S467" s="218"/>
      <c r="T467" s="213">
        <v>35.76</v>
      </c>
      <c r="U467" s="211"/>
      <c r="V467" s="273"/>
      <c r="W467" s="206">
        <f>ROUND(ROUND(T467, 2)*I467, 2)</f>
        <v>7323.65</v>
      </c>
    </row>
    <row r="468" spans="1:25" ht="22.8" hidden="1" x14ac:dyDescent="0.4">
      <c r="A468" s="91" t="s">
        <v>1864</v>
      </c>
      <c r="B468" s="91"/>
      <c r="C468" s="96" t="s">
        <v>1838</v>
      </c>
      <c r="D468" s="93"/>
      <c r="E468" s="93"/>
      <c r="F468" s="94" t="s">
        <v>64</v>
      </c>
      <c r="G468" s="95">
        <v>1.1000000000000001</v>
      </c>
      <c r="H468" s="180"/>
      <c r="I468" s="229">
        <v>449.06400000000002</v>
      </c>
      <c r="J468" s="321"/>
      <c r="K468" s="257"/>
      <c r="L468" s="280"/>
      <c r="M468" s="401"/>
      <c r="N468" s="423"/>
      <c r="O468" s="423"/>
      <c r="P468" s="423"/>
      <c r="Q468" s="423"/>
      <c r="R468" s="218"/>
      <c r="S468" s="218"/>
      <c r="T468" s="213">
        <v>276.08999999999997</v>
      </c>
      <c r="U468" s="211"/>
      <c r="V468" s="273"/>
      <c r="W468" s="206">
        <f>ROUND(ROUND(T468, 2)*I468, 2)</f>
        <v>123982.08</v>
      </c>
    </row>
    <row r="469" spans="1:25" ht="45" customHeight="1" x14ac:dyDescent="0.3">
      <c r="A469" s="74" t="s">
        <v>1867</v>
      </c>
      <c r="B469" s="74" t="s">
        <v>1813</v>
      </c>
      <c r="C469" s="75" t="s">
        <v>1814</v>
      </c>
      <c r="D469" s="76"/>
      <c r="E469" s="76" t="s">
        <v>1868</v>
      </c>
      <c r="F469" s="76" t="s">
        <v>64</v>
      </c>
      <c r="G469" s="77">
        <v>1</v>
      </c>
      <c r="H469" s="177"/>
      <c r="I469" s="228">
        <v>55.13</v>
      </c>
      <c r="J469" s="322"/>
      <c r="K469" s="258"/>
      <c r="L469" s="281"/>
      <c r="M469" s="221"/>
      <c r="N469" s="422"/>
      <c r="O469" s="422"/>
      <c r="P469" s="422"/>
      <c r="Q469" s="422"/>
      <c r="R469" s="220"/>
      <c r="S469" s="221"/>
      <c r="T469" s="212">
        <f>IFERROR(ROUND(SUM(W470,W471,W472,W473)/I469, 2),0)</f>
        <v>3637.61</v>
      </c>
      <c r="U469" s="202">
        <v>1477</v>
      </c>
      <c r="V469" s="274">
        <f>T469+ROUND(U469, 2)</f>
        <v>5114.6100000000006</v>
      </c>
      <c r="W469" s="182">
        <f>ROUND(T469*I469, 2)</f>
        <v>200541.44</v>
      </c>
      <c r="X469" s="14">
        <f>ROUND(I469*ROUND(U469, 2), 2)</f>
        <v>81427.009999999995</v>
      </c>
      <c r="Y469" s="14">
        <f>W469+X469</f>
        <v>281968.45</v>
      </c>
    </row>
    <row r="470" spans="1:25" ht="22.8" hidden="1" x14ac:dyDescent="0.4">
      <c r="A470" s="91" t="s">
        <v>1869</v>
      </c>
      <c r="B470" s="91"/>
      <c r="C470" s="92" t="s">
        <v>1870</v>
      </c>
      <c r="D470" s="93"/>
      <c r="E470" s="93"/>
      <c r="F470" s="94" t="s">
        <v>64</v>
      </c>
      <c r="G470" s="95">
        <v>1.1000000000000001</v>
      </c>
      <c r="H470" s="180"/>
      <c r="I470" s="229">
        <v>121.286</v>
      </c>
      <c r="J470" s="321"/>
      <c r="K470" s="257"/>
      <c r="L470" s="280"/>
      <c r="M470" s="401"/>
      <c r="N470" s="423"/>
      <c r="O470" s="423"/>
      <c r="P470" s="423"/>
      <c r="Q470" s="423"/>
      <c r="R470" s="218"/>
      <c r="S470" s="218"/>
      <c r="T470" s="213">
        <v>1520.33</v>
      </c>
      <c r="U470" s="211"/>
      <c r="V470" s="273"/>
      <c r="W470" s="206">
        <f>ROUND(ROUND(T470, 2)*I470, 2)</f>
        <v>184394.74</v>
      </c>
    </row>
    <row r="471" spans="1:25" ht="22.8" hidden="1" x14ac:dyDescent="0.4">
      <c r="A471" s="91" t="s">
        <v>1874</v>
      </c>
      <c r="B471" s="91"/>
      <c r="C471" s="92" t="s">
        <v>1787</v>
      </c>
      <c r="D471" s="93"/>
      <c r="E471" s="93"/>
      <c r="F471" s="94" t="s">
        <v>87</v>
      </c>
      <c r="G471" s="95">
        <v>1</v>
      </c>
      <c r="H471" s="180"/>
      <c r="I471" s="229">
        <v>272</v>
      </c>
      <c r="J471" s="321"/>
      <c r="K471" s="257"/>
      <c r="L471" s="280"/>
      <c r="M471" s="401"/>
      <c r="N471" s="423"/>
      <c r="O471" s="423"/>
      <c r="P471" s="423"/>
      <c r="Q471" s="423"/>
      <c r="R471" s="218"/>
      <c r="S471" s="218"/>
      <c r="T471" s="213">
        <v>44.71</v>
      </c>
      <c r="U471" s="211"/>
      <c r="V471" s="273"/>
      <c r="W471" s="206">
        <f>ROUND(ROUND(T471, 2)*I471, 2)</f>
        <v>12161.12</v>
      </c>
    </row>
    <row r="472" spans="1:25" ht="22.8" hidden="1" x14ac:dyDescent="0.4">
      <c r="A472" s="91" t="s">
        <v>1877</v>
      </c>
      <c r="B472" s="91"/>
      <c r="C472" s="92" t="s">
        <v>1792</v>
      </c>
      <c r="D472" s="93"/>
      <c r="E472" s="93"/>
      <c r="F472" s="94" t="s">
        <v>87</v>
      </c>
      <c r="G472" s="95">
        <v>1</v>
      </c>
      <c r="H472" s="180"/>
      <c r="I472" s="229">
        <v>54.4</v>
      </c>
      <c r="J472" s="321"/>
      <c r="K472" s="257"/>
      <c r="L472" s="280"/>
      <c r="M472" s="401"/>
      <c r="N472" s="423"/>
      <c r="O472" s="423"/>
      <c r="P472" s="423"/>
      <c r="Q472" s="423"/>
      <c r="R472" s="218"/>
      <c r="S472" s="218"/>
      <c r="T472" s="213">
        <v>35.76</v>
      </c>
      <c r="U472" s="211"/>
      <c r="V472" s="273"/>
      <c r="W472" s="206">
        <f>ROUND(ROUND(T472, 2)*I472, 2)</f>
        <v>1945.34</v>
      </c>
    </row>
    <row r="473" spans="1:25" ht="22.8" hidden="1" x14ac:dyDescent="0.4">
      <c r="A473" s="91" t="s">
        <v>1880</v>
      </c>
      <c r="B473" s="91"/>
      <c r="C473" s="92" t="s">
        <v>1849</v>
      </c>
      <c r="D473" s="93"/>
      <c r="E473" s="93"/>
      <c r="F473" s="94" t="s">
        <v>116</v>
      </c>
      <c r="G473" s="95">
        <v>1</v>
      </c>
      <c r="H473" s="180"/>
      <c r="I473" s="229">
        <v>25.5</v>
      </c>
      <c r="J473" s="321"/>
      <c r="K473" s="257"/>
      <c r="L473" s="280"/>
      <c r="M473" s="401"/>
      <c r="N473" s="423"/>
      <c r="O473" s="423"/>
      <c r="P473" s="423"/>
      <c r="Q473" s="423"/>
      <c r="R473" s="218"/>
      <c r="S473" s="218"/>
      <c r="T473" s="213">
        <v>80</v>
      </c>
      <c r="U473" s="211"/>
      <c r="V473" s="273"/>
      <c r="W473" s="206">
        <f>ROUND(ROUND(T473, 2)*I473, 2)</f>
        <v>2040</v>
      </c>
    </row>
    <row r="474" spans="1:25" ht="44.55" customHeight="1" x14ac:dyDescent="0.3">
      <c r="A474" s="74" t="s">
        <v>1883</v>
      </c>
      <c r="B474" s="74" t="s">
        <v>1813</v>
      </c>
      <c r="C474" s="75" t="s">
        <v>1814</v>
      </c>
      <c r="D474" s="76"/>
      <c r="E474" s="76" t="s">
        <v>1884</v>
      </c>
      <c r="F474" s="76" t="s">
        <v>64</v>
      </c>
      <c r="G474" s="77">
        <v>1</v>
      </c>
      <c r="H474" s="177"/>
      <c r="I474" s="228">
        <v>23.49</v>
      </c>
      <c r="J474" s="322"/>
      <c r="K474" s="258"/>
      <c r="L474" s="281"/>
      <c r="M474" s="221"/>
      <c r="N474" s="422"/>
      <c r="O474" s="422"/>
      <c r="P474" s="422"/>
      <c r="Q474" s="422"/>
      <c r="R474" s="220"/>
      <c r="S474" s="221"/>
      <c r="T474" s="212">
        <f>IFERROR(ROUND(SUM(W475,W476,W477)/I474, 2),0)</f>
        <v>904.12</v>
      </c>
      <c r="U474" s="202">
        <v>1477</v>
      </c>
      <c r="V474" s="274">
        <f>T474+ROUND(U474, 2)</f>
        <v>2381.12</v>
      </c>
      <c r="W474" s="182">
        <f>ROUND(T474*I474, 2)</f>
        <v>21237.78</v>
      </c>
      <c r="X474" s="14">
        <f>ROUND(I474*ROUND(U474, 2), 2)</f>
        <v>34694.730000000003</v>
      </c>
      <c r="Y474" s="14">
        <f>W474+X474</f>
        <v>55932.51</v>
      </c>
    </row>
    <row r="475" spans="1:25" ht="22.8" hidden="1" x14ac:dyDescent="0.4">
      <c r="A475" s="10" t="s">
        <v>1885</v>
      </c>
      <c r="B475" s="10"/>
      <c r="C475" s="24" t="s">
        <v>1787</v>
      </c>
      <c r="D475" s="12"/>
      <c r="E475" s="12"/>
      <c r="F475" s="18" t="s">
        <v>87</v>
      </c>
      <c r="G475" s="19">
        <v>1</v>
      </c>
      <c r="H475" s="194"/>
      <c r="I475" s="229">
        <v>84.2</v>
      </c>
      <c r="J475" s="329"/>
      <c r="K475" s="257"/>
      <c r="L475" s="280"/>
      <c r="M475" s="401"/>
      <c r="N475" s="423"/>
      <c r="O475" s="423"/>
      <c r="P475" s="423"/>
      <c r="Q475" s="423"/>
      <c r="R475" s="218"/>
      <c r="S475" s="218"/>
      <c r="T475" s="213">
        <v>44.71</v>
      </c>
      <c r="U475" s="211"/>
      <c r="V475" s="273"/>
      <c r="W475" s="206">
        <f>ROUND(ROUND(T475, 2)*I475, 2)</f>
        <v>3764.58</v>
      </c>
    </row>
    <row r="476" spans="1:25" ht="22.8" hidden="1" x14ac:dyDescent="0.4">
      <c r="A476" s="10" t="s">
        <v>1888</v>
      </c>
      <c r="B476" s="10"/>
      <c r="C476" s="24" t="s">
        <v>1792</v>
      </c>
      <c r="D476" s="12"/>
      <c r="E476" s="12"/>
      <c r="F476" s="18" t="s">
        <v>87</v>
      </c>
      <c r="G476" s="19">
        <v>1</v>
      </c>
      <c r="H476" s="194"/>
      <c r="I476" s="229">
        <v>41.5</v>
      </c>
      <c r="J476" s="329"/>
      <c r="K476" s="257"/>
      <c r="L476" s="280"/>
      <c r="M476" s="401"/>
      <c r="N476" s="423"/>
      <c r="O476" s="423"/>
      <c r="P476" s="423"/>
      <c r="Q476" s="423"/>
      <c r="R476" s="218"/>
      <c r="S476" s="218"/>
      <c r="T476" s="213">
        <v>35.76</v>
      </c>
      <c r="U476" s="211"/>
      <c r="V476" s="273"/>
      <c r="W476" s="206">
        <f>ROUND(ROUND(T476, 2)*I476, 2)</f>
        <v>1484.04</v>
      </c>
    </row>
    <row r="477" spans="1:25" ht="22.8" hidden="1" x14ac:dyDescent="0.4">
      <c r="A477" s="10" t="s">
        <v>1891</v>
      </c>
      <c r="B477" s="10"/>
      <c r="C477" s="17" t="s">
        <v>1829</v>
      </c>
      <c r="D477" s="12"/>
      <c r="E477" s="12"/>
      <c r="F477" s="18" t="s">
        <v>64</v>
      </c>
      <c r="G477" s="19">
        <v>1.1000000000000001</v>
      </c>
      <c r="H477" s="194"/>
      <c r="I477" s="229">
        <v>51.677999999999997</v>
      </c>
      <c r="J477" s="329"/>
      <c r="K477" s="257"/>
      <c r="L477" s="280"/>
      <c r="M477" s="401"/>
      <c r="N477" s="423"/>
      <c r="O477" s="423"/>
      <c r="P477" s="423"/>
      <c r="Q477" s="423"/>
      <c r="R477" s="218"/>
      <c r="S477" s="218"/>
      <c r="T477" s="213">
        <v>309.39999999999998</v>
      </c>
      <c r="U477" s="211"/>
      <c r="V477" s="273"/>
      <c r="W477" s="206">
        <f>ROUND(ROUND(T477, 2)*I477, 2)</f>
        <v>15989.17</v>
      </c>
    </row>
    <row r="478" spans="1:25" ht="39.450000000000003" customHeight="1" x14ac:dyDescent="0.3">
      <c r="A478" s="74" t="s">
        <v>1894</v>
      </c>
      <c r="B478" s="74" t="s">
        <v>1813</v>
      </c>
      <c r="C478" s="75" t="s">
        <v>1814</v>
      </c>
      <c r="D478" s="76"/>
      <c r="E478" s="76" t="s">
        <v>1895</v>
      </c>
      <c r="F478" s="76" t="s">
        <v>64</v>
      </c>
      <c r="G478" s="77">
        <v>1</v>
      </c>
      <c r="H478" s="177"/>
      <c r="I478" s="228">
        <v>2.74</v>
      </c>
      <c r="J478" s="322"/>
      <c r="K478" s="258"/>
      <c r="L478" s="281"/>
      <c r="M478" s="221"/>
      <c r="N478" s="422"/>
      <c r="O478" s="422"/>
      <c r="P478" s="422"/>
      <c r="Q478" s="422"/>
      <c r="R478" s="220"/>
      <c r="S478" s="221"/>
      <c r="T478" s="212">
        <f>IFERROR(ROUND(SUM(W479,W480,W481,W482)/I478, 2),0)</f>
        <v>1025.02</v>
      </c>
      <c r="U478" s="202">
        <v>1477</v>
      </c>
      <c r="V478" s="274">
        <f>T478+ROUND(U478, 2)</f>
        <v>2502.02</v>
      </c>
      <c r="W478" s="182">
        <f>ROUND(T478*I478, 2)</f>
        <v>2808.55</v>
      </c>
      <c r="X478" s="14">
        <f>ROUND(I478*ROUND(U478, 2), 2)</f>
        <v>4046.98</v>
      </c>
      <c r="Y478" s="14">
        <f>W478+X478</f>
        <v>6855.5300000000007</v>
      </c>
    </row>
    <row r="479" spans="1:25" ht="22.8" hidden="1" x14ac:dyDescent="0.4">
      <c r="A479" s="91" t="s">
        <v>1896</v>
      </c>
      <c r="B479" s="91"/>
      <c r="C479" s="96" t="s">
        <v>1829</v>
      </c>
      <c r="D479" s="93"/>
      <c r="E479" s="93"/>
      <c r="F479" s="94" t="s">
        <v>64</v>
      </c>
      <c r="G479" s="95">
        <v>1.1000000000000001</v>
      </c>
      <c r="H479" s="180"/>
      <c r="I479" s="229">
        <v>6.0279999999999996</v>
      </c>
      <c r="J479" s="321"/>
      <c r="K479" s="257"/>
      <c r="L479" s="280"/>
      <c r="M479" s="401"/>
      <c r="N479" s="423"/>
      <c r="O479" s="423"/>
      <c r="P479" s="423"/>
      <c r="Q479" s="423"/>
      <c r="R479" s="218"/>
      <c r="S479" s="218"/>
      <c r="T479" s="213">
        <v>309.39999999999998</v>
      </c>
      <c r="U479" s="211"/>
      <c r="V479" s="273"/>
      <c r="W479" s="206">
        <f>ROUND(ROUND(T479, 2)*I479, 2)</f>
        <v>1865.06</v>
      </c>
    </row>
    <row r="480" spans="1:25" ht="22.8" hidden="1" x14ac:dyDescent="0.4">
      <c r="A480" s="91" t="s">
        <v>1899</v>
      </c>
      <c r="B480" s="91"/>
      <c r="C480" s="92" t="s">
        <v>1787</v>
      </c>
      <c r="D480" s="93"/>
      <c r="E480" s="93"/>
      <c r="F480" s="94" t="s">
        <v>87</v>
      </c>
      <c r="G480" s="95">
        <v>1</v>
      </c>
      <c r="H480" s="180"/>
      <c r="I480" s="229">
        <v>16</v>
      </c>
      <c r="J480" s="321"/>
      <c r="K480" s="257"/>
      <c r="L480" s="280"/>
      <c r="M480" s="401"/>
      <c r="N480" s="423"/>
      <c r="O480" s="423"/>
      <c r="P480" s="423"/>
      <c r="Q480" s="423"/>
      <c r="R480" s="218"/>
      <c r="S480" s="218"/>
      <c r="T480" s="213">
        <v>44.71</v>
      </c>
      <c r="U480" s="211"/>
      <c r="V480" s="273"/>
      <c r="W480" s="206">
        <f>ROUND(ROUND(T480, 2)*I480, 2)</f>
        <v>715.36</v>
      </c>
    </row>
    <row r="481" spans="1:25" ht="22.8" hidden="1" x14ac:dyDescent="0.4">
      <c r="A481" s="91" t="s">
        <v>1902</v>
      </c>
      <c r="B481" s="91"/>
      <c r="C481" s="92" t="s">
        <v>1792</v>
      </c>
      <c r="D481" s="93"/>
      <c r="E481" s="93"/>
      <c r="F481" s="94" t="s">
        <v>87</v>
      </c>
      <c r="G481" s="95">
        <v>1</v>
      </c>
      <c r="H481" s="180"/>
      <c r="I481" s="229">
        <v>2.8</v>
      </c>
      <c r="J481" s="321"/>
      <c r="K481" s="257"/>
      <c r="L481" s="280"/>
      <c r="M481" s="401"/>
      <c r="N481" s="423"/>
      <c r="O481" s="423"/>
      <c r="P481" s="423"/>
      <c r="Q481" s="423"/>
      <c r="R481" s="218"/>
      <c r="S481" s="218"/>
      <c r="T481" s="213">
        <v>35.76</v>
      </c>
      <c r="U481" s="211"/>
      <c r="V481" s="273"/>
      <c r="W481" s="206">
        <f>ROUND(ROUND(T481, 2)*I481, 2)</f>
        <v>100.13</v>
      </c>
    </row>
    <row r="482" spans="1:25" ht="22.8" hidden="1" x14ac:dyDescent="0.4">
      <c r="A482" s="91" t="s">
        <v>1905</v>
      </c>
      <c r="B482" s="91"/>
      <c r="C482" s="92" t="s">
        <v>1849</v>
      </c>
      <c r="D482" s="93"/>
      <c r="E482" s="93"/>
      <c r="F482" s="94" t="s">
        <v>116</v>
      </c>
      <c r="G482" s="95">
        <v>1</v>
      </c>
      <c r="H482" s="180"/>
      <c r="I482" s="229">
        <v>1.6</v>
      </c>
      <c r="J482" s="321"/>
      <c r="K482" s="257"/>
      <c r="L482" s="280"/>
      <c r="M482" s="401"/>
      <c r="N482" s="423"/>
      <c r="O482" s="423"/>
      <c r="P482" s="423"/>
      <c r="Q482" s="423"/>
      <c r="R482" s="218"/>
      <c r="S482" s="218"/>
      <c r="T482" s="213">
        <v>80</v>
      </c>
      <c r="U482" s="211"/>
      <c r="V482" s="273"/>
      <c r="W482" s="206">
        <f>ROUND(ROUND(T482, 2)*I482, 2)</f>
        <v>128</v>
      </c>
    </row>
    <row r="483" spans="1:25" ht="54" customHeight="1" x14ac:dyDescent="0.3">
      <c r="A483" s="309" t="s">
        <v>1908</v>
      </c>
      <c r="B483" s="309" t="s">
        <v>1909</v>
      </c>
      <c r="C483" s="310" t="s">
        <v>1910</v>
      </c>
      <c r="D483" s="311"/>
      <c r="E483" s="311" t="s">
        <v>1911</v>
      </c>
      <c r="F483" s="311" t="s">
        <v>64</v>
      </c>
      <c r="G483" s="312">
        <v>1</v>
      </c>
      <c r="H483" s="313"/>
      <c r="I483" s="228">
        <v>662.77499999999998</v>
      </c>
      <c r="J483" s="322"/>
      <c r="K483" s="258"/>
      <c r="L483" s="281"/>
      <c r="M483" s="221"/>
      <c r="N483" s="422"/>
      <c r="O483" s="422"/>
      <c r="P483" s="422"/>
      <c r="Q483" s="422"/>
      <c r="R483" s="220"/>
      <c r="S483" s="221"/>
      <c r="T483" s="212">
        <f>IFERROR(ROUND(SUM(W484,W485,W486,W487,W488,W489,W490)/I483, 2),0)</f>
        <v>1056.3599999999999</v>
      </c>
      <c r="U483" s="202">
        <v>1612</v>
      </c>
      <c r="V483" s="274">
        <f>T483+ROUND(U483, 2)</f>
        <v>2668.3599999999997</v>
      </c>
      <c r="W483" s="182">
        <f>ROUND(T483*I483, 2)</f>
        <v>700129</v>
      </c>
      <c r="X483" s="14">
        <f>ROUND(I483*ROUND(U483, 2), 2)</f>
        <v>1068393.3</v>
      </c>
      <c r="Y483" s="14">
        <f>W483+X483</f>
        <v>1768522.3</v>
      </c>
    </row>
    <row r="484" spans="1:25" ht="22.8" hidden="1" x14ac:dyDescent="0.4">
      <c r="A484" s="91" t="s">
        <v>1914</v>
      </c>
      <c r="B484" s="91"/>
      <c r="C484" s="92" t="s">
        <v>1915</v>
      </c>
      <c r="D484" s="93"/>
      <c r="E484" s="93"/>
      <c r="F484" s="94" t="s">
        <v>116</v>
      </c>
      <c r="G484" s="95">
        <v>44</v>
      </c>
      <c r="H484" s="180"/>
      <c r="I484" s="229">
        <v>29162.1</v>
      </c>
      <c r="J484" s="321"/>
      <c r="K484" s="257"/>
      <c r="L484" s="280"/>
      <c r="M484" s="401"/>
      <c r="N484" s="423"/>
      <c r="O484" s="423"/>
      <c r="P484" s="423"/>
      <c r="Q484" s="423"/>
      <c r="R484" s="218"/>
      <c r="S484" s="218"/>
      <c r="T484" s="213">
        <v>0.95</v>
      </c>
      <c r="U484" s="211"/>
      <c r="V484" s="273"/>
      <c r="W484" s="206">
        <f t="shared" ref="W484:W490" si="4">ROUND(ROUND(T484, 2)*I484, 2)</f>
        <v>27704</v>
      </c>
    </row>
    <row r="485" spans="1:25" ht="22.8" hidden="1" x14ac:dyDescent="0.4">
      <c r="A485" s="91" t="s">
        <v>1919</v>
      </c>
      <c r="B485" s="91"/>
      <c r="C485" s="92" t="s">
        <v>1920</v>
      </c>
      <c r="D485" s="93"/>
      <c r="E485" s="93"/>
      <c r="F485" s="94" t="s">
        <v>116</v>
      </c>
      <c r="G485" s="95">
        <v>20</v>
      </c>
      <c r="H485" s="180"/>
      <c r="I485" s="229">
        <v>13255.5</v>
      </c>
      <c r="J485" s="321"/>
      <c r="K485" s="257"/>
      <c r="L485" s="280"/>
      <c r="M485" s="401"/>
      <c r="N485" s="423"/>
      <c r="O485" s="423"/>
      <c r="P485" s="423"/>
      <c r="Q485" s="423"/>
      <c r="R485" s="218"/>
      <c r="S485" s="218"/>
      <c r="T485" s="213">
        <v>0.28000000000000003</v>
      </c>
      <c r="U485" s="211"/>
      <c r="V485" s="273"/>
      <c r="W485" s="206">
        <f t="shared" si="4"/>
        <v>3711.54</v>
      </c>
    </row>
    <row r="486" spans="1:25" ht="22.8" hidden="1" x14ac:dyDescent="0.4">
      <c r="A486" s="91" t="s">
        <v>1924</v>
      </c>
      <c r="B486" s="91"/>
      <c r="C486" s="92" t="s">
        <v>1849</v>
      </c>
      <c r="D486" s="93"/>
      <c r="E486" s="93"/>
      <c r="F486" s="94" t="s">
        <v>116</v>
      </c>
      <c r="G486" s="95">
        <v>2.2200000000000002</v>
      </c>
      <c r="H486" s="180"/>
      <c r="I486" s="229">
        <v>1471.3610000000001</v>
      </c>
      <c r="J486" s="321"/>
      <c r="K486" s="257"/>
      <c r="L486" s="280"/>
      <c r="M486" s="401"/>
      <c r="N486" s="423"/>
      <c r="O486" s="423"/>
      <c r="P486" s="423"/>
      <c r="Q486" s="423"/>
      <c r="R486" s="218"/>
      <c r="S486" s="218"/>
      <c r="T486" s="213">
        <v>80</v>
      </c>
      <c r="U486" s="211"/>
      <c r="V486" s="273"/>
      <c r="W486" s="206">
        <f t="shared" si="4"/>
        <v>117708.88</v>
      </c>
    </row>
    <row r="487" spans="1:25" ht="36" hidden="1" x14ac:dyDescent="0.4">
      <c r="A487" s="91" t="s">
        <v>1927</v>
      </c>
      <c r="B487" s="91"/>
      <c r="C487" s="96" t="s">
        <v>1928</v>
      </c>
      <c r="D487" s="93"/>
      <c r="E487" s="93"/>
      <c r="F487" s="94" t="s">
        <v>87</v>
      </c>
      <c r="G487" s="95">
        <v>13.5</v>
      </c>
      <c r="H487" s="180"/>
      <c r="I487" s="229">
        <v>8947.4629999999997</v>
      </c>
      <c r="J487" s="321"/>
      <c r="K487" s="257"/>
      <c r="L487" s="280"/>
      <c r="M487" s="401"/>
      <c r="N487" s="423"/>
      <c r="O487" s="423"/>
      <c r="P487" s="423"/>
      <c r="Q487" s="423"/>
      <c r="R487" s="218"/>
      <c r="S487" s="218"/>
      <c r="T487" s="213">
        <v>32.950000000000003</v>
      </c>
      <c r="U487" s="211"/>
      <c r="V487" s="273"/>
      <c r="W487" s="206">
        <f t="shared" si="4"/>
        <v>294818.90999999997</v>
      </c>
    </row>
    <row r="488" spans="1:25" ht="22.8" hidden="1" x14ac:dyDescent="0.4">
      <c r="A488" s="91" t="s">
        <v>1932</v>
      </c>
      <c r="B488" s="91"/>
      <c r="C488" s="92" t="s">
        <v>1933</v>
      </c>
      <c r="D488" s="93"/>
      <c r="E488" s="93"/>
      <c r="F488" s="94" t="s">
        <v>116</v>
      </c>
      <c r="G488" s="95">
        <v>33.75</v>
      </c>
      <c r="H488" s="180"/>
      <c r="I488" s="229">
        <v>22368.655999999999</v>
      </c>
      <c r="J488" s="321"/>
      <c r="K488" s="257"/>
      <c r="L488" s="280"/>
      <c r="M488" s="401"/>
      <c r="N488" s="423"/>
      <c r="O488" s="423"/>
      <c r="P488" s="423"/>
      <c r="Q488" s="423"/>
      <c r="R488" s="218"/>
      <c r="S488" s="218"/>
      <c r="T488" s="213">
        <v>0.9</v>
      </c>
      <c r="U488" s="211"/>
      <c r="V488" s="273"/>
      <c r="W488" s="206">
        <f t="shared" si="4"/>
        <v>20131.79</v>
      </c>
    </row>
    <row r="489" spans="1:25" ht="36" hidden="1" x14ac:dyDescent="0.4">
      <c r="A489" s="91" t="s">
        <v>1937</v>
      </c>
      <c r="B489" s="91"/>
      <c r="C489" s="92" t="s">
        <v>1767</v>
      </c>
      <c r="D489" s="93"/>
      <c r="E489" s="93"/>
      <c r="F489" s="94" t="s">
        <v>64</v>
      </c>
      <c r="G489" s="95">
        <v>2.1</v>
      </c>
      <c r="H489" s="180"/>
      <c r="I489" s="229">
        <v>1391.828</v>
      </c>
      <c r="J489" s="321"/>
      <c r="K489" s="257"/>
      <c r="L489" s="280"/>
      <c r="M489" s="401"/>
      <c r="N489" s="423"/>
      <c r="O489" s="423"/>
      <c r="P489" s="423"/>
      <c r="Q489" s="423"/>
      <c r="R489" s="218"/>
      <c r="S489" s="218"/>
      <c r="T489" s="213">
        <v>135.53</v>
      </c>
      <c r="U489" s="211"/>
      <c r="V489" s="273"/>
      <c r="W489" s="206">
        <f t="shared" si="4"/>
        <v>188634.45</v>
      </c>
    </row>
    <row r="490" spans="1:25" ht="22.8" hidden="1" x14ac:dyDescent="0.4">
      <c r="A490" s="91" t="s">
        <v>1940</v>
      </c>
      <c r="B490" s="91"/>
      <c r="C490" s="92" t="s">
        <v>1774</v>
      </c>
      <c r="D490" s="93"/>
      <c r="E490" s="93"/>
      <c r="F490" s="94" t="s">
        <v>116</v>
      </c>
      <c r="G490" s="95">
        <v>0.6</v>
      </c>
      <c r="H490" s="180"/>
      <c r="I490" s="229">
        <v>397.66500000000002</v>
      </c>
      <c r="J490" s="321"/>
      <c r="K490" s="257"/>
      <c r="L490" s="280"/>
      <c r="M490" s="401"/>
      <c r="N490" s="423"/>
      <c r="O490" s="423"/>
      <c r="P490" s="423"/>
      <c r="Q490" s="423"/>
      <c r="R490" s="218"/>
      <c r="S490" s="218"/>
      <c r="T490" s="213">
        <v>119.25</v>
      </c>
      <c r="U490" s="211"/>
      <c r="V490" s="273"/>
      <c r="W490" s="206">
        <f t="shared" si="4"/>
        <v>47421.55</v>
      </c>
    </row>
    <row r="491" spans="1:25" ht="30.45" customHeight="1" x14ac:dyDescent="0.45">
      <c r="A491" s="308" t="s">
        <v>1943</v>
      </c>
      <c r="B491" s="308" t="s">
        <v>1944</v>
      </c>
      <c r="C491" s="297" t="s">
        <v>1945</v>
      </c>
      <c r="D491" s="298"/>
      <c r="E491" s="298"/>
      <c r="F491" s="298"/>
      <c r="G491" s="298"/>
      <c r="H491" s="298"/>
      <c r="I491" s="223"/>
      <c r="J491" s="324"/>
      <c r="K491" s="257"/>
      <c r="L491" s="280"/>
      <c r="M491" s="219"/>
      <c r="N491" s="421"/>
      <c r="O491" s="421"/>
      <c r="P491" s="421"/>
      <c r="Q491" s="421"/>
      <c r="R491" s="224"/>
      <c r="S491" s="219"/>
      <c r="T491" s="210"/>
      <c r="U491" s="211"/>
      <c r="V491" s="273"/>
      <c r="W491" s="205">
        <f>SUM(W492,W494)</f>
        <v>2711160</v>
      </c>
      <c r="X491" s="6">
        <f>SUM(X492,X494)</f>
        <v>698900</v>
      </c>
      <c r="Y491" s="6">
        <f>SUM(Y492,Y494)</f>
        <v>3410060</v>
      </c>
    </row>
    <row r="492" spans="1:25" ht="31.5" customHeight="1" x14ac:dyDescent="0.3">
      <c r="A492" s="157" t="s">
        <v>1946</v>
      </c>
      <c r="B492" s="157" t="s">
        <v>1947</v>
      </c>
      <c r="C492" s="104" t="s">
        <v>1948</v>
      </c>
      <c r="D492" s="105"/>
      <c r="E492" s="105" t="s">
        <v>1949</v>
      </c>
      <c r="F492" s="105" t="s">
        <v>116</v>
      </c>
      <c r="G492" s="106">
        <v>1</v>
      </c>
      <c r="H492" s="186"/>
      <c r="I492" s="228">
        <v>7</v>
      </c>
      <c r="J492" s="323"/>
      <c r="K492" s="258"/>
      <c r="L492" s="281"/>
      <c r="M492" s="221"/>
      <c r="N492" s="422"/>
      <c r="O492" s="422"/>
      <c r="P492" s="422"/>
      <c r="Q492" s="422"/>
      <c r="R492" s="220"/>
      <c r="S492" s="221"/>
      <c r="T492" s="212">
        <f>IFERROR(ROUND(SUM(W493)/I492, 2),0)</f>
        <v>151920</v>
      </c>
      <c r="U492" s="202">
        <v>22700</v>
      </c>
      <c r="V492" s="274">
        <f>T492+ROUND(U492, 2)</f>
        <v>174620</v>
      </c>
      <c r="W492" s="182">
        <f>ROUND(T492*I492, 2)</f>
        <v>1063440</v>
      </c>
      <c r="X492" s="14">
        <f>ROUND(I492*ROUND(U492, 2), 2)</f>
        <v>158900</v>
      </c>
      <c r="Y492" s="14">
        <f>W492+X492</f>
        <v>1222340</v>
      </c>
    </row>
    <row r="493" spans="1:25" ht="94.05" hidden="1" customHeight="1" x14ac:dyDescent="0.4">
      <c r="A493" s="91" t="s">
        <v>1952</v>
      </c>
      <c r="B493" s="91"/>
      <c r="C493" s="92" t="s">
        <v>1953</v>
      </c>
      <c r="D493" s="93"/>
      <c r="E493" s="93" t="s">
        <v>1954</v>
      </c>
      <c r="F493" s="94" t="s">
        <v>116</v>
      </c>
      <c r="G493" s="95">
        <v>1</v>
      </c>
      <c r="H493" s="180"/>
      <c r="I493" s="229">
        <v>7</v>
      </c>
      <c r="J493" s="321"/>
      <c r="K493" s="257"/>
      <c r="L493" s="280"/>
      <c r="M493" s="401"/>
      <c r="N493" s="423"/>
      <c r="O493" s="423"/>
      <c r="P493" s="423"/>
      <c r="Q493" s="423"/>
      <c r="R493" s="218"/>
      <c r="S493" s="218"/>
      <c r="T493" s="213">
        <v>151920</v>
      </c>
      <c r="U493" s="211"/>
      <c r="V493" s="273"/>
      <c r="W493" s="206">
        <f>ROUND(ROUND(T493, 2)*I493, 2)</f>
        <v>1063440</v>
      </c>
    </row>
    <row r="494" spans="1:25" ht="51" customHeight="1" x14ac:dyDescent="0.3">
      <c r="A494" s="172" t="s">
        <v>1958</v>
      </c>
      <c r="B494" s="172" t="s">
        <v>1959</v>
      </c>
      <c r="C494" s="169" t="s">
        <v>1960</v>
      </c>
      <c r="D494" s="170"/>
      <c r="E494" s="170" t="s">
        <v>1961</v>
      </c>
      <c r="F494" s="170" t="s">
        <v>116</v>
      </c>
      <c r="G494" s="171">
        <v>1</v>
      </c>
      <c r="H494" s="195"/>
      <c r="I494" s="228">
        <v>60</v>
      </c>
      <c r="J494" s="323"/>
      <c r="K494" s="258"/>
      <c r="L494" s="281"/>
      <c r="M494" s="221"/>
      <c r="N494" s="422"/>
      <c r="O494" s="422"/>
      <c r="P494" s="422"/>
      <c r="Q494" s="422"/>
      <c r="R494" s="220"/>
      <c r="S494" s="221"/>
      <c r="T494" s="212">
        <f>IFERROR(ROUND(SUM(W495)/I494, 2),0)</f>
        <v>27462</v>
      </c>
      <c r="U494" s="202">
        <v>9000</v>
      </c>
      <c r="V494" s="274">
        <f>T494+ROUND(U494, 2)</f>
        <v>36462</v>
      </c>
      <c r="W494" s="182">
        <f>ROUND(T494*I494, 2)</f>
        <v>1647720</v>
      </c>
      <c r="X494" s="14">
        <f>ROUND(I494*ROUND(U494, 2), 2)</f>
        <v>540000</v>
      </c>
      <c r="Y494" s="14">
        <f>W494+X494</f>
        <v>2187720</v>
      </c>
    </row>
    <row r="495" spans="1:25" ht="121.05" hidden="1" customHeight="1" x14ac:dyDescent="0.4">
      <c r="A495" s="91" t="s">
        <v>1964</v>
      </c>
      <c r="B495" s="91"/>
      <c r="C495" s="92" t="s">
        <v>1965</v>
      </c>
      <c r="D495" s="93"/>
      <c r="E495" s="93" t="s">
        <v>1966</v>
      </c>
      <c r="F495" s="94" t="s">
        <v>116</v>
      </c>
      <c r="G495" s="95">
        <v>1</v>
      </c>
      <c r="H495" s="180"/>
      <c r="I495" s="229">
        <v>60</v>
      </c>
      <c r="J495" s="321"/>
      <c r="K495" s="257"/>
      <c r="L495" s="280"/>
      <c r="M495" s="401"/>
      <c r="N495" s="423"/>
      <c r="O495" s="423"/>
      <c r="P495" s="423"/>
      <c r="Q495" s="423"/>
      <c r="R495" s="218"/>
      <c r="S495" s="218"/>
      <c r="T495" s="213">
        <v>27462</v>
      </c>
      <c r="U495" s="211"/>
      <c r="V495" s="273"/>
      <c r="W495" s="206">
        <f>ROUND(ROUND(T495, 2)*I495, 2)</f>
        <v>1647720</v>
      </c>
    </row>
    <row r="496" spans="1:25" ht="30.45" customHeight="1" x14ac:dyDescent="0.45">
      <c r="A496" s="308" t="s">
        <v>1970</v>
      </c>
      <c r="B496" s="308" t="s">
        <v>1971</v>
      </c>
      <c r="C496" s="297" t="s">
        <v>1972</v>
      </c>
      <c r="D496" s="298"/>
      <c r="E496" s="298"/>
      <c r="F496" s="298"/>
      <c r="G496" s="298"/>
      <c r="H496" s="298"/>
      <c r="I496" s="363"/>
      <c r="J496" s="324"/>
      <c r="K496" s="257"/>
      <c r="L496" s="280"/>
      <c r="M496" s="407"/>
      <c r="N496" s="421"/>
      <c r="O496" s="421"/>
      <c r="P496" s="421"/>
      <c r="Q496" s="421"/>
      <c r="R496" s="361"/>
      <c r="S496" s="359"/>
      <c r="T496" s="210"/>
      <c r="U496" s="211"/>
      <c r="V496" s="273"/>
      <c r="W496" s="205">
        <f>SUM(W497,W513)</f>
        <v>1075636.0899999999</v>
      </c>
      <c r="X496" s="6">
        <f>SUM(X497,X513)</f>
        <v>11035123.120000001</v>
      </c>
      <c r="Y496" s="6">
        <f>SUM(Y497,Y513)</f>
        <v>12110759.210000001</v>
      </c>
    </row>
    <row r="497" spans="1:25" ht="37.049999999999997" customHeight="1" x14ac:dyDescent="0.45">
      <c r="A497" s="308" t="s">
        <v>1973</v>
      </c>
      <c r="B497" s="308" t="s">
        <v>1974</v>
      </c>
      <c r="C497" s="297" t="s">
        <v>1975</v>
      </c>
      <c r="D497" s="298"/>
      <c r="E497" s="298"/>
      <c r="F497" s="298"/>
      <c r="G497" s="298"/>
      <c r="H497" s="298"/>
      <c r="I497" s="364"/>
      <c r="J497" s="324"/>
      <c r="K497" s="257"/>
      <c r="L497" s="280"/>
      <c r="M497" s="408"/>
      <c r="N497" s="421"/>
      <c r="O497" s="421"/>
      <c r="P497" s="421"/>
      <c r="Q497" s="421"/>
      <c r="R497" s="362"/>
      <c r="S497" s="360"/>
      <c r="T497" s="210"/>
      <c r="U497" s="211"/>
      <c r="V497" s="273"/>
      <c r="W497" s="205">
        <f>SUM(W498,W501,W504,W507,W510)</f>
        <v>647882</v>
      </c>
      <c r="X497" s="6">
        <f>SUM(X498,X501,X504,X507,X510)</f>
        <v>8293286.8000000007</v>
      </c>
      <c r="Y497" s="6">
        <f>SUM(Y498,Y501,Y504,Y507,Y510)</f>
        <v>8941168.8000000007</v>
      </c>
    </row>
    <row r="498" spans="1:25" ht="36" hidden="1" x14ac:dyDescent="0.3">
      <c r="A498" s="146" t="s">
        <v>1976</v>
      </c>
      <c r="B498" s="146" t="s">
        <v>1977</v>
      </c>
      <c r="C498" s="147" t="s">
        <v>1978</v>
      </c>
      <c r="D498" s="148"/>
      <c r="E498" s="148" t="s">
        <v>63</v>
      </c>
      <c r="F498" s="148" t="s">
        <v>64</v>
      </c>
      <c r="G498" s="149">
        <v>1</v>
      </c>
      <c r="H498" s="196"/>
      <c r="I498" s="231">
        <v>0</v>
      </c>
      <c r="J498" s="326"/>
      <c r="K498" s="258"/>
      <c r="L498" s="281"/>
      <c r="M498" s="221"/>
      <c r="N498" s="422"/>
      <c r="O498" s="422"/>
      <c r="P498" s="422"/>
      <c r="Q498" s="422"/>
      <c r="R498" s="220"/>
      <c r="S498" s="221"/>
      <c r="T498" s="212">
        <f>IFERROR(ROUND(SUM(W499,W500)/I498, 2),0)</f>
        <v>0</v>
      </c>
      <c r="U498" s="202">
        <v>570</v>
      </c>
      <c r="V498" s="274">
        <f>T498+ROUND(U498, 2)</f>
        <v>570</v>
      </c>
      <c r="W498" s="182">
        <f>ROUND(T498*I498, 2)</f>
        <v>0</v>
      </c>
      <c r="X498" s="14">
        <f>ROUND(I498*ROUND(U498, 2), 2)</f>
        <v>0</v>
      </c>
      <c r="Y498" s="14">
        <f>W498+X498</f>
        <v>0</v>
      </c>
    </row>
    <row r="499" spans="1:25" ht="72" hidden="1" x14ac:dyDescent="0.4">
      <c r="A499" s="146" t="s">
        <v>1982</v>
      </c>
      <c r="B499" s="146"/>
      <c r="C499" s="151" t="s">
        <v>1983</v>
      </c>
      <c r="D499" s="148"/>
      <c r="E499" s="148" t="s">
        <v>1984</v>
      </c>
      <c r="F499" s="152" t="s">
        <v>70</v>
      </c>
      <c r="G499" s="153">
        <v>4.5</v>
      </c>
      <c r="H499" s="197"/>
      <c r="I499" s="229">
        <v>0</v>
      </c>
      <c r="J499" s="325"/>
      <c r="K499" s="257"/>
      <c r="L499" s="280"/>
      <c r="M499" s="401"/>
      <c r="N499" s="423"/>
      <c r="O499" s="423"/>
      <c r="P499" s="423"/>
      <c r="Q499" s="423"/>
      <c r="R499" s="218"/>
      <c r="S499" s="218"/>
      <c r="T499" s="213">
        <v>12.58</v>
      </c>
      <c r="U499" s="211"/>
      <c r="V499" s="273"/>
      <c r="W499" s="206">
        <f>ROUND(ROUND(T499, 2)*I499, 2)</f>
        <v>0</v>
      </c>
    </row>
    <row r="500" spans="1:25" ht="22.8" hidden="1" x14ac:dyDescent="0.4">
      <c r="A500" s="146" t="s">
        <v>1990</v>
      </c>
      <c r="B500" s="146"/>
      <c r="C500" s="155" t="s">
        <v>760</v>
      </c>
      <c r="D500" s="148"/>
      <c r="E500" s="148"/>
      <c r="F500" s="152" t="s">
        <v>70</v>
      </c>
      <c r="G500" s="153">
        <v>0.15</v>
      </c>
      <c r="H500" s="197"/>
      <c r="I500" s="229">
        <v>0</v>
      </c>
      <c r="J500" s="325"/>
      <c r="K500" s="257"/>
      <c r="L500" s="280"/>
      <c r="M500" s="401"/>
      <c r="N500" s="423"/>
      <c r="O500" s="423"/>
      <c r="P500" s="423"/>
      <c r="Q500" s="423"/>
      <c r="R500" s="218"/>
      <c r="S500" s="218"/>
      <c r="T500" s="213">
        <v>100</v>
      </c>
      <c r="U500" s="211"/>
      <c r="V500" s="273"/>
      <c r="W500" s="206">
        <f>ROUND(ROUND(T500, 2)*I500, 2)</f>
        <v>0</v>
      </c>
    </row>
    <row r="501" spans="1:25" ht="134.55000000000001" customHeight="1" x14ac:dyDescent="0.3">
      <c r="A501" s="74" t="s">
        <v>1995</v>
      </c>
      <c r="B501" s="74" t="s">
        <v>1996</v>
      </c>
      <c r="C501" s="75" t="s">
        <v>1997</v>
      </c>
      <c r="D501" s="76"/>
      <c r="E501" s="76" t="s">
        <v>1998</v>
      </c>
      <c r="F501" s="76" t="s">
        <v>64</v>
      </c>
      <c r="G501" s="77">
        <v>1</v>
      </c>
      <c r="H501" s="177"/>
      <c r="I501" s="228">
        <v>2789.37</v>
      </c>
      <c r="J501" s="322"/>
      <c r="K501" s="258"/>
      <c r="L501" s="281"/>
      <c r="M501" s="221"/>
      <c r="N501" s="422"/>
      <c r="O501" s="422"/>
      <c r="P501" s="422"/>
      <c r="Q501" s="422"/>
      <c r="R501" s="220"/>
      <c r="S501" s="221"/>
      <c r="T501" s="212">
        <f>IFERROR(ROUND(SUM(W502,W503)/I501, 2),0)</f>
        <v>69.319999999999993</v>
      </c>
      <c r="U501" s="202">
        <v>790</v>
      </c>
      <c r="V501" s="274">
        <f>T501+ROUND(U501, 2)</f>
        <v>859.31999999999994</v>
      </c>
      <c r="W501" s="182">
        <f>ROUND(T501*I501, 2)</f>
        <v>193359.13</v>
      </c>
      <c r="X501" s="14">
        <f>ROUND(I501*ROUND(U501, 2), 2)</f>
        <v>2203602.2999999998</v>
      </c>
      <c r="Y501" s="14">
        <f>W501+X501</f>
        <v>2396961.4299999997</v>
      </c>
    </row>
    <row r="502" spans="1:25" ht="36" hidden="1" x14ac:dyDescent="0.4">
      <c r="A502" s="91" t="s">
        <v>2001</v>
      </c>
      <c r="B502" s="91"/>
      <c r="C502" s="96" t="s">
        <v>736</v>
      </c>
      <c r="D502" s="93"/>
      <c r="E502" s="93"/>
      <c r="F502" s="94" t="s">
        <v>70</v>
      </c>
      <c r="G502" s="95">
        <v>4.5</v>
      </c>
      <c r="H502" s="180"/>
      <c r="I502" s="229">
        <v>12552.165000000001</v>
      </c>
      <c r="J502" s="321"/>
      <c r="K502" s="257"/>
      <c r="L502" s="280"/>
      <c r="M502" s="401"/>
      <c r="N502" s="423"/>
      <c r="O502" s="423"/>
      <c r="P502" s="423"/>
      <c r="Q502" s="423"/>
      <c r="R502" s="218"/>
      <c r="S502" s="218"/>
      <c r="T502" s="213">
        <v>12.07</v>
      </c>
      <c r="U502" s="211"/>
      <c r="V502" s="273"/>
      <c r="W502" s="206">
        <f>ROUND(ROUND(T502, 2)*I502, 2)</f>
        <v>151504.63</v>
      </c>
    </row>
    <row r="503" spans="1:25" ht="22.8" hidden="1" x14ac:dyDescent="0.4">
      <c r="A503" s="91" t="s">
        <v>2004</v>
      </c>
      <c r="B503" s="91"/>
      <c r="C503" s="92" t="s">
        <v>760</v>
      </c>
      <c r="D503" s="93"/>
      <c r="E503" s="93"/>
      <c r="F503" s="94" t="s">
        <v>70</v>
      </c>
      <c r="G503" s="95">
        <v>0.15</v>
      </c>
      <c r="H503" s="180"/>
      <c r="I503" s="229">
        <v>418.40600000000001</v>
      </c>
      <c r="J503" s="321"/>
      <c r="K503" s="257"/>
      <c r="L503" s="280"/>
      <c r="M503" s="401"/>
      <c r="N503" s="423"/>
      <c r="O503" s="423"/>
      <c r="P503" s="423"/>
      <c r="Q503" s="423"/>
      <c r="R503" s="218"/>
      <c r="S503" s="218"/>
      <c r="T503" s="213">
        <v>100</v>
      </c>
      <c r="U503" s="211"/>
      <c r="V503" s="273"/>
      <c r="W503" s="206">
        <f>ROUND(ROUND(T503, 2)*I503, 2)</f>
        <v>41840.6</v>
      </c>
    </row>
    <row r="504" spans="1:25" ht="137.55000000000001" customHeight="1" x14ac:dyDescent="0.3">
      <c r="A504" s="74" t="s">
        <v>2007</v>
      </c>
      <c r="B504" s="74" t="s">
        <v>1996</v>
      </c>
      <c r="C504" s="75" t="s">
        <v>1997</v>
      </c>
      <c r="D504" s="76"/>
      <c r="E504" s="76" t="s">
        <v>2008</v>
      </c>
      <c r="F504" s="76" t="s">
        <v>64</v>
      </c>
      <c r="G504" s="77">
        <v>1</v>
      </c>
      <c r="H504" s="177"/>
      <c r="I504" s="228">
        <v>3418.18</v>
      </c>
      <c r="J504" s="322"/>
      <c r="K504" s="258"/>
      <c r="L504" s="281"/>
      <c r="M504" s="221"/>
      <c r="N504" s="422"/>
      <c r="O504" s="422"/>
      <c r="P504" s="422"/>
      <c r="Q504" s="422"/>
      <c r="R504" s="220"/>
      <c r="S504" s="221"/>
      <c r="T504" s="212">
        <f>IFERROR(ROUND(SUM(W505,W506)/I504, 2),0)</f>
        <v>69.319999999999993</v>
      </c>
      <c r="U504" s="202">
        <v>790</v>
      </c>
      <c r="V504" s="274">
        <f>T504+ROUND(U504, 2)</f>
        <v>859.31999999999994</v>
      </c>
      <c r="W504" s="182">
        <f>ROUND(T504*I504, 2)</f>
        <v>236948.24</v>
      </c>
      <c r="X504" s="14">
        <f>ROUND(I504*ROUND(U504, 2), 2)</f>
        <v>2700362.2</v>
      </c>
      <c r="Y504" s="14">
        <f>W504+X504</f>
        <v>2937310.4400000004</v>
      </c>
    </row>
    <row r="505" spans="1:25" ht="22.8" hidden="1" x14ac:dyDescent="0.4">
      <c r="A505" s="91" t="s">
        <v>2009</v>
      </c>
      <c r="B505" s="91"/>
      <c r="C505" s="92" t="s">
        <v>760</v>
      </c>
      <c r="D505" s="93"/>
      <c r="E505" s="93"/>
      <c r="F505" s="94" t="s">
        <v>70</v>
      </c>
      <c r="G505" s="95">
        <v>0.15</v>
      </c>
      <c r="H505" s="191"/>
      <c r="I505" s="229">
        <v>512.72699999999998</v>
      </c>
      <c r="J505" s="329"/>
      <c r="K505" s="257"/>
      <c r="L505" s="280"/>
      <c r="M505" s="401"/>
      <c r="N505" s="423"/>
      <c r="O505" s="423"/>
      <c r="P505" s="423"/>
      <c r="Q505" s="423"/>
      <c r="R505" s="218"/>
      <c r="S505" s="218"/>
      <c r="T505" s="213">
        <v>100</v>
      </c>
      <c r="U505" s="211"/>
      <c r="V505" s="273"/>
      <c r="W505" s="206">
        <f>ROUND(ROUND(T505, 2)*I505, 2)</f>
        <v>51272.7</v>
      </c>
    </row>
    <row r="506" spans="1:25" ht="36" hidden="1" x14ac:dyDescent="0.4">
      <c r="A506" s="91" t="s">
        <v>2012</v>
      </c>
      <c r="B506" s="91"/>
      <c r="C506" s="96" t="s">
        <v>736</v>
      </c>
      <c r="D506" s="93"/>
      <c r="E506" s="93"/>
      <c r="F506" s="94" t="s">
        <v>70</v>
      </c>
      <c r="G506" s="95">
        <v>4.5</v>
      </c>
      <c r="H506" s="191"/>
      <c r="I506" s="229">
        <v>15381.81</v>
      </c>
      <c r="J506" s="329"/>
      <c r="K506" s="257"/>
      <c r="L506" s="280"/>
      <c r="M506" s="401"/>
      <c r="N506" s="423"/>
      <c r="O506" s="423"/>
      <c r="P506" s="423"/>
      <c r="Q506" s="423"/>
      <c r="R506" s="218"/>
      <c r="S506" s="218"/>
      <c r="T506" s="213">
        <v>12.07</v>
      </c>
      <c r="U506" s="211"/>
      <c r="V506" s="273"/>
      <c r="W506" s="206">
        <f>ROUND(ROUND(T506, 2)*I506, 2)</f>
        <v>185658.45</v>
      </c>
    </row>
    <row r="507" spans="1:25" ht="145.05000000000001" customHeight="1" x14ac:dyDescent="0.3">
      <c r="A507" s="74" t="s">
        <v>2015</v>
      </c>
      <c r="B507" s="74" t="s">
        <v>2016</v>
      </c>
      <c r="C507" s="75" t="s">
        <v>2017</v>
      </c>
      <c r="D507" s="76"/>
      <c r="E507" s="76" t="s">
        <v>2018</v>
      </c>
      <c r="F507" s="76" t="s">
        <v>64</v>
      </c>
      <c r="G507" s="77">
        <v>1</v>
      </c>
      <c r="H507" s="177"/>
      <c r="I507" s="228">
        <v>3418.18</v>
      </c>
      <c r="J507" s="322"/>
      <c r="K507" s="258"/>
      <c r="L507" s="281"/>
      <c r="M507" s="221"/>
      <c r="N507" s="422"/>
      <c r="O507" s="422"/>
      <c r="P507" s="422"/>
      <c r="Q507" s="422"/>
      <c r="R507" s="220"/>
      <c r="S507" s="221"/>
      <c r="T507" s="212">
        <f>IFERROR(ROUND(SUM(W508,W509)/I507, 2),0)</f>
        <v>35.049999999999997</v>
      </c>
      <c r="U507" s="202">
        <v>546</v>
      </c>
      <c r="V507" s="274">
        <f>T507+ROUND(U507, 2)</f>
        <v>581.04999999999995</v>
      </c>
      <c r="W507" s="182">
        <f>ROUND(T507*I507, 2)</f>
        <v>119807.21</v>
      </c>
      <c r="X507" s="14">
        <f>ROUND(I507*ROUND(U507, 2), 2)</f>
        <v>1866326.28</v>
      </c>
      <c r="Y507" s="14">
        <f>W507+X507</f>
        <v>1986133.49</v>
      </c>
    </row>
    <row r="508" spans="1:25" ht="36" hidden="1" x14ac:dyDescent="0.4">
      <c r="A508" s="91" t="s">
        <v>2021</v>
      </c>
      <c r="B508" s="91"/>
      <c r="C508" s="96" t="s">
        <v>1983</v>
      </c>
      <c r="D508" s="93"/>
      <c r="E508" s="93"/>
      <c r="F508" s="94" t="s">
        <v>70</v>
      </c>
      <c r="G508" s="95">
        <v>1.8</v>
      </c>
      <c r="H508" s="180"/>
      <c r="I508" s="229">
        <v>6152.7240000000002</v>
      </c>
      <c r="J508" s="321"/>
      <c r="K508" s="257"/>
      <c r="L508" s="280"/>
      <c r="M508" s="401"/>
      <c r="N508" s="423"/>
      <c r="O508" s="423"/>
      <c r="P508" s="423"/>
      <c r="Q508" s="423"/>
      <c r="R508" s="218"/>
      <c r="S508" s="218"/>
      <c r="T508" s="213">
        <v>12.07</v>
      </c>
      <c r="U508" s="211"/>
      <c r="V508" s="273"/>
      <c r="W508" s="206">
        <f>ROUND(ROUND(T508, 2)*I508, 2)</f>
        <v>74263.38</v>
      </c>
    </row>
    <row r="509" spans="1:25" ht="36" hidden="1" x14ac:dyDescent="0.4">
      <c r="A509" s="91" t="s">
        <v>2024</v>
      </c>
      <c r="B509" s="91"/>
      <c r="C509" s="92" t="s">
        <v>75</v>
      </c>
      <c r="D509" s="93"/>
      <c r="E509" s="93"/>
      <c r="F509" s="94" t="s">
        <v>70</v>
      </c>
      <c r="G509" s="95">
        <v>0.15</v>
      </c>
      <c r="H509" s="180"/>
      <c r="I509" s="229">
        <v>512.72699999999998</v>
      </c>
      <c r="J509" s="321"/>
      <c r="K509" s="257"/>
      <c r="L509" s="280"/>
      <c r="M509" s="401"/>
      <c r="N509" s="423"/>
      <c r="O509" s="423"/>
      <c r="P509" s="423"/>
      <c r="Q509" s="423"/>
      <c r="R509" s="218"/>
      <c r="S509" s="218"/>
      <c r="T509" s="213">
        <v>88.8</v>
      </c>
      <c r="U509" s="211"/>
      <c r="V509" s="273"/>
      <c r="W509" s="206">
        <f>ROUND(ROUND(T509, 2)*I509, 2)</f>
        <v>45530.16</v>
      </c>
    </row>
    <row r="510" spans="1:25" ht="148.94999999999999" customHeight="1" x14ac:dyDescent="0.3">
      <c r="A510" s="74" t="s">
        <v>2027</v>
      </c>
      <c r="B510" s="74" t="s">
        <v>2016</v>
      </c>
      <c r="C510" s="75" t="s">
        <v>2017</v>
      </c>
      <c r="D510" s="76"/>
      <c r="E510" s="76" t="s">
        <v>2028</v>
      </c>
      <c r="F510" s="76" t="s">
        <v>64</v>
      </c>
      <c r="G510" s="77">
        <v>1</v>
      </c>
      <c r="H510" s="177"/>
      <c r="I510" s="228">
        <v>2789.37</v>
      </c>
      <c r="J510" s="322"/>
      <c r="K510" s="258"/>
      <c r="L510" s="281"/>
      <c r="M510" s="221"/>
      <c r="N510" s="422"/>
      <c r="O510" s="422"/>
      <c r="P510" s="422"/>
      <c r="Q510" s="422"/>
      <c r="R510" s="220"/>
      <c r="S510" s="221"/>
      <c r="T510" s="212">
        <f>IFERROR(ROUND(SUM(W511,W512)/I510, 2),0)</f>
        <v>35.049999999999997</v>
      </c>
      <c r="U510" s="202">
        <v>546</v>
      </c>
      <c r="V510" s="274">
        <f>T510+ROUND(U510, 2)</f>
        <v>581.04999999999995</v>
      </c>
      <c r="W510" s="182">
        <f>ROUND(T510*I510, 2)</f>
        <v>97767.42</v>
      </c>
      <c r="X510" s="14">
        <f>ROUND(I510*ROUND(U510, 2), 2)</f>
        <v>1522996.02</v>
      </c>
      <c r="Y510" s="14">
        <f>W510+X510</f>
        <v>1620763.44</v>
      </c>
    </row>
    <row r="511" spans="1:25" ht="36" hidden="1" x14ac:dyDescent="0.4">
      <c r="A511" s="91" t="s">
        <v>2029</v>
      </c>
      <c r="B511" s="91"/>
      <c r="C511" s="92" t="s">
        <v>75</v>
      </c>
      <c r="D511" s="93"/>
      <c r="E511" s="93"/>
      <c r="F511" s="94" t="s">
        <v>70</v>
      </c>
      <c r="G511" s="95">
        <v>0.15</v>
      </c>
      <c r="H511" s="180"/>
      <c r="I511" s="229">
        <v>418.40600000000001</v>
      </c>
      <c r="J511" s="321"/>
      <c r="K511" s="257"/>
      <c r="L511" s="280"/>
      <c r="M511" s="401"/>
      <c r="N511" s="423"/>
      <c r="O511" s="423"/>
      <c r="P511" s="423"/>
      <c r="Q511" s="423"/>
      <c r="R511" s="218"/>
      <c r="S511" s="218"/>
      <c r="T511" s="213">
        <v>88.8</v>
      </c>
      <c r="U511" s="211"/>
      <c r="V511" s="273"/>
      <c r="W511" s="206">
        <f>ROUND(ROUND(T511, 2)*I511, 2)</f>
        <v>37154.449999999997</v>
      </c>
    </row>
    <row r="512" spans="1:25" ht="36" hidden="1" x14ac:dyDescent="0.4">
      <c r="A512" s="91" t="s">
        <v>2032</v>
      </c>
      <c r="B512" s="91"/>
      <c r="C512" s="96" t="s">
        <v>1983</v>
      </c>
      <c r="D512" s="93"/>
      <c r="E512" s="93"/>
      <c r="F512" s="94" t="s">
        <v>70</v>
      </c>
      <c r="G512" s="95">
        <v>1.8</v>
      </c>
      <c r="H512" s="180"/>
      <c r="I512" s="229">
        <v>5020.866</v>
      </c>
      <c r="J512" s="321"/>
      <c r="K512" s="257"/>
      <c r="L512" s="280"/>
      <c r="M512" s="401"/>
      <c r="N512" s="423"/>
      <c r="O512" s="423"/>
      <c r="P512" s="423"/>
      <c r="Q512" s="423"/>
      <c r="R512" s="218"/>
      <c r="S512" s="218"/>
      <c r="T512" s="213">
        <v>12.07</v>
      </c>
      <c r="U512" s="211"/>
      <c r="V512" s="273"/>
      <c r="W512" s="206">
        <f>ROUND(ROUND(T512, 2)*I512, 2)</f>
        <v>60601.85</v>
      </c>
    </row>
    <row r="513" spans="1:25" ht="57" customHeight="1" x14ac:dyDescent="0.45">
      <c r="A513" s="309" t="s">
        <v>2035</v>
      </c>
      <c r="B513" s="309" t="s">
        <v>2036</v>
      </c>
      <c r="C513" s="297" t="s">
        <v>2037</v>
      </c>
      <c r="D513" s="298"/>
      <c r="E513" s="298"/>
      <c r="F513" s="298"/>
      <c r="G513" s="298"/>
      <c r="H513" s="298"/>
      <c r="I513" s="223"/>
      <c r="J513" s="324"/>
      <c r="K513" s="257"/>
      <c r="L513" s="280"/>
      <c r="M513" s="219"/>
      <c r="N513" s="421"/>
      <c r="O513" s="421"/>
      <c r="P513" s="421"/>
      <c r="Q513" s="421"/>
      <c r="R513" s="224"/>
      <c r="S513" s="219"/>
      <c r="T513" s="210"/>
      <c r="U513" s="211"/>
      <c r="V513" s="273"/>
      <c r="W513" s="205">
        <f>SUM(W514,W517,W520,W523,W526,W529,W532,W535,W538,W541,W544,W547,W550,W553,W556,W559,W562,W565,W568,W571,W574,W577,W580,W583,W586,W589,W592,W595,W598,W601,W604,W607,W610,W613,W616,W619,W622,W625,W628,W631,W634,W637,W640)</f>
        <v>427754.08999999997</v>
      </c>
      <c r="X513" s="6">
        <f>SUM(X514,X517,X520,X523,X526,X529,X532,X535,X538,X541,X544,X547,X550,X553,X556,X559,X562,X565,X568,X571,X574,X577,X580,X583,X586,X589,X592,X595,X598,X601,X604,X607,X610,X613,X616,X619,X622,X625,X628,X631,X634,X637,X640)</f>
        <v>2741836.3199999994</v>
      </c>
      <c r="Y513" s="6">
        <f>SUM(Y514,Y517,Y520,Y523,Y526,Y529,Y532,Y535,Y538,Y541,Y544,Y547,Y550,Y553,Y556,Y559,Y562,Y565,Y568,Y571,Y574,Y577,Y580,Y583,Y586,Y589,Y592,Y595,Y598,Y601,Y604,Y607,Y610,Y613,Y616,Y619,Y622,Y625,Y628,Y631,Y634,Y637,Y640)</f>
        <v>3169590.4099999997</v>
      </c>
    </row>
    <row r="514" spans="1:25" ht="36" hidden="1" x14ac:dyDescent="0.3">
      <c r="A514" s="107" t="s">
        <v>2038</v>
      </c>
      <c r="B514" s="107" t="s">
        <v>2039</v>
      </c>
      <c r="C514" s="113" t="s">
        <v>2040</v>
      </c>
      <c r="D514" s="109"/>
      <c r="E514" s="109" t="s">
        <v>63</v>
      </c>
      <c r="F514" s="109" t="s">
        <v>64</v>
      </c>
      <c r="G514" s="114">
        <v>1</v>
      </c>
      <c r="H514" s="188"/>
      <c r="I514" s="231">
        <v>0</v>
      </c>
      <c r="J514" s="326"/>
      <c r="K514" s="258"/>
      <c r="L514" s="281"/>
      <c r="M514" s="221"/>
      <c r="N514" s="422"/>
      <c r="O514" s="422"/>
      <c r="P514" s="422"/>
      <c r="Q514" s="422"/>
      <c r="R514" s="220"/>
      <c r="S514" s="221"/>
      <c r="T514" s="212">
        <f>IFERROR(ROUND(SUM(W515,W516)/I514, 2),0)</f>
        <v>0</v>
      </c>
      <c r="U514" s="202">
        <v>278</v>
      </c>
      <c r="V514" s="274">
        <f>T514+ROUND(U514, 2)</f>
        <v>278</v>
      </c>
      <c r="W514" s="182">
        <f>ROUND(T514*I514, 2)</f>
        <v>0</v>
      </c>
      <c r="X514" s="14">
        <f>ROUND(I514*ROUND(U514, 2), 2)</f>
        <v>0</v>
      </c>
      <c r="Y514" s="14">
        <f>W514+X514</f>
        <v>0</v>
      </c>
    </row>
    <row r="515" spans="1:25" ht="75.45" hidden="1" customHeight="1" x14ac:dyDescent="0.4">
      <c r="A515" s="107" t="s">
        <v>2044</v>
      </c>
      <c r="B515" s="107"/>
      <c r="C515" s="108" t="s">
        <v>1091</v>
      </c>
      <c r="D515" s="109"/>
      <c r="E515" s="109" t="s">
        <v>2045</v>
      </c>
      <c r="F515" s="110" t="s">
        <v>70</v>
      </c>
      <c r="G515" s="111">
        <v>0.3</v>
      </c>
      <c r="H515" s="187"/>
      <c r="I515" s="229">
        <v>0</v>
      </c>
      <c r="J515" s="325"/>
      <c r="K515" s="257"/>
      <c r="L515" s="280"/>
      <c r="M515" s="401"/>
      <c r="N515" s="423"/>
      <c r="O515" s="423"/>
      <c r="P515" s="423"/>
      <c r="Q515" s="423"/>
      <c r="R515" s="218"/>
      <c r="S515" s="218"/>
      <c r="T515" s="213">
        <v>388.89</v>
      </c>
      <c r="U515" s="211"/>
      <c r="V515" s="273"/>
      <c r="W515" s="206">
        <f>ROUND(ROUND(T515, 2)*I515, 2)</f>
        <v>0</v>
      </c>
    </row>
    <row r="516" spans="1:25" ht="22.8" hidden="1" x14ac:dyDescent="0.4">
      <c r="A516" s="107" t="s">
        <v>2050</v>
      </c>
      <c r="B516" s="107"/>
      <c r="C516" s="108" t="s">
        <v>433</v>
      </c>
      <c r="D516" s="109"/>
      <c r="E516" s="109"/>
      <c r="F516" s="110" t="s">
        <v>70</v>
      </c>
      <c r="G516" s="111">
        <v>0.15</v>
      </c>
      <c r="H516" s="187"/>
      <c r="I516" s="229">
        <v>0</v>
      </c>
      <c r="J516" s="325"/>
      <c r="K516" s="257"/>
      <c r="L516" s="280"/>
      <c r="M516" s="401"/>
      <c r="N516" s="423"/>
      <c r="O516" s="423"/>
      <c r="P516" s="423"/>
      <c r="Q516" s="423"/>
      <c r="R516" s="218"/>
      <c r="S516" s="218"/>
      <c r="T516" s="213">
        <v>88.8</v>
      </c>
      <c r="U516" s="211"/>
      <c r="V516" s="273"/>
      <c r="W516" s="206">
        <f>ROUND(ROUND(T516, 2)*I516, 2)</f>
        <v>0</v>
      </c>
    </row>
    <row r="517" spans="1:25" ht="36" hidden="1" x14ac:dyDescent="0.3">
      <c r="A517" s="107" t="s">
        <v>2055</v>
      </c>
      <c r="B517" s="107" t="s">
        <v>2039</v>
      </c>
      <c r="C517" s="113" t="s">
        <v>2040</v>
      </c>
      <c r="D517" s="109"/>
      <c r="E517" s="109" t="s">
        <v>63</v>
      </c>
      <c r="F517" s="109" t="s">
        <v>64</v>
      </c>
      <c r="G517" s="114">
        <v>1</v>
      </c>
      <c r="H517" s="188"/>
      <c r="I517" s="231">
        <v>0</v>
      </c>
      <c r="J517" s="326"/>
      <c r="K517" s="258"/>
      <c r="L517" s="281"/>
      <c r="M517" s="221"/>
      <c r="N517" s="422"/>
      <c r="O517" s="422"/>
      <c r="P517" s="422"/>
      <c r="Q517" s="422"/>
      <c r="R517" s="220"/>
      <c r="S517" s="221"/>
      <c r="T517" s="212">
        <f>IFERROR(ROUND(SUM(W518,W519)/I517, 2),0)</f>
        <v>0</v>
      </c>
      <c r="U517" s="202">
        <v>278</v>
      </c>
      <c r="V517" s="274">
        <f>T517+ROUND(U517, 2)</f>
        <v>278</v>
      </c>
      <c r="W517" s="182">
        <f>ROUND(T517*I517, 2)</f>
        <v>0</v>
      </c>
      <c r="X517" s="14">
        <f>ROUND(I517*ROUND(U517, 2), 2)</f>
        <v>0</v>
      </c>
      <c r="Y517" s="14">
        <f>W517+X517</f>
        <v>0</v>
      </c>
    </row>
    <row r="518" spans="1:25" ht="22.8" hidden="1" x14ac:dyDescent="0.4">
      <c r="A518" s="107" t="s">
        <v>2057</v>
      </c>
      <c r="B518" s="107"/>
      <c r="C518" s="108" t="s">
        <v>433</v>
      </c>
      <c r="D518" s="109"/>
      <c r="E518" s="109"/>
      <c r="F518" s="110" t="s">
        <v>70</v>
      </c>
      <c r="G518" s="111">
        <v>0.15</v>
      </c>
      <c r="H518" s="187"/>
      <c r="I518" s="229">
        <v>0</v>
      </c>
      <c r="J518" s="325"/>
      <c r="K518" s="257"/>
      <c r="L518" s="280"/>
      <c r="M518" s="401"/>
      <c r="N518" s="423"/>
      <c r="O518" s="423"/>
      <c r="P518" s="423"/>
      <c r="Q518" s="423"/>
      <c r="R518" s="218"/>
      <c r="S518" s="218"/>
      <c r="T518" s="213">
        <v>88.8</v>
      </c>
      <c r="U518" s="211"/>
      <c r="V518" s="273"/>
      <c r="W518" s="206">
        <f>ROUND(ROUND(T518, 2)*I518, 2)</f>
        <v>0</v>
      </c>
    </row>
    <row r="519" spans="1:25" ht="32.549999999999997" hidden="1" customHeight="1" x14ac:dyDescent="0.4">
      <c r="A519" s="107" t="s">
        <v>2062</v>
      </c>
      <c r="B519" s="107"/>
      <c r="C519" s="108" t="s">
        <v>2063</v>
      </c>
      <c r="D519" s="109"/>
      <c r="E519" s="109" t="s">
        <v>2064</v>
      </c>
      <c r="F519" s="110" t="s">
        <v>70</v>
      </c>
      <c r="G519" s="111">
        <v>0.3</v>
      </c>
      <c r="H519" s="187"/>
      <c r="I519" s="229">
        <v>0</v>
      </c>
      <c r="J519" s="325"/>
      <c r="K519" s="257"/>
      <c r="L519" s="280"/>
      <c r="M519" s="401"/>
      <c r="N519" s="423"/>
      <c r="O519" s="423"/>
      <c r="P519" s="423"/>
      <c r="Q519" s="423"/>
      <c r="R519" s="218"/>
      <c r="S519" s="218"/>
      <c r="T519" s="213">
        <v>226.67</v>
      </c>
      <c r="U519" s="211"/>
      <c r="V519" s="273"/>
      <c r="W519" s="206">
        <f>ROUND(ROUND(T519, 2)*I519, 2)</f>
        <v>0</v>
      </c>
    </row>
    <row r="520" spans="1:25" ht="36" hidden="1" x14ac:dyDescent="0.3">
      <c r="A520" s="107" t="s">
        <v>2070</v>
      </c>
      <c r="B520" s="107" t="s">
        <v>2039</v>
      </c>
      <c r="C520" s="113" t="s">
        <v>2040</v>
      </c>
      <c r="D520" s="109"/>
      <c r="E520" s="109" t="s">
        <v>63</v>
      </c>
      <c r="F520" s="109" t="s">
        <v>64</v>
      </c>
      <c r="G520" s="114">
        <v>1</v>
      </c>
      <c r="H520" s="188"/>
      <c r="I520" s="231">
        <v>0</v>
      </c>
      <c r="J520" s="326"/>
      <c r="K520" s="258"/>
      <c r="L520" s="281"/>
      <c r="M520" s="221"/>
      <c r="N520" s="422"/>
      <c r="O520" s="422"/>
      <c r="P520" s="422"/>
      <c r="Q520" s="422"/>
      <c r="R520" s="220"/>
      <c r="S520" s="221"/>
      <c r="T520" s="212">
        <f>IFERROR(ROUND(SUM(W521,W522)/I520, 2),0)</f>
        <v>0</v>
      </c>
      <c r="U520" s="202">
        <v>278</v>
      </c>
      <c r="V520" s="274">
        <f>T520+ROUND(U520, 2)</f>
        <v>278</v>
      </c>
      <c r="W520" s="182">
        <f>ROUND(T520*I520, 2)</f>
        <v>0</v>
      </c>
      <c r="X520" s="14">
        <f>ROUND(I520*ROUND(U520, 2), 2)</f>
        <v>0</v>
      </c>
      <c r="Y520" s="14">
        <f>W520+X520</f>
        <v>0</v>
      </c>
    </row>
    <row r="521" spans="1:25" ht="99.45" hidden="1" customHeight="1" x14ac:dyDescent="0.4">
      <c r="A521" s="107" t="s">
        <v>2072</v>
      </c>
      <c r="B521" s="107"/>
      <c r="C521" s="108" t="s">
        <v>2063</v>
      </c>
      <c r="D521" s="109"/>
      <c r="E521" s="109" t="s">
        <v>2073</v>
      </c>
      <c r="F521" s="110" t="s">
        <v>70</v>
      </c>
      <c r="G521" s="111">
        <v>0.3</v>
      </c>
      <c r="H521" s="187"/>
      <c r="I521" s="229">
        <v>0</v>
      </c>
      <c r="J521" s="325"/>
      <c r="K521" s="257"/>
      <c r="L521" s="280"/>
      <c r="M521" s="401"/>
      <c r="N521" s="423"/>
      <c r="O521" s="423"/>
      <c r="P521" s="423"/>
      <c r="Q521" s="423"/>
      <c r="R521" s="218"/>
      <c r="S521" s="218"/>
      <c r="T521" s="213">
        <v>226.67</v>
      </c>
      <c r="U521" s="211"/>
      <c r="V521" s="273"/>
      <c r="W521" s="206">
        <f>ROUND(ROUND(T521, 2)*I521, 2)</f>
        <v>0</v>
      </c>
    </row>
    <row r="522" spans="1:25" ht="22.8" hidden="1" x14ac:dyDescent="0.4">
      <c r="A522" s="107" t="s">
        <v>2078</v>
      </c>
      <c r="B522" s="107"/>
      <c r="C522" s="108" t="s">
        <v>433</v>
      </c>
      <c r="D522" s="109"/>
      <c r="E522" s="109"/>
      <c r="F522" s="110" t="s">
        <v>70</v>
      </c>
      <c r="G522" s="111">
        <v>0.15</v>
      </c>
      <c r="H522" s="187"/>
      <c r="I522" s="229">
        <v>0</v>
      </c>
      <c r="J522" s="325"/>
      <c r="K522" s="257"/>
      <c r="L522" s="280"/>
      <c r="M522" s="401"/>
      <c r="N522" s="423"/>
      <c r="O522" s="423"/>
      <c r="P522" s="423"/>
      <c r="Q522" s="423"/>
      <c r="R522" s="218"/>
      <c r="S522" s="218"/>
      <c r="T522" s="213">
        <v>88.8</v>
      </c>
      <c r="U522" s="211"/>
      <c r="V522" s="273"/>
      <c r="W522" s="206">
        <f>ROUND(ROUND(T522, 2)*I522, 2)</f>
        <v>0</v>
      </c>
    </row>
    <row r="523" spans="1:25" ht="36" hidden="1" x14ac:dyDescent="0.3">
      <c r="A523" s="107" t="s">
        <v>2083</v>
      </c>
      <c r="B523" s="107" t="s">
        <v>2039</v>
      </c>
      <c r="C523" s="113" t="s">
        <v>2040</v>
      </c>
      <c r="D523" s="109"/>
      <c r="E523" s="109" t="s">
        <v>63</v>
      </c>
      <c r="F523" s="109" t="s">
        <v>64</v>
      </c>
      <c r="G523" s="114">
        <v>1</v>
      </c>
      <c r="H523" s="188"/>
      <c r="I523" s="231">
        <v>0</v>
      </c>
      <c r="J523" s="326"/>
      <c r="K523" s="258"/>
      <c r="L523" s="281"/>
      <c r="M523" s="221"/>
      <c r="N523" s="422"/>
      <c r="O523" s="422"/>
      <c r="P523" s="422"/>
      <c r="Q523" s="422"/>
      <c r="R523" s="220"/>
      <c r="S523" s="221"/>
      <c r="T523" s="212">
        <f>IFERROR(ROUND(SUM(W524,W525)/I523, 2),0)</f>
        <v>0</v>
      </c>
      <c r="U523" s="202">
        <v>278</v>
      </c>
      <c r="V523" s="274">
        <f>T523+ROUND(U523, 2)</f>
        <v>278</v>
      </c>
      <c r="W523" s="182">
        <f>ROUND(T523*I523, 2)</f>
        <v>0</v>
      </c>
      <c r="X523" s="14">
        <f>ROUND(I523*ROUND(U523, 2), 2)</f>
        <v>0</v>
      </c>
      <c r="Y523" s="14">
        <f>W523+X523</f>
        <v>0</v>
      </c>
    </row>
    <row r="524" spans="1:25" ht="22.8" hidden="1" x14ac:dyDescent="0.4">
      <c r="A524" s="107" t="s">
        <v>2085</v>
      </c>
      <c r="B524" s="107"/>
      <c r="C524" s="108" t="s">
        <v>433</v>
      </c>
      <c r="D524" s="109"/>
      <c r="E524" s="109"/>
      <c r="F524" s="110" t="s">
        <v>70</v>
      </c>
      <c r="G524" s="111">
        <v>0.15</v>
      </c>
      <c r="H524" s="187"/>
      <c r="I524" s="229">
        <v>0</v>
      </c>
      <c r="J524" s="325"/>
      <c r="K524" s="257"/>
      <c r="L524" s="280"/>
      <c r="M524" s="401"/>
      <c r="N524" s="423"/>
      <c r="O524" s="423"/>
      <c r="P524" s="423"/>
      <c r="Q524" s="423"/>
      <c r="R524" s="218"/>
      <c r="S524" s="218"/>
      <c r="T524" s="213">
        <v>88.8</v>
      </c>
      <c r="U524" s="211"/>
      <c r="V524" s="273"/>
      <c r="W524" s="206">
        <f>ROUND(ROUND(T524, 2)*I524, 2)</f>
        <v>0</v>
      </c>
    </row>
    <row r="525" spans="1:25" ht="85.5" hidden="1" customHeight="1" x14ac:dyDescent="0.4">
      <c r="A525" s="107" t="s">
        <v>2090</v>
      </c>
      <c r="B525" s="107"/>
      <c r="C525" s="108" t="s">
        <v>2063</v>
      </c>
      <c r="D525" s="109"/>
      <c r="E525" s="109" t="s">
        <v>2091</v>
      </c>
      <c r="F525" s="110" t="s">
        <v>70</v>
      </c>
      <c r="G525" s="111">
        <v>0.3</v>
      </c>
      <c r="H525" s="187"/>
      <c r="I525" s="229">
        <v>0</v>
      </c>
      <c r="J525" s="325"/>
      <c r="K525" s="257"/>
      <c r="L525" s="280"/>
      <c r="M525" s="401"/>
      <c r="N525" s="423"/>
      <c r="O525" s="423"/>
      <c r="P525" s="423"/>
      <c r="Q525" s="423"/>
      <c r="R525" s="218"/>
      <c r="S525" s="218"/>
      <c r="T525" s="213">
        <v>226.67</v>
      </c>
      <c r="U525" s="211"/>
      <c r="V525" s="273"/>
      <c r="W525" s="206">
        <f>ROUND(ROUND(T525, 2)*I525, 2)</f>
        <v>0</v>
      </c>
    </row>
    <row r="526" spans="1:25" ht="36" hidden="1" x14ac:dyDescent="0.3">
      <c r="A526" s="107" t="s">
        <v>2096</v>
      </c>
      <c r="B526" s="107" t="s">
        <v>2039</v>
      </c>
      <c r="C526" s="113" t="s">
        <v>2040</v>
      </c>
      <c r="D526" s="109"/>
      <c r="E526" s="109" t="s">
        <v>63</v>
      </c>
      <c r="F526" s="109" t="s">
        <v>64</v>
      </c>
      <c r="G526" s="114">
        <v>1</v>
      </c>
      <c r="H526" s="188"/>
      <c r="I526" s="231">
        <v>0</v>
      </c>
      <c r="J526" s="326"/>
      <c r="K526" s="258"/>
      <c r="L526" s="281"/>
      <c r="M526" s="221"/>
      <c r="N526" s="422"/>
      <c r="O526" s="422"/>
      <c r="P526" s="422"/>
      <c r="Q526" s="422"/>
      <c r="R526" s="220"/>
      <c r="S526" s="221"/>
      <c r="T526" s="212">
        <f>IFERROR(ROUND(SUM(W527,W528)/I526, 2),0)</f>
        <v>0</v>
      </c>
      <c r="U526" s="202">
        <v>278</v>
      </c>
      <c r="V526" s="274">
        <f>T526+ROUND(U526, 2)</f>
        <v>278</v>
      </c>
      <c r="W526" s="182">
        <f>ROUND(T526*I526, 2)</f>
        <v>0</v>
      </c>
      <c r="X526" s="14">
        <f>ROUND(I526*ROUND(U526, 2), 2)</f>
        <v>0</v>
      </c>
      <c r="Y526" s="14">
        <f>W526+X526</f>
        <v>0</v>
      </c>
    </row>
    <row r="527" spans="1:25" ht="90" hidden="1" customHeight="1" x14ac:dyDescent="0.4">
      <c r="A527" s="107" t="s">
        <v>2098</v>
      </c>
      <c r="B527" s="107"/>
      <c r="C527" s="108" t="s">
        <v>2063</v>
      </c>
      <c r="D527" s="109"/>
      <c r="E527" s="109" t="s">
        <v>2099</v>
      </c>
      <c r="F527" s="110" t="s">
        <v>70</v>
      </c>
      <c r="G527" s="111">
        <v>0.3</v>
      </c>
      <c r="H527" s="187"/>
      <c r="I527" s="229">
        <v>0</v>
      </c>
      <c r="J527" s="325"/>
      <c r="K527" s="257"/>
      <c r="L527" s="280"/>
      <c r="M527" s="401"/>
      <c r="N527" s="423"/>
      <c r="O527" s="423"/>
      <c r="P527" s="423"/>
      <c r="Q527" s="423"/>
      <c r="R527" s="218"/>
      <c r="S527" s="218"/>
      <c r="T527" s="213">
        <v>226.67</v>
      </c>
      <c r="U527" s="211"/>
      <c r="V527" s="273"/>
      <c r="W527" s="206">
        <f>ROUND(ROUND(T527, 2)*I527, 2)</f>
        <v>0</v>
      </c>
    </row>
    <row r="528" spans="1:25" ht="22.8" hidden="1" x14ac:dyDescent="0.4">
      <c r="A528" s="107" t="s">
        <v>2104</v>
      </c>
      <c r="B528" s="107"/>
      <c r="C528" s="108" t="s">
        <v>433</v>
      </c>
      <c r="D528" s="109"/>
      <c r="E528" s="109"/>
      <c r="F528" s="110" t="s">
        <v>70</v>
      </c>
      <c r="G528" s="111">
        <v>0.15</v>
      </c>
      <c r="H528" s="187"/>
      <c r="I528" s="229">
        <v>0</v>
      </c>
      <c r="J528" s="325"/>
      <c r="K528" s="257"/>
      <c r="L528" s="280"/>
      <c r="M528" s="401"/>
      <c r="N528" s="423"/>
      <c r="O528" s="423"/>
      <c r="P528" s="423"/>
      <c r="Q528" s="423"/>
      <c r="R528" s="218"/>
      <c r="S528" s="218"/>
      <c r="T528" s="213">
        <v>88.8</v>
      </c>
      <c r="U528" s="211"/>
      <c r="V528" s="273"/>
      <c r="W528" s="206">
        <f>ROUND(ROUND(T528, 2)*I528, 2)</f>
        <v>0</v>
      </c>
    </row>
    <row r="529" spans="1:25" ht="36" hidden="1" x14ac:dyDescent="0.3">
      <c r="A529" s="107" t="s">
        <v>2109</v>
      </c>
      <c r="B529" s="107" t="s">
        <v>2039</v>
      </c>
      <c r="C529" s="113" t="s">
        <v>2040</v>
      </c>
      <c r="D529" s="109"/>
      <c r="E529" s="109" t="s">
        <v>63</v>
      </c>
      <c r="F529" s="109" t="s">
        <v>64</v>
      </c>
      <c r="G529" s="114">
        <v>1</v>
      </c>
      <c r="H529" s="188"/>
      <c r="I529" s="231">
        <v>0</v>
      </c>
      <c r="J529" s="326"/>
      <c r="K529" s="258"/>
      <c r="L529" s="281"/>
      <c r="M529" s="221"/>
      <c r="N529" s="422"/>
      <c r="O529" s="422"/>
      <c r="P529" s="422"/>
      <c r="Q529" s="422"/>
      <c r="R529" s="220"/>
      <c r="S529" s="221"/>
      <c r="T529" s="212">
        <f>IFERROR(ROUND(SUM(W530,W531)/I529, 2),0)</f>
        <v>0</v>
      </c>
      <c r="U529" s="202">
        <v>278</v>
      </c>
      <c r="V529" s="274">
        <f>T529+ROUND(U529, 2)</f>
        <v>278</v>
      </c>
      <c r="W529" s="182">
        <f>ROUND(T529*I529, 2)</f>
        <v>0</v>
      </c>
      <c r="X529" s="14">
        <f>ROUND(I529*ROUND(U529, 2), 2)</f>
        <v>0</v>
      </c>
      <c r="Y529" s="14">
        <f>W529+X529</f>
        <v>0</v>
      </c>
    </row>
    <row r="530" spans="1:25" ht="22.8" hidden="1" x14ac:dyDescent="0.4">
      <c r="A530" s="107" t="s">
        <v>2111</v>
      </c>
      <c r="B530" s="107"/>
      <c r="C530" s="108" t="s">
        <v>433</v>
      </c>
      <c r="D530" s="109"/>
      <c r="E530" s="109"/>
      <c r="F530" s="110" t="s">
        <v>70</v>
      </c>
      <c r="G530" s="111">
        <v>0.15</v>
      </c>
      <c r="H530" s="187"/>
      <c r="I530" s="229">
        <v>0</v>
      </c>
      <c r="J530" s="325"/>
      <c r="K530" s="257"/>
      <c r="L530" s="280"/>
      <c r="M530" s="401"/>
      <c r="N530" s="423"/>
      <c r="O530" s="423"/>
      <c r="P530" s="423"/>
      <c r="Q530" s="423"/>
      <c r="R530" s="218"/>
      <c r="S530" s="218"/>
      <c r="T530" s="213">
        <v>88.8</v>
      </c>
      <c r="U530" s="211"/>
      <c r="V530" s="273"/>
      <c r="W530" s="206">
        <f>ROUND(ROUND(T530, 2)*I530, 2)</f>
        <v>0</v>
      </c>
    </row>
    <row r="531" spans="1:25" ht="78.45" hidden="1" customHeight="1" x14ac:dyDescent="0.4">
      <c r="A531" s="107" t="s">
        <v>2116</v>
      </c>
      <c r="B531" s="107"/>
      <c r="C531" s="108" t="s">
        <v>2063</v>
      </c>
      <c r="D531" s="109"/>
      <c r="E531" s="109" t="s">
        <v>2117</v>
      </c>
      <c r="F531" s="110" t="s">
        <v>70</v>
      </c>
      <c r="G531" s="111">
        <v>0.3</v>
      </c>
      <c r="H531" s="187"/>
      <c r="I531" s="229">
        <v>0</v>
      </c>
      <c r="J531" s="325"/>
      <c r="K531" s="257"/>
      <c r="L531" s="280"/>
      <c r="M531" s="401"/>
      <c r="N531" s="423"/>
      <c r="O531" s="423"/>
      <c r="P531" s="423"/>
      <c r="Q531" s="423"/>
      <c r="R531" s="218"/>
      <c r="S531" s="218"/>
      <c r="T531" s="213">
        <v>226.67</v>
      </c>
      <c r="U531" s="211"/>
      <c r="V531" s="273"/>
      <c r="W531" s="206">
        <f>ROUND(ROUND(T531, 2)*I531, 2)</f>
        <v>0</v>
      </c>
    </row>
    <row r="532" spans="1:25" ht="36" hidden="1" x14ac:dyDescent="0.3">
      <c r="A532" s="107" t="s">
        <v>2122</v>
      </c>
      <c r="B532" s="107" t="s">
        <v>2039</v>
      </c>
      <c r="C532" s="113" t="s">
        <v>2040</v>
      </c>
      <c r="D532" s="109"/>
      <c r="E532" s="109" t="s">
        <v>63</v>
      </c>
      <c r="F532" s="109" t="s">
        <v>64</v>
      </c>
      <c r="G532" s="114">
        <v>1</v>
      </c>
      <c r="H532" s="188"/>
      <c r="I532" s="231">
        <v>0</v>
      </c>
      <c r="J532" s="326"/>
      <c r="K532" s="258"/>
      <c r="L532" s="281"/>
      <c r="M532" s="221"/>
      <c r="N532" s="422"/>
      <c r="O532" s="422"/>
      <c r="P532" s="422"/>
      <c r="Q532" s="422"/>
      <c r="R532" s="220"/>
      <c r="S532" s="221"/>
      <c r="T532" s="212">
        <f>IFERROR(ROUND(SUM(W533,W534)/I532, 2),0)</f>
        <v>0</v>
      </c>
      <c r="U532" s="202">
        <v>278</v>
      </c>
      <c r="V532" s="274">
        <f>T532+ROUND(U532, 2)</f>
        <v>278</v>
      </c>
      <c r="W532" s="182">
        <f>ROUND(T532*I532, 2)</f>
        <v>0</v>
      </c>
      <c r="X532" s="14">
        <f>ROUND(I532*ROUND(U532, 2), 2)</f>
        <v>0</v>
      </c>
      <c r="Y532" s="14">
        <f>W532+X532</f>
        <v>0</v>
      </c>
    </row>
    <row r="533" spans="1:25" ht="94.5" hidden="1" customHeight="1" x14ac:dyDescent="0.4">
      <c r="A533" s="107" t="s">
        <v>2124</v>
      </c>
      <c r="B533" s="107"/>
      <c r="C533" s="108" t="s">
        <v>2063</v>
      </c>
      <c r="D533" s="109"/>
      <c r="E533" s="109" t="s">
        <v>2125</v>
      </c>
      <c r="F533" s="110" t="s">
        <v>70</v>
      </c>
      <c r="G533" s="111">
        <v>0.3</v>
      </c>
      <c r="H533" s="187"/>
      <c r="I533" s="229">
        <v>0</v>
      </c>
      <c r="J533" s="325"/>
      <c r="K533" s="257"/>
      <c r="L533" s="280"/>
      <c r="M533" s="401"/>
      <c r="N533" s="423"/>
      <c r="O533" s="423"/>
      <c r="P533" s="423"/>
      <c r="Q533" s="423"/>
      <c r="R533" s="218"/>
      <c r="S533" s="218"/>
      <c r="T533" s="213">
        <v>226.67</v>
      </c>
      <c r="U533" s="211"/>
      <c r="V533" s="273"/>
      <c r="W533" s="206">
        <f>ROUND(ROUND(T533, 2)*I533, 2)</f>
        <v>0</v>
      </c>
    </row>
    <row r="534" spans="1:25" ht="22.8" hidden="1" x14ac:dyDescent="0.4">
      <c r="A534" s="107" t="s">
        <v>2130</v>
      </c>
      <c r="B534" s="107"/>
      <c r="C534" s="108" t="s">
        <v>433</v>
      </c>
      <c r="D534" s="109"/>
      <c r="E534" s="109"/>
      <c r="F534" s="110" t="s">
        <v>70</v>
      </c>
      <c r="G534" s="111">
        <v>0.15</v>
      </c>
      <c r="H534" s="187"/>
      <c r="I534" s="229">
        <v>0</v>
      </c>
      <c r="J534" s="325"/>
      <c r="K534" s="257"/>
      <c r="L534" s="280"/>
      <c r="M534" s="401"/>
      <c r="N534" s="423"/>
      <c r="O534" s="423"/>
      <c r="P534" s="423"/>
      <c r="Q534" s="423"/>
      <c r="R534" s="218"/>
      <c r="S534" s="218"/>
      <c r="T534" s="213">
        <v>88.8</v>
      </c>
      <c r="U534" s="211"/>
      <c r="V534" s="273"/>
      <c r="W534" s="206">
        <f>ROUND(ROUND(T534, 2)*I534, 2)</f>
        <v>0</v>
      </c>
    </row>
    <row r="535" spans="1:25" ht="36" hidden="1" x14ac:dyDescent="0.3">
      <c r="A535" s="107" t="s">
        <v>2135</v>
      </c>
      <c r="B535" s="107" t="s">
        <v>2039</v>
      </c>
      <c r="C535" s="113" t="s">
        <v>2040</v>
      </c>
      <c r="D535" s="109"/>
      <c r="E535" s="109" t="s">
        <v>63</v>
      </c>
      <c r="F535" s="109" t="s">
        <v>64</v>
      </c>
      <c r="G535" s="114">
        <v>1</v>
      </c>
      <c r="H535" s="188"/>
      <c r="I535" s="231">
        <v>0</v>
      </c>
      <c r="J535" s="326"/>
      <c r="K535" s="258"/>
      <c r="L535" s="281"/>
      <c r="M535" s="221"/>
      <c r="N535" s="422"/>
      <c r="O535" s="422"/>
      <c r="P535" s="422"/>
      <c r="Q535" s="422"/>
      <c r="R535" s="220"/>
      <c r="S535" s="221"/>
      <c r="T535" s="212">
        <f>IFERROR(ROUND(SUM(W536,W537)/I535, 2),0)</f>
        <v>0</v>
      </c>
      <c r="U535" s="202">
        <v>278</v>
      </c>
      <c r="V535" s="274">
        <f>T535+ROUND(U535, 2)</f>
        <v>278</v>
      </c>
      <c r="W535" s="182">
        <f>ROUND(T535*I535, 2)</f>
        <v>0</v>
      </c>
      <c r="X535" s="14">
        <f>ROUND(I535*ROUND(U535, 2), 2)</f>
        <v>0</v>
      </c>
      <c r="Y535" s="14">
        <f>W535+X535</f>
        <v>0</v>
      </c>
    </row>
    <row r="536" spans="1:25" ht="22.8" hidden="1" x14ac:dyDescent="0.4">
      <c r="A536" s="107" t="s">
        <v>2137</v>
      </c>
      <c r="B536" s="107"/>
      <c r="C536" s="108" t="s">
        <v>433</v>
      </c>
      <c r="D536" s="109"/>
      <c r="E536" s="109"/>
      <c r="F536" s="110" t="s">
        <v>70</v>
      </c>
      <c r="G536" s="111">
        <v>0.15</v>
      </c>
      <c r="H536" s="187"/>
      <c r="I536" s="229">
        <v>0</v>
      </c>
      <c r="J536" s="325"/>
      <c r="K536" s="257"/>
      <c r="L536" s="280"/>
      <c r="M536" s="401"/>
      <c r="N536" s="423"/>
      <c r="O536" s="423"/>
      <c r="P536" s="423"/>
      <c r="Q536" s="423"/>
      <c r="R536" s="218"/>
      <c r="S536" s="218"/>
      <c r="T536" s="213">
        <v>88.8</v>
      </c>
      <c r="U536" s="211"/>
      <c r="V536" s="273"/>
      <c r="W536" s="206">
        <f>ROUND(ROUND(T536, 2)*I536, 2)</f>
        <v>0</v>
      </c>
    </row>
    <row r="537" spans="1:25" ht="90" hidden="1" customHeight="1" x14ac:dyDescent="0.4">
      <c r="A537" s="107" t="s">
        <v>2142</v>
      </c>
      <c r="B537" s="107"/>
      <c r="C537" s="108" t="s">
        <v>2063</v>
      </c>
      <c r="D537" s="109"/>
      <c r="E537" s="109" t="s">
        <v>2143</v>
      </c>
      <c r="F537" s="110" t="s">
        <v>70</v>
      </c>
      <c r="G537" s="111">
        <v>0.3</v>
      </c>
      <c r="H537" s="187"/>
      <c r="I537" s="229">
        <v>0</v>
      </c>
      <c r="J537" s="325"/>
      <c r="K537" s="257"/>
      <c r="L537" s="280"/>
      <c r="M537" s="401"/>
      <c r="N537" s="423"/>
      <c r="O537" s="423"/>
      <c r="P537" s="423"/>
      <c r="Q537" s="423"/>
      <c r="R537" s="218"/>
      <c r="S537" s="218"/>
      <c r="T537" s="213">
        <v>226.67</v>
      </c>
      <c r="U537" s="211"/>
      <c r="V537" s="273"/>
      <c r="W537" s="206">
        <f>ROUND(ROUND(T537, 2)*I537, 2)</f>
        <v>0</v>
      </c>
    </row>
    <row r="538" spans="1:25" ht="40.049999999999997" customHeight="1" x14ac:dyDescent="0.3">
      <c r="A538" s="156" t="s">
        <v>2148</v>
      </c>
      <c r="B538" s="156" t="s">
        <v>2149</v>
      </c>
      <c r="C538" s="75" t="s">
        <v>2150</v>
      </c>
      <c r="D538" s="76"/>
      <c r="E538" s="76" t="s">
        <v>2151</v>
      </c>
      <c r="F538" s="76" t="s">
        <v>64</v>
      </c>
      <c r="G538" s="77">
        <v>1</v>
      </c>
      <c r="H538" s="177"/>
      <c r="I538" s="228">
        <v>0.85</v>
      </c>
      <c r="J538" s="322"/>
      <c r="K538" s="258"/>
      <c r="L538" s="281"/>
      <c r="M538" s="221"/>
      <c r="N538" s="422"/>
      <c r="O538" s="422"/>
      <c r="P538" s="422"/>
      <c r="Q538" s="422"/>
      <c r="R538" s="220"/>
      <c r="S538" s="221"/>
      <c r="T538" s="212">
        <f>IFERROR(ROUND(SUM(W539,W540)/I538, 2),0)</f>
        <v>75.33</v>
      </c>
      <c r="U538" s="202">
        <v>464</v>
      </c>
      <c r="V538" s="274">
        <f>T538+ROUND(U538, 2)</f>
        <v>539.33000000000004</v>
      </c>
      <c r="W538" s="182">
        <f>ROUND(T538*I538, 2)</f>
        <v>64.03</v>
      </c>
      <c r="X538" s="14">
        <f>ROUND(I538*ROUND(U538, 2), 2)</f>
        <v>394.4</v>
      </c>
      <c r="Y538" s="14">
        <f>W538+X538</f>
        <v>458.42999999999995</v>
      </c>
    </row>
    <row r="539" spans="1:25" ht="65.55" hidden="1" customHeight="1" x14ac:dyDescent="0.4">
      <c r="A539" s="107" t="s">
        <v>2154</v>
      </c>
      <c r="B539" s="107"/>
      <c r="C539" s="108" t="s">
        <v>2155</v>
      </c>
      <c r="D539" s="109"/>
      <c r="E539" s="109" t="s">
        <v>2156</v>
      </c>
      <c r="F539" s="110" t="s">
        <v>70</v>
      </c>
      <c r="G539" s="111">
        <v>0.3</v>
      </c>
      <c r="H539" s="187"/>
      <c r="I539" s="229">
        <v>0.255</v>
      </c>
      <c r="J539" s="325"/>
      <c r="K539" s="262"/>
      <c r="L539" s="285"/>
      <c r="M539" s="401"/>
      <c r="N539" s="423"/>
      <c r="O539" s="423"/>
      <c r="P539" s="423"/>
      <c r="Q539" s="423"/>
      <c r="R539" s="218"/>
      <c r="S539" s="218"/>
      <c r="T539" s="213">
        <v>206.5</v>
      </c>
      <c r="U539" s="211"/>
      <c r="V539" s="273"/>
      <c r="W539" s="206">
        <f>ROUND(ROUND(T539, 2)*I539, 2)</f>
        <v>52.66</v>
      </c>
    </row>
    <row r="540" spans="1:25" ht="22.8" hidden="1" x14ac:dyDescent="0.4">
      <c r="A540" s="107" t="s">
        <v>2160</v>
      </c>
      <c r="B540" s="107"/>
      <c r="C540" s="108" t="s">
        <v>433</v>
      </c>
      <c r="D540" s="109"/>
      <c r="E540" s="109"/>
      <c r="F540" s="110" t="s">
        <v>70</v>
      </c>
      <c r="G540" s="111">
        <v>0.15</v>
      </c>
      <c r="H540" s="187"/>
      <c r="I540" s="229">
        <v>0.128</v>
      </c>
      <c r="J540" s="325"/>
      <c r="K540" s="262"/>
      <c r="L540" s="285"/>
      <c r="M540" s="401"/>
      <c r="N540" s="423"/>
      <c r="O540" s="423"/>
      <c r="P540" s="423"/>
      <c r="Q540" s="423"/>
      <c r="R540" s="218"/>
      <c r="S540" s="218"/>
      <c r="T540" s="213">
        <v>88.8</v>
      </c>
      <c r="U540" s="211"/>
      <c r="V540" s="273"/>
      <c r="W540" s="206">
        <f>ROUND(ROUND(T540, 2)*I540, 2)</f>
        <v>11.37</v>
      </c>
    </row>
    <row r="541" spans="1:25" ht="46.95" customHeight="1" x14ac:dyDescent="0.3">
      <c r="A541" s="156" t="s">
        <v>2163</v>
      </c>
      <c r="B541" s="156" t="s">
        <v>2149</v>
      </c>
      <c r="C541" s="75" t="s">
        <v>2150</v>
      </c>
      <c r="D541" s="76"/>
      <c r="E541" s="76" t="s">
        <v>2164</v>
      </c>
      <c r="F541" s="76" t="s">
        <v>64</v>
      </c>
      <c r="G541" s="77">
        <v>1</v>
      </c>
      <c r="H541" s="177"/>
      <c r="I541" s="228">
        <v>1.5</v>
      </c>
      <c r="J541" s="322"/>
      <c r="K541" s="258"/>
      <c r="L541" s="281"/>
      <c r="M541" s="221"/>
      <c r="N541" s="422"/>
      <c r="O541" s="422"/>
      <c r="P541" s="422"/>
      <c r="Q541" s="422"/>
      <c r="R541" s="220"/>
      <c r="S541" s="221"/>
      <c r="T541" s="212">
        <f>IFERROR(ROUND(SUM(W542,W543)/I541, 2),0)</f>
        <v>75.27</v>
      </c>
      <c r="U541" s="202">
        <v>464</v>
      </c>
      <c r="V541" s="274">
        <f>T541+ROUND(U541, 2)</f>
        <v>539.27</v>
      </c>
      <c r="W541" s="182">
        <f>ROUND(T541*I541, 2)</f>
        <v>112.91</v>
      </c>
      <c r="X541" s="14">
        <f>ROUND(I541*ROUND(U541, 2), 2)</f>
        <v>696</v>
      </c>
      <c r="Y541" s="14">
        <f>W541+X541</f>
        <v>808.91</v>
      </c>
    </row>
    <row r="542" spans="1:25" ht="22.8" hidden="1" x14ac:dyDescent="0.4">
      <c r="A542" s="10" t="s">
        <v>2165</v>
      </c>
      <c r="B542" s="10"/>
      <c r="C542" s="24" t="s">
        <v>433</v>
      </c>
      <c r="D542" s="12"/>
      <c r="E542" s="12"/>
      <c r="F542" s="18" t="s">
        <v>70</v>
      </c>
      <c r="G542" s="19">
        <v>0.15</v>
      </c>
      <c r="H542" s="191"/>
      <c r="I542" s="229">
        <v>0.22500000000000001</v>
      </c>
      <c r="J542" s="329"/>
      <c r="K542" s="257"/>
      <c r="L542" s="280"/>
      <c r="M542" s="401"/>
      <c r="N542" s="423"/>
      <c r="O542" s="423"/>
      <c r="P542" s="423"/>
      <c r="Q542" s="423"/>
      <c r="R542" s="218"/>
      <c r="S542" s="218"/>
      <c r="T542" s="213">
        <v>88.8</v>
      </c>
      <c r="U542" s="211"/>
      <c r="V542" s="273"/>
      <c r="W542" s="206">
        <f>ROUND(ROUND(T542, 2)*I542, 2)</f>
        <v>19.98</v>
      </c>
    </row>
    <row r="543" spans="1:25" ht="73.5" hidden="1" customHeight="1" x14ac:dyDescent="0.4">
      <c r="A543" s="10" t="s">
        <v>2168</v>
      </c>
      <c r="B543" s="10"/>
      <c r="C543" s="24" t="s">
        <v>2155</v>
      </c>
      <c r="D543" s="12"/>
      <c r="E543" s="12" t="s">
        <v>2169</v>
      </c>
      <c r="F543" s="18" t="s">
        <v>70</v>
      </c>
      <c r="G543" s="19">
        <v>0.3</v>
      </c>
      <c r="H543" s="191"/>
      <c r="I543" s="229">
        <v>0.45</v>
      </c>
      <c r="J543" s="329"/>
      <c r="K543" s="257"/>
      <c r="L543" s="280"/>
      <c r="M543" s="401"/>
      <c r="N543" s="423"/>
      <c r="O543" s="423"/>
      <c r="P543" s="423"/>
      <c r="Q543" s="423"/>
      <c r="R543" s="218"/>
      <c r="S543" s="218"/>
      <c r="T543" s="213">
        <v>206.5</v>
      </c>
      <c r="U543" s="211"/>
      <c r="V543" s="273"/>
      <c r="W543" s="206">
        <f>ROUND(ROUND(T543, 2)*I543, 2)</f>
        <v>92.93</v>
      </c>
    </row>
    <row r="544" spans="1:25" ht="48" customHeight="1" x14ac:dyDescent="0.3">
      <c r="A544" s="156" t="s">
        <v>2172</v>
      </c>
      <c r="B544" s="156" t="s">
        <v>2149</v>
      </c>
      <c r="C544" s="75" t="s">
        <v>2150</v>
      </c>
      <c r="D544" s="76"/>
      <c r="E544" s="76" t="s">
        <v>2173</v>
      </c>
      <c r="F544" s="76" t="s">
        <v>64</v>
      </c>
      <c r="G544" s="77">
        <v>1</v>
      </c>
      <c r="H544" s="177"/>
      <c r="I544" s="228">
        <v>139.22</v>
      </c>
      <c r="J544" s="322"/>
      <c r="K544" s="258"/>
      <c r="L544" s="281"/>
      <c r="M544" s="221"/>
      <c r="N544" s="422"/>
      <c r="O544" s="422"/>
      <c r="P544" s="422"/>
      <c r="Q544" s="422"/>
      <c r="R544" s="220"/>
      <c r="S544" s="221"/>
      <c r="T544" s="212">
        <f>IFERROR(ROUND(SUM(W545,W546)/I544, 2),0)</f>
        <v>68.28</v>
      </c>
      <c r="U544" s="202">
        <v>464</v>
      </c>
      <c r="V544" s="274">
        <f>T544+ROUND(U544, 2)</f>
        <v>532.28</v>
      </c>
      <c r="W544" s="182">
        <f>ROUND(T544*I544, 2)</f>
        <v>9505.94</v>
      </c>
      <c r="X544" s="14">
        <f>ROUND(I544*ROUND(U544, 2), 2)</f>
        <v>64598.080000000002</v>
      </c>
      <c r="Y544" s="14">
        <f>W544+X544</f>
        <v>74104.02</v>
      </c>
    </row>
    <row r="545" spans="1:25" ht="78.45" hidden="1" customHeight="1" x14ac:dyDescent="0.4">
      <c r="A545" s="107" t="s">
        <v>2174</v>
      </c>
      <c r="B545" s="107"/>
      <c r="C545" s="108" t="s">
        <v>2155</v>
      </c>
      <c r="D545" s="109"/>
      <c r="E545" s="109" t="s">
        <v>2175</v>
      </c>
      <c r="F545" s="110" t="s">
        <v>70</v>
      </c>
      <c r="G545" s="111">
        <v>0.3</v>
      </c>
      <c r="H545" s="187"/>
      <c r="I545" s="229">
        <v>41.765999999999998</v>
      </c>
      <c r="J545" s="325"/>
      <c r="K545" s="262"/>
      <c r="L545" s="280"/>
      <c r="M545" s="401"/>
      <c r="N545" s="423"/>
      <c r="O545" s="423"/>
      <c r="P545" s="423"/>
      <c r="Q545" s="423"/>
      <c r="R545" s="218"/>
      <c r="S545" s="218"/>
      <c r="T545" s="213">
        <v>183.2</v>
      </c>
      <c r="U545" s="211"/>
      <c r="V545" s="273"/>
      <c r="W545" s="206">
        <f>ROUND(ROUND(T545, 2)*I545, 2)</f>
        <v>7651.53</v>
      </c>
    </row>
    <row r="546" spans="1:25" ht="22.8" hidden="1" x14ac:dyDescent="0.4">
      <c r="A546" s="107" t="s">
        <v>2178</v>
      </c>
      <c r="B546" s="107"/>
      <c r="C546" s="108" t="s">
        <v>433</v>
      </c>
      <c r="D546" s="109"/>
      <c r="E546" s="109"/>
      <c r="F546" s="110" t="s">
        <v>70</v>
      </c>
      <c r="G546" s="111">
        <v>0.15</v>
      </c>
      <c r="H546" s="187"/>
      <c r="I546" s="229">
        <v>20.882999999999999</v>
      </c>
      <c r="J546" s="325"/>
      <c r="K546" s="262"/>
      <c r="L546" s="280"/>
      <c r="M546" s="401"/>
      <c r="N546" s="423"/>
      <c r="O546" s="423"/>
      <c r="P546" s="423"/>
      <c r="Q546" s="423"/>
      <c r="R546" s="218"/>
      <c r="S546" s="218"/>
      <c r="T546" s="213">
        <v>88.8</v>
      </c>
      <c r="U546" s="211"/>
      <c r="V546" s="273"/>
      <c r="W546" s="206">
        <f>ROUND(ROUND(T546, 2)*I546, 2)</f>
        <v>1854.41</v>
      </c>
    </row>
    <row r="547" spans="1:25" ht="46.05" customHeight="1" x14ac:dyDescent="0.3">
      <c r="A547" s="156" t="s">
        <v>2181</v>
      </c>
      <c r="B547" s="156" t="s">
        <v>2149</v>
      </c>
      <c r="C547" s="75" t="s">
        <v>2150</v>
      </c>
      <c r="D547" s="76"/>
      <c r="E547" s="76" t="s">
        <v>2182</v>
      </c>
      <c r="F547" s="76" t="s">
        <v>64</v>
      </c>
      <c r="G547" s="77">
        <v>1</v>
      </c>
      <c r="H547" s="177"/>
      <c r="I547" s="228">
        <v>143.96</v>
      </c>
      <c r="J547" s="322"/>
      <c r="K547" s="258"/>
      <c r="L547" s="281"/>
      <c r="M547" s="221"/>
      <c r="N547" s="422"/>
      <c r="O547" s="422"/>
      <c r="P547" s="422"/>
      <c r="Q547" s="422"/>
      <c r="R547" s="220"/>
      <c r="S547" s="221"/>
      <c r="T547" s="212">
        <f>IFERROR(ROUND(SUM(W548,W549)/I547, 2),0)</f>
        <v>75.27</v>
      </c>
      <c r="U547" s="202">
        <v>464</v>
      </c>
      <c r="V547" s="274">
        <f>T547+ROUND(U547, 2)</f>
        <v>539.27</v>
      </c>
      <c r="W547" s="182">
        <f>ROUND(T547*I547, 2)</f>
        <v>10835.87</v>
      </c>
      <c r="X547" s="14">
        <f>ROUND(I547*ROUND(U547, 2), 2)</f>
        <v>66797.440000000002</v>
      </c>
      <c r="Y547" s="14">
        <f>W547+X547</f>
        <v>77633.31</v>
      </c>
    </row>
    <row r="548" spans="1:25" ht="22.8" hidden="1" x14ac:dyDescent="0.4">
      <c r="A548" s="107" t="s">
        <v>2183</v>
      </c>
      <c r="B548" s="107"/>
      <c r="C548" s="108" t="s">
        <v>433</v>
      </c>
      <c r="D548" s="109"/>
      <c r="E548" s="109"/>
      <c r="F548" s="110" t="s">
        <v>70</v>
      </c>
      <c r="G548" s="111">
        <v>0.15</v>
      </c>
      <c r="H548" s="187"/>
      <c r="I548" s="229">
        <v>21.594000000000001</v>
      </c>
      <c r="J548" s="325"/>
      <c r="K548" s="262"/>
      <c r="L548" s="285"/>
      <c r="M548" s="401"/>
      <c r="N548" s="423"/>
      <c r="O548" s="423"/>
      <c r="P548" s="423"/>
      <c r="Q548" s="423"/>
      <c r="R548" s="218"/>
      <c r="S548" s="218"/>
      <c r="T548" s="213">
        <v>88.8</v>
      </c>
      <c r="U548" s="211"/>
      <c r="V548" s="273"/>
      <c r="W548" s="206">
        <f>ROUND(ROUND(T548, 2)*I548, 2)</f>
        <v>1917.55</v>
      </c>
    </row>
    <row r="549" spans="1:25" ht="72" hidden="1" customHeight="1" x14ac:dyDescent="0.4">
      <c r="A549" s="107" t="s">
        <v>2186</v>
      </c>
      <c r="B549" s="107"/>
      <c r="C549" s="108" t="s">
        <v>2187</v>
      </c>
      <c r="D549" s="109"/>
      <c r="E549" s="109" t="s">
        <v>2188</v>
      </c>
      <c r="F549" s="110" t="s">
        <v>70</v>
      </c>
      <c r="G549" s="111">
        <v>0.3</v>
      </c>
      <c r="H549" s="187"/>
      <c r="I549" s="229">
        <v>43.188000000000002</v>
      </c>
      <c r="J549" s="325"/>
      <c r="K549" s="262"/>
      <c r="L549" s="285"/>
      <c r="M549" s="401"/>
      <c r="N549" s="423"/>
      <c r="O549" s="423"/>
      <c r="P549" s="423"/>
      <c r="Q549" s="423"/>
      <c r="R549" s="218"/>
      <c r="S549" s="218"/>
      <c r="T549" s="213">
        <v>206.5</v>
      </c>
      <c r="U549" s="211"/>
      <c r="V549" s="273"/>
      <c r="W549" s="206">
        <f>ROUND(ROUND(T549, 2)*I549, 2)</f>
        <v>8918.32</v>
      </c>
    </row>
    <row r="550" spans="1:25" ht="42" customHeight="1" x14ac:dyDescent="0.3">
      <c r="A550" s="156" t="s">
        <v>2192</v>
      </c>
      <c r="B550" s="156" t="s">
        <v>2149</v>
      </c>
      <c r="C550" s="75" t="s">
        <v>2150</v>
      </c>
      <c r="D550" s="76"/>
      <c r="E550" s="76" t="s">
        <v>2193</v>
      </c>
      <c r="F550" s="76" t="s">
        <v>64</v>
      </c>
      <c r="G550" s="77">
        <v>1</v>
      </c>
      <c r="H550" s="177"/>
      <c r="I550" s="228">
        <v>28.93</v>
      </c>
      <c r="J550" s="322"/>
      <c r="K550" s="258"/>
      <c r="L550" s="281"/>
      <c r="M550" s="221"/>
      <c r="N550" s="422"/>
      <c r="O550" s="422"/>
      <c r="P550" s="422"/>
      <c r="Q550" s="422"/>
      <c r="R550" s="220"/>
      <c r="S550" s="221"/>
      <c r="T550" s="212">
        <f>IFERROR(ROUND(SUM(W551,W552)/I550, 2),0)</f>
        <v>75.27</v>
      </c>
      <c r="U550" s="202">
        <v>464</v>
      </c>
      <c r="V550" s="274">
        <f>T550+ROUND(U550, 2)</f>
        <v>539.27</v>
      </c>
      <c r="W550" s="182">
        <f>ROUND(T550*I550, 2)</f>
        <v>2177.56</v>
      </c>
      <c r="X550" s="14">
        <f>ROUND(I550*ROUND(U550, 2), 2)</f>
        <v>13423.52</v>
      </c>
      <c r="Y550" s="14">
        <f>W550+X550</f>
        <v>15601.08</v>
      </c>
    </row>
    <row r="551" spans="1:25" ht="77.55" hidden="1" customHeight="1" x14ac:dyDescent="0.4">
      <c r="A551" s="107" t="s">
        <v>2194</v>
      </c>
      <c r="B551" s="107"/>
      <c r="C551" s="108" t="s">
        <v>2187</v>
      </c>
      <c r="D551" s="109"/>
      <c r="E551" s="109" t="s">
        <v>2195</v>
      </c>
      <c r="F551" s="110" t="s">
        <v>70</v>
      </c>
      <c r="G551" s="111">
        <v>0.3</v>
      </c>
      <c r="H551" s="187"/>
      <c r="I551" s="229">
        <v>8.6790000000000003</v>
      </c>
      <c r="J551" s="325"/>
      <c r="K551" s="262"/>
      <c r="L551" s="280"/>
      <c r="M551" s="401"/>
      <c r="N551" s="423"/>
      <c r="O551" s="423"/>
      <c r="P551" s="423"/>
      <c r="Q551" s="423"/>
      <c r="R551" s="218"/>
      <c r="S551" s="218"/>
      <c r="T551" s="213">
        <v>206.5</v>
      </c>
      <c r="U551" s="211"/>
      <c r="V551" s="273"/>
      <c r="W551" s="206">
        <f>ROUND(ROUND(T551, 2)*I551, 2)</f>
        <v>1792.21</v>
      </c>
    </row>
    <row r="552" spans="1:25" ht="22.8" hidden="1" x14ac:dyDescent="0.4">
      <c r="A552" s="107" t="s">
        <v>2198</v>
      </c>
      <c r="B552" s="107"/>
      <c r="C552" s="108" t="s">
        <v>433</v>
      </c>
      <c r="D552" s="109"/>
      <c r="E552" s="109"/>
      <c r="F552" s="110" t="s">
        <v>70</v>
      </c>
      <c r="G552" s="111">
        <v>0.15</v>
      </c>
      <c r="H552" s="187"/>
      <c r="I552" s="229">
        <v>4.34</v>
      </c>
      <c r="J552" s="325"/>
      <c r="K552" s="262"/>
      <c r="L552" s="280"/>
      <c r="M552" s="401"/>
      <c r="N552" s="423"/>
      <c r="O552" s="423"/>
      <c r="P552" s="423"/>
      <c r="Q552" s="423"/>
      <c r="R552" s="218"/>
      <c r="S552" s="218"/>
      <c r="T552" s="213">
        <v>88.8</v>
      </c>
      <c r="U552" s="211"/>
      <c r="V552" s="273"/>
      <c r="W552" s="206">
        <f>ROUND(ROUND(T552, 2)*I552, 2)</f>
        <v>385.39</v>
      </c>
    </row>
    <row r="553" spans="1:25" ht="49.5" customHeight="1" x14ac:dyDescent="0.3">
      <c r="A553" s="156" t="s">
        <v>2201</v>
      </c>
      <c r="B553" s="156" t="s">
        <v>2149</v>
      </c>
      <c r="C553" s="75" t="s">
        <v>2150</v>
      </c>
      <c r="D553" s="76"/>
      <c r="E553" s="76" t="s">
        <v>2202</v>
      </c>
      <c r="F553" s="76" t="s">
        <v>64</v>
      </c>
      <c r="G553" s="77">
        <v>1</v>
      </c>
      <c r="H553" s="177"/>
      <c r="I553" s="228">
        <v>28.7</v>
      </c>
      <c r="J553" s="322"/>
      <c r="K553" s="258"/>
      <c r="L553" s="281"/>
      <c r="M553" s="221"/>
      <c r="N553" s="422"/>
      <c r="O553" s="422"/>
      <c r="P553" s="422"/>
      <c r="Q553" s="422"/>
      <c r="R553" s="220"/>
      <c r="S553" s="221"/>
      <c r="T553" s="212">
        <f>IFERROR(ROUND(SUM(W554,W555)/I553, 2),0)</f>
        <v>75.27</v>
      </c>
      <c r="U553" s="202">
        <v>464</v>
      </c>
      <c r="V553" s="274">
        <f>T553+ROUND(U553, 2)</f>
        <v>539.27</v>
      </c>
      <c r="W553" s="182">
        <f>ROUND(T553*I553, 2)</f>
        <v>2160.25</v>
      </c>
      <c r="X553" s="14">
        <f>ROUND(I553*ROUND(U553, 2), 2)</f>
        <v>13316.8</v>
      </c>
      <c r="Y553" s="14">
        <f>W553+X553</f>
        <v>15477.05</v>
      </c>
    </row>
    <row r="554" spans="1:25" ht="22.8" hidden="1" x14ac:dyDescent="0.4">
      <c r="A554" s="107" t="s">
        <v>2203</v>
      </c>
      <c r="B554" s="107"/>
      <c r="C554" s="108" t="s">
        <v>433</v>
      </c>
      <c r="D554" s="109"/>
      <c r="E554" s="109"/>
      <c r="F554" s="110" t="s">
        <v>70</v>
      </c>
      <c r="G554" s="111">
        <v>0.15</v>
      </c>
      <c r="H554" s="187"/>
      <c r="I554" s="229">
        <v>4.3049999999999997</v>
      </c>
      <c r="J554" s="325"/>
      <c r="K554" s="262"/>
      <c r="L554" s="280"/>
      <c r="M554" s="401"/>
      <c r="N554" s="423"/>
      <c r="O554" s="423"/>
      <c r="P554" s="423"/>
      <c r="Q554" s="423"/>
      <c r="R554" s="218"/>
      <c r="S554" s="218"/>
      <c r="T554" s="213">
        <v>88.8</v>
      </c>
      <c r="U554" s="211"/>
      <c r="V554" s="273"/>
      <c r="W554" s="206">
        <f>ROUND(ROUND(T554, 2)*I554, 2)</f>
        <v>382.28</v>
      </c>
    </row>
    <row r="555" spans="1:25" ht="75" hidden="1" customHeight="1" x14ac:dyDescent="0.4">
      <c r="A555" s="107" t="s">
        <v>2206</v>
      </c>
      <c r="B555" s="107"/>
      <c r="C555" s="108" t="s">
        <v>2187</v>
      </c>
      <c r="D555" s="109"/>
      <c r="E555" s="109" t="s">
        <v>2207</v>
      </c>
      <c r="F555" s="110" t="s">
        <v>70</v>
      </c>
      <c r="G555" s="111">
        <v>0.3</v>
      </c>
      <c r="H555" s="187"/>
      <c r="I555" s="229">
        <v>8.61</v>
      </c>
      <c r="J555" s="325"/>
      <c r="K555" s="262"/>
      <c r="L555" s="280"/>
      <c r="M555" s="401"/>
      <c r="N555" s="423"/>
      <c r="O555" s="423"/>
      <c r="P555" s="423"/>
      <c r="Q555" s="423"/>
      <c r="R555" s="218"/>
      <c r="S555" s="218"/>
      <c r="T555" s="213">
        <v>206.5</v>
      </c>
      <c r="U555" s="211"/>
      <c r="V555" s="273"/>
      <c r="W555" s="206">
        <f>ROUND(ROUND(T555, 2)*I555, 2)</f>
        <v>1777.97</v>
      </c>
    </row>
    <row r="556" spans="1:25" ht="39.450000000000003" customHeight="1" x14ac:dyDescent="0.3">
      <c r="A556" s="156" t="s">
        <v>2210</v>
      </c>
      <c r="B556" s="156" t="s">
        <v>2149</v>
      </c>
      <c r="C556" s="75" t="s">
        <v>2150</v>
      </c>
      <c r="D556" s="76"/>
      <c r="E556" s="76" t="s">
        <v>2211</v>
      </c>
      <c r="F556" s="76" t="s">
        <v>64</v>
      </c>
      <c r="G556" s="77">
        <v>1</v>
      </c>
      <c r="H556" s="177"/>
      <c r="I556" s="228">
        <v>29.42</v>
      </c>
      <c r="J556" s="322"/>
      <c r="K556" s="258"/>
      <c r="L556" s="281"/>
      <c r="M556" s="221"/>
      <c r="N556" s="422"/>
      <c r="O556" s="422"/>
      <c r="P556" s="422"/>
      <c r="Q556" s="422"/>
      <c r="R556" s="220"/>
      <c r="S556" s="221"/>
      <c r="T556" s="212">
        <f>IFERROR(ROUND(SUM(W557,W558)/I556, 2),0)</f>
        <v>75.27</v>
      </c>
      <c r="U556" s="202">
        <v>464</v>
      </c>
      <c r="V556" s="274">
        <f>T556+ROUND(U556, 2)</f>
        <v>539.27</v>
      </c>
      <c r="W556" s="182">
        <f>ROUND(T556*I556, 2)</f>
        <v>2214.44</v>
      </c>
      <c r="X556" s="14">
        <f>ROUND(I556*ROUND(U556, 2), 2)</f>
        <v>13650.88</v>
      </c>
      <c r="Y556" s="14">
        <f>W556+X556</f>
        <v>15865.32</v>
      </c>
    </row>
    <row r="557" spans="1:25" ht="75" hidden="1" customHeight="1" x14ac:dyDescent="0.4">
      <c r="A557" s="107" t="s">
        <v>2212</v>
      </c>
      <c r="B557" s="107"/>
      <c r="C557" s="108" t="s">
        <v>2187</v>
      </c>
      <c r="D557" s="109"/>
      <c r="E557" s="109" t="s">
        <v>2213</v>
      </c>
      <c r="F557" s="110" t="s">
        <v>70</v>
      </c>
      <c r="G557" s="111">
        <v>0.3</v>
      </c>
      <c r="H557" s="187"/>
      <c r="I557" s="229">
        <v>8.8260000000000005</v>
      </c>
      <c r="J557" s="325"/>
      <c r="K557" s="262"/>
      <c r="L557" s="280"/>
      <c r="M557" s="401"/>
      <c r="N557" s="423"/>
      <c r="O557" s="423"/>
      <c r="P557" s="423"/>
      <c r="Q557" s="423"/>
      <c r="R557" s="218"/>
      <c r="S557" s="218"/>
      <c r="T557" s="213">
        <v>206.5</v>
      </c>
      <c r="U557" s="211"/>
      <c r="V557" s="273"/>
      <c r="W557" s="206">
        <f>ROUND(ROUND(T557, 2)*I557, 2)</f>
        <v>1822.57</v>
      </c>
    </row>
    <row r="558" spans="1:25" ht="22.8" hidden="1" x14ac:dyDescent="0.4">
      <c r="A558" s="107" t="s">
        <v>2216</v>
      </c>
      <c r="B558" s="107"/>
      <c r="C558" s="108" t="s">
        <v>433</v>
      </c>
      <c r="D558" s="109"/>
      <c r="E558" s="109"/>
      <c r="F558" s="110" t="s">
        <v>70</v>
      </c>
      <c r="G558" s="111">
        <v>0.15</v>
      </c>
      <c r="H558" s="187"/>
      <c r="I558" s="229">
        <v>4.4130000000000003</v>
      </c>
      <c r="J558" s="325"/>
      <c r="K558" s="262"/>
      <c r="L558" s="280"/>
      <c r="M558" s="401"/>
      <c r="N558" s="423"/>
      <c r="O558" s="423"/>
      <c r="P558" s="423"/>
      <c r="Q558" s="423"/>
      <c r="R558" s="218"/>
      <c r="S558" s="218"/>
      <c r="T558" s="213">
        <v>88.8</v>
      </c>
      <c r="U558" s="211"/>
      <c r="V558" s="273"/>
      <c r="W558" s="206">
        <f>ROUND(ROUND(T558, 2)*I558, 2)</f>
        <v>391.87</v>
      </c>
    </row>
    <row r="559" spans="1:25" ht="49.5" customHeight="1" x14ac:dyDescent="0.3">
      <c r="A559" s="156" t="s">
        <v>2219</v>
      </c>
      <c r="B559" s="156" t="s">
        <v>2149</v>
      </c>
      <c r="C559" s="75" t="s">
        <v>2150</v>
      </c>
      <c r="D559" s="76"/>
      <c r="E559" s="76" t="s">
        <v>2220</v>
      </c>
      <c r="F559" s="76" t="s">
        <v>64</v>
      </c>
      <c r="G559" s="77">
        <v>1</v>
      </c>
      <c r="H559" s="177"/>
      <c r="I559" s="228">
        <v>316.79000000000002</v>
      </c>
      <c r="J559" s="322"/>
      <c r="K559" s="258"/>
      <c r="L559" s="281"/>
      <c r="M559" s="221"/>
      <c r="N559" s="422"/>
      <c r="O559" s="422"/>
      <c r="P559" s="422"/>
      <c r="Q559" s="422"/>
      <c r="R559" s="220"/>
      <c r="S559" s="221"/>
      <c r="T559" s="212">
        <f>IFERROR(ROUND(SUM(W560,W561)/I559, 2),0)</f>
        <v>75.27</v>
      </c>
      <c r="U559" s="202">
        <v>464</v>
      </c>
      <c r="V559" s="274">
        <f>T559+ROUND(U559, 2)</f>
        <v>539.27</v>
      </c>
      <c r="W559" s="182">
        <f>ROUND(T559*I559, 2)</f>
        <v>23844.78</v>
      </c>
      <c r="X559" s="14">
        <f>ROUND(I559*ROUND(U559, 2), 2)</f>
        <v>146990.56</v>
      </c>
      <c r="Y559" s="14">
        <f>W559+X559</f>
        <v>170835.34</v>
      </c>
    </row>
    <row r="560" spans="1:25" ht="22.8" hidden="1" x14ac:dyDescent="0.4">
      <c r="A560" s="107" t="s">
        <v>2221</v>
      </c>
      <c r="B560" s="107"/>
      <c r="C560" s="108" t="s">
        <v>433</v>
      </c>
      <c r="D560" s="109"/>
      <c r="E560" s="109"/>
      <c r="F560" s="110" t="s">
        <v>70</v>
      </c>
      <c r="G560" s="111">
        <v>0.15</v>
      </c>
      <c r="H560" s="187"/>
      <c r="I560" s="229">
        <v>47.518999999999998</v>
      </c>
      <c r="J560" s="325"/>
      <c r="K560" s="262"/>
      <c r="L560" s="280"/>
      <c r="M560" s="401"/>
      <c r="N560" s="423"/>
      <c r="O560" s="423"/>
      <c r="P560" s="423"/>
      <c r="Q560" s="423"/>
      <c r="R560" s="218"/>
      <c r="S560" s="218"/>
      <c r="T560" s="213">
        <v>88.8</v>
      </c>
      <c r="U560" s="211"/>
      <c r="V560" s="273"/>
      <c r="W560" s="206">
        <f>ROUND(ROUND(T560, 2)*I560, 2)</f>
        <v>4219.6899999999996</v>
      </c>
    </row>
    <row r="561" spans="1:25" ht="82.5" hidden="1" customHeight="1" x14ac:dyDescent="0.4">
      <c r="A561" s="107" t="s">
        <v>2224</v>
      </c>
      <c r="B561" s="107"/>
      <c r="C561" s="108" t="s">
        <v>2155</v>
      </c>
      <c r="D561" s="109"/>
      <c r="E561" s="109" t="s">
        <v>2225</v>
      </c>
      <c r="F561" s="110" t="s">
        <v>70</v>
      </c>
      <c r="G561" s="111">
        <v>0.3</v>
      </c>
      <c r="H561" s="187"/>
      <c r="I561" s="229">
        <v>95.037000000000006</v>
      </c>
      <c r="J561" s="325"/>
      <c r="K561" s="262"/>
      <c r="L561" s="280"/>
      <c r="M561" s="401"/>
      <c r="N561" s="423"/>
      <c r="O561" s="423"/>
      <c r="P561" s="423"/>
      <c r="Q561" s="423"/>
      <c r="R561" s="218"/>
      <c r="S561" s="218"/>
      <c r="T561" s="213">
        <v>206.5</v>
      </c>
      <c r="U561" s="211"/>
      <c r="V561" s="273"/>
      <c r="W561" s="206">
        <f>ROUND(ROUND(T561, 2)*I561, 2)</f>
        <v>19625.14</v>
      </c>
    </row>
    <row r="562" spans="1:25" ht="46.5" customHeight="1" x14ac:dyDescent="0.3">
      <c r="A562" s="156" t="s">
        <v>2228</v>
      </c>
      <c r="B562" s="156" t="s">
        <v>2149</v>
      </c>
      <c r="C562" s="75" t="s">
        <v>2150</v>
      </c>
      <c r="D562" s="76"/>
      <c r="E562" s="76" t="s">
        <v>2229</v>
      </c>
      <c r="F562" s="76" t="s">
        <v>64</v>
      </c>
      <c r="G562" s="77">
        <v>1</v>
      </c>
      <c r="H562" s="177"/>
      <c r="I562" s="228">
        <v>564.55999999999995</v>
      </c>
      <c r="J562" s="322"/>
      <c r="K562" s="258"/>
      <c r="L562" s="281"/>
      <c r="M562" s="221"/>
      <c r="N562" s="422"/>
      <c r="O562" s="422"/>
      <c r="P562" s="422"/>
      <c r="Q562" s="422"/>
      <c r="R562" s="220"/>
      <c r="S562" s="221"/>
      <c r="T562" s="212">
        <f>IFERROR(ROUND(SUM(W563,W564)/I562, 2),0)</f>
        <v>68.28</v>
      </c>
      <c r="U562" s="202">
        <v>464</v>
      </c>
      <c r="V562" s="274">
        <f>T562+ROUND(U562, 2)</f>
        <v>532.28</v>
      </c>
      <c r="W562" s="182">
        <f>ROUND(T562*I562, 2)</f>
        <v>38548.160000000003</v>
      </c>
      <c r="X562" s="14">
        <f>ROUND(I562*ROUND(U562, 2), 2)</f>
        <v>261955.84</v>
      </c>
      <c r="Y562" s="14">
        <f>W562+X562</f>
        <v>300504</v>
      </c>
    </row>
    <row r="563" spans="1:25" ht="72" hidden="1" customHeight="1" x14ac:dyDescent="0.4">
      <c r="A563" s="107" t="s">
        <v>2230</v>
      </c>
      <c r="B563" s="107"/>
      <c r="C563" s="108" t="s">
        <v>2187</v>
      </c>
      <c r="D563" s="109"/>
      <c r="E563" s="109" t="s">
        <v>2231</v>
      </c>
      <c r="F563" s="110" t="s">
        <v>70</v>
      </c>
      <c r="G563" s="111">
        <v>0.3</v>
      </c>
      <c r="H563" s="187"/>
      <c r="I563" s="229">
        <v>169.36799999999999</v>
      </c>
      <c r="J563" s="325"/>
      <c r="K563" s="262"/>
      <c r="L563" s="280"/>
      <c r="M563" s="401"/>
      <c r="N563" s="423"/>
      <c r="O563" s="423"/>
      <c r="P563" s="423"/>
      <c r="Q563" s="423"/>
      <c r="R563" s="218"/>
      <c r="S563" s="218"/>
      <c r="T563" s="213">
        <v>183.2</v>
      </c>
      <c r="U563" s="211"/>
      <c r="V563" s="273"/>
      <c r="W563" s="206">
        <f>ROUND(ROUND(T563, 2)*I563, 2)</f>
        <v>31028.22</v>
      </c>
    </row>
    <row r="564" spans="1:25" ht="22.8" hidden="1" x14ac:dyDescent="0.4">
      <c r="A564" s="107" t="s">
        <v>2234</v>
      </c>
      <c r="B564" s="107"/>
      <c r="C564" s="108" t="s">
        <v>433</v>
      </c>
      <c r="D564" s="109"/>
      <c r="E564" s="109"/>
      <c r="F564" s="110" t="s">
        <v>70</v>
      </c>
      <c r="G564" s="111">
        <v>0.15</v>
      </c>
      <c r="H564" s="187"/>
      <c r="I564" s="229">
        <v>84.683999999999997</v>
      </c>
      <c r="J564" s="325"/>
      <c r="K564" s="262"/>
      <c r="L564" s="280"/>
      <c r="M564" s="401"/>
      <c r="N564" s="423"/>
      <c r="O564" s="423"/>
      <c r="P564" s="423"/>
      <c r="Q564" s="423"/>
      <c r="R564" s="218"/>
      <c r="S564" s="218"/>
      <c r="T564" s="213">
        <v>88.8</v>
      </c>
      <c r="U564" s="211"/>
      <c r="V564" s="273"/>
      <c r="W564" s="206">
        <f>ROUND(ROUND(T564, 2)*I564, 2)</f>
        <v>7519.94</v>
      </c>
    </row>
    <row r="565" spans="1:25" ht="44.55" customHeight="1" x14ac:dyDescent="0.3">
      <c r="A565" s="156" t="s">
        <v>2237</v>
      </c>
      <c r="B565" s="156" t="s">
        <v>2149</v>
      </c>
      <c r="C565" s="75" t="s">
        <v>2150</v>
      </c>
      <c r="D565" s="76"/>
      <c r="E565" s="76" t="s">
        <v>2238</v>
      </c>
      <c r="F565" s="76" t="s">
        <v>64</v>
      </c>
      <c r="G565" s="77">
        <v>1</v>
      </c>
      <c r="H565" s="177"/>
      <c r="I565" s="228">
        <v>32.17</v>
      </c>
      <c r="J565" s="322"/>
      <c r="K565" s="258"/>
      <c r="L565" s="281"/>
      <c r="M565" s="221"/>
      <c r="N565" s="422"/>
      <c r="O565" s="422"/>
      <c r="P565" s="422"/>
      <c r="Q565" s="422"/>
      <c r="R565" s="220"/>
      <c r="S565" s="221"/>
      <c r="T565" s="212">
        <f>IFERROR(ROUND(SUM(W566,W567)/I565, 2),0)</f>
        <v>73.95</v>
      </c>
      <c r="U565" s="202">
        <v>464</v>
      </c>
      <c r="V565" s="274">
        <f>T565+ROUND(U565, 2)</f>
        <v>537.95000000000005</v>
      </c>
      <c r="W565" s="182">
        <f>ROUND(T565*I565, 2)</f>
        <v>2378.9699999999998</v>
      </c>
      <c r="X565" s="14">
        <f>ROUND(I565*ROUND(U565, 2), 2)</f>
        <v>14926.88</v>
      </c>
      <c r="Y565" s="14">
        <f>W565+X565</f>
        <v>17305.849999999999</v>
      </c>
    </row>
    <row r="566" spans="1:25" ht="22.8" hidden="1" x14ac:dyDescent="0.4">
      <c r="A566" s="107" t="s">
        <v>2239</v>
      </c>
      <c r="B566" s="107"/>
      <c r="C566" s="108" t="s">
        <v>2240</v>
      </c>
      <c r="D566" s="109"/>
      <c r="E566" s="109"/>
      <c r="F566" s="110" t="s">
        <v>70</v>
      </c>
      <c r="G566" s="111">
        <v>0.15</v>
      </c>
      <c r="H566" s="187"/>
      <c r="I566" s="229">
        <v>4.8259999999999996</v>
      </c>
      <c r="J566" s="325"/>
      <c r="K566" s="262"/>
      <c r="L566" s="280"/>
      <c r="M566" s="401"/>
      <c r="N566" s="423"/>
      <c r="O566" s="423"/>
      <c r="P566" s="423"/>
      <c r="Q566" s="423"/>
      <c r="R566" s="218"/>
      <c r="S566" s="218"/>
      <c r="T566" s="213">
        <v>80</v>
      </c>
      <c r="U566" s="211"/>
      <c r="V566" s="273"/>
      <c r="W566" s="206">
        <f>ROUND(ROUND(T566, 2)*I566, 2)</f>
        <v>386.08</v>
      </c>
    </row>
    <row r="567" spans="1:25" ht="72.45" hidden="1" customHeight="1" x14ac:dyDescent="0.4">
      <c r="A567" s="107" t="s">
        <v>2244</v>
      </c>
      <c r="B567" s="107"/>
      <c r="C567" s="108" t="s">
        <v>2187</v>
      </c>
      <c r="D567" s="109"/>
      <c r="E567" s="109" t="s">
        <v>2245</v>
      </c>
      <c r="F567" s="110" t="s">
        <v>70</v>
      </c>
      <c r="G567" s="111">
        <v>0.3</v>
      </c>
      <c r="H567" s="187"/>
      <c r="I567" s="229">
        <v>9.6509999999999998</v>
      </c>
      <c r="J567" s="325"/>
      <c r="K567" s="262"/>
      <c r="L567" s="280"/>
      <c r="M567" s="401"/>
      <c r="N567" s="423"/>
      <c r="O567" s="423"/>
      <c r="P567" s="423"/>
      <c r="Q567" s="423"/>
      <c r="R567" s="218"/>
      <c r="S567" s="218"/>
      <c r="T567" s="213">
        <v>206.5</v>
      </c>
      <c r="U567" s="211"/>
      <c r="V567" s="273"/>
      <c r="W567" s="206">
        <f>ROUND(ROUND(T567, 2)*I567, 2)</f>
        <v>1992.93</v>
      </c>
    </row>
    <row r="568" spans="1:25" ht="50.55" customHeight="1" x14ac:dyDescent="0.3">
      <c r="A568" s="156" t="s">
        <v>2248</v>
      </c>
      <c r="B568" s="156" t="s">
        <v>2149</v>
      </c>
      <c r="C568" s="75" t="s">
        <v>2150</v>
      </c>
      <c r="D568" s="76"/>
      <c r="E568" s="76" t="s">
        <v>2249</v>
      </c>
      <c r="F568" s="76" t="s">
        <v>64</v>
      </c>
      <c r="G568" s="77">
        <v>1</v>
      </c>
      <c r="H568" s="177"/>
      <c r="I568" s="228">
        <v>38.729999999999997</v>
      </c>
      <c r="J568" s="322"/>
      <c r="K568" s="258"/>
      <c r="L568" s="281"/>
      <c r="M568" s="221"/>
      <c r="N568" s="422"/>
      <c r="O568" s="422"/>
      <c r="P568" s="422"/>
      <c r="Q568" s="422"/>
      <c r="R568" s="220"/>
      <c r="S568" s="221"/>
      <c r="T568" s="212">
        <f>IFERROR(ROUND(SUM(W569,W570)/I568, 2),0)</f>
        <v>75.27</v>
      </c>
      <c r="U568" s="202">
        <v>464</v>
      </c>
      <c r="V568" s="274">
        <f>T568+ROUND(U568, 2)</f>
        <v>539.27</v>
      </c>
      <c r="W568" s="182">
        <f>ROUND(T568*I568, 2)</f>
        <v>2915.21</v>
      </c>
      <c r="X568" s="14">
        <f>ROUND(I568*ROUND(U568, 2), 2)</f>
        <v>17970.72</v>
      </c>
      <c r="Y568" s="14">
        <f>W568+X568</f>
        <v>20885.93</v>
      </c>
    </row>
    <row r="569" spans="1:25" ht="66" hidden="1" customHeight="1" x14ac:dyDescent="0.4">
      <c r="A569" s="107" t="s">
        <v>2250</v>
      </c>
      <c r="B569" s="107"/>
      <c r="C569" s="108" t="s">
        <v>2187</v>
      </c>
      <c r="D569" s="109"/>
      <c r="E569" s="109" t="s">
        <v>2251</v>
      </c>
      <c r="F569" s="110" t="s">
        <v>70</v>
      </c>
      <c r="G569" s="111">
        <v>0.3</v>
      </c>
      <c r="H569" s="187"/>
      <c r="I569" s="229">
        <v>11.619</v>
      </c>
      <c r="J569" s="325"/>
      <c r="K569" s="262"/>
      <c r="L569" s="280"/>
      <c r="M569" s="401"/>
      <c r="N569" s="423"/>
      <c r="O569" s="423"/>
      <c r="P569" s="423"/>
      <c r="Q569" s="423"/>
      <c r="R569" s="218"/>
      <c r="S569" s="218"/>
      <c r="T569" s="213">
        <v>206.5</v>
      </c>
      <c r="U569" s="211"/>
      <c r="V569" s="273"/>
      <c r="W569" s="206">
        <f>ROUND(ROUND(T569, 2)*I569, 2)</f>
        <v>2399.3200000000002</v>
      </c>
    </row>
    <row r="570" spans="1:25" ht="22.8" hidden="1" x14ac:dyDescent="0.4">
      <c r="A570" s="107" t="s">
        <v>2254</v>
      </c>
      <c r="B570" s="107"/>
      <c r="C570" s="108" t="s">
        <v>433</v>
      </c>
      <c r="D570" s="109"/>
      <c r="E570" s="109"/>
      <c r="F570" s="110" t="s">
        <v>70</v>
      </c>
      <c r="G570" s="111">
        <v>0.15</v>
      </c>
      <c r="H570" s="187"/>
      <c r="I570" s="229">
        <v>5.81</v>
      </c>
      <c r="J570" s="325"/>
      <c r="K570" s="262"/>
      <c r="L570" s="280"/>
      <c r="M570" s="401"/>
      <c r="N570" s="423"/>
      <c r="O570" s="423"/>
      <c r="P570" s="423"/>
      <c r="Q570" s="423"/>
      <c r="R570" s="218"/>
      <c r="S570" s="218"/>
      <c r="T570" s="213">
        <v>88.8</v>
      </c>
      <c r="U570" s="211"/>
      <c r="V570" s="273"/>
      <c r="W570" s="206">
        <f>ROUND(ROUND(T570, 2)*I570, 2)</f>
        <v>515.92999999999995</v>
      </c>
    </row>
    <row r="571" spans="1:25" ht="49.5" customHeight="1" x14ac:dyDescent="0.3">
      <c r="A571" s="156" t="s">
        <v>2257</v>
      </c>
      <c r="B571" s="156" t="s">
        <v>2149</v>
      </c>
      <c r="C571" s="75" t="s">
        <v>2150</v>
      </c>
      <c r="D571" s="76"/>
      <c r="E571" s="76" t="s">
        <v>2211</v>
      </c>
      <c r="F571" s="76" t="s">
        <v>64</v>
      </c>
      <c r="G571" s="77">
        <v>1</v>
      </c>
      <c r="H571" s="177"/>
      <c r="I571" s="228">
        <v>38.74</v>
      </c>
      <c r="J571" s="322"/>
      <c r="K571" s="258"/>
      <c r="L571" s="281"/>
      <c r="M571" s="221"/>
      <c r="N571" s="422"/>
      <c r="O571" s="422"/>
      <c r="P571" s="422"/>
      <c r="Q571" s="422"/>
      <c r="R571" s="220"/>
      <c r="S571" s="221"/>
      <c r="T571" s="212">
        <f>IFERROR(ROUND(SUM(W572,W573)/I571, 2),0)</f>
        <v>75.27</v>
      </c>
      <c r="U571" s="202">
        <v>464</v>
      </c>
      <c r="V571" s="274">
        <f>T571+ROUND(U571, 2)</f>
        <v>539.27</v>
      </c>
      <c r="W571" s="182">
        <f>ROUND(T571*I571, 2)</f>
        <v>2915.96</v>
      </c>
      <c r="X571" s="14">
        <f>ROUND(I571*ROUND(U571, 2), 2)</f>
        <v>17975.36</v>
      </c>
      <c r="Y571" s="14">
        <f>W571+X571</f>
        <v>20891.32</v>
      </c>
    </row>
    <row r="572" spans="1:25" ht="22.8" hidden="1" x14ac:dyDescent="0.4">
      <c r="A572" s="107" t="s">
        <v>2258</v>
      </c>
      <c r="B572" s="107"/>
      <c r="C572" s="108" t="s">
        <v>433</v>
      </c>
      <c r="D572" s="109"/>
      <c r="E572" s="109"/>
      <c r="F572" s="110" t="s">
        <v>70</v>
      </c>
      <c r="G572" s="111">
        <v>0.15</v>
      </c>
      <c r="H572" s="187"/>
      <c r="I572" s="229">
        <v>5.8109999999999999</v>
      </c>
      <c r="J572" s="325"/>
      <c r="K572" s="262"/>
      <c r="L572" s="280"/>
      <c r="M572" s="401"/>
      <c r="N572" s="423"/>
      <c r="O572" s="423"/>
      <c r="P572" s="423"/>
      <c r="Q572" s="423"/>
      <c r="R572" s="218"/>
      <c r="S572" s="218"/>
      <c r="T572" s="213">
        <v>88.8</v>
      </c>
      <c r="U572" s="211"/>
      <c r="V572" s="273"/>
      <c r="W572" s="206">
        <f>ROUND(ROUND(T572, 2)*I572, 2)</f>
        <v>516.02</v>
      </c>
    </row>
    <row r="573" spans="1:25" ht="73.05" hidden="1" customHeight="1" x14ac:dyDescent="0.4">
      <c r="A573" s="107" t="s">
        <v>2261</v>
      </c>
      <c r="B573" s="107"/>
      <c r="C573" s="108" t="s">
        <v>2187</v>
      </c>
      <c r="D573" s="109"/>
      <c r="E573" s="109" t="s">
        <v>2262</v>
      </c>
      <c r="F573" s="110" t="s">
        <v>70</v>
      </c>
      <c r="G573" s="111">
        <v>0.3</v>
      </c>
      <c r="H573" s="187"/>
      <c r="I573" s="229">
        <v>11.622</v>
      </c>
      <c r="J573" s="325"/>
      <c r="K573" s="262"/>
      <c r="L573" s="280"/>
      <c r="M573" s="401"/>
      <c r="N573" s="423"/>
      <c r="O573" s="423"/>
      <c r="P573" s="423"/>
      <c r="Q573" s="423"/>
      <c r="R573" s="218"/>
      <c r="S573" s="218"/>
      <c r="T573" s="213">
        <v>206.5</v>
      </c>
      <c r="U573" s="211"/>
      <c r="V573" s="273"/>
      <c r="W573" s="206">
        <f>ROUND(ROUND(T573, 2)*I573, 2)</f>
        <v>2399.94</v>
      </c>
    </row>
    <row r="574" spans="1:25" ht="49.95" customHeight="1" x14ac:dyDescent="0.3">
      <c r="A574" s="156" t="s">
        <v>2265</v>
      </c>
      <c r="B574" s="156" t="s">
        <v>2149</v>
      </c>
      <c r="C574" s="75" t="s">
        <v>2150</v>
      </c>
      <c r="D574" s="76"/>
      <c r="E574" s="76" t="s">
        <v>2266</v>
      </c>
      <c r="F574" s="76" t="s">
        <v>64</v>
      </c>
      <c r="G574" s="77">
        <v>1</v>
      </c>
      <c r="H574" s="177"/>
      <c r="I574" s="228">
        <v>33.549999999999997</v>
      </c>
      <c r="J574" s="322"/>
      <c r="K574" s="258"/>
      <c r="L574" s="281"/>
      <c r="M574" s="221"/>
      <c r="N574" s="422"/>
      <c r="O574" s="422"/>
      <c r="P574" s="422"/>
      <c r="Q574" s="422"/>
      <c r="R574" s="220"/>
      <c r="S574" s="221"/>
      <c r="T574" s="212">
        <f>IFERROR(ROUND(SUM(W575,W576)/I574, 2),0)</f>
        <v>75.27</v>
      </c>
      <c r="U574" s="202">
        <v>464</v>
      </c>
      <c r="V574" s="274">
        <f>T574+ROUND(U574, 2)</f>
        <v>539.27</v>
      </c>
      <c r="W574" s="182">
        <f>ROUND(T574*I574, 2)</f>
        <v>2525.31</v>
      </c>
      <c r="X574" s="14">
        <f>ROUND(I574*ROUND(U574, 2), 2)</f>
        <v>15567.2</v>
      </c>
      <c r="Y574" s="14">
        <f>W574+X574</f>
        <v>18092.510000000002</v>
      </c>
    </row>
    <row r="575" spans="1:25" ht="76.95" hidden="1" customHeight="1" x14ac:dyDescent="0.4">
      <c r="A575" s="10" t="s">
        <v>2267</v>
      </c>
      <c r="B575" s="10"/>
      <c r="C575" s="24" t="s">
        <v>2187</v>
      </c>
      <c r="D575" s="12"/>
      <c r="E575" s="12" t="s">
        <v>2268</v>
      </c>
      <c r="F575" s="18" t="s">
        <v>70</v>
      </c>
      <c r="G575" s="19">
        <v>0.3</v>
      </c>
      <c r="H575" s="191"/>
      <c r="I575" s="229">
        <v>10.065</v>
      </c>
      <c r="J575" s="329"/>
      <c r="K575" s="257"/>
      <c r="L575" s="280"/>
      <c r="M575" s="401"/>
      <c r="N575" s="423"/>
      <c r="O575" s="423"/>
      <c r="P575" s="423"/>
      <c r="Q575" s="423"/>
      <c r="R575" s="218"/>
      <c r="S575" s="218"/>
      <c r="T575" s="213">
        <v>206.5</v>
      </c>
      <c r="U575" s="211"/>
      <c r="V575" s="273"/>
      <c r="W575" s="206">
        <f>ROUND(ROUND(T575, 2)*I575, 2)</f>
        <v>2078.42</v>
      </c>
    </row>
    <row r="576" spans="1:25" ht="22.8" hidden="1" x14ac:dyDescent="0.4">
      <c r="A576" s="10" t="s">
        <v>2271</v>
      </c>
      <c r="B576" s="10"/>
      <c r="C576" s="24" t="s">
        <v>433</v>
      </c>
      <c r="D576" s="12"/>
      <c r="E576" s="12"/>
      <c r="F576" s="18" t="s">
        <v>70</v>
      </c>
      <c r="G576" s="19">
        <v>0.15</v>
      </c>
      <c r="H576" s="191"/>
      <c r="I576" s="229">
        <v>5.0330000000000004</v>
      </c>
      <c r="J576" s="329"/>
      <c r="K576" s="257"/>
      <c r="L576" s="280"/>
      <c r="M576" s="401"/>
      <c r="N576" s="423"/>
      <c r="O576" s="423"/>
      <c r="P576" s="423"/>
      <c r="Q576" s="423"/>
      <c r="R576" s="218"/>
      <c r="S576" s="218"/>
      <c r="T576" s="213">
        <v>88.8</v>
      </c>
      <c r="U576" s="211"/>
      <c r="V576" s="273"/>
      <c r="W576" s="206">
        <f>ROUND(ROUND(T576, 2)*I576, 2)</f>
        <v>446.93</v>
      </c>
    </row>
    <row r="577" spans="1:25" ht="42" customHeight="1" x14ac:dyDescent="0.3">
      <c r="A577" s="156" t="s">
        <v>2274</v>
      </c>
      <c r="B577" s="156" t="s">
        <v>2149</v>
      </c>
      <c r="C577" s="75" t="s">
        <v>2150</v>
      </c>
      <c r="D577" s="76"/>
      <c r="E577" s="76" t="s">
        <v>2275</v>
      </c>
      <c r="F577" s="76" t="s">
        <v>64</v>
      </c>
      <c r="G577" s="77">
        <v>1</v>
      </c>
      <c r="H577" s="177"/>
      <c r="I577" s="228">
        <v>1504.31</v>
      </c>
      <c r="J577" s="322"/>
      <c r="K577" s="258"/>
      <c r="L577" s="281"/>
      <c r="M577" s="221"/>
      <c r="N577" s="422"/>
      <c r="O577" s="422"/>
      <c r="P577" s="422"/>
      <c r="Q577" s="422"/>
      <c r="R577" s="220"/>
      <c r="S577" s="221"/>
      <c r="T577" s="212">
        <f>IFERROR(ROUND(SUM(W578,W579)/I577, 2),0)</f>
        <v>75.27</v>
      </c>
      <c r="U577" s="202">
        <v>464</v>
      </c>
      <c r="V577" s="274">
        <f>T577+ROUND(U577, 2)</f>
        <v>539.27</v>
      </c>
      <c r="W577" s="182">
        <f>ROUND(T577*I577, 2)</f>
        <v>113229.41</v>
      </c>
      <c r="X577" s="14">
        <f>ROUND(I577*ROUND(U577, 2), 2)</f>
        <v>697999.84</v>
      </c>
      <c r="Y577" s="14">
        <f>W577+X577</f>
        <v>811229.25</v>
      </c>
    </row>
    <row r="578" spans="1:25" ht="22.8" hidden="1" x14ac:dyDescent="0.4">
      <c r="A578" s="107" t="s">
        <v>2276</v>
      </c>
      <c r="B578" s="107"/>
      <c r="C578" s="108" t="s">
        <v>433</v>
      </c>
      <c r="D578" s="109"/>
      <c r="E578" s="109"/>
      <c r="F578" s="110" t="s">
        <v>70</v>
      </c>
      <c r="G578" s="111">
        <v>0.15</v>
      </c>
      <c r="H578" s="187"/>
      <c r="I578" s="229">
        <v>225.64699999999999</v>
      </c>
      <c r="J578" s="325"/>
      <c r="K578" s="262"/>
      <c r="L578" s="280"/>
      <c r="M578" s="401"/>
      <c r="N578" s="423"/>
      <c r="O578" s="423"/>
      <c r="P578" s="423"/>
      <c r="Q578" s="423"/>
      <c r="R578" s="218"/>
      <c r="S578" s="218"/>
      <c r="T578" s="213">
        <v>88.8</v>
      </c>
      <c r="U578" s="211"/>
      <c r="V578" s="273"/>
      <c r="W578" s="206">
        <f>ROUND(ROUND(T578, 2)*I578, 2)</f>
        <v>20037.45</v>
      </c>
    </row>
    <row r="579" spans="1:25" ht="93" hidden="1" customHeight="1" x14ac:dyDescent="0.4">
      <c r="A579" s="107" t="s">
        <v>2279</v>
      </c>
      <c r="B579" s="107"/>
      <c r="C579" s="108" t="s">
        <v>2187</v>
      </c>
      <c r="D579" s="109"/>
      <c r="E579" s="109" t="s">
        <v>2280</v>
      </c>
      <c r="F579" s="110" t="s">
        <v>70</v>
      </c>
      <c r="G579" s="111">
        <v>0.3</v>
      </c>
      <c r="H579" s="187"/>
      <c r="I579" s="229">
        <v>451.29300000000001</v>
      </c>
      <c r="J579" s="325"/>
      <c r="K579" s="262"/>
      <c r="L579" s="280"/>
      <c r="M579" s="401"/>
      <c r="N579" s="423"/>
      <c r="O579" s="423"/>
      <c r="P579" s="423"/>
      <c r="Q579" s="423"/>
      <c r="R579" s="218"/>
      <c r="S579" s="218"/>
      <c r="T579" s="213">
        <v>206.5</v>
      </c>
      <c r="U579" s="211"/>
      <c r="V579" s="273"/>
      <c r="W579" s="206">
        <f>ROUND(ROUND(T579, 2)*I579, 2)</f>
        <v>93192</v>
      </c>
    </row>
    <row r="580" spans="1:25" ht="49.05" customHeight="1" x14ac:dyDescent="0.3">
      <c r="A580" s="156" t="s">
        <v>2283</v>
      </c>
      <c r="B580" s="156" t="s">
        <v>2149</v>
      </c>
      <c r="C580" s="75" t="s">
        <v>2150</v>
      </c>
      <c r="D580" s="76"/>
      <c r="E580" s="76" t="s">
        <v>2284</v>
      </c>
      <c r="F580" s="76" t="s">
        <v>64</v>
      </c>
      <c r="G580" s="77">
        <v>1</v>
      </c>
      <c r="H580" s="177"/>
      <c r="I580" s="228">
        <v>229.48</v>
      </c>
      <c r="J580" s="322"/>
      <c r="K580" s="258"/>
      <c r="L580" s="281"/>
      <c r="M580" s="221"/>
      <c r="N580" s="422"/>
      <c r="O580" s="422"/>
      <c r="P580" s="422"/>
      <c r="Q580" s="422"/>
      <c r="R580" s="220"/>
      <c r="S580" s="221"/>
      <c r="T580" s="212">
        <f>IFERROR(ROUND(SUM(W581,W582)/I580, 2),0)</f>
        <v>68.28</v>
      </c>
      <c r="U580" s="202">
        <v>464</v>
      </c>
      <c r="V580" s="274">
        <f>T580+ROUND(U580, 2)</f>
        <v>532.28</v>
      </c>
      <c r="W580" s="182">
        <f>ROUND(T580*I580, 2)</f>
        <v>15668.89</v>
      </c>
      <c r="X580" s="14">
        <f>ROUND(I580*ROUND(U580, 2), 2)</f>
        <v>106478.72</v>
      </c>
      <c r="Y580" s="14">
        <f>W580+X580</f>
        <v>122147.61</v>
      </c>
    </row>
    <row r="581" spans="1:25" ht="63.45" hidden="1" customHeight="1" x14ac:dyDescent="0.4">
      <c r="A581" s="107" t="s">
        <v>2285</v>
      </c>
      <c r="B581" s="107"/>
      <c r="C581" s="108" t="s">
        <v>2155</v>
      </c>
      <c r="D581" s="109"/>
      <c r="E581" s="109" t="s">
        <v>2286</v>
      </c>
      <c r="F581" s="110" t="s">
        <v>70</v>
      </c>
      <c r="G581" s="111">
        <v>0.3</v>
      </c>
      <c r="H581" s="187"/>
      <c r="I581" s="229">
        <v>68.843999999999994</v>
      </c>
      <c r="J581" s="325"/>
      <c r="K581" s="262"/>
      <c r="L581" s="280"/>
      <c r="M581" s="401"/>
      <c r="N581" s="423"/>
      <c r="O581" s="423"/>
      <c r="P581" s="423"/>
      <c r="Q581" s="423"/>
      <c r="R581" s="218"/>
      <c r="S581" s="218"/>
      <c r="T581" s="213">
        <v>183.2</v>
      </c>
      <c r="U581" s="211"/>
      <c r="V581" s="273"/>
      <c r="W581" s="206">
        <f>ROUND(ROUND(T581, 2)*I581, 2)</f>
        <v>12612.22</v>
      </c>
    </row>
    <row r="582" spans="1:25" ht="22.8" hidden="1" x14ac:dyDescent="0.4">
      <c r="A582" s="107" t="s">
        <v>2289</v>
      </c>
      <c r="B582" s="107"/>
      <c r="C582" s="108" t="s">
        <v>433</v>
      </c>
      <c r="D582" s="109"/>
      <c r="E582" s="109"/>
      <c r="F582" s="110" t="s">
        <v>70</v>
      </c>
      <c r="G582" s="111">
        <v>0.15</v>
      </c>
      <c r="H582" s="187"/>
      <c r="I582" s="229">
        <v>34.421999999999997</v>
      </c>
      <c r="J582" s="325"/>
      <c r="K582" s="262"/>
      <c r="L582" s="280"/>
      <c r="M582" s="401"/>
      <c r="N582" s="423"/>
      <c r="O582" s="423"/>
      <c r="P582" s="423"/>
      <c r="Q582" s="423"/>
      <c r="R582" s="218"/>
      <c r="S582" s="218"/>
      <c r="T582" s="213">
        <v>88.8</v>
      </c>
      <c r="U582" s="211"/>
      <c r="V582" s="273"/>
      <c r="W582" s="206">
        <f>ROUND(ROUND(T582, 2)*I582, 2)</f>
        <v>3056.67</v>
      </c>
    </row>
    <row r="583" spans="1:25" ht="46.95" customHeight="1" x14ac:dyDescent="0.3">
      <c r="A583" s="156" t="s">
        <v>2292</v>
      </c>
      <c r="B583" s="156" t="s">
        <v>2149</v>
      </c>
      <c r="C583" s="75" t="s">
        <v>2150</v>
      </c>
      <c r="D583" s="76"/>
      <c r="E583" s="76" t="s">
        <v>2293</v>
      </c>
      <c r="F583" s="76" t="s">
        <v>64</v>
      </c>
      <c r="G583" s="77">
        <v>1</v>
      </c>
      <c r="H583" s="177"/>
      <c r="I583" s="228">
        <v>16.88</v>
      </c>
      <c r="J583" s="322"/>
      <c r="K583" s="258"/>
      <c r="L583" s="281"/>
      <c r="M583" s="221"/>
      <c r="N583" s="422"/>
      <c r="O583" s="422"/>
      <c r="P583" s="422"/>
      <c r="Q583" s="422"/>
      <c r="R583" s="220"/>
      <c r="S583" s="221"/>
      <c r="T583" s="212">
        <f>IFERROR(ROUND(SUM(W584,W585)/I583, 2),0)</f>
        <v>75.27</v>
      </c>
      <c r="U583" s="202">
        <v>464</v>
      </c>
      <c r="V583" s="274">
        <f>T583+ROUND(U583, 2)</f>
        <v>539.27</v>
      </c>
      <c r="W583" s="182">
        <f>ROUND(T583*I583, 2)</f>
        <v>1270.56</v>
      </c>
      <c r="X583" s="14">
        <f>ROUND(I583*ROUND(U583, 2), 2)</f>
        <v>7832.32</v>
      </c>
      <c r="Y583" s="14">
        <f>W583+X583</f>
        <v>9102.8799999999992</v>
      </c>
    </row>
    <row r="584" spans="1:25" ht="22.8" hidden="1" x14ac:dyDescent="0.4">
      <c r="A584" s="107" t="s">
        <v>2294</v>
      </c>
      <c r="B584" s="107"/>
      <c r="C584" s="108" t="s">
        <v>433</v>
      </c>
      <c r="D584" s="109"/>
      <c r="E584" s="109"/>
      <c r="F584" s="110" t="s">
        <v>70</v>
      </c>
      <c r="G584" s="111">
        <v>0.15</v>
      </c>
      <c r="H584" s="187"/>
      <c r="I584" s="229">
        <v>2.532</v>
      </c>
      <c r="J584" s="325"/>
      <c r="K584" s="262"/>
      <c r="L584" s="280"/>
      <c r="M584" s="401"/>
      <c r="N584" s="423"/>
      <c r="O584" s="423"/>
      <c r="P584" s="423"/>
      <c r="Q584" s="423"/>
      <c r="R584" s="218"/>
      <c r="S584" s="218"/>
      <c r="T584" s="213">
        <v>88.8</v>
      </c>
      <c r="U584" s="211"/>
      <c r="V584" s="273"/>
      <c r="W584" s="206">
        <f>ROUND(ROUND(T584, 2)*I584, 2)</f>
        <v>224.84</v>
      </c>
    </row>
    <row r="585" spans="1:25" ht="69" hidden="1" customHeight="1" x14ac:dyDescent="0.4">
      <c r="A585" s="107" t="s">
        <v>2297</v>
      </c>
      <c r="B585" s="107"/>
      <c r="C585" s="108" t="s">
        <v>2155</v>
      </c>
      <c r="D585" s="109"/>
      <c r="E585" s="109" t="s">
        <v>2298</v>
      </c>
      <c r="F585" s="110" t="s">
        <v>70</v>
      </c>
      <c r="G585" s="111">
        <v>0.3</v>
      </c>
      <c r="H585" s="187"/>
      <c r="I585" s="229">
        <v>5.0640000000000001</v>
      </c>
      <c r="J585" s="325"/>
      <c r="K585" s="262"/>
      <c r="L585" s="280"/>
      <c r="M585" s="401"/>
      <c r="N585" s="423"/>
      <c r="O585" s="423"/>
      <c r="P585" s="423"/>
      <c r="Q585" s="423"/>
      <c r="R585" s="218"/>
      <c r="S585" s="218"/>
      <c r="T585" s="213">
        <v>206.5</v>
      </c>
      <c r="U585" s="211"/>
      <c r="V585" s="273"/>
      <c r="W585" s="206">
        <f>ROUND(ROUND(T585, 2)*I585, 2)</f>
        <v>1045.72</v>
      </c>
    </row>
    <row r="586" spans="1:25" ht="48.45" customHeight="1" x14ac:dyDescent="0.3">
      <c r="A586" s="156" t="s">
        <v>2301</v>
      </c>
      <c r="B586" s="156" t="s">
        <v>2149</v>
      </c>
      <c r="C586" s="75" t="s">
        <v>2150</v>
      </c>
      <c r="D586" s="76"/>
      <c r="E586" s="76" t="s">
        <v>2302</v>
      </c>
      <c r="F586" s="76" t="s">
        <v>64</v>
      </c>
      <c r="G586" s="77">
        <v>1</v>
      </c>
      <c r="H586" s="177"/>
      <c r="I586" s="228">
        <v>107.24</v>
      </c>
      <c r="J586" s="322"/>
      <c r="K586" s="258"/>
      <c r="L586" s="281"/>
      <c r="M586" s="221"/>
      <c r="N586" s="422"/>
      <c r="O586" s="422"/>
      <c r="P586" s="422"/>
      <c r="Q586" s="422"/>
      <c r="R586" s="220"/>
      <c r="S586" s="221"/>
      <c r="T586" s="212">
        <f>IFERROR(ROUND(SUM(W587,W588)/I586, 2),0)</f>
        <v>68.31</v>
      </c>
      <c r="U586" s="202">
        <v>464</v>
      </c>
      <c r="V586" s="274">
        <f>T586+ROUND(U586, 2)</f>
        <v>532.30999999999995</v>
      </c>
      <c r="W586" s="182">
        <f>ROUND(T586*I586, 2)</f>
        <v>7325.56</v>
      </c>
      <c r="X586" s="14">
        <f>ROUND(I586*ROUND(U586, 2), 2)</f>
        <v>49759.360000000001</v>
      </c>
      <c r="Y586" s="14">
        <f>W586+X586</f>
        <v>57084.92</v>
      </c>
    </row>
    <row r="587" spans="1:25" ht="83.55" hidden="1" customHeight="1" x14ac:dyDescent="0.4">
      <c r="A587" s="107" t="s">
        <v>2303</v>
      </c>
      <c r="B587" s="107"/>
      <c r="C587" s="108" t="s">
        <v>2187</v>
      </c>
      <c r="D587" s="109"/>
      <c r="E587" s="109" t="s">
        <v>2304</v>
      </c>
      <c r="F587" s="110" t="s">
        <v>70</v>
      </c>
      <c r="G587" s="111">
        <v>0.3</v>
      </c>
      <c r="H587" s="187"/>
      <c r="I587" s="229">
        <v>32.171999999999997</v>
      </c>
      <c r="J587" s="325"/>
      <c r="K587" s="262"/>
      <c r="L587" s="280"/>
      <c r="M587" s="401"/>
      <c r="N587" s="423"/>
      <c r="O587" s="423"/>
      <c r="P587" s="423"/>
      <c r="Q587" s="423"/>
      <c r="R587" s="218"/>
      <c r="S587" s="218"/>
      <c r="T587" s="213">
        <v>183.3</v>
      </c>
      <c r="U587" s="211"/>
      <c r="V587" s="273"/>
      <c r="W587" s="206">
        <f>ROUND(ROUND(T587, 2)*I587, 2)</f>
        <v>5897.13</v>
      </c>
    </row>
    <row r="588" spans="1:25" ht="22.8" hidden="1" x14ac:dyDescent="0.4">
      <c r="A588" s="107" t="s">
        <v>2307</v>
      </c>
      <c r="B588" s="107"/>
      <c r="C588" s="108" t="s">
        <v>433</v>
      </c>
      <c r="D588" s="109"/>
      <c r="E588" s="109"/>
      <c r="F588" s="110" t="s">
        <v>70</v>
      </c>
      <c r="G588" s="111">
        <v>0.15</v>
      </c>
      <c r="H588" s="187"/>
      <c r="I588" s="229">
        <v>16.085999999999999</v>
      </c>
      <c r="J588" s="325"/>
      <c r="K588" s="262"/>
      <c r="L588" s="280"/>
      <c r="M588" s="401"/>
      <c r="N588" s="423"/>
      <c r="O588" s="423"/>
      <c r="P588" s="423"/>
      <c r="Q588" s="423"/>
      <c r="R588" s="218"/>
      <c r="S588" s="218"/>
      <c r="T588" s="213">
        <v>88.8</v>
      </c>
      <c r="U588" s="211"/>
      <c r="V588" s="273"/>
      <c r="W588" s="206">
        <f>ROUND(ROUND(T588, 2)*I588, 2)</f>
        <v>1428.44</v>
      </c>
    </row>
    <row r="589" spans="1:25" ht="46.5" customHeight="1" x14ac:dyDescent="0.3">
      <c r="A589" s="156" t="s">
        <v>2310</v>
      </c>
      <c r="B589" s="156" t="s">
        <v>2149</v>
      </c>
      <c r="C589" s="75" t="s">
        <v>2150</v>
      </c>
      <c r="D589" s="76"/>
      <c r="E589" s="76" t="s">
        <v>2311</v>
      </c>
      <c r="F589" s="76" t="s">
        <v>64</v>
      </c>
      <c r="G589" s="77">
        <v>1</v>
      </c>
      <c r="H589" s="177"/>
      <c r="I589" s="228">
        <v>3.42</v>
      </c>
      <c r="J589" s="322"/>
      <c r="K589" s="258"/>
      <c r="L589" s="281"/>
      <c r="M589" s="221"/>
      <c r="N589" s="422"/>
      <c r="O589" s="422"/>
      <c r="P589" s="422"/>
      <c r="Q589" s="422"/>
      <c r="R589" s="220"/>
      <c r="S589" s="221"/>
      <c r="T589" s="212">
        <f>IFERROR(ROUND(SUM(W590,W591)/I589, 2),0)</f>
        <v>75.27</v>
      </c>
      <c r="U589" s="202">
        <v>464</v>
      </c>
      <c r="V589" s="274">
        <f>T589+ROUND(U589, 2)</f>
        <v>539.27</v>
      </c>
      <c r="W589" s="182">
        <f>ROUND(T589*I589, 2)</f>
        <v>257.42</v>
      </c>
      <c r="X589" s="14">
        <f>ROUND(I589*ROUND(U589, 2), 2)</f>
        <v>1586.88</v>
      </c>
      <c r="Y589" s="14">
        <f>W589+X589</f>
        <v>1844.3000000000002</v>
      </c>
    </row>
    <row r="590" spans="1:25" ht="22.8" hidden="1" x14ac:dyDescent="0.4">
      <c r="A590" s="107" t="s">
        <v>2312</v>
      </c>
      <c r="B590" s="107"/>
      <c r="C590" s="108" t="s">
        <v>433</v>
      </c>
      <c r="D590" s="109"/>
      <c r="E590" s="109"/>
      <c r="F590" s="110" t="s">
        <v>70</v>
      </c>
      <c r="G590" s="111">
        <v>0.15</v>
      </c>
      <c r="H590" s="187"/>
      <c r="I590" s="229">
        <v>0.51300000000000001</v>
      </c>
      <c r="J590" s="325"/>
      <c r="K590" s="262"/>
      <c r="L590" s="280"/>
      <c r="M590" s="401"/>
      <c r="N590" s="423"/>
      <c r="O590" s="423"/>
      <c r="P590" s="423"/>
      <c r="Q590" s="423"/>
      <c r="R590" s="218"/>
      <c r="S590" s="218"/>
      <c r="T590" s="213">
        <v>88.8</v>
      </c>
      <c r="U590" s="211"/>
      <c r="V590" s="273"/>
      <c r="W590" s="206">
        <f>ROUND(ROUND(T590, 2)*I590, 2)</f>
        <v>45.55</v>
      </c>
    </row>
    <row r="591" spans="1:25" ht="64.05" hidden="1" customHeight="1" x14ac:dyDescent="0.4">
      <c r="A591" s="107" t="s">
        <v>2315</v>
      </c>
      <c r="B591" s="107"/>
      <c r="C591" s="108" t="s">
        <v>2187</v>
      </c>
      <c r="D591" s="109"/>
      <c r="E591" s="109" t="s">
        <v>2316</v>
      </c>
      <c r="F591" s="110" t="s">
        <v>70</v>
      </c>
      <c r="G591" s="111">
        <v>0.3</v>
      </c>
      <c r="H591" s="187"/>
      <c r="I591" s="229">
        <v>1.026</v>
      </c>
      <c r="J591" s="325"/>
      <c r="K591" s="262"/>
      <c r="L591" s="280"/>
      <c r="M591" s="401"/>
      <c r="N591" s="423"/>
      <c r="O591" s="423"/>
      <c r="P591" s="423"/>
      <c r="Q591" s="423"/>
      <c r="R591" s="218"/>
      <c r="S591" s="218"/>
      <c r="T591" s="213">
        <v>206.5</v>
      </c>
      <c r="U591" s="211"/>
      <c r="V591" s="273"/>
      <c r="W591" s="206">
        <f>ROUND(ROUND(T591, 2)*I591, 2)</f>
        <v>211.87</v>
      </c>
    </row>
    <row r="592" spans="1:25" ht="51.45" customHeight="1" x14ac:dyDescent="0.3">
      <c r="A592" s="157" t="s">
        <v>2319</v>
      </c>
      <c r="B592" s="157" t="s">
        <v>2149</v>
      </c>
      <c r="C592" s="104" t="s">
        <v>2150</v>
      </c>
      <c r="D592" s="105"/>
      <c r="E592" s="105" t="s">
        <v>2320</v>
      </c>
      <c r="F592" s="105" t="s">
        <v>64</v>
      </c>
      <c r="G592" s="106">
        <v>1</v>
      </c>
      <c r="H592" s="186"/>
      <c r="I592" s="228">
        <v>357.68</v>
      </c>
      <c r="J592" s="322"/>
      <c r="K592" s="258"/>
      <c r="L592" s="281"/>
      <c r="M592" s="221"/>
      <c r="N592" s="422"/>
      <c r="O592" s="422"/>
      <c r="P592" s="422"/>
      <c r="Q592" s="422"/>
      <c r="R592" s="220"/>
      <c r="S592" s="221"/>
      <c r="T592" s="212">
        <f>IFERROR(ROUND(SUM(W593,W594)/I592, 2),0)</f>
        <v>75.27</v>
      </c>
      <c r="U592" s="202">
        <v>464</v>
      </c>
      <c r="V592" s="274">
        <f>T592+ROUND(U592, 2)</f>
        <v>539.27</v>
      </c>
      <c r="W592" s="182">
        <f>ROUND(T592*I592, 2)</f>
        <v>26922.57</v>
      </c>
      <c r="X592" s="14">
        <f>ROUND(I592*ROUND(U592, 2), 2)</f>
        <v>165963.51999999999</v>
      </c>
      <c r="Y592" s="14">
        <f>W592+X592</f>
        <v>192886.09</v>
      </c>
    </row>
    <row r="593" spans="1:25" ht="73.5" hidden="1" customHeight="1" x14ac:dyDescent="0.4">
      <c r="A593" s="107" t="s">
        <v>2321</v>
      </c>
      <c r="B593" s="107"/>
      <c r="C593" s="108" t="s">
        <v>2155</v>
      </c>
      <c r="D593" s="109"/>
      <c r="E593" s="109" t="s">
        <v>2175</v>
      </c>
      <c r="F593" s="110" t="s">
        <v>70</v>
      </c>
      <c r="G593" s="111">
        <v>0.3</v>
      </c>
      <c r="H593" s="187"/>
      <c r="I593" s="229">
        <v>107.304</v>
      </c>
      <c r="J593" s="325"/>
      <c r="K593" s="262"/>
      <c r="L593" s="280"/>
      <c r="M593" s="401"/>
      <c r="N593" s="423"/>
      <c r="O593" s="423"/>
      <c r="P593" s="423"/>
      <c r="Q593" s="423"/>
      <c r="R593" s="218"/>
      <c r="S593" s="218"/>
      <c r="T593" s="213">
        <v>206.5</v>
      </c>
      <c r="U593" s="211"/>
      <c r="V593" s="273"/>
      <c r="W593" s="206">
        <f>ROUND(ROUND(T593, 2)*I593, 2)</f>
        <v>22158.28</v>
      </c>
    </row>
    <row r="594" spans="1:25" ht="22.8" hidden="1" x14ac:dyDescent="0.4">
      <c r="A594" s="107" t="s">
        <v>2324</v>
      </c>
      <c r="B594" s="107"/>
      <c r="C594" s="108" t="s">
        <v>433</v>
      </c>
      <c r="D594" s="109"/>
      <c r="E594" s="109"/>
      <c r="F594" s="110" t="s">
        <v>70</v>
      </c>
      <c r="G594" s="111">
        <v>0.15</v>
      </c>
      <c r="H594" s="187"/>
      <c r="I594" s="229">
        <v>53.652000000000001</v>
      </c>
      <c r="J594" s="325"/>
      <c r="K594" s="262"/>
      <c r="L594" s="280"/>
      <c r="M594" s="401"/>
      <c r="N594" s="423"/>
      <c r="O594" s="423"/>
      <c r="P594" s="423"/>
      <c r="Q594" s="423"/>
      <c r="R594" s="218"/>
      <c r="S594" s="218"/>
      <c r="T594" s="213">
        <v>88.8</v>
      </c>
      <c r="U594" s="211"/>
      <c r="V594" s="273"/>
      <c r="W594" s="206">
        <f>ROUND(ROUND(T594, 2)*I594, 2)</f>
        <v>4764.3</v>
      </c>
    </row>
    <row r="595" spans="1:25" ht="40.5" customHeight="1" x14ac:dyDescent="0.3">
      <c r="A595" s="156" t="s">
        <v>2327</v>
      </c>
      <c r="B595" s="156" t="s">
        <v>2149</v>
      </c>
      <c r="C595" s="75" t="s">
        <v>2150</v>
      </c>
      <c r="D595" s="76"/>
      <c r="E595" s="76" t="s">
        <v>2328</v>
      </c>
      <c r="F595" s="76" t="s">
        <v>64</v>
      </c>
      <c r="G595" s="77">
        <v>1</v>
      </c>
      <c r="H595" s="177"/>
      <c r="I595" s="228">
        <v>577.95000000000005</v>
      </c>
      <c r="J595" s="322"/>
      <c r="K595" s="258"/>
      <c r="L595" s="281"/>
      <c r="M595" s="221"/>
      <c r="N595" s="422"/>
      <c r="O595" s="422"/>
      <c r="P595" s="422"/>
      <c r="Q595" s="422"/>
      <c r="R595" s="220"/>
      <c r="S595" s="221"/>
      <c r="T595" s="212">
        <f>IFERROR(ROUND(SUM(W596,W597)/I595, 2),0)</f>
        <v>75.27</v>
      </c>
      <c r="U595" s="202">
        <v>464</v>
      </c>
      <c r="V595" s="274">
        <f>T595+ROUND(U595, 2)</f>
        <v>539.27</v>
      </c>
      <c r="W595" s="182">
        <f>ROUND(T595*I595, 2)</f>
        <v>43502.3</v>
      </c>
      <c r="X595" s="14">
        <f>ROUND(I595*ROUND(U595, 2), 2)</f>
        <v>268168.8</v>
      </c>
      <c r="Y595" s="14">
        <f>W595+X595</f>
        <v>311671.09999999998</v>
      </c>
    </row>
    <row r="596" spans="1:25" ht="22.8" hidden="1" x14ac:dyDescent="0.4">
      <c r="A596" s="107" t="s">
        <v>2329</v>
      </c>
      <c r="B596" s="107"/>
      <c r="C596" s="108" t="s">
        <v>433</v>
      </c>
      <c r="D596" s="109"/>
      <c r="E596" s="109"/>
      <c r="F596" s="110" t="s">
        <v>70</v>
      </c>
      <c r="G596" s="111">
        <v>0.15</v>
      </c>
      <c r="H596" s="187"/>
      <c r="I596" s="229">
        <v>86.692999999999998</v>
      </c>
      <c r="J596" s="325"/>
      <c r="K596" s="262"/>
      <c r="L596" s="280"/>
      <c r="M596" s="401"/>
      <c r="N596" s="423"/>
      <c r="O596" s="423"/>
      <c r="P596" s="423"/>
      <c r="Q596" s="423"/>
      <c r="R596" s="218"/>
      <c r="S596" s="218"/>
      <c r="T596" s="213">
        <v>88.8</v>
      </c>
      <c r="U596" s="211"/>
      <c r="V596" s="273"/>
      <c r="W596" s="206">
        <f>ROUND(ROUND(T596, 2)*I596, 2)</f>
        <v>7698.34</v>
      </c>
    </row>
    <row r="597" spans="1:25" ht="85.05" hidden="1" customHeight="1" x14ac:dyDescent="0.4">
      <c r="A597" s="107" t="s">
        <v>2332</v>
      </c>
      <c r="B597" s="107"/>
      <c r="C597" s="108" t="s">
        <v>2155</v>
      </c>
      <c r="D597" s="109"/>
      <c r="E597" s="109" t="s">
        <v>2225</v>
      </c>
      <c r="F597" s="110" t="s">
        <v>70</v>
      </c>
      <c r="G597" s="111">
        <v>0.3</v>
      </c>
      <c r="H597" s="187"/>
      <c r="I597" s="229">
        <v>173.38499999999999</v>
      </c>
      <c r="J597" s="325"/>
      <c r="K597" s="262"/>
      <c r="L597" s="280"/>
      <c r="M597" s="401"/>
      <c r="N597" s="423"/>
      <c r="O597" s="423"/>
      <c r="P597" s="423"/>
      <c r="Q597" s="423"/>
      <c r="R597" s="218"/>
      <c r="S597" s="218"/>
      <c r="T597" s="213">
        <v>206.5</v>
      </c>
      <c r="U597" s="211"/>
      <c r="V597" s="273"/>
      <c r="W597" s="206">
        <f>ROUND(ROUND(T597, 2)*I597, 2)</f>
        <v>35804</v>
      </c>
    </row>
    <row r="598" spans="1:25" ht="46.5" customHeight="1" x14ac:dyDescent="0.3">
      <c r="A598" s="156" t="s">
        <v>2335</v>
      </c>
      <c r="B598" s="156" t="s">
        <v>2149</v>
      </c>
      <c r="C598" s="75" t="s">
        <v>2150</v>
      </c>
      <c r="D598" s="76"/>
      <c r="E598" s="76" t="s">
        <v>2336</v>
      </c>
      <c r="F598" s="76" t="s">
        <v>64</v>
      </c>
      <c r="G598" s="77">
        <v>1</v>
      </c>
      <c r="H598" s="177"/>
      <c r="I598" s="228">
        <v>0.73</v>
      </c>
      <c r="J598" s="322"/>
      <c r="K598" s="258"/>
      <c r="L598" s="281"/>
      <c r="M598" s="221"/>
      <c r="N598" s="422"/>
      <c r="O598" s="422"/>
      <c r="P598" s="422"/>
      <c r="Q598" s="422"/>
      <c r="R598" s="220"/>
      <c r="S598" s="221"/>
      <c r="T598" s="212">
        <f>IFERROR(ROUND(SUM(W599,W600)/I598, 2),0)</f>
        <v>75.33</v>
      </c>
      <c r="U598" s="202">
        <v>464</v>
      </c>
      <c r="V598" s="274">
        <f>T598+ROUND(U598, 2)</f>
        <v>539.33000000000004</v>
      </c>
      <c r="W598" s="182">
        <f>ROUND(T598*I598, 2)</f>
        <v>54.99</v>
      </c>
      <c r="X598" s="14">
        <f>ROUND(I598*ROUND(U598, 2), 2)</f>
        <v>338.72</v>
      </c>
      <c r="Y598" s="14">
        <f>W598+X598</f>
        <v>393.71000000000004</v>
      </c>
    </row>
    <row r="599" spans="1:25" ht="75" hidden="1" customHeight="1" x14ac:dyDescent="0.4">
      <c r="A599" s="107" t="s">
        <v>2337</v>
      </c>
      <c r="B599" s="107"/>
      <c r="C599" s="108" t="s">
        <v>2155</v>
      </c>
      <c r="D599" s="109"/>
      <c r="E599" s="109" t="s">
        <v>2156</v>
      </c>
      <c r="F599" s="110" t="s">
        <v>70</v>
      </c>
      <c r="G599" s="111">
        <v>0.3</v>
      </c>
      <c r="H599" s="187"/>
      <c r="I599" s="229">
        <v>0.219</v>
      </c>
      <c r="J599" s="325"/>
      <c r="K599" s="262"/>
      <c r="L599" s="280"/>
      <c r="M599" s="401"/>
      <c r="N599" s="423"/>
      <c r="O599" s="423"/>
      <c r="P599" s="423"/>
      <c r="Q599" s="423"/>
      <c r="R599" s="218"/>
      <c r="S599" s="218"/>
      <c r="T599" s="213">
        <v>206.5</v>
      </c>
      <c r="U599" s="211"/>
      <c r="V599" s="273"/>
      <c r="W599" s="206">
        <f>ROUND(ROUND(T599, 2)*I599, 2)</f>
        <v>45.22</v>
      </c>
    </row>
    <row r="600" spans="1:25" ht="22.8" hidden="1" x14ac:dyDescent="0.4">
      <c r="A600" s="107" t="s">
        <v>2340</v>
      </c>
      <c r="B600" s="107"/>
      <c r="C600" s="108" t="s">
        <v>433</v>
      </c>
      <c r="D600" s="109"/>
      <c r="E600" s="109"/>
      <c r="F600" s="110" t="s">
        <v>70</v>
      </c>
      <c r="G600" s="111">
        <v>0.15</v>
      </c>
      <c r="H600" s="187"/>
      <c r="I600" s="229">
        <v>0.11</v>
      </c>
      <c r="J600" s="325"/>
      <c r="K600" s="262"/>
      <c r="L600" s="280"/>
      <c r="M600" s="401"/>
      <c r="N600" s="423"/>
      <c r="O600" s="423"/>
      <c r="P600" s="423"/>
      <c r="Q600" s="423"/>
      <c r="R600" s="218"/>
      <c r="S600" s="218"/>
      <c r="T600" s="213">
        <v>88.8</v>
      </c>
      <c r="U600" s="211"/>
      <c r="V600" s="273"/>
      <c r="W600" s="206">
        <f>ROUND(ROUND(T600, 2)*I600, 2)</f>
        <v>9.77</v>
      </c>
    </row>
    <row r="601" spans="1:25" ht="42" customHeight="1" x14ac:dyDescent="0.3">
      <c r="A601" s="156" t="s">
        <v>2343</v>
      </c>
      <c r="B601" s="156" t="s">
        <v>2149</v>
      </c>
      <c r="C601" s="75" t="s">
        <v>2150</v>
      </c>
      <c r="D601" s="76"/>
      <c r="E601" s="76" t="s">
        <v>2344</v>
      </c>
      <c r="F601" s="76" t="s">
        <v>64</v>
      </c>
      <c r="G601" s="77">
        <v>1</v>
      </c>
      <c r="H601" s="177"/>
      <c r="I601" s="228">
        <v>1.5</v>
      </c>
      <c r="J601" s="322"/>
      <c r="K601" s="258"/>
      <c r="L601" s="281"/>
      <c r="M601" s="221"/>
      <c r="N601" s="422"/>
      <c r="O601" s="422"/>
      <c r="P601" s="422"/>
      <c r="Q601" s="422"/>
      <c r="R601" s="220"/>
      <c r="S601" s="221"/>
      <c r="T601" s="212">
        <f>IFERROR(ROUND(SUM(W602,W603)/I601, 2),0)</f>
        <v>75.27</v>
      </c>
      <c r="U601" s="202">
        <v>464</v>
      </c>
      <c r="V601" s="274">
        <f>T601+ROUND(U601, 2)</f>
        <v>539.27</v>
      </c>
      <c r="W601" s="182">
        <f>ROUND(T601*I601, 2)</f>
        <v>112.91</v>
      </c>
      <c r="X601" s="14">
        <f>ROUND(I601*ROUND(U601, 2), 2)</f>
        <v>696</v>
      </c>
      <c r="Y601" s="14">
        <f>W601+X601</f>
        <v>808.91</v>
      </c>
    </row>
    <row r="602" spans="1:25" ht="1.05" hidden="1" customHeight="1" x14ac:dyDescent="0.4">
      <c r="A602" s="107" t="s">
        <v>2345</v>
      </c>
      <c r="B602" s="107"/>
      <c r="C602" s="108" t="s">
        <v>433</v>
      </c>
      <c r="D602" s="109"/>
      <c r="E602" s="109"/>
      <c r="F602" s="110" t="s">
        <v>70</v>
      </c>
      <c r="G602" s="111">
        <v>0.15</v>
      </c>
      <c r="H602" s="187"/>
      <c r="I602" s="229">
        <v>0.22500000000000001</v>
      </c>
      <c r="J602" s="325"/>
      <c r="K602" s="262"/>
      <c r="L602" s="280"/>
      <c r="M602" s="401"/>
      <c r="N602" s="423"/>
      <c r="O602" s="423"/>
      <c r="P602" s="423"/>
      <c r="Q602" s="423"/>
      <c r="R602" s="218"/>
      <c r="S602" s="218"/>
      <c r="T602" s="213">
        <v>88.8</v>
      </c>
      <c r="U602" s="211"/>
      <c r="V602" s="273"/>
      <c r="W602" s="206">
        <f>ROUND(ROUND(T602, 2)*I602, 2)</f>
        <v>19.98</v>
      </c>
    </row>
    <row r="603" spans="1:25" ht="9" hidden="1" customHeight="1" x14ac:dyDescent="0.4">
      <c r="A603" s="107" t="s">
        <v>2348</v>
      </c>
      <c r="B603" s="107"/>
      <c r="C603" s="108" t="s">
        <v>2155</v>
      </c>
      <c r="D603" s="109"/>
      <c r="E603" s="109" t="s">
        <v>2169</v>
      </c>
      <c r="F603" s="110" t="s">
        <v>70</v>
      </c>
      <c r="G603" s="111">
        <v>0.3</v>
      </c>
      <c r="H603" s="187"/>
      <c r="I603" s="229">
        <v>0.45</v>
      </c>
      <c r="J603" s="325"/>
      <c r="K603" s="262"/>
      <c r="L603" s="280"/>
      <c r="M603" s="401"/>
      <c r="N603" s="423"/>
      <c r="O603" s="423"/>
      <c r="P603" s="423"/>
      <c r="Q603" s="423"/>
      <c r="R603" s="218"/>
      <c r="S603" s="218"/>
      <c r="T603" s="213">
        <v>206.5</v>
      </c>
      <c r="U603" s="211"/>
      <c r="V603" s="273"/>
      <c r="W603" s="206">
        <f>ROUND(ROUND(T603, 2)*I603, 2)</f>
        <v>92.93</v>
      </c>
    </row>
    <row r="604" spans="1:25" ht="58.5" customHeight="1" x14ac:dyDescent="0.3">
      <c r="A604" s="156" t="s">
        <v>2351</v>
      </c>
      <c r="B604" s="156" t="s">
        <v>2149</v>
      </c>
      <c r="C604" s="75" t="s">
        <v>2150</v>
      </c>
      <c r="D604" s="76"/>
      <c r="E604" s="76" t="s">
        <v>2352</v>
      </c>
      <c r="F604" s="76" t="s">
        <v>64</v>
      </c>
      <c r="G604" s="77">
        <v>1</v>
      </c>
      <c r="H604" s="177"/>
      <c r="I604" s="228">
        <v>79.66</v>
      </c>
      <c r="J604" s="322"/>
      <c r="K604" s="258"/>
      <c r="L604" s="281"/>
      <c r="M604" s="221"/>
      <c r="N604" s="422"/>
      <c r="O604" s="422"/>
      <c r="P604" s="422"/>
      <c r="Q604" s="422"/>
      <c r="R604" s="220"/>
      <c r="S604" s="221"/>
      <c r="T604" s="212">
        <f>IFERROR(ROUND(SUM(W605,W606)/I604, 2),0)</f>
        <v>68.28</v>
      </c>
      <c r="U604" s="202">
        <v>464</v>
      </c>
      <c r="V604" s="274">
        <f>T604+ROUND(U604, 2)</f>
        <v>532.28</v>
      </c>
      <c r="W604" s="182">
        <f>ROUND(T604*I604, 2)</f>
        <v>5439.18</v>
      </c>
      <c r="X604" s="14">
        <f>ROUND(I604*ROUND(U604, 2), 2)</f>
        <v>36962.239999999998</v>
      </c>
      <c r="Y604" s="14">
        <f>W604+X604</f>
        <v>42401.42</v>
      </c>
    </row>
    <row r="605" spans="1:25" ht="90" hidden="1" customHeight="1" x14ac:dyDescent="0.4">
      <c r="A605" s="107" t="s">
        <v>2353</v>
      </c>
      <c r="B605" s="107"/>
      <c r="C605" s="108" t="s">
        <v>2187</v>
      </c>
      <c r="D605" s="109"/>
      <c r="E605" s="109" t="s">
        <v>2231</v>
      </c>
      <c r="F605" s="110" t="s">
        <v>70</v>
      </c>
      <c r="G605" s="111">
        <v>0.3</v>
      </c>
      <c r="H605" s="187"/>
      <c r="I605" s="229">
        <v>23.898</v>
      </c>
      <c r="J605" s="325"/>
      <c r="K605" s="262"/>
      <c r="L605" s="280"/>
      <c r="M605" s="401"/>
      <c r="N605" s="423"/>
      <c r="O605" s="423"/>
      <c r="P605" s="423"/>
      <c r="Q605" s="423"/>
      <c r="R605" s="218"/>
      <c r="S605" s="218"/>
      <c r="T605" s="213">
        <v>183.2</v>
      </c>
      <c r="U605" s="211"/>
      <c r="V605" s="273"/>
      <c r="W605" s="206">
        <f>ROUND(ROUND(T605, 2)*I605, 2)</f>
        <v>4378.1099999999997</v>
      </c>
    </row>
    <row r="606" spans="1:25" ht="22.8" hidden="1" x14ac:dyDescent="0.4">
      <c r="A606" s="107" t="s">
        <v>2356</v>
      </c>
      <c r="B606" s="107"/>
      <c r="C606" s="108" t="s">
        <v>433</v>
      </c>
      <c r="D606" s="109"/>
      <c r="E606" s="109"/>
      <c r="F606" s="110" t="s">
        <v>70</v>
      </c>
      <c r="G606" s="111">
        <v>0.15</v>
      </c>
      <c r="H606" s="187"/>
      <c r="I606" s="229">
        <v>11.949</v>
      </c>
      <c r="J606" s="325"/>
      <c r="K606" s="262"/>
      <c r="L606" s="280"/>
      <c r="M606" s="401"/>
      <c r="N606" s="423"/>
      <c r="O606" s="423"/>
      <c r="P606" s="423"/>
      <c r="Q606" s="423"/>
      <c r="R606" s="218"/>
      <c r="S606" s="218"/>
      <c r="T606" s="213">
        <v>88.8</v>
      </c>
      <c r="U606" s="211"/>
      <c r="V606" s="273"/>
      <c r="W606" s="206">
        <f>ROUND(ROUND(T606, 2)*I606, 2)</f>
        <v>1061.07</v>
      </c>
    </row>
    <row r="607" spans="1:25" ht="43.5" customHeight="1" x14ac:dyDescent="0.3">
      <c r="A607" s="156" t="s">
        <v>2359</v>
      </c>
      <c r="B607" s="156" t="s">
        <v>2149</v>
      </c>
      <c r="C607" s="75" t="s">
        <v>2150</v>
      </c>
      <c r="D607" s="76"/>
      <c r="E607" s="76" t="s">
        <v>2360</v>
      </c>
      <c r="F607" s="76" t="s">
        <v>64</v>
      </c>
      <c r="G607" s="77">
        <v>1</v>
      </c>
      <c r="H607" s="177"/>
      <c r="I607" s="228">
        <v>80.790000000000006</v>
      </c>
      <c r="J607" s="322"/>
      <c r="K607" s="258"/>
      <c r="L607" s="281"/>
      <c r="M607" s="221"/>
      <c r="N607" s="422"/>
      <c r="O607" s="422"/>
      <c r="P607" s="422"/>
      <c r="Q607" s="422"/>
      <c r="R607" s="220"/>
      <c r="S607" s="221"/>
      <c r="T607" s="212">
        <f>IFERROR(ROUND(SUM(W608,W609)/I607, 2),0)</f>
        <v>75.27</v>
      </c>
      <c r="U607" s="202">
        <v>464</v>
      </c>
      <c r="V607" s="274">
        <f>T607+ROUND(U607, 2)</f>
        <v>539.27</v>
      </c>
      <c r="W607" s="182">
        <f>ROUND(T607*I607, 2)</f>
        <v>6081.06</v>
      </c>
      <c r="X607" s="14">
        <f>ROUND(I607*ROUND(U607, 2), 2)</f>
        <v>37486.559999999998</v>
      </c>
      <c r="Y607" s="14">
        <f>W607+X607</f>
        <v>43567.619999999995</v>
      </c>
    </row>
    <row r="608" spans="1:25" ht="22.8" hidden="1" x14ac:dyDescent="0.4">
      <c r="A608" s="107" t="s">
        <v>2361</v>
      </c>
      <c r="B608" s="107"/>
      <c r="C608" s="108" t="s">
        <v>433</v>
      </c>
      <c r="D608" s="109"/>
      <c r="E608" s="109"/>
      <c r="F608" s="110" t="s">
        <v>70</v>
      </c>
      <c r="G608" s="111">
        <v>0.15</v>
      </c>
      <c r="H608" s="187"/>
      <c r="I608" s="229">
        <v>12.119</v>
      </c>
      <c r="J608" s="325"/>
      <c r="K608" s="262"/>
      <c r="L608" s="280"/>
      <c r="M608" s="401"/>
      <c r="N608" s="423"/>
      <c r="O608" s="423"/>
      <c r="P608" s="423"/>
      <c r="Q608" s="423"/>
      <c r="R608" s="218"/>
      <c r="S608" s="218"/>
      <c r="T608" s="213">
        <v>88.8</v>
      </c>
      <c r="U608" s="211"/>
      <c r="V608" s="273"/>
      <c r="W608" s="206">
        <f>ROUND(ROUND(T608, 2)*I608, 2)</f>
        <v>1076.17</v>
      </c>
    </row>
    <row r="609" spans="1:25" ht="57" hidden="1" customHeight="1" x14ac:dyDescent="0.4">
      <c r="A609" s="107" t="s">
        <v>2364</v>
      </c>
      <c r="B609" s="107"/>
      <c r="C609" s="108" t="s">
        <v>2187</v>
      </c>
      <c r="D609" s="109"/>
      <c r="E609" s="109" t="s">
        <v>2188</v>
      </c>
      <c r="F609" s="110" t="s">
        <v>70</v>
      </c>
      <c r="G609" s="111">
        <v>0.3</v>
      </c>
      <c r="H609" s="187"/>
      <c r="I609" s="229">
        <v>24.236999999999998</v>
      </c>
      <c r="J609" s="325"/>
      <c r="K609" s="262"/>
      <c r="L609" s="280"/>
      <c r="M609" s="401"/>
      <c r="N609" s="423"/>
      <c r="O609" s="423"/>
      <c r="P609" s="423"/>
      <c r="Q609" s="423"/>
      <c r="R609" s="218"/>
      <c r="S609" s="218"/>
      <c r="T609" s="213">
        <v>206.5</v>
      </c>
      <c r="U609" s="211"/>
      <c r="V609" s="273"/>
      <c r="W609" s="206">
        <f>ROUND(ROUND(T609, 2)*I609, 2)</f>
        <v>5004.9399999999996</v>
      </c>
    </row>
    <row r="610" spans="1:25" ht="55.95" customHeight="1" x14ac:dyDescent="0.3">
      <c r="A610" s="156" t="s">
        <v>2367</v>
      </c>
      <c r="B610" s="156" t="s">
        <v>2149</v>
      </c>
      <c r="C610" s="75" t="s">
        <v>2150</v>
      </c>
      <c r="D610" s="76"/>
      <c r="E610" s="76" t="s">
        <v>2368</v>
      </c>
      <c r="F610" s="76" t="s">
        <v>64</v>
      </c>
      <c r="G610" s="77">
        <v>1</v>
      </c>
      <c r="H610" s="177"/>
      <c r="I610" s="228">
        <v>26.92</v>
      </c>
      <c r="J610" s="322"/>
      <c r="K610" s="258"/>
      <c r="L610" s="281"/>
      <c r="M610" s="221"/>
      <c r="N610" s="422"/>
      <c r="O610" s="422"/>
      <c r="P610" s="422"/>
      <c r="Q610" s="422"/>
      <c r="R610" s="220"/>
      <c r="S610" s="221"/>
      <c r="T610" s="212">
        <f>IFERROR(ROUND(SUM(W611,W612)/I610, 2),0)</f>
        <v>75.27</v>
      </c>
      <c r="U610" s="202">
        <v>464</v>
      </c>
      <c r="V610" s="274">
        <f>T610+ROUND(U610, 2)</f>
        <v>539.27</v>
      </c>
      <c r="W610" s="182">
        <f>ROUND(T610*I610, 2)</f>
        <v>2026.27</v>
      </c>
      <c r="X610" s="14">
        <f>ROUND(I610*ROUND(U610, 2), 2)</f>
        <v>12490.88</v>
      </c>
      <c r="Y610" s="14">
        <f>W610+X610</f>
        <v>14517.15</v>
      </c>
    </row>
    <row r="611" spans="1:25" ht="76.95" hidden="1" customHeight="1" x14ac:dyDescent="0.4">
      <c r="A611" s="107" t="s">
        <v>2369</v>
      </c>
      <c r="B611" s="107"/>
      <c r="C611" s="108" t="s">
        <v>2187</v>
      </c>
      <c r="D611" s="109"/>
      <c r="E611" s="109" t="s">
        <v>2370</v>
      </c>
      <c r="F611" s="110" t="s">
        <v>70</v>
      </c>
      <c r="G611" s="111">
        <v>0.3</v>
      </c>
      <c r="H611" s="187"/>
      <c r="I611" s="229">
        <v>8.0760000000000005</v>
      </c>
      <c r="J611" s="325"/>
      <c r="K611" s="262"/>
      <c r="L611" s="280"/>
      <c r="M611" s="401"/>
      <c r="N611" s="423"/>
      <c r="O611" s="423"/>
      <c r="P611" s="423"/>
      <c r="Q611" s="423"/>
      <c r="R611" s="218"/>
      <c r="S611" s="218"/>
      <c r="T611" s="213">
        <v>206.5</v>
      </c>
      <c r="U611" s="211"/>
      <c r="V611" s="273"/>
      <c r="W611" s="206">
        <f>ROUND(ROUND(T611, 2)*I611, 2)</f>
        <v>1667.69</v>
      </c>
    </row>
    <row r="612" spans="1:25" ht="22.8" hidden="1" x14ac:dyDescent="0.4">
      <c r="A612" s="107" t="s">
        <v>2373</v>
      </c>
      <c r="B612" s="107"/>
      <c r="C612" s="108" t="s">
        <v>433</v>
      </c>
      <c r="D612" s="109"/>
      <c r="E612" s="109"/>
      <c r="F612" s="110" t="s">
        <v>70</v>
      </c>
      <c r="G612" s="111">
        <v>0.15</v>
      </c>
      <c r="H612" s="187"/>
      <c r="I612" s="229">
        <v>4.0380000000000003</v>
      </c>
      <c r="J612" s="325"/>
      <c r="K612" s="262"/>
      <c r="L612" s="280"/>
      <c r="M612" s="401"/>
      <c r="N612" s="423"/>
      <c r="O612" s="423"/>
      <c r="P612" s="423"/>
      <c r="Q612" s="423"/>
      <c r="R612" s="218"/>
      <c r="S612" s="218"/>
      <c r="T612" s="213">
        <v>88.8</v>
      </c>
      <c r="U612" s="211"/>
      <c r="V612" s="273"/>
      <c r="W612" s="206">
        <f>ROUND(ROUND(T612, 2)*I612, 2)</f>
        <v>358.57</v>
      </c>
    </row>
    <row r="613" spans="1:25" ht="47.55" customHeight="1" x14ac:dyDescent="0.3">
      <c r="A613" s="156" t="s">
        <v>2376</v>
      </c>
      <c r="B613" s="156" t="s">
        <v>2149</v>
      </c>
      <c r="C613" s="75" t="s">
        <v>2150</v>
      </c>
      <c r="D613" s="76"/>
      <c r="E613" s="76" t="s">
        <v>2377</v>
      </c>
      <c r="F613" s="76" t="s">
        <v>64</v>
      </c>
      <c r="G613" s="77">
        <v>1</v>
      </c>
      <c r="H613" s="177"/>
      <c r="I613" s="228">
        <v>28.35</v>
      </c>
      <c r="J613" s="322"/>
      <c r="K613" s="258"/>
      <c r="L613" s="281"/>
      <c r="M613" s="221"/>
      <c r="N613" s="422"/>
      <c r="O613" s="422"/>
      <c r="P613" s="422"/>
      <c r="Q613" s="422"/>
      <c r="R613" s="220"/>
      <c r="S613" s="221"/>
      <c r="T613" s="212">
        <f>IFERROR(ROUND(SUM(W614,W615)/I613, 2),0)</f>
        <v>75.27</v>
      </c>
      <c r="U613" s="202">
        <v>464</v>
      </c>
      <c r="V613" s="274">
        <f>T613+ROUND(U613, 2)</f>
        <v>539.27</v>
      </c>
      <c r="W613" s="182">
        <f>ROUND(T613*I613, 2)</f>
        <v>2133.9</v>
      </c>
      <c r="X613" s="14">
        <f>ROUND(I613*ROUND(U613, 2), 2)</f>
        <v>13154.4</v>
      </c>
      <c r="Y613" s="14">
        <f>W613+X613</f>
        <v>15288.3</v>
      </c>
    </row>
    <row r="614" spans="1:25" ht="22.8" hidden="1" x14ac:dyDescent="0.4">
      <c r="A614" s="107" t="s">
        <v>2378</v>
      </c>
      <c r="B614" s="107"/>
      <c r="C614" s="108" t="s">
        <v>433</v>
      </c>
      <c r="D614" s="109"/>
      <c r="E614" s="109"/>
      <c r="F614" s="110" t="s">
        <v>70</v>
      </c>
      <c r="G614" s="111">
        <v>0.15</v>
      </c>
      <c r="H614" s="187"/>
      <c r="I614" s="229">
        <v>4.2530000000000001</v>
      </c>
      <c r="J614" s="325"/>
      <c r="K614" s="262"/>
      <c r="L614" s="280"/>
      <c r="M614" s="401"/>
      <c r="N614" s="423"/>
      <c r="O614" s="423"/>
      <c r="P614" s="423"/>
      <c r="Q614" s="423"/>
      <c r="R614" s="218"/>
      <c r="S614" s="218"/>
      <c r="T614" s="213">
        <v>88.8</v>
      </c>
      <c r="U614" s="211"/>
      <c r="V614" s="273"/>
      <c r="W614" s="206">
        <f>ROUND(ROUND(T614, 2)*I614, 2)</f>
        <v>377.67</v>
      </c>
    </row>
    <row r="615" spans="1:25" ht="77.55" hidden="1" customHeight="1" x14ac:dyDescent="0.4">
      <c r="A615" s="107" t="s">
        <v>2381</v>
      </c>
      <c r="B615" s="107"/>
      <c r="C615" s="108" t="s">
        <v>2187</v>
      </c>
      <c r="D615" s="109"/>
      <c r="E615" s="109" t="s">
        <v>2382</v>
      </c>
      <c r="F615" s="110" t="s">
        <v>70</v>
      </c>
      <c r="G615" s="111">
        <v>0.3</v>
      </c>
      <c r="H615" s="187"/>
      <c r="I615" s="229">
        <v>8.5050000000000008</v>
      </c>
      <c r="J615" s="325"/>
      <c r="K615" s="262"/>
      <c r="L615" s="280"/>
      <c r="M615" s="401"/>
      <c r="N615" s="423"/>
      <c r="O615" s="423"/>
      <c r="P615" s="423"/>
      <c r="Q615" s="423"/>
      <c r="R615" s="218"/>
      <c r="S615" s="218"/>
      <c r="T615" s="213">
        <v>206.5</v>
      </c>
      <c r="U615" s="211"/>
      <c r="V615" s="273"/>
      <c r="W615" s="206">
        <f>ROUND(ROUND(T615, 2)*I615, 2)</f>
        <v>1756.28</v>
      </c>
    </row>
    <row r="616" spans="1:25" ht="52.5" customHeight="1" x14ac:dyDescent="0.3">
      <c r="A616" s="156" t="s">
        <v>2385</v>
      </c>
      <c r="B616" s="156" t="s">
        <v>2149</v>
      </c>
      <c r="C616" s="75" t="s">
        <v>2150</v>
      </c>
      <c r="D616" s="76"/>
      <c r="E616" s="76" t="s">
        <v>2386</v>
      </c>
      <c r="F616" s="76" t="s">
        <v>64</v>
      </c>
      <c r="G616" s="77">
        <v>1</v>
      </c>
      <c r="H616" s="177"/>
      <c r="I616" s="228">
        <v>26.03</v>
      </c>
      <c r="J616" s="322"/>
      <c r="K616" s="258"/>
      <c r="L616" s="281"/>
      <c r="M616" s="221"/>
      <c r="N616" s="422"/>
      <c r="O616" s="422"/>
      <c r="P616" s="422"/>
      <c r="Q616" s="422"/>
      <c r="R616" s="220"/>
      <c r="S616" s="221"/>
      <c r="T616" s="212">
        <f>IFERROR(ROUND(SUM(W617,W618)/I616, 2),0)</f>
        <v>75.27</v>
      </c>
      <c r="U616" s="202">
        <v>464</v>
      </c>
      <c r="V616" s="274">
        <f>T616+ROUND(U616, 2)</f>
        <v>539.27</v>
      </c>
      <c r="W616" s="182">
        <f>ROUND(T616*I616, 2)</f>
        <v>1959.28</v>
      </c>
      <c r="X616" s="14">
        <f>ROUND(I616*ROUND(U616, 2), 2)</f>
        <v>12077.92</v>
      </c>
      <c r="Y616" s="14">
        <f>W616+X616</f>
        <v>14037.2</v>
      </c>
    </row>
    <row r="617" spans="1:25" ht="75" hidden="1" customHeight="1" x14ac:dyDescent="0.4">
      <c r="A617" s="107" t="s">
        <v>2387</v>
      </c>
      <c r="B617" s="107"/>
      <c r="C617" s="108" t="s">
        <v>2187</v>
      </c>
      <c r="D617" s="109"/>
      <c r="E617" s="109" t="s">
        <v>2207</v>
      </c>
      <c r="F617" s="110" t="s">
        <v>70</v>
      </c>
      <c r="G617" s="111">
        <v>0.3</v>
      </c>
      <c r="H617" s="187"/>
      <c r="I617" s="229">
        <v>7.8090000000000002</v>
      </c>
      <c r="J617" s="325"/>
      <c r="K617" s="262"/>
      <c r="L617" s="285"/>
      <c r="M617" s="401"/>
      <c r="N617" s="423"/>
      <c r="O617" s="423"/>
      <c r="P617" s="423"/>
      <c r="Q617" s="423"/>
      <c r="R617" s="218"/>
      <c r="S617" s="218"/>
      <c r="T617" s="213">
        <v>206.5</v>
      </c>
      <c r="U617" s="211"/>
      <c r="V617" s="273"/>
      <c r="W617" s="206">
        <f>ROUND(ROUND(T617, 2)*I617, 2)</f>
        <v>1612.56</v>
      </c>
    </row>
    <row r="618" spans="1:25" ht="22.8" hidden="1" x14ac:dyDescent="0.4">
      <c r="A618" s="107" t="s">
        <v>2390</v>
      </c>
      <c r="B618" s="107"/>
      <c r="C618" s="108" t="s">
        <v>433</v>
      </c>
      <c r="D618" s="109"/>
      <c r="E618" s="109"/>
      <c r="F618" s="110" t="s">
        <v>70</v>
      </c>
      <c r="G618" s="111">
        <v>0.15</v>
      </c>
      <c r="H618" s="187"/>
      <c r="I618" s="229">
        <v>3.9049999999999998</v>
      </c>
      <c r="J618" s="325"/>
      <c r="K618" s="262"/>
      <c r="L618" s="285"/>
      <c r="M618" s="401"/>
      <c r="N618" s="423"/>
      <c r="O618" s="423"/>
      <c r="P618" s="423"/>
      <c r="Q618" s="423"/>
      <c r="R618" s="218"/>
      <c r="S618" s="218"/>
      <c r="T618" s="213">
        <v>88.8</v>
      </c>
      <c r="U618" s="211"/>
      <c r="V618" s="273"/>
      <c r="W618" s="206">
        <f>ROUND(ROUND(T618, 2)*I618, 2)</f>
        <v>346.76</v>
      </c>
    </row>
    <row r="619" spans="1:25" ht="42" customHeight="1" x14ac:dyDescent="0.3">
      <c r="A619" s="156" t="s">
        <v>2393</v>
      </c>
      <c r="B619" s="156" t="s">
        <v>2149</v>
      </c>
      <c r="C619" s="75" t="s">
        <v>2150</v>
      </c>
      <c r="D619" s="76"/>
      <c r="E619" s="76" t="s">
        <v>2394</v>
      </c>
      <c r="F619" s="76" t="s">
        <v>64</v>
      </c>
      <c r="G619" s="77">
        <v>1</v>
      </c>
      <c r="H619" s="177"/>
      <c r="I619" s="228">
        <v>34.79</v>
      </c>
      <c r="J619" s="322"/>
      <c r="K619" s="258"/>
      <c r="L619" s="281"/>
      <c r="M619" s="221"/>
      <c r="N619" s="422"/>
      <c r="O619" s="422"/>
      <c r="P619" s="422"/>
      <c r="Q619" s="422"/>
      <c r="R619" s="220"/>
      <c r="S619" s="221"/>
      <c r="T619" s="212">
        <f>IFERROR(ROUND(SUM(W620,W621)/I619, 2),0)</f>
        <v>75.27</v>
      </c>
      <c r="U619" s="202">
        <v>464</v>
      </c>
      <c r="V619" s="274">
        <f>T619+ROUND(U619, 2)</f>
        <v>539.27</v>
      </c>
      <c r="W619" s="182">
        <f>ROUND(T619*I619, 2)</f>
        <v>2618.64</v>
      </c>
      <c r="X619" s="14">
        <f>ROUND(I619*ROUND(U619, 2), 2)</f>
        <v>16142.56</v>
      </c>
      <c r="Y619" s="14">
        <f>W619+X619</f>
        <v>18761.2</v>
      </c>
    </row>
    <row r="620" spans="1:25" ht="22.8" hidden="1" x14ac:dyDescent="0.4">
      <c r="A620" s="107" t="s">
        <v>2395</v>
      </c>
      <c r="B620" s="107"/>
      <c r="C620" s="108" t="s">
        <v>433</v>
      </c>
      <c r="D620" s="109"/>
      <c r="E620" s="109"/>
      <c r="F620" s="110" t="s">
        <v>70</v>
      </c>
      <c r="G620" s="111">
        <v>0.15</v>
      </c>
      <c r="H620" s="187"/>
      <c r="I620" s="229">
        <v>5.2190000000000003</v>
      </c>
      <c r="J620" s="325"/>
      <c r="K620" s="262"/>
      <c r="L620" s="285"/>
      <c r="M620" s="401"/>
      <c r="N620" s="423"/>
      <c r="O620" s="423"/>
      <c r="P620" s="423"/>
      <c r="Q620" s="423"/>
      <c r="R620" s="218"/>
      <c r="S620" s="218"/>
      <c r="T620" s="213">
        <v>88.8</v>
      </c>
      <c r="U620" s="211"/>
      <c r="V620" s="273"/>
      <c r="W620" s="206">
        <f>ROUND(ROUND(T620, 2)*I620, 2)</f>
        <v>463.45</v>
      </c>
    </row>
    <row r="621" spans="1:25" ht="73.5" hidden="1" customHeight="1" x14ac:dyDescent="0.4">
      <c r="A621" s="107" t="s">
        <v>2398</v>
      </c>
      <c r="B621" s="107"/>
      <c r="C621" s="108" t="s">
        <v>2399</v>
      </c>
      <c r="D621" s="109"/>
      <c r="E621" s="109" t="s">
        <v>2251</v>
      </c>
      <c r="F621" s="110" t="s">
        <v>70</v>
      </c>
      <c r="G621" s="111">
        <v>0.3</v>
      </c>
      <c r="H621" s="187"/>
      <c r="I621" s="229">
        <v>10.436999999999999</v>
      </c>
      <c r="J621" s="325"/>
      <c r="K621" s="262"/>
      <c r="L621" s="285"/>
      <c r="M621" s="401"/>
      <c r="N621" s="423"/>
      <c r="O621" s="423"/>
      <c r="P621" s="423"/>
      <c r="Q621" s="423"/>
      <c r="R621" s="218"/>
      <c r="S621" s="218"/>
      <c r="T621" s="213">
        <v>206.5</v>
      </c>
      <c r="U621" s="211"/>
      <c r="V621" s="273"/>
      <c r="W621" s="206">
        <f>ROUND(ROUND(T621, 2)*I621, 2)</f>
        <v>2155.2399999999998</v>
      </c>
    </row>
    <row r="622" spans="1:25" ht="46.5" customHeight="1" x14ac:dyDescent="0.3">
      <c r="A622" s="156" t="s">
        <v>2403</v>
      </c>
      <c r="B622" s="156" t="s">
        <v>2149</v>
      </c>
      <c r="C622" s="75" t="s">
        <v>2150</v>
      </c>
      <c r="D622" s="76"/>
      <c r="E622" s="76" t="s">
        <v>2404</v>
      </c>
      <c r="F622" s="76" t="s">
        <v>64</v>
      </c>
      <c r="G622" s="77">
        <v>1</v>
      </c>
      <c r="H622" s="177"/>
      <c r="I622" s="228">
        <v>58.73</v>
      </c>
      <c r="J622" s="322"/>
      <c r="K622" s="258"/>
      <c r="L622" s="281"/>
      <c r="M622" s="221"/>
      <c r="N622" s="422"/>
      <c r="O622" s="422"/>
      <c r="P622" s="422"/>
      <c r="Q622" s="422"/>
      <c r="R622" s="220"/>
      <c r="S622" s="221"/>
      <c r="T622" s="212">
        <f>IFERROR(ROUND(SUM(W623,W624)/I622, 2),0)</f>
        <v>75.27</v>
      </c>
      <c r="U622" s="202">
        <v>464</v>
      </c>
      <c r="V622" s="274">
        <f>T622+ROUND(U622, 2)</f>
        <v>539.27</v>
      </c>
      <c r="W622" s="182">
        <f>ROUND(T622*I622, 2)</f>
        <v>4420.6099999999997</v>
      </c>
      <c r="X622" s="14">
        <f>ROUND(I622*ROUND(U622, 2), 2)</f>
        <v>27250.720000000001</v>
      </c>
      <c r="Y622" s="14">
        <f>W622+X622</f>
        <v>31671.33</v>
      </c>
    </row>
    <row r="623" spans="1:25" ht="76.05" hidden="1" customHeight="1" x14ac:dyDescent="0.4">
      <c r="A623" s="107" t="s">
        <v>2405</v>
      </c>
      <c r="B623" s="107"/>
      <c r="C623" s="108" t="s">
        <v>2187</v>
      </c>
      <c r="D623" s="109"/>
      <c r="E623" s="109" t="s">
        <v>2406</v>
      </c>
      <c r="F623" s="110" t="s">
        <v>70</v>
      </c>
      <c r="G623" s="111">
        <v>0.3</v>
      </c>
      <c r="H623" s="187"/>
      <c r="I623" s="229">
        <v>17.619</v>
      </c>
      <c r="J623" s="325"/>
      <c r="K623" s="262"/>
      <c r="L623" s="280"/>
      <c r="M623" s="401"/>
      <c r="N623" s="423"/>
      <c r="O623" s="423"/>
      <c r="P623" s="423"/>
      <c r="Q623" s="423"/>
      <c r="R623" s="218"/>
      <c r="S623" s="218"/>
      <c r="T623" s="213">
        <v>206.5</v>
      </c>
      <c r="U623" s="211"/>
      <c r="V623" s="273"/>
      <c r="W623" s="206">
        <f>ROUND(ROUND(T623, 2)*I623, 2)</f>
        <v>3638.32</v>
      </c>
    </row>
    <row r="624" spans="1:25" ht="22.8" hidden="1" x14ac:dyDescent="0.4">
      <c r="A624" s="107" t="s">
        <v>2409</v>
      </c>
      <c r="B624" s="107"/>
      <c r="C624" s="108" t="s">
        <v>433</v>
      </c>
      <c r="D624" s="109"/>
      <c r="E624" s="109"/>
      <c r="F624" s="110" t="s">
        <v>70</v>
      </c>
      <c r="G624" s="111">
        <v>0.15</v>
      </c>
      <c r="H624" s="187"/>
      <c r="I624" s="229">
        <v>8.81</v>
      </c>
      <c r="J624" s="325"/>
      <c r="K624" s="262"/>
      <c r="L624" s="280"/>
      <c r="M624" s="401"/>
      <c r="N624" s="423"/>
      <c r="O624" s="423"/>
      <c r="P624" s="423"/>
      <c r="Q624" s="423"/>
      <c r="R624" s="218"/>
      <c r="S624" s="218"/>
      <c r="T624" s="213">
        <v>88.8</v>
      </c>
      <c r="U624" s="211"/>
      <c r="V624" s="273"/>
      <c r="W624" s="206">
        <f>ROUND(ROUND(T624, 2)*I624, 2)</f>
        <v>782.33</v>
      </c>
    </row>
    <row r="625" spans="1:25" ht="49.05" customHeight="1" x14ac:dyDescent="0.3">
      <c r="A625" s="156" t="s">
        <v>2412</v>
      </c>
      <c r="B625" s="156" t="s">
        <v>2149</v>
      </c>
      <c r="C625" s="75" t="s">
        <v>2150</v>
      </c>
      <c r="D625" s="76"/>
      <c r="E625" s="76" t="s">
        <v>2413</v>
      </c>
      <c r="F625" s="76" t="s">
        <v>64</v>
      </c>
      <c r="G625" s="77">
        <v>1</v>
      </c>
      <c r="H625" s="177"/>
      <c r="I625" s="228">
        <v>30.71</v>
      </c>
      <c r="J625" s="322"/>
      <c r="K625" s="258"/>
      <c r="L625" s="281"/>
      <c r="M625" s="221"/>
      <c r="N625" s="422"/>
      <c r="O625" s="422"/>
      <c r="P625" s="422"/>
      <c r="Q625" s="422"/>
      <c r="R625" s="220"/>
      <c r="S625" s="221"/>
      <c r="T625" s="212">
        <f>IFERROR(ROUND(SUM(W626,W627)/I625, 2),0)</f>
        <v>75.27</v>
      </c>
      <c r="U625" s="202">
        <v>464</v>
      </c>
      <c r="V625" s="274">
        <f>T625+ROUND(U625, 2)</f>
        <v>539.27</v>
      </c>
      <c r="W625" s="182">
        <f>ROUND(T625*I625, 2)</f>
        <v>2311.54</v>
      </c>
      <c r="X625" s="14">
        <f>ROUND(I625*ROUND(U625, 2), 2)</f>
        <v>14249.44</v>
      </c>
      <c r="Y625" s="14">
        <f>W625+X625</f>
        <v>16560.98</v>
      </c>
    </row>
    <row r="626" spans="1:25" ht="22.8" hidden="1" x14ac:dyDescent="0.4">
      <c r="A626" s="107" t="s">
        <v>2414</v>
      </c>
      <c r="B626" s="107"/>
      <c r="C626" s="108" t="s">
        <v>433</v>
      </c>
      <c r="D626" s="109"/>
      <c r="E626" s="109"/>
      <c r="F626" s="110" t="s">
        <v>70</v>
      </c>
      <c r="G626" s="111">
        <v>0.15</v>
      </c>
      <c r="H626" s="187"/>
      <c r="I626" s="229">
        <v>4.6070000000000002</v>
      </c>
      <c r="J626" s="325"/>
      <c r="K626" s="262"/>
      <c r="L626" s="280"/>
      <c r="M626" s="401"/>
      <c r="N626" s="423"/>
      <c r="O626" s="423"/>
      <c r="P626" s="423"/>
      <c r="Q626" s="423"/>
      <c r="R626" s="218"/>
      <c r="S626" s="218"/>
      <c r="T626" s="213">
        <v>88.8</v>
      </c>
      <c r="U626" s="211"/>
      <c r="V626" s="273"/>
      <c r="W626" s="206">
        <f>ROUND(ROUND(T626, 2)*I626, 2)</f>
        <v>409.1</v>
      </c>
    </row>
    <row r="627" spans="1:25" ht="57.45" hidden="1" customHeight="1" x14ac:dyDescent="0.4">
      <c r="A627" s="107" t="s">
        <v>2417</v>
      </c>
      <c r="B627" s="107"/>
      <c r="C627" s="108" t="s">
        <v>2187</v>
      </c>
      <c r="D627" s="109"/>
      <c r="E627" s="109" t="s">
        <v>2268</v>
      </c>
      <c r="F627" s="110" t="s">
        <v>70</v>
      </c>
      <c r="G627" s="111">
        <v>0.3</v>
      </c>
      <c r="H627" s="187"/>
      <c r="I627" s="229">
        <v>9.2129999999999992</v>
      </c>
      <c r="J627" s="325"/>
      <c r="K627" s="262"/>
      <c r="L627" s="280"/>
      <c r="M627" s="401"/>
      <c r="N627" s="423"/>
      <c r="O627" s="423"/>
      <c r="P627" s="423"/>
      <c r="Q627" s="423"/>
      <c r="R627" s="218"/>
      <c r="S627" s="218"/>
      <c r="T627" s="213">
        <v>206.5</v>
      </c>
      <c r="U627" s="211"/>
      <c r="V627" s="273"/>
      <c r="W627" s="206">
        <f>ROUND(ROUND(T627, 2)*I627, 2)</f>
        <v>1902.48</v>
      </c>
    </row>
    <row r="628" spans="1:25" ht="64.5" customHeight="1" x14ac:dyDescent="0.3">
      <c r="A628" s="156" t="s">
        <v>2420</v>
      </c>
      <c r="B628" s="156" t="s">
        <v>2149</v>
      </c>
      <c r="C628" s="75" t="s">
        <v>2150</v>
      </c>
      <c r="D628" s="76"/>
      <c r="E628" s="76" t="s">
        <v>2421</v>
      </c>
      <c r="F628" s="76" t="s">
        <v>64</v>
      </c>
      <c r="G628" s="77">
        <v>1</v>
      </c>
      <c r="H628" s="177"/>
      <c r="I628" s="228">
        <v>1281.17</v>
      </c>
      <c r="J628" s="322"/>
      <c r="K628" s="258"/>
      <c r="L628" s="281"/>
      <c r="M628" s="221"/>
      <c r="N628" s="422"/>
      <c r="O628" s="422"/>
      <c r="P628" s="422"/>
      <c r="Q628" s="422"/>
      <c r="R628" s="220"/>
      <c r="S628" s="221"/>
      <c r="T628" s="212">
        <f>IFERROR(ROUND(SUM(W629,W630)/I628, 2),0)</f>
        <v>68.28</v>
      </c>
      <c r="U628" s="202">
        <v>464</v>
      </c>
      <c r="V628" s="274">
        <f>T628+ROUND(U628, 2)</f>
        <v>532.28</v>
      </c>
      <c r="W628" s="182">
        <f>ROUND(T628*I628, 2)</f>
        <v>87478.29</v>
      </c>
      <c r="X628" s="14">
        <f>ROUND(I628*ROUND(U628, 2), 2)</f>
        <v>594462.88</v>
      </c>
      <c r="Y628" s="14">
        <f>W628+X628</f>
        <v>681941.17</v>
      </c>
    </row>
    <row r="629" spans="1:25" ht="26.55" hidden="1" customHeight="1" x14ac:dyDescent="0.4">
      <c r="A629" s="107" t="s">
        <v>2422</v>
      </c>
      <c r="B629" s="107"/>
      <c r="C629" s="108" t="s">
        <v>2155</v>
      </c>
      <c r="D629" s="109"/>
      <c r="E629" s="109"/>
      <c r="F629" s="110" t="s">
        <v>70</v>
      </c>
      <c r="G629" s="111">
        <v>0.3</v>
      </c>
      <c r="H629" s="187"/>
      <c r="I629" s="229">
        <v>384.351</v>
      </c>
      <c r="J629" s="325"/>
      <c r="K629" s="262"/>
      <c r="L629" s="285"/>
      <c r="M629" s="401"/>
      <c r="N629" s="423"/>
      <c r="O629" s="423"/>
      <c r="P629" s="423"/>
      <c r="Q629" s="423"/>
      <c r="R629" s="218"/>
      <c r="S629" s="218"/>
      <c r="T629" s="213">
        <v>183.2</v>
      </c>
      <c r="U629" s="211"/>
      <c r="V629" s="273"/>
      <c r="W629" s="206">
        <f>ROUND(ROUND(T629, 2)*I629, 2)</f>
        <v>70413.100000000006</v>
      </c>
    </row>
    <row r="630" spans="1:25" ht="22.8" hidden="1" x14ac:dyDescent="0.4">
      <c r="A630" s="107" t="s">
        <v>2425</v>
      </c>
      <c r="B630" s="107"/>
      <c r="C630" s="108" t="s">
        <v>433</v>
      </c>
      <c r="D630" s="109"/>
      <c r="E630" s="109"/>
      <c r="F630" s="110" t="s">
        <v>70</v>
      </c>
      <c r="G630" s="111">
        <v>0.15</v>
      </c>
      <c r="H630" s="187"/>
      <c r="I630" s="229">
        <v>192.17599999999999</v>
      </c>
      <c r="J630" s="325"/>
      <c r="K630" s="262"/>
      <c r="L630" s="285"/>
      <c r="M630" s="401"/>
      <c r="N630" s="423"/>
      <c r="O630" s="423"/>
      <c r="P630" s="423"/>
      <c r="Q630" s="423"/>
      <c r="R630" s="218"/>
      <c r="S630" s="218"/>
      <c r="T630" s="213">
        <v>88.8</v>
      </c>
      <c r="U630" s="211"/>
      <c r="V630" s="273"/>
      <c r="W630" s="206">
        <f>ROUND(ROUND(T630, 2)*I630, 2)</f>
        <v>17065.23</v>
      </c>
    </row>
    <row r="631" spans="1:25" ht="43.95" customHeight="1" x14ac:dyDescent="0.3">
      <c r="A631" s="156" t="s">
        <v>2428</v>
      </c>
      <c r="B631" s="156" t="s">
        <v>2149</v>
      </c>
      <c r="C631" s="75" t="s">
        <v>2150</v>
      </c>
      <c r="D631" s="76"/>
      <c r="E631" s="76" t="s">
        <v>2429</v>
      </c>
      <c r="F631" s="76" t="s">
        <v>64</v>
      </c>
      <c r="G631" s="77">
        <v>1</v>
      </c>
      <c r="H631" s="177"/>
      <c r="I631" s="228">
        <v>8.82</v>
      </c>
      <c r="J631" s="322"/>
      <c r="K631" s="258"/>
      <c r="L631" s="281"/>
      <c r="M631" s="221"/>
      <c r="N631" s="422"/>
      <c r="O631" s="422"/>
      <c r="P631" s="422"/>
      <c r="Q631" s="422"/>
      <c r="R631" s="220"/>
      <c r="S631" s="221"/>
      <c r="T631" s="212">
        <f>IFERROR(ROUND(SUM(W632,W633)/I631, 2),0)</f>
        <v>75.27</v>
      </c>
      <c r="U631" s="202">
        <v>464</v>
      </c>
      <c r="V631" s="274">
        <f>T631+ROUND(U631, 2)</f>
        <v>539.27</v>
      </c>
      <c r="W631" s="182">
        <f>ROUND(T631*I631, 2)</f>
        <v>663.88</v>
      </c>
      <c r="X631" s="14">
        <f>ROUND(I631*ROUND(U631, 2), 2)</f>
        <v>4092.48</v>
      </c>
      <c r="Y631" s="14">
        <f>W631+X631</f>
        <v>4756.3599999999997</v>
      </c>
    </row>
    <row r="632" spans="1:25" ht="22.8" hidden="1" x14ac:dyDescent="0.4">
      <c r="A632" s="107" t="s">
        <v>2430</v>
      </c>
      <c r="B632" s="107"/>
      <c r="C632" s="108" t="s">
        <v>433</v>
      </c>
      <c r="D632" s="109"/>
      <c r="E632" s="109"/>
      <c r="F632" s="110" t="s">
        <v>70</v>
      </c>
      <c r="G632" s="111">
        <v>0.15</v>
      </c>
      <c r="H632" s="187"/>
      <c r="I632" s="229">
        <v>1.323</v>
      </c>
      <c r="J632" s="325"/>
      <c r="K632" s="262"/>
      <c r="L632" s="285"/>
      <c r="M632" s="401"/>
      <c r="N632" s="423"/>
      <c r="O632" s="423"/>
      <c r="P632" s="423"/>
      <c r="Q632" s="423"/>
      <c r="R632" s="218"/>
      <c r="S632" s="218"/>
      <c r="T632" s="213">
        <v>88.8</v>
      </c>
      <c r="U632" s="211"/>
      <c r="V632" s="273"/>
      <c r="W632" s="206">
        <f>ROUND(ROUND(T632, 2)*I632, 2)</f>
        <v>117.48</v>
      </c>
    </row>
    <row r="633" spans="1:25" ht="75" hidden="1" customHeight="1" x14ac:dyDescent="0.4">
      <c r="A633" s="107" t="s">
        <v>2433</v>
      </c>
      <c r="B633" s="107"/>
      <c r="C633" s="108" t="s">
        <v>2155</v>
      </c>
      <c r="D633" s="109"/>
      <c r="E633" s="109" t="s">
        <v>2286</v>
      </c>
      <c r="F633" s="110" t="s">
        <v>70</v>
      </c>
      <c r="G633" s="111">
        <v>0.3</v>
      </c>
      <c r="H633" s="187"/>
      <c r="I633" s="229">
        <v>2.6459999999999999</v>
      </c>
      <c r="J633" s="325"/>
      <c r="K633" s="262"/>
      <c r="L633" s="285"/>
      <c r="M633" s="401"/>
      <c r="N633" s="423"/>
      <c r="O633" s="423"/>
      <c r="P633" s="423"/>
      <c r="Q633" s="423"/>
      <c r="R633" s="218"/>
      <c r="S633" s="218"/>
      <c r="T633" s="213">
        <v>206.5</v>
      </c>
      <c r="U633" s="211"/>
      <c r="V633" s="273"/>
      <c r="W633" s="206">
        <f>ROUND(ROUND(T633, 2)*I633, 2)</f>
        <v>546.4</v>
      </c>
    </row>
    <row r="634" spans="1:25" ht="39" customHeight="1" x14ac:dyDescent="0.3">
      <c r="A634" s="156" t="s">
        <v>2436</v>
      </c>
      <c r="B634" s="156" t="s">
        <v>2149</v>
      </c>
      <c r="C634" s="75" t="s">
        <v>2150</v>
      </c>
      <c r="D634" s="76"/>
      <c r="E634" s="76" t="s">
        <v>2437</v>
      </c>
      <c r="F634" s="76" t="s">
        <v>64</v>
      </c>
      <c r="G634" s="77">
        <v>1</v>
      </c>
      <c r="H634" s="177"/>
      <c r="I634" s="228">
        <v>24.88</v>
      </c>
      <c r="J634" s="322"/>
      <c r="K634" s="258"/>
      <c r="L634" s="281"/>
      <c r="M634" s="221"/>
      <c r="N634" s="422"/>
      <c r="O634" s="422"/>
      <c r="P634" s="422"/>
      <c r="Q634" s="422"/>
      <c r="R634" s="220"/>
      <c r="S634" s="221"/>
      <c r="T634" s="212">
        <f>IFERROR(ROUND(SUM(W635,W636)/I634, 2),0)</f>
        <v>75.27</v>
      </c>
      <c r="U634" s="202">
        <v>464</v>
      </c>
      <c r="V634" s="274">
        <f>T634+ROUND(U634, 2)</f>
        <v>539.27</v>
      </c>
      <c r="W634" s="182">
        <f>ROUND(T634*I634, 2)</f>
        <v>1872.72</v>
      </c>
      <c r="X634" s="14">
        <f>ROUND(I634*ROUND(U634, 2), 2)</f>
        <v>11544.32</v>
      </c>
      <c r="Y634" s="14">
        <f>W634+X634</f>
        <v>13417.039999999999</v>
      </c>
    </row>
    <row r="635" spans="1:25" ht="62.55" hidden="1" customHeight="1" x14ac:dyDescent="0.4">
      <c r="A635" s="121" t="s">
        <v>2438</v>
      </c>
      <c r="B635" s="121"/>
      <c r="C635" s="122" t="s">
        <v>2155</v>
      </c>
      <c r="D635" s="123"/>
      <c r="E635" s="123" t="s">
        <v>2439</v>
      </c>
      <c r="F635" s="124" t="s">
        <v>70</v>
      </c>
      <c r="G635" s="126">
        <v>0.3</v>
      </c>
      <c r="H635" s="189"/>
      <c r="I635" s="229">
        <v>7.4640000000000004</v>
      </c>
      <c r="J635" s="327"/>
      <c r="K635" s="263"/>
      <c r="L635" s="286"/>
      <c r="M635" s="401"/>
      <c r="N635" s="423"/>
      <c r="O635" s="423"/>
      <c r="P635" s="423"/>
      <c r="Q635" s="423"/>
      <c r="R635" s="218"/>
      <c r="S635" s="218"/>
      <c r="T635" s="213">
        <v>206.5</v>
      </c>
      <c r="U635" s="211"/>
      <c r="V635" s="273"/>
      <c r="W635" s="206">
        <f>ROUND(ROUND(T635, 2)*I635, 2)</f>
        <v>1541.32</v>
      </c>
    </row>
    <row r="636" spans="1:25" ht="22.8" hidden="1" x14ac:dyDescent="0.4">
      <c r="A636" s="121" t="s">
        <v>2442</v>
      </c>
      <c r="B636" s="121"/>
      <c r="C636" s="122" t="s">
        <v>433</v>
      </c>
      <c r="D636" s="123"/>
      <c r="E636" s="123"/>
      <c r="F636" s="124" t="s">
        <v>70</v>
      </c>
      <c r="G636" s="126">
        <v>0.15</v>
      </c>
      <c r="H636" s="189"/>
      <c r="I636" s="229">
        <v>3.7320000000000002</v>
      </c>
      <c r="J636" s="327"/>
      <c r="K636" s="263"/>
      <c r="L636" s="286"/>
      <c r="M636" s="401"/>
      <c r="N636" s="423"/>
      <c r="O636" s="423"/>
      <c r="P636" s="423"/>
      <c r="Q636" s="423"/>
      <c r="R636" s="218"/>
      <c r="S636" s="218"/>
      <c r="T636" s="213">
        <v>88.8</v>
      </c>
      <c r="U636" s="211"/>
      <c r="V636" s="273"/>
      <c r="W636" s="206">
        <f>ROUND(ROUND(T636, 2)*I636, 2)</f>
        <v>331.4</v>
      </c>
    </row>
    <row r="637" spans="1:25" ht="40.5" customHeight="1" x14ac:dyDescent="0.3">
      <c r="A637" s="156" t="s">
        <v>2445</v>
      </c>
      <c r="B637" s="156" t="s">
        <v>2149</v>
      </c>
      <c r="C637" s="75" t="s">
        <v>2150</v>
      </c>
      <c r="D637" s="76"/>
      <c r="E637" s="76" t="s">
        <v>2446</v>
      </c>
      <c r="F637" s="76" t="s">
        <v>64</v>
      </c>
      <c r="G637" s="77">
        <v>1</v>
      </c>
      <c r="H637" s="177"/>
      <c r="I637" s="228">
        <v>28.85</v>
      </c>
      <c r="J637" s="322"/>
      <c r="K637" s="258"/>
      <c r="L637" s="281"/>
      <c r="M637" s="221"/>
      <c r="N637" s="422"/>
      <c r="O637" s="422"/>
      <c r="P637" s="422"/>
      <c r="Q637" s="422"/>
      <c r="R637" s="220"/>
      <c r="S637" s="221"/>
      <c r="T637" s="212">
        <f>IFERROR(ROUND(SUM(W638,W639)/I637, 2),0)</f>
        <v>68.28</v>
      </c>
      <c r="U637" s="202">
        <v>464</v>
      </c>
      <c r="V637" s="274">
        <f>T637+ROUND(U637, 2)</f>
        <v>532.28</v>
      </c>
      <c r="W637" s="182">
        <f>ROUND(T637*I637, 2)</f>
        <v>1969.88</v>
      </c>
      <c r="X637" s="14">
        <f>ROUND(I637*ROUND(U637, 2), 2)</f>
        <v>13386.4</v>
      </c>
      <c r="Y637" s="14">
        <f>W637+X637</f>
        <v>15356.279999999999</v>
      </c>
    </row>
    <row r="638" spans="1:25" ht="22.8" hidden="1" x14ac:dyDescent="0.4">
      <c r="A638" s="121" t="s">
        <v>2447</v>
      </c>
      <c r="B638" s="121"/>
      <c r="C638" s="122" t="s">
        <v>433</v>
      </c>
      <c r="D638" s="123"/>
      <c r="E638" s="123"/>
      <c r="F638" s="124" t="s">
        <v>70</v>
      </c>
      <c r="G638" s="126">
        <v>0.15</v>
      </c>
      <c r="H638" s="189"/>
      <c r="I638" s="229">
        <v>4.3280000000000003</v>
      </c>
      <c r="J638" s="327"/>
      <c r="K638" s="263"/>
      <c r="L638" s="286"/>
      <c r="M638" s="401"/>
      <c r="N638" s="423"/>
      <c r="O638" s="423"/>
      <c r="P638" s="423"/>
      <c r="Q638" s="423"/>
      <c r="R638" s="218"/>
      <c r="S638" s="218"/>
      <c r="T638" s="213">
        <v>88.8</v>
      </c>
      <c r="U638" s="211"/>
      <c r="V638" s="273"/>
      <c r="W638" s="206">
        <f>ROUND(ROUND(T638, 2)*I638, 2)</f>
        <v>384.33</v>
      </c>
    </row>
    <row r="639" spans="1:25" ht="76.05" hidden="1" customHeight="1" x14ac:dyDescent="0.4">
      <c r="A639" s="121" t="s">
        <v>2450</v>
      </c>
      <c r="B639" s="121"/>
      <c r="C639" s="122" t="s">
        <v>2187</v>
      </c>
      <c r="D639" s="123"/>
      <c r="E639" s="123" t="s">
        <v>2451</v>
      </c>
      <c r="F639" s="124" t="s">
        <v>70</v>
      </c>
      <c r="G639" s="126">
        <v>0.3</v>
      </c>
      <c r="H639" s="189"/>
      <c r="I639" s="229">
        <v>8.6549999999999994</v>
      </c>
      <c r="J639" s="327"/>
      <c r="K639" s="263"/>
      <c r="L639" s="286"/>
      <c r="M639" s="401"/>
      <c r="N639" s="423"/>
      <c r="O639" s="423"/>
      <c r="P639" s="423"/>
      <c r="Q639" s="423"/>
      <c r="R639" s="218"/>
      <c r="S639" s="218"/>
      <c r="T639" s="213">
        <v>183.2</v>
      </c>
      <c r="U639" s="211"/>
      <c r="V639" s="273"/>
      <c r="W639" s="206">
        <f>ROUND(ROUND(T639, 2)*I639, 2)</f>
        <v>1585.6</v>
      </c>
    </row>
    <row r="640" spans="1:25" ht="40.950000000000003" customHeight="1" x14ac:dyDescent="0.3">
      <c r="A640" s="156" t="s">
        <v>2454</v>
      </c>
      <c r="B640" s="156" t="s">
        <v>2149</v>
      </c>
      <c r="C640" s="75" t="s">
        <v>2150</v>
      </c>
      <c r="D640" s="76"/>
      <c r="E640" s="76" t="s">
        <v>2455</v>
      </c>
      <c r="F640" s="76" t="s">
        <v>64</v>
      </c>
      <c r="G640" s="77">
        <v>1</v>
      </c>
      <c r="H640" s="177"/>
      <c r="I640" s="228">
        <v>3.12</v>
      </c>
      <c r="J640" s="322"/>
      <c r="K640" s="258"/>
      <c r="L640" s="281"/>
      <c r="M640" s="221"/>
      <c r="N640" s="422"/>
      <c r="O640" s="422"/>
      <c r="P640" s="422"/>
      <c r="Q640" s="422"/>
      <c r="R640" s="220"/>
      <c r="S640" s="221"/>
      <c r="T640" s="212">
        <f>IFERROR(ROUND(SUM(W641,W642)/I640, 2),0)</f>
        <v>75.27</v>
      </c>
      <c r="U640" s="202">
        <v>464</v>
      </c>
      <c r="V640" s="274">
        <f>T640+ROUND(U640, 2)</f>
        <v>539.27</v>
      </c>
      <c r="W640" s="182">
        <f>ROUND(T640*I640, 2)</f>
        <v>234.84</v>
      </c>
      <c r="X640" s="14">
        <f>ROUND(I640*ROUND(U640, 2), 2)</f>
        <v>1447.68</v>
      </c>
      <c r="Y640" s="14">
        <f>W640+X640</f>
        <v>1682.52</v>
      </c>
    </row>
    <row r="641" spans="1:25" ht="58.95" hidden="1" customHeight="1" x14ac:dyDescent="0.4">
      <c r="A641" s="121" t="s">
        <v>2456</v>
      </c>
      <c r="B641" s="121"/>
      <c r="C641" s="122" t="s">
        <v>2187</v>
      </c>
      <c r="D641" s="123"/>
      <c r="E641" s="123" t="s">
        <v>2316</v>
      </c>
      <c r="F641" s="124" t="s">
        <v>70</v>
      </c>
      <c r="G641" s="126">
        <v>0.3</v>
      </c>
      <c r="H641" s="189"/>
      <c r="I641" s="229">
        <v>0.93600000000000005</v>
      </c>
      <c r="J641" s="327"/>
      <c r="K641" s="263"/>
      <c r="L641" s="286"/>
      <c r="M641" s="401"/>
      <c r="N641" s="423"/>
      <c r="O641" s="423"/>
      <c r="P641" s="423"/>
      <c r="Q641" s="423"/>
      <c r="R641" s="218"/>
      <c r="S641" s="218"/>
      <c r="T641" s="213">
        <v>206.5</v>
      </c>
      <c r="U641" s="211"/>
      <c r="V641" s="273"/>
      <c r="W641" s="206">
        <f>ROUND(ROUND(T641, 2)*I641, 2)</f>
        <v>193.28</v>
      </c>
    </row>
    <row r="642" spans="1:25" ht="22.8" hidden="1" x14ac:dyDescent="0.4">
      <c r="A642" s="121" t="s">
        <v>2459</v>
      </c>
      <c r="B642" s="121"/>
      <c r="C642" s="122" t="s">
        <v>433</v>
      </c>
      <c r="D642" s="123"/>
      <c r="E642" s="123"/>
      <c r="F642" s="124" t="s">
        <v>70</v>
      </c>
      <c r="G642" s="126">
        <v>0.15</v>
      </c>
      <c r="H642" s="189"/>
      <c r="I642" s="229">
        <v>0.46800000000000003</v>
      </c>
      <c r="J642" s="327"/>
      <c r="K642" s="263"/>
      <c r="L642" s="286"/>
      <c r="M642" s="401"/>
      <c r="N642" s="423"/>
      <c r="O642" s="423"/>
      <c r="P642" s="423"/>
      <c r="Q642" s="423"/>
      <c r="R642" s="218"/>
      <c r="S642" s="218"/>
      <c r="T642" s="213">
        <v>88.8</v>
      </c>
      <c r="U642" s="211"/>
      <c r="V642" s="273"/>
      <c r="W642" s="206">
        <f>ROUND(ROUND(T642, 2)*I642, 2)</f>
        <v>41.56</v>
      </c>
    </row>
    <row r="643" spans="1:25" ht="35.549999999999997" customHeight="1" x14ac:dyDescent="0.45">
      <c r="A643" s="308" t="s">
        <v>2462</v>
      </c>
      <c r="B643" s="308" t="s">
        <v>2463</v>
      </c>
      <c r="C643" s="297" t="s">
        <v>2464</v>
      </c>
      <c r="D643" s="298"/>
      <c r="E643" s="298"/>
      <c r="F643" s="298"/>
      <c r="G643" s="298"/>
      <c r="H643" s="298"/>
      <c r="I643" s="223"/>
      <c r="J643" s="324"/>
      <c r="K643" s="257"/>
      <c r="L643" s="280"/>
      <c r="M643" s="219"/>
      <c r="N643" s="421"/>
      <c r="O643" s="421"/>
      <c r="P643" s="421"/>
      <c r="Q643" s="421"/>
      <c r="R643" s="224"/>
      <c r="S643" s="219"/>
      <c r="T643" s="210"/>
      <c r="U643" s="211"/>
      <c r="V643" s="273"/>
      <c r="W643" s="205">
        <f>SUM(W644,W646,W648,W650,W652,W654,W656,W658,W660,W662,W664,W678,W691,W703,W715)</f>
        <v>9422514.9199999999</v>
      </c>
      <c r="X643" s="6">
        <f>SUM(X644,X646,X648,X650,X652,X654,X656,X658,X660,X662,X664,X678,X691,X703,X715)</f>
        <v>4064165.0399999991</v>
      </c>
      <c r="Y643" s="6">
        <f>SUM(Y644,Y646,Y648,Y650,Y652,Y654,Y656,Y658,Y660,Y662,Y664,Y678,Y691,Y703,Y715)</f>
        <v>13486679.960000001</v>
      </c>
    </row>
    <row r="644" spans="1:25" ht="42.45" customHeight="1" x14ac:dyDescent="0.3">
      <c r="A644" s="156" t="s">
        <v>2465</v>
      </c>
      <c r="B644" s="156" t="s">
        <v>2466</v>
      </c>
      <c r="C644" s="75" t="s">
        <v>2467</v>
      </c>
      <c r="D644" s="76"/>
      <c r="E644" s="76" t="s">
        <v>2468</v>
      </c>
      <c r="F644" s="76" t="s">
        <v>64</v>
      </c>
      <c r="G644" s="77">
        <v>1</v>
      </c>
      <c r="H644" s="177"/>
      <c r="I644" s="228">
        <v>433.87</v>
      </c>
      <c r="J644" s="322"/>
      <c r="K644" s="258"/>
      <c r="L644" s="281"/>
      <c r="M644" s="221"/>
      <c r="N644" s="422"/>
      <c r="O644" s="422"/>
      <c r="P644" s="422"/>
      <c r="Q644" s="422"/>
      <c r="R644" s="220"/>
      <c r="S644" s="221"/>
      <c r="T644" s="212">
        <f>IFERROR(ROUND(SUM(W645)/I644, 2),0)</f>
        <v>2300</v>
      </c>
      <c r="U644" s="202">
        <v>837</v>
      </c>
      <c r="V644" s="274">
        <f>T644+ROUND(U644, 2)</f>
        <v>3137</v>
      </c>
      <c r="W644" s="182">
        <f>ROUND(T644*I644, 2)</f>
        <v>997901</v>
      </c>
      <c r="X644" s="14">
        <f>ROUND(I644*ROUND(U644, 2), 2)</f>
        <v>363149.19</v>
      </c>
      <c r="Y644" s="14">
        <f>W644+X644</f>
        <v>1361050.19</v>
      </c>
    </row>
    <row r="645" spans="1:25" ht="94.5" hidden="1" customHeight="1" x14ac:dyDescent="0.4">
      <c r="A645" s="121" t="s">
        <v>2471</v>
      </c>
      <c r="B645" s="121"/>
      <c r="C645" s="122" t="s">
        <v>2472</v>
      </c>
      <c r="D645" s="123"/>
      <c r="E645" s="123" t="s">
        <v>2473</v>
      </c>
      <c r="F645" s="124" t="s">
        <v>64</v>
      </c>
      <c r="G645" s="126">
        <v>1</v>
      </c>
      <c r="H645" s="189"/>
      <c r="I645" s="229">
        <v>433.87</v>
      </c>
      <c r="J645" s="327"/>
      <c r="K645" s="263"/>
      <c r="L645" s="286"/>
      <c r="M645" s="401"/>
      <c r="N645" s="423"/>
      <c r="O645" s="423"/>
      <c r="P645" s="423"/>
      <c r="Q645" s="423"/>
      <c r="R645" s="218"/>
      <c r="S645" s="218"/>
      <c r="T645" s="213">
        <v>2300</v>
      </c>
      <c r="U645" s="211"/>
      <c r="V645" s="273"/>
      <c r="W645" s="206">
        <f>ROUND(ROUND(T645, 2)*I645, 2)</f>
        <v>997901</v>
      </c>
    </row>
    <row r="646" spans="1:25" ht="44.55" customHeight="1" x14ac:dyDescent="0.3">
      <c r="A646" s="156" t="s">
        <v>2477</v>
      </c>
      <c r="B646" s="156" t="s">
        <v>2466</v>
      </c>
      <c r="C646" s="75" t="s">
        <v>2467</v>
      </c>
      <c r="D646" s="76"/>
      <c r="E646" s="76" t="s">
        <v>2478</v>
      </c>
      <c r="F646" s="76" t="s">
        <v>64</v>
      </c>
      <c r="G646" s="77">
        <v>1</v>
      </c>
      <c r="H646" s="177"/>
      <c r="I646" s="228">
        <v>1422.4</v>
      </c>
      <c r="J646" s="322"/>
      <c r="K646" s="258"/>
      <c r="L646" s="281"/>
      <c r="M646" s="221"/>
      <c r="N646" s="422"/>
      <c r="O646" s="422"/>
      <c r="P646" s="422"/>
      <c r="Q646" s="422"/>
      <c r="R646" s="220"/>
      <c r="S646" s="221"/>
      <c r="T646" s="212">
        <f>IFERROR(ROUND(SUM(W647)/I646, 2),0)</f>
        <v>2530</v>
      </c>
      <c r="U646" s="202">
        <v>837</v>
      </c>
      <c r="V646" s="274">
        <f>T646+ROUND(U646, 2)</f>
        <v>3367</v>
      </c>
      <c r="W646" s="182">
        <f>ROUND(T646*I646, 2)</f>
        <v>3598672</v>
      </c>
      <c r="X646" s="14">
        <f>ROUND(I646*ROUND(U646, 2), 2)</f>
        <v>1190548.8</v>
      </c>
      <c r="Y646" s="14">
        <f>W646+X646</f>
        <v>4789220.8</v>
      </c>
    </row>
    <row r="647" spans="1:25" ht="90.45" hidden="1" customHeight="1" x14ac:dyDescent="0.4">
      <c r="A647" s="121" t="s">
        <v>2479</v>
      </c>
      <c r="B647" s="121"/>
      <c r="C647" s="122" t="s">
        <v>2480</v>
      </c>
      <c r="D647" s="123"/>
      <c r="E647" s="123" t="s">
        <v>2481</v>
      </c>
      <c r="F647" s="124" t="s">
        <v>64</v>
      </c>
      <c r="G647" s="126">
        <v>1.1000000000000001</v>
      </c>
      <c r="H647" s="189"/>
      <c r="I647" s="229">
        <v>1564.64</v>
      </c>
      <c r="J647" s="327"/>
      <c r="K647" s="263"/>
      <c r="L647" s="286"/>
      <c r="M647" s="401"/>
      <c r="N647" s="423"/>
      <c r="O647" s="423"/>
      <c r="P647" s="423"/>
      <c r="Q647" s="423"/>
      <c r="R647" s="218"/>
      <c r="S647" s="218"/>
      <c r="T647" s="213">
        <v>2300</v>
      </c>
      <c r="U647" s="211"/>
      <c r="V647" s="273"/>
      <c r="W647" s="206">
        <f>ROUND(ROUND(T647, 2)*I647, 2)</f>
        <v>3598672</v>
      </c>
    </row>
    <row r="648" spans="1:25" ht="53.55" customHeight="1" x14ac:dyDescent="0.3">
      <c r="A648" s="156" t="s">
        <v>2485</v>
      </c>
      <c r="B648" s="156" t="s">
        <v>2466</v>
      </c>
      <c r="C648" s="75" t="s">
        <v>2467</v>
      </c>
      <c r="D648" s="76"/>
      <c r="E648" s="76" t="s">
        <v>2486</v>
      </c>
      <c r="F648" s="76" t="s">
        <v>64</v>
      </c>
      <c r="G648" s="77">
        <v>1</v>
      </c>
      <c r="H648" s="177"/>
      <c r="I648" s="228">
        <v>34.450000000000003</v>
      </c>
      <c r="J648" s="322"/>
      <c r="K648" s="258"/>
      <c r="L648" s="281"/>
      <c r="M648" s="221"/>
      <c r="N648" s="422"/>
      <c r="O648" s="422"/>
      <c r="P648" s="422"/>
      <c r="Q648" s="422"/>
      <c r="R648" s="220"/>
      <c r="S648" s="221"/>
      <c r="T648" s="212">
        <f>IFERROR(ROUND(SUM(W649)/I648, 2),0)</f>
        <v>855.89</v>
      </c>
      <c r="U648" s="202">
        <v>837</v>
      </c>
      <c r="V648" s="274">
        <f>T648+ROUND(U648, 2)</f>
        <v>1692.8899999999999</v>
      </c>
      <c r="W648" s="182">
        <f>ROUND(T648*I648, 2)</f>
        <v>29485.41</v>
      </c>
      <c r="X648" s="14">
        <f>ROUND(I648*ROUND(U648, 2), 2)</f>
        <v>28834.65</v>
      </c>
      <c r="Y648" s="14">
        <f>W648+X648</f>
        <v>58320.06</v>
      </c>
    </row>
    <row r="649" spans="1:25" ht="91.05" hidden="1" customHeight="1" x14ac:dyDescent="0.4">
      <c r="A649" s="107" t="s">
        <v>2487</v>
      </c>
      <c r="B649" s="107"/>
      <c r="C649" s="162" t="s">
        <v>2488</v>
      </c>
      <c r="D649" s="109"/>
      <c r="E649" s="109" t="s">
        <v>2489</v>
      </c>
      <c r="F649" s="110" t="s">
        <v>64</v>
      </c>
      <c r="G649" s="111">
        <v>1.1000000000000001</v>
      </c>
      <c r="H649" s="187"/>
      <c r="I649" s="229">
        <v>37.895000000000003</v>
      </c>
      <c r="J649" s="325"/>
      <c r="K649" s="262"/>
      <c r="L649" s="285"/>
      <c r="M649" s="401"/>
      <c r="N649" s="423"/>
      <c r="O649" s="423"/>
      <c r="P649" s="423"/>
      <c r="Q649" s="423"/>
      <c r="R649" s="218"/>
      <c r="S649" s="218"/>
      <c r="T649" s="213">
        <v>778.08</v>
      </c>
      <c r="U649" s="211"/>
      <c r="V649" s="273"/>
      <c r="W649" s="206">
        <f>ROUND(ROUND(T649, 2)*I649, 2)</f>
        <v>29485.34</v>
      </c>
    </row>
    <row r="650" spans="1:25" ht="45.45" customHeight="1" x14ac:dyDescent="0.3">
      <c r="A650" s="156" t="s">
        <v>2493</v>
      </c>
      <c r="B650" s="156" t="s">
        <v>2466</v>
      </c>
      <c r="C650" s="75" t="s">
        <v>2467</v>
      </c>
      <c r="D650" s="76"/>
      <c r="E650" s="76" t="s">
        <v>2494</v>
      </c>
      <c r="F650" s="76" t="s">
        <v>64</v>
      </c>
      <c r="G650" s="77">
        <v>1</v>
      </c>
      <c r="H650" s="177"/>
      <c r="I650" s="228">
        <v>83.7</v>
      </c>
      <c r="J650" s="322"/>
      <c r="K650" s="258"/>
      <c r="L650" s="281"/>
      <c r="M650" s="221"/>
      <c r="N650" s="422"/>
      <c r="O650" s="422"/>
      <c r="P650" s="422"/>
      <c r="Q650" s="422"/>
      <c r="R650" s="220"/>
      <c r="S650" s="221"/>
      <c r="T650" s="212">
        <f>IFERROR(ROUND(SUM(W651)/I650, 2),0)</f>
        <v>902.98</v>
      </c>
      <c r="U650" s="202">
        <v>837</v>
      </c>
      <c r="V650" s="274">
        <f>T650+ROUND(U650, 2)</f>
        <v>1739.98</v>
      </c>
      <c r="W650" s="182">
        <f>ROUND(T650*I650, 2)</f>
        <v>75579.429999999993</v>
      </c>
      <c r="X650" s="14">
        <f>ROUND(I650*ROUND(U650, 2), 2)</f>
        <v>70056.899999999994</v>
      </c>
      <c r="Y650" s="14">
        <f>W650+X650</f>
        <v>145636.32999999999</v>
      </c>
    </row>
    <row r="651" spans="1:25" ht="36" hidden="1" x14ac:dyDescent="0.4">
      <c r="A651" s="107" t="s">
        <v>2495</v>
      </c>
      <c r="B651" s="107"/>
      <c r="C651" s="163" t="s">
        <v>2496</v>
      </c>
      <c r="D651" s="109"/>
      <c r="E651" s="109"/>
      <c r="F651" s="110" t="s">
        <v>64</v>
      </c>
      <c r="G651" s="111">
        <v>1.1000000000000001</v>
      </c>
      <c r="H651" s="187"/>
      <c r="I651" s="229">
        <v>92.07</v>
      </c>
      <c r="J651" s="325"/>
      <c r="K651" s="262"/>
      <c r="L651" s="285"/>
      <c r="M651" s="401"/>
      <c r="N651" s="423"/>
      <c r="O651" s="423"/>
      <c r="P651" s="423"/>
      <c r="Q651" s="423"/>
      <c r="R651" s="218"/>
      <c r="S651" s="218"/>
      <c r="T651" s="213">
        <v>820.89</v>
      </c>
      <c r="U651" s="211"/>
      <c r="V651" s="273"/>
      <c r="W651" s="206">
        <f>ROUND(ROUND(T651, 2)*I651, 2)</f>
        <v>75579.34</v>
      </c>
    </row>
    <row r="652" spans="1:25" ht="43.95" customHeight="1" x14ac:dyDescent="0.3">
      <c r="A652" s="156" t="s">
        <v>2500</v>
      </c>
      <c r="B652" s="156" t="s">
        <v>2466</v>
      </c>
      <c r="C652" s="75" t="s">
        <v>2467</v>
      </c>
      <c r="D652" s="76"/>
      <c r="E652" s="76" t="s">
        <v>2501</v>
      </c>
      <c r="F652" s="76" t="s">
        <v>64</v>
      </c>
      <c r="G652" s="77">
        <v>1</v>
      </c>
      <c r="H652" s="177"/>
      <c r="I652" s="228">
        <v>54.99</v>
      </c>
      <c r="J652" s="322"/>
      <c r="K652" s="258"/>
      <c r="L652" s="281"/>
      <c r="M652" s="221"/>
      <c r="N652" s="422"/>
      <c r="O652" s="422"/>
      <c r="P652" s="422"/>
      <c r="Q652" s="422"/>
      <c r="R652" s="220"/>
      <c r="S652" s="221"/>
      <c r="T652" s="212">
        <f>IFERROR(ROUND(SUM(W653)/I652, 2),0)</f>
        <v>901.26</v>
      </c>
      <c r="U652" s="202">
        <v>837</v>
      </c>
      <c r="V652" s="274">
        <f>T652+ROUND(U652, 2)</f>
        <v>1738.26</v>
      </c>
      <c r="W652" s="182">
        <f>ROUND(T652*I652, 2)</f>
        <v>49560.29</v>
      </c>
      <c r="X652" s="14">
        <f>ROUND(I652*ROUND(U652, 2), 2)</f>
        <v>46026.63</v>
      </c>
      <c r="Y652" s="14">
        <f>W652+X652</f>
        <v>95586.92</v>
      </c>
    </row>
    <row r="653" spans="1:25" ht="36" hidden="1" x14ac:dyDescent="0.4">
      <c r="A653" s="10" t="s">
        <v>2502</v>
      </c>
      <c r="B653" s="10"/>
      <c r="C653" s="17" t="s">
        <v>2503</v>
      </c>
      <c r="D653" s="12"/>
      <c r="E653" s="12"/>
      <c r="F653" s="18" t="s">
        <v>64</v>
      </c>
      <c r="G653" s="19">
        <v>1.1000000000000001</v>
      </c>
      <c r="H653" s="194"/>
      <c r="I653" s="229">
        <v>60.488999999999997</v>
      </c>
      <c r="J653" s="329"/>
      <c r="K653" s="257"/>
      <c r="L653" s="280"/>
      <c r="M653" s="401"/>
      <c r="N653" s="423"/>
      <c r="O653" s="423"/>
      <c r="P653" s="423"/>
      <c r="Q653" s="423"/>
      <c r="R653" s="218"/>
      <c r="S653" s="218"/>
      <c r="T653" s="213">
        <v>819.33</v>
      </c>
      <c r="U653" s="211"/>
      <c r="V653" s="273"/>
      <c r="W653" s="206">
        <f>ROUND(ROUND(T653, 2)*I653, 2)</f>
        <v>49560.45</v>
      </c>
    </row>
    <row r="654" spans="1:25" ht="42" customHeight="1" x14ac:dyDescent="0.3">
      <c r="A654" s="156" t="s">
        <v>2507</v>
      </c>
      <c r="B654" s="156" t="s">
        <v>2466</v>
      </c>
      <c r="C654" s="75" t="s">
        <v>2467</v>
      </c>
      <c r="D654" s="76"/>
      <c r="E654" s="76" t="s">
        <v>2508</v>
      </c>
      <c r="F654" s="76" t="s">
        <v>64</v>
      </c>
      <c r="G654" s="77">
        <v>1</v>
      </c>
      <c r="H654" s="177"/>
      <c r="I654" s="228">
        <v>388.35</v>
      </c>
      <c r="J654" s="322"/>
      <c r="K654" s="258"/>
      <c r="L654" s="281"/>
      <c r="M654" s="221"/>
      <c r="N654" s="422"/>
      <c r="O654" s="422"/>
      <c r="P654" s="422"/>
      <c r="Q654" s="422"/>
      <c r="R654" s="220"/>
      <c r="S654" s="221"/>
      <c r="T654" s="212">
        <f>IFERROR(ROUND(SUM(W655)/I654, 2),0)</f>
        <v>2300</v>
      </c>
      <c r="U654" s="202">
        <v>837</v>
      </c>
      <c r="V654" s="274">
        <f>T654+ROUND(U654, 2)</f>
        <v>3137</v>
      </c>
      <c r="W654" s="182">
        <f>ROUND(T654*I654, 2)</f>
        <v>893205</v>
      </c>
      <c r="X654" s="14">
        <f>ROUND(I654*ROUND(U654, 2), 2)</f>
        <v>325048.95</v>
      </c>
      <c r="Y654" s="14">
        <f>W654+X654</f>
        <v>1218253.95</v>
      </c>
    </row>
    <row r="655" spans="1:25" ht="94.5" hidden="1" customHeight="1" x14ac:dyDescent="0.4">
      <c r="A655" s="10" t="s">
        <v>2509</v>
      </c>
      <c r="B655" s="10"/>
      <c r="C655" s="24" t="s">
        <v>2472</v>
      </c>
      <c r="D655" s="12"/>
      <c r="E655" s="123" t="s">
        <v>2510</v>
      </c>
      <c r="F655" s="124" t="s">
        <v>64</v>
      </c>
      <c r="G655" s="126">
        <v>1</v>
      </c>
      <c r="H655" s="189"/>
      <c r="I655" s="229">
        <v>388.35</v>
      </c>
      <c r="J655" s="327"/>
      <c r="K655" s="263"/>
      <c r="L655" s="286"/>
      <c r="M655" s="401"/>
      <c r="N655" s="423"/>
      <c r="O655" s="423"/>
      <c r="P655" s="423"/>
      <c r="Q655" s="423"/>
      <c r="R655" s="218"/>
      <c r="S655" s="218"/>
      <c r="T655" s="213">
        <v>2300</v>
      </c>
      <c r="U655" s="211"/>
      <c r="V655" s="273"/>
      <c r="W655" s="206">
        <f>ROUND(ROUND(T655, 2)*I655, 2)</f>
        <v>893205</v>
      </c>
    </row>
    <row r="656" spans="1:25" ht="40.950000000000003" customHeight="1" x14ac:dyDescent="0.3">
      <c r="A656" s="156" t="s">
        <v>2513</v>
      </c>
      <c r="B656" s="156" t="s">
        <v>2466</v>
      </c>
      <c r="C656" s="75" t="s">
        <v>2467</v>
      </c>
      <c r="D656" s="76"/>
      <c r="E656" s="76" t="s">
        <v>2514</v>
      </c>
      <c r="F656" s="76" t="s">
        <v>64</v>
      </c>
      <c r="G656" s="77">
        <v>1</v>
      </c>
      <c r="H656" s="177"/>
      <c r="I656" s="228">
        <v>1200.01</v>
      </c>
      <c r="J656" s="322"/>
      <c r="K656" s="258"/>
      <c r="L656" s="281"/>
      <c r="M656" s="221"/>
      <c r="N656" s="422"/>
      <c r="O656" s="422"/>
      <c r="P656" s="422"/>
      <c r="Q656" s="422"/>
      <c r="R656" s="220"/>
      <c r="S656" s="221"/>
      <c r="T656" s="212">
        <f>IFERROR(ROUND(SUM(W657)/I656, 2),0)</f>
        <v>2530</v>
      </c>
      <c r="U656" s="202">
        <v>837</v>
      </c>
      <c r="V656" s="274">
        <f>T656+ROUND(U656, 2)</f>
        <v>3367</v>
      </c>
      <c r="W656" s="182">
        <f>ROUND(T656*I656, 2)</f>
        <v>3036025.3</v>
      </c>
      <c r="X656" s="14">
        <f>ROUND(I656*ROUND(U656, 2), 2)</f>
        <v>1004408.37</v>
      </c>
      <c r="Y656" s="14">
        <f>W656+X656</f>
        <v>4040433.67</v>
      </c>
    </row>
    <row r="657" spans="1:25" ht="65.55" hidden="1" customHeight="1" x14ac:dyDescent="0.4">
      <c r="A657" s="10" t="s">
        <v>2515</v>
      </c>
      <c r="B657" s="10"/>
      <c r="C657" s="24" t="s">
        <v>2480</v>
      </c>
      <c r="D657" s="12"/>
      <c r="E657" s="123" t="s">
        <v>2481</v>
      </c>
      <c r="F657" s="124" t="s">
        <v>64</v>
      </c>
      <c r="G657" s="126">
        <v>1.1000000000000001</v>
      </c>
      <c r="H657" s="189"/>
      <c r="I657" s="229">
        <v>1320.011</v>
      </c>
      <c r="J657" s="327"/>
      <c r="K657" s="263"/>
      <c r="L657" s="286"/>
      <c r="M657" s="401"/>
      <c r="N657" s="423"/>
      <c r="O657" s="423"/>
      <c r="P657" s="423"/>
      <c r="Q657" s="423"/>
      <c r="R657" s="218"/>
      <c r="S657" s="218"/>
      <c r="T657" s="213">
        <v>2300</v>
      </c>
      <c r="U657" s="211"/>
      <c r="V657" s="273"/>
      <c r="W657" s="206">
        <f>ROUND(ROUND(T657, 2)*I657, 2)</f>
        <v>3036025.3</v>
      </c>
    </row>
    <row r="658" spans="1:25" ht="41.55" customHeight="1" x14ac:dyDescent="0.3">
      <c r="A658" s="156" t="s">
        <v>2518</v>
      </c>
      <c r="B658" s="156" t="s">
        <v>2466</v>
      </c>
      <c r="C658" s="75" t="s">
        <v>2467</v>
      </c>
      <c r="D658" s="76"/>
      <c r="E658" s="76" t="s">
        <v>2519</v>
      </c>
      <c r="F658" s="76" t="s">
        <v>64</v>
      </c>
      <c r="G658" s="77">
        <v>1</v>
      </c>
      <c r="H658" s="177"/>
      <c r="I658" s="228">
        <v>163.46</v>
      </c>
      <c r="J658" s="322"/>
      <c r="K658" s="258"/>
      <c r="L658" s="281"/>
      <c r="M658" s="221"/>
      <c r="N658" s="422"/>
      <c r="O658" s="422"/>
      <c r="P658" s="422"/>
      <c r="Q658" s="422"/>
      <c r="R658" s="220"/>
      <c r="S658" s="221"/>
      <c r="T658" s="212">
        <f>IFERROR(ROUND(SUM(W659)/I658, 2),0)</f>
        <v>855.89</v>
      </c>
      <c r="U658" s="202">
        <v>837</v>
      </c>
      <c r="V658" s="274">
        <f>T658+ROUND(U658, 2)</f>
        <v>1692.8899999999999</v>
      </c>
      <c r="W658" s="182">
        <f>ROUND(T658*I658, 2)</f>
        <v>139903.78</v>
      </c>
      <c r="X658" s="14">
        <f>ROUND(I658*ROUND(U658, 2), 2)</f>
        <v>136816.01999999999</v>
      </c>
      <c r="Y658" s="14">
        <f>W658+X658</f>
        <v>276719.8</v>
      </c>
    </row>
    <row r="659" spans="1:25" ht="71.55" hidden="1" customHeight="1" x14ac:dyDescent="0.4">
      <c r="A659" s="10" t="s">
        <v>2520</v>
      </c>
      <c r="B659" s="10"/>
      <c r="C659" s="17" t="s">
        <v>2488</v>
      </c>
      <c r="D659" s="12"/>
      <c r="E659" s="123" t="s">
        <v>2489</v>
      </c>
      <c r="F659" s="124" t="s">
        <v>64</v>
      </c>
      <c r="G659" s="126">
        <v>1.1000000000000001</v>
      </c>
      <c r="H659" s="189"/>
      <c r="I659" s="229">
        <v>179.80600000000001</v>
      </c>
      <c r="J659" s="327"/>
      <c r="K659" s="263"/>
      <c r="L659" s="286"/>
      <c r="M659" s="401"/>
      <c r="N659" s="423"/>
      <c r="O659" s="423"/>
      <c r="P659" s="423"/>
      <c r="Q659" s="423"/>
      <c r="R659" s="218"/>
      <c r="S659" s="218"/>
      <c r="T659" s="213">
        <v>778.08</v>
      </c>
      <c r="U659" s="211"/>
      <c r="V659" s="273"/>
      <c r="W659" s="206">
        <f>ROUND(ROUND(T659, 2)*I659, 2)</f>
        <v>139903.45000000001</v>
      </c>
    </row>
    <row r="660" spans="1:25" ht="43.05" customHeight="1" x14ac:dyDescent="0.3">
      <c r="A660" s="156" t="s">
        <v>2523</v>
      </c>
      <c r="B660" s="156" t="s">
        <v>2466</v>
      </c>
      <c r="C660" s="75" t="s">
        <v>2467</v>
      </c>
      <c r="D660" s="76"/>
      <c r="E660" s="76" t="s">
        <v>2524</v>
      </c>
      <c r="F660" s="76" t="s">
        <v>64</v>
      </c>
      <c r="G660" s="77">
        <v>1</v>
      </c>
      <c r="H660" s="177"/>
      <c r="I660" s="228">
        <v>92.54</v>
      </c>
      <c r="J660" s="322"/>
      <c r="K660" s="258"/>
      <c r="L660" s="281"/>
      <c r="M660" s="221"/>
      <c r="N660" s="422"/>
      <c r="O660" s="422"/>
      <c r="P660" s="422"/>
      <c r="Q660" s="422"/>
      <c r="R660" s="220"/>
      <c r="S660" s="221"/>
      <c r="T660" s="212">
        <f>IFERROR(ROUND(SUM(W661)/I660, 2),0)</f>
        <v>902.98</v>
      </c>
      <c r="U660" s="202">
        <v>837</v>
      </c>
      <c r="V660" s="274">
        <f>T660+ROUND(U660, 2)</f>
        <v>1739.98</v>
      </c>
      <c r="W660" s="182">
        <f>ROUND(T660*I660, 2)</f>
        <v>83561.77</v>
      </c>
      <c r="X660" s="14">
        <f>ROUND(I660*ROUND(U660, 2), 2)</f>
        <v>77455.98</v>
      </c>
      <c r="Y660" s="14">
        <f>W660+X660</f>
        <v>161017.75</v>
      </c>
    </row>
    <row r="661" spans="1:25" ht="36" hidden="1" x14ac:dyDescent="0.4">
      <c r="A661" s="10" t="s">
        <v>2525</v>
      </c>
      <c r="B661" s="10"/>
      <c r="C661" s="17" t="s">
        <v>2496</v>
      </c>
      <c r="D661" s="12"/>
      <c r="E661" s="12"/>
      <c r="F661" s="18" t="s">
        <v>64</v>
      </c>
      <c r="G661" s="19">
        <v>1.1000000000000001</v>
      </c>
      <c r="H661" s="194"/>
      <c r="I661" s="229">
        <v>101.794</v>
      </c>
      <c r="J661" s="329"/>
      <c r="K661" s="257"/>
      <c r="L661" s="280"/>
      <c r="M661" s="401"/>
      <c r="N661" s="423"/>
      <c r="O661" s="423"/>
      <c r="P661" s="423"/>
      <c r="Q661" s="423"/>
      <c r="R661" s="218"/>
      <c r="S661" s="218"/>
      <c r="T661" s="213">
        <v>820.89</v>
      </c>
      <c r="U661" s="211"/>
      <c r="V661" s="273"/>
      <c r="W661" s="206">
        <f>ROUND(ROUND(T661, 2)*I661, 2)</f>
        <v>83561.679999999993</v>
      </c>
    </row>
    <row r="662" spans="1:25" ht="42" customHeight="1" x14ac:dyDescent="0.3">
      <c r="A662" s="156" t="s">
        <v>2528</v>
      </c>
      <c r="B662" s="156" t="s">
        <v>2466</v>
      </c>
      <c r="C662" s="75" t="s">
        <v>2467</v>
      </c>
      <c r="D662" s="76"/>
      <c r="E662" s="76" t="s">
        <v>2529</v>
      </c>
      <c r="F662" s="76" t="s">
        <v>64</v>
      </c>
      <c r="G662" s="77">
        <v>1</v>
      </c>
      <c r="H662" s="177"/>
      <c r="I662" s="228">
        <v>67.19</v>
      </c>
      <c r="J662" s="322"/>
      <c r="K662" s="258"/>
      <c r="L662" s="281"/>
      <c r="M662" s="221"/>
      <c r="N662" s="422"/>
      <c r="O662" s="422"/>
      <c r="P662" s="422"/>
      <c r="Q662" s="422"/>
      <c r="R662" s="220"/>
      <c r="S662" s="221"/>
      <c r="T662" s="212">
        <f>IFERROR(ROUND(SUM(W663)/I662, 2),0)</f>
        <v>901.26</v>
      </c>
      <c r="U662" s="202">
        <v>837</v>
      </c>
      <c r="V662" s="274">
        <f>T662+ROUND(U662, 2)</f>
        <v>1738.26</v>
      </c>
      <c r="W662" s="182">
        <f>ROUND(T662*I662, 2)</f>
        <v>60555.66</v>
      </c>
      <c r="X662" s="14">
        <f>ROUND(I662*ROUND(U662, 2), 2)</f>
        <v>56238.03</v>
      </c>
      <c r="Y662" s="14">
        <f>W662+X662</f>
        <v>116793.69</v>
      </c>
    </row>
    <row r="663" spans="1:25" ht="36" hidden="1" x14ac:dyDescent="0.4">
      <c r="A663" s="10" t="s">
        <v>2530</v>
      </c>
      <c r="B663" s="10"/>
      <c r="C663" s="17" t="s">
        <v>2503</v>
      </c>
      <c r="D663" s="12"/>
      <c r="E663" s="12"/>
      <c r="F663" s="18" t="s">
        <v>64</v>
      </c>
      <c r="G663" s="19">
        <v>1.1000000000000001</v>
      </c>
      <c r="H663" s="194"/>
      <c r="I663" s="229">
        <v>73.909000000000006</v>
      </c>
      <c r="J663" s="329"/>
      <c r="K663" s="257"/>
      <c r="L663" s="280"/>
      <c r="M663" s="401"/>
      <c r="N663" s="423"/>
      <c r="O663" s="423"/>
      <c r="P663" s="423"/>
      <c r="Q663" s="423"/>
      <c r="R663" s="218"/>
      <c r="S663" s="218"/>
      <c r="T663" s="213">
        <v>819.33</v>
      </c>
      <c r="U663" s="211"/>
      <c r="V663" s="273"/>
      <c r="W663" s="206">
        <f>ROUND(ROUND(T663, 2)*I663, 2)</f>
        <v>60555.86</v>
      </c>
    </row>
    <row r="664" spans="1:25" ht="49.05" customHeight="1" x14ac:dyDescent="0.3">
      <c r="A664" s="156" t="s">
        <v>2533</v>
      </c>
      <c r="B664" s="156" t="s">
        <v>2534</v>
      </c>
      <c r="C664" s="75" t="s">
        <v>2535</v>
      </c>
      <c r="D664" s="76"/>
      <c r="E664" s="76" t="s">
        <v>2536</v>
      </c>
      <c r="F664" s="76" t="s">
        <v>64</v>
      </c>
      <c r="G664" s="77">
        <v>1</v>
      </c>
      <c r="H664" s="177"/>
      <c r="I664" s="228">
        <v>37.700000000000003</v>
      </c>
      <c r="J664" s="322"/>
      <c r="K664" s="258"/>
      <c r="L664" s="281"/>
      <c r="M664" s="221"/>
      <c r="N664" s="422"/>
      <c r="O664" s="422"/>
      <c r="P664" s="422"/>
      <c r="Q664" s="422"/>
      <c r="R664" s="220"/>
      <c r="S664" s="221"/>
      <c r="T664" s="212">
        <f>IFERROR(ROUND(SUM(W665,W666,W667,W668,W669,W670,W671,W672,W673,W674,W675,W676,W677)/I664, 2),0)</f>
        <v>611.15</v>
      </c>
      <c r="U664" s="202">
        <v>1199</v>
      </c>
      <c r="V664" s="274">
        <f>T664+ROUND(U664, 2)</f>
        <v>1810.15</v>
      </c>
      <c r="W664" s="182">
        <f>ROUND(T664*I664, 2)</f>
        <v>23040.36</v>
      </c>
      <c r="X664" s="14">
        <f>ROUND(I664*ROUND(U664, 2), 2)</f>
        <v>45202.3</v>
      </c>
      <c r="Y664" s="14">
        <f>W664+X664</f>
        <v>68242.66</v>
      </c>
    </row>
    <row r="665" spans="1:25" ht="22.8" hidden="1" x14ac:dyDescent="0.4">
      <c r="A665" s="10" t="s">
        <v>2539</v>
      </c>
      <c r="B665" s="10"/>
      <c r="C665" s="24" t="s">
        <v>2540</v>
      </c>
      <c r="D665" s="12"/>
      <c r="E665" s="12"/>
      <c r="F665" s="18" t="s">
        <v>116</v>
      </c>
      <c r="G665" s="19">
        <v>0.3</v>
      </c>
      <c r="H665" s="191"/>
      <c r="I665" s="229">
        <v>11.31</v>
      </c>
      <c r="J665" s="329"/>
      <c r="K665" s="257"/>
      <c r="L665" s="280"/>
      <c r="M665" s="401"/>
      <c r="N665" s="423"/>
      <c r="O665" s="423"/>
      <c r="P665" s="423"/>
      <c r="Q665" s="423"/>
      <c r="R665" s="218"/>
      <c r="S665" s="218"/>
      <c r="T665" s="213">
        <v>5.6</v>
      </c>
      <c r="U665" s="211"/>
      <c r="V665" s="273"/>
      <c r="W665" s="206">
        <f t="shared" ref="W665:W677" si="5">ROUND(ROUND(T665, 2)*I665, 2)</f>
        <v>63.34</v>
      </c>
    </row>
    <row r="666" spans="1:25" ht="22.8" hidden="1" x14ac:dyDescent="0.4">
      <c r="A666" s="121" t="s">
        <v>2544</v>
      </c>
      <c r="B666" s="121"/>
      <c r="C666" s="122" t="s">
        <v>2545</v>
      </c>
      <c r="D666" s="123"/>
      <c r="E666" s="123"/>
      <c r="F666" s="124" t="s">
        <v>116</v>
      </c>
      <c r="G666" s="126">
        <v>15</v>
      </c>
      <c r="H666" s="189"/>
      <c r="I666" s="229">
        <v>565.5</v>
      </c>
      <c r="J666" s="327"/>
      <c r="K666" s="263"/>
      <c r="L666" s="286"/>
      <c r="M666" s="401"/>
      <c r="N666" s="423"/>
      <c r="O666" s="423"/>
      <c r="P666" s="423"/>
      <c r="Q666" s="423"/>
      <c r="R666" s="218"/>
      <c r="S666" s="218"/>
      <c r="T666" s="213">
        <v>0.95</v>
      </c>
      <c r="U666" s="211"/>
      <c r="V666" s="273"/>
      <c r="W666" s="206">
        <f t="shared" si="5"/>
        <v>537.23</v>
      </c>
    </row>
    <row r="667" spans="1:25" ht="22.8" hidden="1" x14ac:dyDescent="0.4">
      <c r="A667" s="121" t="s">
        <v>2549</v>
      </c>
      <c r="B667" s="121"/>
      <c r="C667" s="122" t="s">
        <v>1920</v>
      </c>
      <c r="D667" s="123"/>
      <c r="E667" s="123"/>
      <c r="F667" s="124" t="s">
        <v>116</v>
      </c>
      <c r="G667" s="126">
        <v>30</v>
      </c>
      <c r="H667" s="189"/>
      <c r="I667" s="229">
        <v>1131</v>
      </c>
      <c r="J667" s="327"/>
      <c r="K667" s="263"/>
      <c r="L667" s="286"/>
      <c r="M667" s="401"/>
      <c r="N667" s="423"/>
      <c r="O667" s="423"/>
      <c r="P667" s="423"/>
      <c r="Q667" s="423"/>
      <c r="R667" s="218"/>
      <c r="S667" s="218"/>
      <c r="T667" s="213">
        <v>0.28000000000000003</v>
      </c>
      <c r="U667" s="211"/>
      <c r="V667" s="273"/>
      <c r="W667" s="206">
        <f t="shared" si="5"/>
        <v>316.68</v>
      </c>
    </row>
    <row r="668" spans="1:25" ht="36" hidden="1" x14ac:dyDescent="0.4">
      <c r="A668" s="121" t="s">
        <v>2552</v>
      </c>
      <c r="B668" s="121"/>
      <c r="C668" s="165" t="s">
        <v>2553</v>
      </c>
      <c r="D668" s="123"/>
      <c r="E668" s="123"/>
      <c r="F668" s="124" t="s">
        <v>116</v>
      </c>
      <c r="G668" s="126">
        <v>3.6</v>
      </c>
      <c r="H668" s="189"/>
      <c r="I668" s="229">
        <v>135.72</v>
      </c>
      <c r="J668" s="327"/>
      <c r="K668" s="263"/>
      <c r="L668" s="286"/>
      <c r="M668" s="401"/>
      <c r="N668" s="423"/>
      <c r="O668" s="423"/>
      <c r="P668" s="423"/>
      <c r="Q668" s="423"/>
      <c r="R668" s="218"/>
      <c r="S668" s="218"/>
      <c r="T668" s="213">
        <v>15.9</v>
      </c>
      <c r="U668" s="211"/>
      <c r="V668" s="273"/>
      <c r="W668" s="206">
        <f t="shared" si="5"/>
        <v>2157.9499999999998</v>
      </c>
    </row>
    <row r="669" spans="1:25" ht="22.8" hidden="1" x14ac:dyDescent="0.4">
      <c r="A669" s="121" t="s">
        <v>2557</v>
      </c>
      <c r="B669" s="121"/>
      <c r="C669" s="164" t="s">
        <v>1753</v>
      </c>
      <c r="D669" s="123"/>
      <c r="E669" s="123"/>
      <c r="F669" s="124" t="s">
        <v>70</v>
      </c>
      <c r="G669" s="126">
        <v>0.35</v>
      </c>
      <c r="H669" s="189"/>
      <c r="I669" s="229">
        <v>13.195</v>
      </c>
      <c r="J669" s="327"/>
      <c r="K669" s="263"/>
      <c r="L669" s="286"/>
      <c r="M669" s="401"/>
      <c r="N669" s="423"/>
      <c r="O669" s="423"/>
      <c r="P669" s="423"/>
      <c r="Q669" s="423"/>
      <c r="R669" s="218"/>
      <c r="S669" s="218"/>
      <c r="T669" s="213">
        <v>55</v>
      </c>
      <c r="U669" s="211"/>
      <c r="V669" s="273"/>
      <c r="W669" s="206">
        <f t="shared" si="5"/>
        <v>725.73</v>
      </c>
    </row>
    <row r="670" spans="1:25" ht="22.8" hidden="1" x14ac:dyDescent="0.4">
      <c r="A670" s="121" t="s">
        <v>2560</v>
      </c>
      <c r="B670" s="121"/>
      <c r="C670" s="164" t="s">
        <v>2561</v>
      </c>
      <c r="D670" s="123"/>
      <c r="E670" s="123"/>
      <c r="F670" s="124" t="s">
        <v>87</v>
      </c>
      <c r="G670" s="126">
        <v>1.05</v>
      </c>
      <c r="H670" s="189"/>
      <c r="I670" s="229">
        <v>39.585000000000001</v>
      </c>
      <c r="J670" s="327"/>
      <c r="K670" s="263"/>
      <c r="L670" s="286"/>
      <c r="M670" s="401"/>
      <c r="N670" s="423"/>
      <c r="O670" s="423"/>
      <c r="P670" s="423"/>
      <c r="Q670" s="423"/>
      <c r="R670" s="218"/>
      <c r="S670" s="218"/>
      <c r="T670" s="213">
        <v>4.5999999999999996</v>
      </c>
      <c r="U670" s="211"/>
      <c r="V670" s="273"/>
      <c r="W670" s="206">
        <f t="shared" si="5"/>
        <v>182.09</v>
      </c>
    </row>
    <row r="671" spans="1:25" ht="22.8" hidden="1" x14ac:dyDescent="0.4">
      <c r="A671" s="121" t="s">
        <v>2565</v>
      </c>
      <c r="B671" s="121"/>
      <c r="C671" s="164" t="s">
        <v>2566</v>
      </c>
      <c r="D671" s="123"/>
      <c r="E671" s="123"/>
      <c r="F671" s="124" t="s">
        <v>87</v>
      </c>
      <c r="G671" s="126">
        <v>1.25</v>
      </c>
      <c r="H671" s="189"/>
      <c r="I671" s="229">
        <v>47.125</v>
      </c>
      <c r="J671" s="327"/>
      <c r="K671" s="263"/>
      <c r="L671" s="286"/>
      <c r="M671" s="401"/>
      <c r="N671" s="423"/>
      <c r="O671" s="423"/>
      <c r="P671" s="423"/>
      <c r="Q671" s="423"/>
      <c r="R671" s="218"/>
      <c r="S671" s="218"/>
      <c r="T671" s="213">
        <v>2.8</v>
      </c>
      <c r="U671" s="211"/>
      <c r="V671" s="273"/>
      <c r="W671" s="206">
        <f t="shared" si="5"/>
        <v>131.94999999999999</v>
      </c>
    </row>
    <row r="672" spans="1:25" ht="22.8" hidden="1" x14ac:dyDescent="0.4">
      <c r="A672" s="121" t="s">
        <v>2570</v>
      </c>
      <c r="B672" s="121"/>
      <c r="C672" s="164" t="s">
        <v>2571</v>
      </c>
      <c r="D672" s="123"/>
      <c r="E672" s="123"/>
      <c r="F672" s="124" t="s">
        <v>87</v>
      </c>
      <c r="G672" s="126">
        <v>0.3</v>
      </c>
      <c r="H672" s="189"/>
      <c r="I672" s="229">
        <v>11.31</v>
      </c>
      <c r="J672" s="327"/>
      <c r="K672" s="263"/>
      <c r="L672" s="286"/>
      <c r="M672" s="401"/>
      <c r="N672" s="423"/>
      <c r="O672" s="423"/>
      <c r="P672" s="423"/>
      <c r="Q672" s="423"/>
      <c r="R672" s="218"/>
      <c r="S672" s="218"/>
      <c r="T672" s="213">
        <v>44.13</v>
      </c>
      <c r="U672" s="211"/>
      <c r="V672" s="273"/>
      <c r="W672" s="206">
        <f t="shared" si="5"/>
        <v>499.11</v>
      </c>
    </row>
    <row r="673" spans="1:25" ht="22.8" hidden="1" x14ac:dyDescent="0.4">
      <c r="A673" s="121" t="s">
        <v>2575</v>
      </c>
      <c r="B673" s="121"/>
      <c r="C673" s="164" t="s">
        <v>2576</v>
      </c>
      <c r="D673" s="123"/>
      <c r="E673" s="123"/>
      <c r="F673" s="124" t="s">
        <v>87</v>
      </c>
      <c r="G673" s="126">
        <v>4.7</v>
      </c>
      <c r="H673" s="189"/>
      <c r="I673" s="229">
        <v>177.19</v>
      </c>
      <c r="J673" s="327"/>
      <c r="K673" s="263"/>
      <c r="L673" s="286"/>
      <c r="M673" s="401"/>
      <c r="N673" s="423"/>
      <c r="O673" s="423"/>
      <c r="P673" s="423"/>
      <c r="Q673" s="423"/>
      <c r="R673" s="218"/>
      <c r="S673" s="218"/>
      <c r="T673" s="213">
        <v>66.98</v>
      </c>
      <c r="U673" s="211"/>
      <c r="V673" s="273"/>
      <c r="W673" s="206">
        <f t="shared" si="5"/>
        <v>11868.19</v>
      </c>
    </row>
    <row r="674" spans="1:25" ht="22.8" hidden="1" x14ac:dyDescent="0.4">
      <c r="A674" s="121" t="s">
        <v>2580</v>
      </c>
      <c r="B674" s="121"/>
      <c r="C674" s="165" t="s">
        <v>2581</v>
      </c>
      <c r="D674" s="123"/>
      <c r="E674" s="123"/>
      <c r="F674" s="124" t="s">
        <v>116</v>
      </c>
      <c r="G674" s="126">
        <v>4.2</v>
      </c>
      <c r="H674" s="189"/>
      <c r="I674" s="229">
        <v>158.34</v>
      </c>
      <c r="J674" s="327"/>
      <c r="K674" s="263"/>
      <c r="L674" s="286"/>
      <c r="M674" s="401"/>
      <c r="N674" s="423"/>
      <c r="O674" s="423"/>
      <c r="P674" s="423"/>
      <c r="Q674" s="423"/>
      <c r="R674" s="218"/>
      <c r="S674" s="218"/>
      <c r="T674" s="213">
        <v>4.92</v>
      </c>
      <c r="U674" s="211"/>
      <c r="V674" s="273"/>
      <c r="W674" s="206">
        <f t="shared" si="5"/>
        <v>779.03</v>
      </c>
    </row>
    <row r="675" spans="1:25" ht="22.8" hidden="1" x14ac:dyDescent="0.4">
      <c r="A675" s="121" t="s">
        <v>2585</v>
      </c>
      <c r="B675" s="121"/>
      <c r="C675" s="164" t="s">
        <v>433</v>
      </c>
      <c r="D675" s="123"/>
      <c r="E675" s="123"/>
      <c r="F675" s="124" t="s">
        <v>70</v>
      </c>
      <c r="G675" s="126">
        <v>0.1</v>
      </c>
      <c r="H675" s="189"/>
      <c r="I675" s="229">
        <v>3.77</v>
      </c>
      <c r="J675" s="327"/>
      <c r="K675" s="263"/>
      <c r="L675" s="286"/>
      <c r="M675" s="401"/>
      <c r="N675" s="423"/>
      <c r="O675" s="423"/>
      <c r="P675" s="423"/>
      <c r="Q675" s="423"/>
      <c r="R675" s="218"/>
      <c r="S675" s="218"/>
      <c r="T675" s="213">
        <v>88.8</v>
      </c>
      <c r="U675" s="211"/>
      <c r="V675" s="273"/>
      <c r="W675" s="206">
        <f t="shared" si="5"/>
        <v>334.78</v>
      </c>
    </row>
    <row r="676" spans="1:25" ht="36" hidden="1" x14ac:dyDescent="0.4">
      <c r="A676" s="121" t="s">
        <v>2588</v>
      </c>
      <c r="B676" s="121"/>
      <c r="C676" s="164" t="s">
        <v>1767</v>
      </c>
      <c r="D676" s="123"/>
      <c r="E676" s="123"/>
      <c r="F676" s="124" t="s">
        <v>64</v>
      </c>
      <c r="G676" s="126">
        <v>1.05</v>
      </c>
      <c r="H676" s="189"/>
      <c r="I676" s="229">
        <v>39.585000000000001</v>
      </c>
      <c r="J676" s="327"/>
      <c r="K676" s="263"/>
      <c r="L676" s="286"/>
      <c r="M676" s="401"/>
      <c r="N676" s="423"/>
      <c r="O676" s="423"/>
      <c r="P676" s="423"/>
      <c r="Q676" s="423"/>
      <c r="R676" s="218"/>
      <c r="S676" s="218"/>
      <c r="T676" s="213">
        <v>135.53</v>
      </c>
      <c r="U676" s="211"/>
      <c r="V676" s="273"/>
      <c r="W676" s="206">
        <f t="shared" si="5"/>
        <v>5364.96</v>
      </c>
    </row>
    <row r="677" spans="1:25" ht="22.8" hidden="1" x14ac:dyDescent="0.4">
      <c r="A677" s="107" t="s">
        <v>2591</v>
      </c>
      <c r="B677" s="107"/>
      <c r="C677" s="155" t="s">
        <v>2592</v>
      </c>
      <c r="D677" s="109"/>
      <c r="E677" s="109"/>
      <c r="F677" s="110" t="s">
        <v>116</v>
      </c>
      <c r="G677" s="111">
        <v>0.75</v>
      </c>
      <c r="H677" s="187"/>
      <c r="I677" s="229">
        <v>28.274999999999999</v>
      </c>
      <c r="J677" s="325"/>
      <c r="K677" s="262"/>
      <c r="L677" s="285"/>
      <c r="M677" s="401"/>
      <c r="N677" s="423"/>
      <c r="O677" s="423"/>
      <c r="P677" s="423"/>
      <c r="Q677" s="423"/>
      <c r="R677" s="218"/>
      <c r="S677" s="218"/>
      <c r="T677" s="213">
        <v>2.8</v>
      </c>
      <c r="U677" s="211"/>
      <c r="V677" s="273"/>
      <c r="W677" s="206">
        <f t="shared" si="5"/>
        <v>79.17</v>
      </c>
    </row>
    <row r="678" spans="1:25" ht="45" customHeight="1" x14ac:dyDescent="0.3">
      <c r="A678" s="156" t="s">
        <v>2596</v>
      </c>
      <c r="B678" s="156" t="s">
        <v>2534</v>
      </c>
      <c r="C678" s="75" t="s">
        <v>2535</v>
      </c>
      <c r="D678" s="76"/>
      <c r="E678" s="76" t="s">
        <v>2597</v>
      </c>
      <c r="F678" s="76" t="s">
        <v>64</v>
      </c>
      <c r="G678" s="77">
        <v>1</v>
      </c>
      <c r="H678" s="177"/>
      <c r="I678" s="228">
        <v>31.97</v>
      </c>
      <c r="J678" s="322"/>
      <c r="K678" s="258"/>
      <c r="L678" s="281"/>
      <c r="M678" s="221"/>
      <c r="N678" s="422"/>
      <c r="O678" s="422"/>
      <c r="P678" s="422"/>
      <c r="Q678" s="422"/>
      <c r="R678" s="220"/>
      <c r="S678" s="221"/>
      <c r="T678" s="212">
        <f>IFERROR(ROUND(SUM(W679,W680,W681,W682,W683,W684,W685,W686,W687,W688,W689,W690)/I678, 2),0)</f>
        <v>2063.5300000000002</v>
      </c>
      <c r="U678" s="202">
        <v>1199</v>
      </c>
      <c r="V678" s="274">
        <f>T678+ROUND(U678, 2)</f>
        <v>3262.53</v>
      </c>
      <c r="W678" s="182">
        <f>ROUND(T678*I678, 2)</f>
        <v>65971.05</v>
      </c>
      <c r="X678" s="14">
        <f>ROUND(I678*ROUND(U678, 2), 2)</f>
        <v>38332.03</v>
      </c>
      <c r="Y678" s="14">
        <f>W678+X678</f>
        <v>104303.08</v>
      </c>
    </row>
    <row r="679" spans="1:25" ht="22.8" hidden="1" x14ac:dyDescent="0.4">
      <c r="A679" s="121" t="s">
        <v>2598</v>
      </c>
      <c r="B679" s="121"/>
      <c r="C679" s="122" t="s">
        <v>2592</v>
      </c>
      <c r="D679" s="123"/>
      <c r="E679" s="123"/>
      <c r="F679" s="124" t="s">
        <v>116</v>
      </c>
      <c r="G679" s="126">
        <v>0.75</v>
      </c>
      <c r="H679" s="189"/>
      <c r="I679" s="229">
        <v>23.978000000000002</v>
      </c>
      <c r="J679" s="327"/>
      <c r="K679" s="263"/>
      <c r="L679" s="286"/>
      <c r="M679" s="401"/>
      <c r="N679" s="423"/>
      <c r="O679" s="423"/>
      <c r="P679" s="423"/>
      <c r="Q679" s="423"/>
      <c r="R679" s="218"/>
      <c r="S679" s="218"/>
      <c r="T679" s="213">
        <v>2.8</v>
      </c>
      <c r="U679" s="211"/>
      <c r="V679" s="273"/>
      <c r="W679" s="206">
        <f t="shared" ref="W679:W690" si="6">ROUND(ROUND(T679, 2)*I679, 2)</f>
        <v>67.14</v>
      </c>
    </row>
    <row r="680" spans="1:25" ht="22.8" hidden="1" x14ac:dyDescent="0.4">
      <c r="A680" s="121" t="s">
        <v>2601</v>
      </c>
      <c r="B680" s="121"/>
      <c r="C680" s="164" t="s">
        <v>433</v>
      </c>
      <c r="D680" s="123"/>
      <c r="E680" s="123"/>
      <c r="F680" s="124" t="s">
        <v>70</v>
      </c>
      <c r="G680" s="126">
        <v>0.1</v>
      </c>
      <c r="H680" s="189"/>
      <c r="I680" s="229">
        <v>3.1970000000000001</v>
      </c>
      <c r="J680" s="327"/>
      <c r="K680" s="263"/>
      <c r="L680" s="286"/>
      <c r="M680" s="401"/>
      <c r="N680" s="423"/>
      <c r="O680" s="423"/>
      <c r="P680" s="423"/>
      <c r="Q680" s="423"/>
      <c r="R680" s="218"/>
      <c r="S680" s="218"/>
      <c r="T680" s="213">
        <v>88.8</v>
      </c>
      <c r="U680" s="211"/>
      <c r="V680" s="273"/>
      <c r="W680" s="206">
        <f t="shared" si="6"/>
        <v>283.89</v>
      </c>
    </row>
    <row r="681" spans="1:25" ht="22.8" hidden="1" x14ac:dyDescent="0.4">
      <c r="A681" s="121" t="s">
        <v>2604</v>
      </c>
      <c r="B681" s="121"/>
      <c r="C681" s="165" t="s">
        <v>2581</v>
      </c>
      <c r="D681" s="123"/>
      <c r="E681" s="123"/>
      <c r="F681" s="124" t="s">
        <v>116</v>
      </c>
      <c r="G681" s="126">
        <v>4.2</v>
      </c>
      <c r="H681" s="189"/>
      <c r="I681" s="229">
        <v>134.274</v>
      </c>
      <c r="J681" s="327"/>
      <c r="K681" s="263"/>
      <c r="L681" s="286"/>
      <c r="M681" s="401"/>
      <c r="N681" s="423"/>
      <c r="O681" s="423"/>
      <c r="P681" s="423"/>
      <c r="Q681" s="423"/>
      <c r="R681" s="218"/>
      <c r="S681" s="218"/>
      <c r="T681" s="213">
        <v>4.92</v>
      </c>
      <c r="U681" s="211"/>
      <c r="V681" s="273"/>
      <c r="W681" s="206">
        <f t="shared" si="6"/>
        <v>660.63</v>
      </c>
    </row>
    <row r="682" spans="1:25" ht="22.8" hidden="1" x14ac:dyDescent="0.4">
      <c r="A682" s="121" t="s">
        <v>2607</v>
      </c>
      <c r="B682" s="121"/>
      <c r="C682" s="164" t="s">
        <v>2571</v>
      </c>
      <c r="D682" s="123"/>
      <c r="E682" s="123"/>
      <c r="F682" s="124" t="s">
        <v>87</v>
      </c>
      <c r="G682" s="126">
        <v>0.3</v>
      </c>
      <c r="H682" s="189"/>
      <c r="I682" s="229">
        <v>9.5909999999999993</v>
      </c>
      <c r="J682" s="327"/>
      <c r="K682" s="263"/>
      <c r="L682" s="286"/>
      <c r="M682" s="401"/>
      <c r="N682" s="423"/>
      <c r="O682" s="423"/>
      <c r="P682" s="423"/>
      <c r="Q682" s="423"/>
      <c r="R682" s="218"/>
      <c r="S682" s="218"/>
      <c r="T682" s="213">
        <v>44.13</v>
      </c>
      <c r="U682" s="211"/>
      <c r="V682" s="273"/>
      <c r="W682" s="206">
        <f t="shared" si="6"/>
        <v>423.25</v>
      </c>
    </row>
    <row r="683" spans="1:25" ht="22.8" hidden="1" x14ac:dyDescent="0.4">
      <c r="A683" s="121" t="s">
        <v>2610</v>
      </c>
      <c r="B683" s="121"/>
      <c r="C683" s="164" t="s">
        <v>2576</v>
      </c>
      <c r="D683" s="123"/>
      <c r="E683" s="123"/>
      <c r="F683" s="124" t="s">
        <v>87</v>
      </c>
      <c r="G683" s="126">
        <v>4.7</v>
      </c>
      <c r="H683" s="189"/>
      <c r="I683" s="229">
        <v>150.25899999999999</v>
      </c>
      <c r="J683" s="327"/>
      <c r="K683" s="263"/>
      <c r="L683" s="286"/>
      <c r="M683" s="401"/>
      <c r="N683" s="423"/>
      <c r="O683" s="423"/>
      <c r="P683" s="423"/>
      <c r="Q683" s="423"/>
      <c r="R683" s="218"/>
      <c r="S683" s="218"/>
      <c r="T683" s="213">
        <v>66.98</v>
      </c>
      <c r="U683" s="211"/>
      <c r="V683" s="273"/>
      <c r="W683" s="206">
        <f t="shared" si="6"/>
        <v>10064.35</v>
      </c>
    </row>
    <row r="684" spans="1:25" ht="22.8" hidden="1" x14ac:dyDescent="0.4">
      <c r="A684" s="121" t="s">
        <v>2613</v>
      </c>
      <c r="B684" s="121"/>
      <c r="C684" s="164" t="s">
        <v>2566</v>
      </c>
      <c r="D684" s="123"/>
      <c r="E684" s="123"/>
      <c r="F684" s="124" t="s">
        <v>87</v>
      </c>
      <c r="G684" s="126">
        <v>1.25</v>
      </c>
      <c r="H684" s="189"/>
      <c r="I684" s="229">
        <v>39.963000000000001</v>
      </c>
      <c r="J684" s="327"/>
      <c r="K684" s="263"/>
      <c r="L684" s="286"/>
      <c r="M684" s="401"/>
      <c r="N684" s="423"/>
      <c r="O684" s="423"/>
      <c r="P684" s="423"/>
      <c r="Q684" s="423"/>
      <c r="R684" s="218"/>
      <c r="S684" s="218"/>
      <c r="T684" s="213">
        <v>2.8</v>
      </c>
      <c r="U684" s="211"/>
      <c r="V684" s="273"/>
      <c r="W684" s="206">
        <f t="shared" si="6"/>
        <v>111.9</v>
      </c>
    </row>
    <row r="685" spans="1:25" ht="22.8" hidden="1" x14ac:dyDescent="0.4">
      <c r="A685" s="121" t="s">
        <v>2616</v>
      </c>
      <c r="B685" s="121"/>
      <c r="C685" s="164" t="s">
        <v>2561</v>
      </c>
      <c r="D685" s="123"/>
      <c r="E685" s="123"/>
      <c r="F685" s="124" t="s">
        <v>87</v>
      </c>
      <c r="G685" s="126">
        <v>1.05</v>
      </c>
      <c r="H685" s="189"/>
      <c r="I685" s="229">
        <v>33.569000000000003</v>
      </c>
      <c r="J685" s="327"/>
      <c r="K685" s="263"/>
      <c r="L685" s="286"/>
      <c r="M685" s="401"/>
      <c r="N685" s="423"/>
      <c r="O685" s="423"/>
      <c r="P685" s="423"/>
      <c r="Q685" s="423"/>
      <c r="R685" s="218"/>
      <c r="S685" s="218"/>
      <c r="T685" s="213">
        <v>4.5999999999999996</v>
      </c>
      <c r="U685" s="211"/>
      <c r="V685" s="273"/>
      <c r="W685" s="206">
        <f t="shared" si="6"/>
        <v>154.41999999999999</v>
      </c>
    </row>
    <row r="686" spans="1:25" ht="22.8" hidden="1" x14ac:dyDescent="0.4">
      <c r="A686" s="121" t="s">
        <v>2619</v>
      </c>
      <c r="B686" s="121"/>
      <c r="C686" s="164" t="s">
        <v>1797</v>
      </c>
      <c r="D686" s="123"/>
      <c r="E686" s="123"/>
      <c r="F686" s="124" t="s">
        <v>64</v>
      </c>
      <c r="G686" s="126">
        <v>1.05</v>
      </c>
      <c r="H686" s="189"/>
      <c r="I686" s="229">
        <v>33.569000000000003</v>
      </c>
      <c r="J686" s="327"/>
      <c r="K686" s="263"/>
      <c r="L686" s="286"/>
      <c r="M686" s="401"/>
      <c r="N686" s="423"/>
      <c r="O686" s="423"/>
      <c r="P686" s="423"/>
      <c r="Q686" s="423"/>
      <c r="R686" s="218"/>
      <c r="S686" s="218"/>
      <c r="T686" s="213">
        <v>1520.33</v>
      </c>
      <c r="U686" s="211"/>
      <c r="V686" s="273"/>
      <c r="W686" s="206">
        <f t="shared" si="6"/>
        <v>51035.96</v>
      </c>
    </row>
    <row r="687" spans="1:25" ht="22.8" hidden="1" x14ac:dyDescent="0.4">
      <c r="A687" s="121" t="s">
        <v>2622</v>
      </c>
      <c r="B687" s="121"/>
      <c r="C687" s="164" t="s">
        <v>1753</v>
      </c>
      <c r="D687" s="123"/>
      <c r="E687" s="123"/>
      <c r="F687" s="124" t="s">
        <v>70</v>
      </c>
      <c r="G687" s="126">
        <v>0.35</v>
      </c>
      <c r="H687" s="189"/>
      <c r="I687" s="229">
        <v>11.19</v>
      </c>
      <c r="J687" s="327"/>
      <c r="K687" s="263"/>
      <c r="L687" s="286"/>
      <c r="M687" s="401"/>
      <c r="N687" s="423"/>
      <c r="O687" s="423"/>
      <c r="P687" s="423"/>
      <c r="Q687" s="423"/>
      <c r="R687" s="218"/>
      <c r="S687" s="218"/>
      <c r="T687" s="213">
        <v>55</v>
      </c>
      <c r="U687" s="211"/>
      <c r="V687" s="273"/>
      <c r="W687" s="206">
        <f t="shared" si="6"/>
        <v>615.45000000000005</v>
      </c>
    </row>
    <row r="688" spans="1:25" ht="36" hidden="1" x14ac:dyDescent="0.4">
      <c r="A688" s="121" t="s">
        <v>2625</v>
      </c>
      <c r="B688" s="121"/>
      <c r="C688" s="165" t="s">
        <v>2553</v>
      </c>
      <c r="D688" s="123"/>
      <c r="E688" s="123"/>
      <c r="F688" s="124" t="s">
        <v>116</v>
      </c>
      <c r="G688" s="126">
        <v>3.6</v>
      </c>
      <c r="H688" s="189"/>
      <c r="I688" s="229">
        <v>115.092</v>
      </c>
      <c r="J688" s="327"/>
      <c r="K688" s="263"/>
      <c r="L688" s="286"/>
      <c r="M688" s="401"/>
      <c r="N688" s="423"/>
      <c r="O688" s="423"/>
      <c r="P688" s="423"/>
      <c r="Q688" s="423"/>
      <c r="R688" s="218"/>
      <c r="S688" s="218"/>
      <c r="T688" s="213">
        <v>15.9</v>
      </c>
      <c r="U688" s="211"/>
      <c r="V688" s="273"/>
      <c r="W688" s="206">
        <f t="shared" si="6"/>
        <v>1829.96</v>
      </c>
    </row>
    <row r="689" spans="1:25" ht="22.8" hidden="1" x14ac:dyDescent="0.4">
      <c r="A689" s="121" t="s">
        <v>2628</v>
      </c>
      <c r="B689" s="121"/>
      <c r="C689" s="164" t="s">
        <v>1920</v>
      </c>
      <c r="D689" s="123"/>
      <c r="E689" s="123"/>
      <c r="F689" s="124" t="s">
        <v>116</v>
      </c>
      <c r="G689" s="126">
        <v>30</v>
      </c>
      <c r="H689" s="189"/>
      <c r="I689" s="229">
        <v>959.1</v>
      </c>
      <c r="J689" s="327"/>
      <c r="K689" s="263"/>
      <c r="L689" s="286"/>
      <c r="M689" s="401"/>
      <c r="N689" s="423"/>
      <c r="O689" s="423"/>
      <c r="P689" s="423"/>
      <c r="Q689" s="423"/>
      <c r="R689" s="218"/>
      <c r="S689" s="218"/>
      <c r="T689" s="213">
        <v>0.28000000000000003</v>
      </c>
      <c r="U689" s="211"/>
      <c r="V689" s="273"/>
      <c r="W689" s="206">
        <f t="shared" si="6"/>
        <v>268.55</v>
      </c>
    </row>
    <row r="690" spans="1:25" ht="22.8" hidden="1" x14ac:dyDescent="0.4">
      <c r="A690" s="121" t="s">
        <v>2631</v>
      </c>
      <c r="B690" s="121"/>
      <c r="C690" s="164" t="s">
        <v>2545</v>
      </c>
      <c r="D690" s="123"/>
      <c r="E690" s="123"/>
      <c r="F690" s="124" t="s">
        <v>116</v>
      </c>
      <c r="G690" s="126">
        <v>15</v>
      </c>
      <c r="H690" s="189"/>
      <c r="I690" s="229">
        <v>479.55</v>
      </c>
      <c r="J690" s="327"/>
      <c r="K690" s="263"/>
      <c r="L690" s="286"/>
      <c r="M690" s="401"/>
      <c r="N690" s="423"/>
      <c r="O690" s="423"/>
      <c r="P690" s="423"/>
      <c r="Q690" s="423"/>
      <c r="R690" s="218"/>
      <c r="S690" s="218"/>
      <c r="T690" s="213">
        <v>0.95</v>
      </c>
      <c r="U690" s="211"/>
      <c r="V690" s="273"/>
      <c r="W690" s="206">
        <f t="shared" si="6"/>
        <v>455.57</v>
      </c>
    </row>
    <row r="691" spans="1:25" ht="47.55" customHeight="1" x14ac:dyDescent="0.3">
      <c r="A691" s="158" t="s">
        <v>2634</v>
      </c>
      <c r="B691" s="158" t="s">
        <v>2534</v>
      </c>
      <c r="C691" s="159" t="s">
        <v>2535</v>
      </c>
      <c r="D691" s="160"/>
      <c r="E691" s="160" t="s">
        <v>2635</v>
      </c>
      <c r="F691" s="160" t="s">
        <v>64</v>
      </c>
      <c r="G691" s="161">
        <v>1</v>
      </c>
      <c r="H691" s="198"/>
      <c r="I691" s="228">
        <v>246.36</v>
      </c>
      <c r="J691" s="322"/>
      <c r="K691" s="258"/>
      <c r="L691" s="281"/>
      <c r="M691" s="221"/>
      <c r="N691" s="422"/>
      <c r="O691" s="422"/>
      <c r="P691" s="422"/>
      <c r="Q691" s="422"/>
      <c r="R691" s="220"/>
      <c r="S691" s="221"/>
      <c r="T691" s="212">
        <f>IFERROR(ROUND(SUM(W692,W693,W694,W695,W696,W697,W698,W699,W700,W701,W702)/I691, 2),0)</f>
        <v>583.02</v>
      </c>
      <c r="U691" s="202">
        <v>1199</v>
      </c>
      <c r="V691" s="274">
        <f>T691+ROUND(U691, 2)</f>
        <v>1782.02</v>
      </c>
      <c r="W691" s="182">
        <f>ROUND(T691*I691, 2)</f>
        <v>143632.81</v>
      </c>
      <c r="X691" s="14">
        <f>ROUND(I691*ROUND(U691, 2), 2)</f>
        <v>295385.64</v>
      </c>
      <c r="Y691" s="14">
        <f>W691+X691</f>
        <v>439018.45</v>
      </c>
    </row>
    <row r="692" spans="1:25" ht="22.8" hidden="1" x14ac:dyDescent="0.4">
      <c r="A692" s="121" t="s">
        <v>2636</v>
      </c>
      <c r="B692" s="121"/>
      <c r="C692" s="164" t="s">
        <v>2540</v>
      </c>
      <c r="D692" s="123"/>
      <c r="E692" s="123"/>
      <c r="F692" s="124" t="s">
        <v>116</v>
      </c>
      <c r="G692" s="126">
        <v>0.3</v>
      </c>
      <c r="H692" s="189"/>
      <c r="I692" s="229">
        <v>73.908000000000001</v>
      </c>
      <c r="J692" s="327"/>
      <c r="K692" s="263"/>
      <c r="L692" s="286"/>
      <c r="M692" s="401"/>
      <c r="N692" s="423"/>
      <c r="O692" s="423"/>
      <c r="P692" s="423"/>
      <c r="Q692" s="423"/>
      <c r="R692" s="218"/>
      <c r="S692" s="218"/>
      <c r="T692" s="213">
        <v>5.6</v>
      </c>
      <c r="U692" s="211"/>
      <c r="V692" s="273"/>
      <c r="W692" s="206">
        <f t="shared" ref="W692:W702" si="7">ROUND(ROUND(T692, 2)*I692, 2)</f>
        <v>413.88</v>
      </c>
    </row>
    <row r="693" spans="1:25" ht="22.8" hidden="1" x14ac:dyDescent="0.4">
      <c r="A693" s="121" t="s">
        <v>2639</v>
      </c>
      <c r="B693" s="121"/>
      <c r="C693" s="164" t="s">
        <v>2545</v>
      </c>
      <c r="D693" s="123"/>
      <c r="E693" s="123"/>
      <c r="F693" s="124" t="s">
        <v>116</v>
      </c>
      <c r="G693" s="126">
        <v>15</v>
      </c>
      <c r="H693" s="189"/>
      <c r="I693" s="229">
        <v>3695.4</v>
      </c>
      <c r="J693" s="327"/>
      <c r="K693" s="263"/>
      <c r="L693" s="286"/>
      <c r="M693" s="401"/>
      <c r="N693" s="423"/>
      <c r="O693" s="423"/>
      <c r="P693" s="423"/>
      <c r="Q693" s="423"/>
      <c r="R693" s="218"/>
      <c r="S693" s="218"/>
      <c r="T693" s="213">
        <v>0.95</v>
      </c>
      <c r="U693" s="211"/>
      <c r="V693" s="273"/>
      <c r="W693" s="206">
        <f t="shared" si="7"/>
        <v>3510.63</v>
      </c>
    </row>
    <row r="694" spans="1:25" ht="22.8" hidden="1" x14ac:dyDescent="0.4">
      <c r="A694" s="121" t="s">
        <v>2642</v>
      </c>
      <c r="B694" s="121"/>
      <c r="C694" s="164" t="s">
        <v>1920</v>
      </c>
      <c r="D694" s="123"/>
      <c r="E694" s="123"/>
      <c r="F694" s="124" t="s">
        <v>116</v>
      </c>
      <c r="G694" s="126">
        <v>30</v>
      </c>
      <c r="H694" s="189"/>
      <c r="I694" s="229">
        <v>7390.8</v>
      </c>
      <c r="J694" s="327"/>
      <c r="K694" s="263"/>
      <c r="L694" s="286"/>
      <c r="M694" s="401"/>
      <c r="N694" s="423"/>
      <c r="O694" s="423"/>
      <c r="P694" s="423"/>
      <c r="Q694" s="423"/>
      <c r="R694" s="218"/>
      <c r="S694" s="218"/>
      <c r="T694" s="213">
        <v>0.28000000000000003</v>
      </c>
      <c r="U694" s="211"/>
      <c r="V694" s="273"/>
      <c r="W694" s="206">
        <f t="shared" si="7"/>
        <v>2069.42</v>
      </c>
    </row>
    <row r="695" spans="1:25" ht="36" hidden="1" x14ac:dyDescent="0.4">
      <c r="A695" s="121" t="s">
        <v>2645</v>
      </c>
      <c r="B695" s="121"/>
      <c r="C695" s="165" t="s">
        <v>2553</v>
      </c>
      <c r="D695" s="123"/>
      <c r="E695" s="123"/>
      <c r="F695" s="124" t="s">
        <v>116</v>
      </c>
      <c r="G695" s="126">
        <v>3.6</v>
      </c>
      <c r="H695" s="189"/>
      <c r="I695" s="229">
        <v>886.89599999999996</v>
      </c>
      <c r="J695" s="327"/>
      <c r="K695" s="263"/>
      <c r="L695" s="286"/>
      <c r="M695" s="401"/>
      <c r="N695" s="423"/>
      <c r="O695" s="423"/>
      <c r="P695" s="423"/>
      <c r="Q695" s="423"/>
      <c r="R695" s="218"/>
      <c r="S695" s="218"/>
      <c r="T695" s="213">
        <v>15.9</v>
      </c>
      <c r="U695" s="211"/>
      <c r="V695" s="273"/>
      <c r="W695" s="206">
        <f t="shared" si="7"/>
        <v>14101.65</v>
      </c>
    </row>
    <row r="696" spans="1:25" ht="22.8" hidden="1" x14ac:dyDescent="0.4">
      <c r="A696" s="121" t="s">
        <v>2648</v>
      </c>
      <c r="B696" s="121"/>
      <c r="C696" s="164" t="s">
        <v>2561</v>
      </c>
      <c r="D696" s="123"/>
      <c r="E696" s="123"/>
      <c r="F696" s="124" t="s">
        <v>87</v>
      </c>
      <c r="G696" s="126">
        <v>1.05</v>
      </c>
      <c r="H696" s="189"/>
      <c r="I696" s="229">
        <v>258.678</v>
      </c>
      <c r="J696" s="327"/>
      <c r="K696" s="263"/>
      <c r="L696" s="286"/>
      <c r="M696" s="401"/>
      <c r="N696" s="423"/>
      <c r="O696" s="423"/>
      <c r="P696" s="423"/>
      <c r="Q696" s="423"/>
      <c r="R696" s="218"/>
      <c r="S696" s="218"/>
      <c r="T696" s="213">
        <v>4.5999999999999996</v>
      </c>
      <c r="U696" s="211"/>
      <c r="V696" s="273"/>
      <c r="W696" s="206">
        <f t="shared" si="7"/>
        <v>1189.92</v>
      </c>
    </row>
    <row r="697" spans="1:25" ht="22.8" hidden="1" x14ac:dyDescent="0.4">
      <c r="A697" s="121" t="s">
        <v>2651</v>
      </c>
      <c r="B697" s="121"/>
      <c r="C697" s="164" t="s">
        <v>2566</v>
      </c>
      <c r="D697" s="123"/>
      <c r="E697" s="123"/>
      <c r="F697" s="124" t="s">
        <v>87</v>
      </c>
      <c r="G697" s="126">
        <v>1.25</v>
      </c>
      <c r="H697" s="189"/>
      <c r="I697" s="229">
        <v>307.95</v>
      </c>
      <c r="J697" s="327"/>
      <c r="K697" s="263"/>
      <c r="L697" s="286"/>
      <c r="M697" s="401"/>
      <c r="N697" s="423"/>
      <c r="O697" s="423"/>
      <c r="P697" s="423"/>
      <c r="Q697" s="423"/>
      <c r="R697" s="218"/>
      <c r="S697" s="218"/>
      <c r="T697" s="213">
        <v>2.8</v>
      </c>
      <c r="U697" s="211"/>
      <c r="V697" s="273"/>
      <c r="W697" s="206">
        <f t="shared" si="7"/>
        <v>862.26</v>
      </c>
    </row>
    <row r="698" spans="1:25" ht="22.8" hidden="1" x14ac:dyDescent="0.4">
      <c r="A698" s="121" t="s">
        <v>2654</v>
      </c>
      <c r="B698" s="121"/>
      <c r="C698" s="164" t="s">
        <v>2571</v>
      </c>
      <c r="D698" s="123"/>
      <c r="E698" s="123"/>
      <c r="F698" s="124" t="s">
        <v>87</v>
      </c>
      <c r="G698" s="126">
        <v>0.3</v>
      </c>
      <c r="H698" s="189"/>
      <c r="I698" s="229">
        <v>73.908000000000001</v>
      </c>
      <c r="J698" s="327"/>
      <c r="K698" s="263"/>
      <c r="L698" s="286"/>
      <c r="M698" s="401"/>
      <c r="N698" s="423"/>
      <c r="O698" s="423"/>
      <c r="P698" s="423"/>
      <c r="Q698" s="423"/>
      <c r="R698" s="218"/>
      <c r="S698" s="218"/>
      <c r="T698" s="213">
        <v>44.13</v>
      </c>
      <c r="U698" s="211"/>
      <c r="V698" s="273"/>
      <c r="W698" s="206">
        <f t="shared" si="7"/>
        <v>3261.56</v>
      </c>
    </row>
    <row r="699" spans="1:25" ht="22.8" hidden="1" x14ac:dyDescent="0.4">
      <c r="A699" s="121" t="s">
        <v>2657</v>
      </c>
      <c r="B699" s="121"/>
      <c r="C699" s="164" t="s">
        <v>2576</v>
      </c>
      <c r="D699" s="123"/>
      <c r="E699" s="123"/>
      <c r="F699" s="124" t="s">
        <v>87</v>
      </c>
      <c r="G699" s="126">
        <v>4.7</v>
      </c>
      <c r="H699" s="189"/>
      <c r="I699" s="229">
        <v>1157.8920000000001</v>
      </c>
      <c r="J699" s="327"/>
      <c r="K699" s="263"/>
      <c r="L699" s="286"/>
      <c r="M699" s="401"/>
      <c r="N699" s="423"/>
      <c r="O699" s="423"/>
      <c r="P699" s="423"/>
      <c r="Q699" s="423"/>
      <c r="R699" s="218"/>
      <c r="S699" s="218"/>
      <c r="T699" s="213">
        <v>66.98</v>
      </c>
      <c r="U699" s="211"/>
      <c r="V699" s="273"/>
      <c r="W699" s="206">
        <f t="shared" si="7"/>
        <v>77555.61</v>
      </c>
    </row>
    <row r="700" spans="1:25" ht="22.8" hidden="1" x14ac:dyDescent="0.4">
      <c r="A700" s="121" t="s">
        <v>2660</v>
      </c>
      <c r="B700" s="121"/>
      <c r="C700" s="165" t="s">
        <v>2581</v>
      </c>
      <c r="D700" s="123"/>
      <c r="E700" s="123"/>
      <c r="F700" s="124" t="s">
        <v>116</v>
      </c>
      <c r="G700" s="126">
        <v>4.2</v>
      </c>
      <c r="H700" s="189"/>
      <c r="I700" s="229">
        <v>1034.712</v>
      </c>
      <c r="J700" s="327"/>
      <c r="K700" s="263"/>
      <c r="L700" s="286"/>
      <c r="M700" s="401"/>
      <c r="N700" s="423"/>
      <c r="O700" s="423"/>
      <c r="P700" s="423"/>
      <c r="Q700" s="423"/>
      <c r="R700" s="218"/>
      <c r="S700" s="218"/>
      <c r="T700" s="213">
        <v>4.92</v>
      </c>
      <c r="U700" s="211"/>
      <c r="V700" s="273"/>
      <c r="W700" s="206">
        <f t="shared" si="7"/>
        <v>5090.78</v>
      </c>
    </row>
    <row r="701" spans="1:25" ht="36" hidden="1" x14ac:dyDescent="0.4">
      <c r="A701" s="121" t="s">
        <v>2663</v>
      </c>
      <c r="B701" s="121"/>
      <c r="C701" s="164" t="s">
        <v>1767</v>
      </c>
      <c r="D701" s="123"/>
      <c r="E701" s="123"/>
      <c r="F701" s="124" t="s">
        <v>64</v>
      </c>
      <c r="G701" s="126">
        <v>1.05</v>
      </c>
      <c r="H701" s="189"/>
      <c r="I701" s="229">
        <v>258.678</v>
      </c>
      <c r="J701" s="327"/>
      <c r="K701" s="263"/>
      <c r="L701" s="286"/>
      <c r="M701" s="401"/>
      <c r="N701" s="423"/>
      <c r="O701" s="423"/>
      <c r="P701" s="423"/>
      <c r="Q701" s="423"/>
      <c r="R701" s="218"/>
      <c r="S701" s="218"/>
      <c r="T701" s="213">
        <v>135.53</v>
      </c>
      <c r="U701" s="211"/>
      <c r="V701" s="273"/>
      <c r="W701" s="206">
        <f t="shared" si="7"/>
        <v>35058.629999999997</v>
      </c>
    </row>
    <row r="702" spans="1:25" ht="22.8" hidden="1" x14ac:dyDescent="0.4">
      <c r="A702" s="121" t="s">
        <v>2666</v>
      </c>
      <c r="B702" s="121"/>
      <c r="C702" s="164" t="s">
        <v>2592</v>
      </c>
      <c r="D702" s="123"/>
      <c r="E702" s="123"/>
      <c r="F702" s="124" t="s">
        <v>116</v>
      </c>
      <c r="G702" s="126">
        <v>0.75</v>
      </c>
      <c r="H702" s="189"/>
      <c r="I702" s="229">
        <v>184.77</v>
      </c>
      <c r="J702" s="327"/>
      <c r="K702" s="263"/>
      <c r="L702" s="286"/>
      <c r="M702" s="401"/>
      <c r="N702" s="423"/>
      <c r="O702" s="423"/>
      <c r="P702" s="423"/>
      <c r="Q702" s="423"/>
      <c r="R702" s="218"/>
      <c r="S702" s="218"/>
      <c r="T702" s="213">
        <v>2.8</v>
      </c>
      <c r="U702" s="211"/>
      <c r="V702" s="273"/>
      <c r="W702" s="206">
        <f t="shared" si="7"/>
        <v>517.36</v>
      </c>
    </row>
    <row r="703" spans="1:25" ht="44.55" customHeight="1" x14ac:dyDescent="0.3">
      <c r="A703" s="156" t="s">
        <v>2669</v>
      </c>
      <c r="B703" s="156" t="s">
        <v>2534</v>
      </c>
      <c r="C703" s="75" t="s">
        <v>2535</v>
      </c>
      <c r="D703" s="76"/>
      <c r="E703" s="76" t="s">
        <v>2670</v>
      </c>
      <c r="F703" s="76" t="s">
        <v>64</v>
      </c>
      <c r="G703" s="77">
        <v>1</v>
      </c>
      <c r="H703" s="177"/>
      <c r="I703" s="228">
        <v>110.66</v>
      </c>
      <c r="J703" s="322"/>
      <c r="K703" s="258"/>
      <c r="L703" s="281"/>
      <c r="M703" s="221"/>
      <c r="N703" s="422"/>
      <c r="O703" s="422"/>
      <c r="P703" s="422"/>
      <c r="Q703" s="422"/>
      <c r="R703" s="220"/>
      <c r="S703" s="221"/>
      <c r="T703" s="212">
        <f>IFERROR(ROUND(SUM(W704,W705,W706,W707,W708,W709,W710,W711,W712,W713,W714)/I703, 2),0)</f>
        <v>2037.06</v>
      </c>
      <c r="U703" s="202">
        <v>1199</v>
      </c>
      <c r="V703" s="274">
        <f>T703+ROUND(U703, 2)</f>
        <v>3236.06</v>
      </c>
      <c r="W703" s="182">
        <f>ROUND(T703*I703, 2)</f>
        <v>225421.06</v>
      </c>
      <c r="X703" s="14">
        <f>ROUND(I703*ROUND(U703, 2), 2)</f>
        <v>132681.34</v>
      </c>
      <c r="Y703" s="14">
        <f>W703+X703</f>
        <v>358102.4</v>
      </c>
    </row>
    <row r="704" spans="1:25" ht="22.8" hidden="1" x14ac:dyDescent="0.4">
      <c r="A704" s="166" t="s">
        <v>2671</v>
      </c>
      <c r="B704" s="166"/>
      <c r="C704" s="164" t="s">
        <v>2592</v>
      </c>
      <c r="D704" s="167"/>
      <c r="E704" s="167"/>
      <c r="F704" s="124" t="s">
        <v>116</v>
      </c>
      <c r="G704" s="126">
        <v>0.75</v>
      </c>
      <c r="H704" s="189"/>
      <c r="I704" s="229">
        <v>82.995000000000005</v>
      </c>
      <c r="J704" s="327"/>
      <c r="K704" s="263"/>
      <c r="L704" s="286"/>
      <c r="M704" s="401"/>
      <c r="N704" s="423"/>
      <c r="O704" s="423"/>
      <c r="P704" s="423"/>
      <c r="Q704" s="423"/>
      <c r="R704" s="218"/>
      <c r="S704" s="218"/>
      <c r="T704" s="213">
        <v>2.8</v>
      </c>
      <c r="U704" s="211"/>
      <c r="V704" s="273"/>
      <c r="W704" s="206">
        <f t="shared" ref="W704:W714" si="8">ROUND(ROUND(T704, 2)*I704, 2)</f>
        <v>232.39</v>
      </c>
    </row>
    <row r="705" spans="1:25" ht="22.8" hidden="1" x14ac:dyDescent="0.4">
      <c r="A705" s="166" t="s">
        <v>2674</v>
      </c>
      <c r="B705" s="166"/>
      <c r="C705" s="165" t="s">
        <v>2581</v>
      </c>
      <c r="D705" s="167"/>
      <c r="E705" s="167"/>
      <c r="F705" s="124" t="s">
        <v>116</v>
      </c>
      <c r="G705" s="126">
        <v>4.2</v>
      </c>
      <c r="H705" s="189"/>
      <c r="I705" s="229">
        <v>464.77199999999999</v>
      </c>
      <c r="J705" s="327"/>
      <c r="K705" s="263"/>
      <c r="L705" s="286"/>
      <c r="M705" s="401"/>
      <c r="N705" s="423"/>
      <c r="O705" s="423"/>
      <c r="P705" s="423"/>
      <c r="Q705" s="423"/>
      <c r="R705" s="218"/>
      <c r="S705" s="218"/>
      <c r="T705" s="213">
        <v>4.92</v>
      </c>
      <c r="U705" s="211"/>
      <c r="V705" s="273"/>
      <c r="W705" s="206">
        <f t="shared" si="8"/>
        <v>2286.6799999999998</v>
      </c>
    </row>
    <row r="706" spans="1:25" ht="22.8" hidden="1" x14ac:dyDescent="0.4">
      <c r="A706" s="166" t="s">
        <v>2677</v>
      </c>
      <c r="B706" s="166"/>
      <c r="C706" s="164" t="s">
        <v>2571</v>
      </c>
      <c r="D706" s="167"/>
      <c r="E706" s="167"/>
      <c r="F706" s="124" t="s">
        <v>87</v>
      </c>
      <c r="G706" s="126">
        <v>0.3</v>
      </c>
      <c r="H706" s="189"/>
      <c r="I706" s="229">
        <v>33.198</v>
      </c>
      <c r="J706" s="327"/>
      <c r="K706" s="263"/>
      <c r="L706" s="286"/>
      <c r="M706" s="401"/>
      <c r="N706" s="423"/>
      <c r="O706" s="423"/>
      <c r="P706" s="423"/>
      <c r="Q706" s="423"/>
      <c r="R706" s="218"/>
      <c r="S706" s="218"/>
      <c r="T706" s="213">
        <v>44.13</v>
      </c>
      <c r="U706" s="211"/>
      <c r="V706" s="273"/>
      <c r="W706" s="206">
        <f t="shared" si="8"/>
        <v>1465.03</v>
      </c>
    </row>
    <row r="707" spans="1:25" ht="22.8" hidden="1" x14ac:dyDescent="0.4">
      <c r="A707" s="166" t="s">
        <v>2680</v>
      </c>
      <c r="B707" s="166"/>
      <c r="C707" s="164" t="s">
        <v>2576</v>
      </c>
      <c r="D707" s="167"/>
      <c r="E707" s="167"/>
      <c r="F707" s="124" t="s">
        <v>87</v>
      </c>
      <c r="G707" s="126">
        <v>4.7</v>
      </c>
      <c r="H707" s="189"/>
      <c r="I707" s="229">
        <v>520.10199999999998</v>
      </c>
      <c r="J707" s="327"/>
      <c r="K707" s="263"/>
      <c r="L707" s="286"/>
      <c r="M707" s="401"/>
      <c r="N707" s="423"/>
      <c r="O707" s="423"/>
      <c r="P707" s="423"/>
      <c r="Q707" s="423"/>
      <c r="R707" s="218"/>
      <c r="S707" s="218"/>
      <c r="T707" s="213">
        <v>66.98</v>
      </c>
      <c r="U707" s="211"/>
      <c r="V707" s="273"/>
      <c r="W707" s="206">
        <f t="shared" si="8"/>
        <v>34836.43</v>
      </c>
    </row>
    <row r="708" spans="1:25" ht="22.8" hidden="1" x14ac:dyDescent="0.4">
      <c r="A708" s="166" t="s">
        <v>2683</v>
      </c>
      <c r="B708" s="166"/>
      <c r="C708" s="164" t="s">
        <v>2566</v>
      </c>
      <c r="D708" s="167"/>
      <c r="E708" s="167"/>
      <c r="F708" s="124" t="s">
        <v>87</v>
      </c>
      <c r="G708" s="126">
        <v>1.25</v>
      </c>
      <c r="H708" s="189"/>
      <c r="I708" s="229">
        <v>138.32499999999999</v>
      </c>
      <c r="J708" s="327"/>
      <c r="K708" s="263"/>
      <c r="L708" s="286"/>
      <c r="M708" s="401"/>
      <c r="N708" s="423"/>
      <c r="O708" s="423"/>
      <c r="P708" s="423"/>
      <c r="Q708" s="423"/>
      <c r="R708" s="218"/>
      <c r="S708" s="218"/>
      <c r="T708" s="213">
        <v>2.8</v>
      </c>
      <c r="U708" s="211"/>
      <c r="V708" s="273"/>
      <c r="W708" s="206">
        <f t="shared" si="8"/>
        <v>387.31</v>
      </c>
    </row>
    <row r="709" spans="1:25" ht="22.8" hidden="1" x14ac:dyDescent="0.4">
      <c r="A709" s="166" t="s">
        <v>2686</v>
      </c>
      <c r="B709" s="166"/>
      <c r="C709" s="164" t="s">
        <v>2561</v>
      </c>
      <c r="D709" s="167"/>
      <c r="E709" s="167"/>
      <c r="F709" s="124" t="s">
        <v>87</v>
      </c>
      <c r="G709" s="126">
        <v>1.05</v>
      </c>
      <c r="H709" s="189"/>
      <c r="I709" s="229">
        <v>116.193</v>
      </c>
      <c r="J709" s="327"/>
      <c r="K709" s="263"/>
      <c r="L709" s="286"/>
      <c r="M709" s="401"/>
      <c r="N709" s="423"/>
      <c r="O709" s="423"/>
      <c r="P709" s="423"/>
      <c r="Q709" s="423"/>
      <c r="R709" s="218"/>
      <c r="S709" s="218"/>
      <c r="T709" s="213">
        <v>4.5999999999999996</v>
      </c>
      <c r="U709" s="211"/>
      <c r="V709" s="273"/>
      <c r="W709" s="206">
        <f t="shared" si="8"/>
        <v>534.49</v>
      </c>
    </row>
    <row r="710" spans="1:25" ht="22.8" hidden="1" x14ac:dyDescent="0.4">
      <c r="A710" s="166" t="s">
        <v>2689</v>
      </c>
      <c r="B710" s="166"/>
      <c r="C710" s="164" t="s">
        <v>1797</v>
      </c>
      <c r="D710" s="167"/>
      <c r="E710" s="167"/>
      <c r="F710" s="124" t="s">
        <v>64</v>
      </c>
      <c r="G710" s="126">
        <v>1.05</v>
      </c>
      <c r="H710" s="189"/>
      <c r="I710" s="229">
        <v>116.193</v>
      </c>
      <c r="J710" s="327"/>
      <c r="K710" s="263"/>
      <c r="L710" s="286"/>
      <c r="M710" s="401"/>
      <c r="N710" s="423"/>
      <c r="O710" s="423"/>
      <c r="P710" s="423"/>
      <c r="Q710" s="423"/>
      <c r="R710" s="218"/>
      <c r="S710" s="218"/>
      <c r="T710" s="213">
        <v>1520.33</v>
      </c>
      <c r="U710" s="211"/>
      <c r="V710" s="273"/>
      <c r="W710" s="206">
        <f t="shared" si="8"/>
        <v>176651.7</v>
      </c>
    </row>
    <row r="711" spans="1:25" ht="36" hidden="1" x14ac:dyDescent="0.4">
      <c r="A711" s="166" t="s">
        <v>2692</v>
      </c>
      <c r="B711" s="166"/>
      <c r="C711" s="165" t="s">
        <v>2553</v>
      </c>
      <c r="D711" s="167"/>
      <c r="E711" s="167"/>
      <c r="F711" s="124" t="s">
        <v>116</v>
      </c>
      <c r="G711" s="126">
        <v>3.6</v>
      </c>
      <c r="H711" s="189"/>
      <c r="I711" s="229">
        <v>398.37599999999998</v>
      </c>
      <c r="J711" s="327"/>
      <c r="K711" s="263"/>
      <c r="L711" s="286"/>
      <c r="M711" s="401"/>
      <c r="N711" s="423"/>
      <c r="O711" s="423"/>
      <c r="P711" s="423"/>
      <c r="Q711" s="423"/>
      <c r="R711" s="218"/>
      <c r="S711" s="218"/>
      <c r="T711" s="213">
        <v>15.9</v>
      </c>
      <c r="U711" s="211"/>
      <c r="V711" s="273"/>
      <c r="W711" s="206">
        <f t="shared" si="8"/>
        <v>6334.18</v>
      </c>
    </row>
    <row r="712" spans="1:25" ht="22.8" hidden="1" x14ac:dyDescent="0.4">
      <c r="A712" s="166" t="s">
        <v>2695</v>
      </c>
      <c r="B712" s="166"/>
      <c r="C712" s="164" t="s">
        <v>1920</v>
      </c>
      <c r="D712" s="167"/>
      <c r="E712" s="167"/>
      <c r="F712" s="124" t="s">
        <v>116</v>
      </c>
      <c r="G712" s="126">
        <v>30</v>
      </c>
      <c r="H712" s="189"/>
      <c r="I712" s="229">
        <v>3319.8</v>
      </c>
      <c r="J712" s="327"/>
      <c r="K712" s="263"/>
      <c r="L712" s="286"/>
      <c r="M712" s="401"/>
      <c r="N712" s="423"/>
      <c r="O712" s="423"/>
      <c r="P712" s="423"/>
      <c r="Q712" s="423"/>
      <c r="R712" s="218"/>
      <c r="S712" s="218"/>
      <c r="T712" s="213">
        <v>0.28000000000000003</v>
      </c>
      <c r="U712" s="211"/>
      <c r="V712" s="273"/>
      <c r="W712" s="206">
        <f t="shared" si="8"/>
        <v>929.54</v>
      </c>
    </row>
    <row r="713" spans="1:25" ht="22.8" hidden="1" x14ac:dyDescent="0.4">
      <c r="A713" s="166" t="s">
        <v>2698</v>
      </c>
      <c r="B713" s="166"/>
      <c r="C713" s="164" t="s">
        <v>2545</v>
      </c>
      <c r="D713" s="167"/>
      <c r="E713" s="167"/>
      <c r="F713" s="124" t="s">
        <v>116</v>
      </c>
      <c r="G713" s="126">
        <v>15</v>
      </c>
      <c r="H713" s="189"/>
      <c r="I713" s="229">
        <v>1659.9</v>
      </c>
      <c r="J713" s="327"/>
      <c r="K713" s="263"/>
      <c r="L713" s="286"/>
      <c r="M713" s="401"/>
      <c r="N713" s="423"/>
      <c r="O713" s="423"/>
      <c r="P713" s="423"/>
      <c r="Q713" s="423"/>
      <c r="R713" s="218"/>
      <c r="S713" s="218"/>
      <c r="T713" s="213">
        <v>0.95</v>
      </c>
      <c r="U713" s="211"/>
      <c r="V713" s="273"/>
      <c r="W713" s="206">
        <f t="shared" si="8"/>
        <v>1576.91</v>
      </c>
    </row>
    <row r="714" spans="1:25" ht="22.8" hidden="1" x14ac:dyDescent="0.4">
      <c r="A714" s="166" t="s">
        <v>2701</v>
      </c>
      <c r="B714" s="166"/>
      <c r="C714" s="164" t="s">
        <v>2540</v>
      </c>
      <c r="D714" s="167"/>
      <c r="E714" s="167"/>
      <c r="F714" s="124" t="s">
        <v>116</v>
      </c>
      <c r="G714" s="126">
        <v>0.3</v>
      </c>
      <c r="H714" s="189"/>
      <c r="I714" s="229">
        <v>33.198</v>
      </c>
      <c r="J714" s="327"/>
      <c r="K714" s="263"/>
      <c r="L714" s="286"/>
      <c r="M714" s="401"/>
      <c r="N714" s="423"/>
      <c r="O714" s="423"/>
      <c r="P714" s="423"/>
      <c r="Q714" s="423"/>
      <c r="R714" s="218"/>
      <c r="S714" s="218"/>
      <c r="T714" s="213">
        <v>5.6</v>
      </c>
      <c r="U714" s="211"/>
      <c r="V714" s="273"/>
      <c r="W714" s="206">
        <f t="shared" si="8"/>
        <v>185.91</v>
      </c>
    </row>
    <row r="715" spans="1:25" ht="50.55" customHeight="1" thickBot="1" x14ac:dyDescent="0.35">
      <c r="A715" s="156" t="s">
        <v>2704</v>
      </c>
      <c r="B715" s="156" t="s">
        <v>2705</v>
      </c>
      <c r="C715" s="75" t="s">
        <v>2706</v>
      </c>
      <c r="D715" s="76"/>
      <c r="E715" s="76" t="s">
        <v>81</v>
      </c>
      <c r="F715" s="76" t="s">
        <v>64</v>
      </c>
      <c r="G715" s="77">
        <v>1</v>
      </c>
      <c r="H715" s="177"/>
      <c r="I715" s="232">
        <v>2099.0100000000002</v>
      </c>
      <c r="J715" s="322"/>
      <c r="K715" s="258"/>
      <c r="L715" s="281"/>
      <c r="M715" s="221"/>
      <c r="N715" s="422"/>
      <c r="O715" s="422"/>
      <c r="P715" s="422"/>
      <c r="Q715" s="422"/>
      <c r="R715" s="220"/>
      <c r="S715" s="221"/>
      <c r="T715" s="212">
        <v>0</v>
      </c>
      <c r="U715" s="202">
        <v>121</v>
      </c>
      <c r="V715" s="274">
        <f>T715+ROUND(U715, 2)</f>
        <v>121</v>
      </c>
      <c r="W715" s="182">
        <v>0</v>
      </c>
      <c r="X715" s="14">
        <f>ROUND(I715*ROUND(U715, 2), 2)</f>
        <v>253980.21</v>
      </c>
      <c r="Y715" s="14">
        <f>W715+X715</f>
        <v>253980.21</v>
      </c>
    </row>
    <row r="716" spans="1:25" ht="31.95" hidden="1" customHeight="1" x14ac:dyDescent="0.45">
      <c r="A716" s="10" t="s">
        <v>2709</v>
      </c>
      <c r="B716" s="10" t="s">
        <v>2710</v>
      </c>
      <c r="C716" s="352" t="s">
        <v>2711</v>
      </c>
      <c r="D716" s="353"/>
      <c r="E716" s="353"/>
      <c r="F716" s="353"/>
      <c r="G716" s="353"/>
      <c r="H716" s="353"/>
      <c r="I716" s="367"/>
      <c r="J716" s="324"/>
      <c r="K716" s="257"/>
      <c r="L716" s="280"/>
      <c r="M716" s="219"/>
      <c r="N716" s="421"/>
      <c r="O716" s="421"/>
      <c r="P716" s="421"/>
      <c r="Q716" s="421"/>
      <c r="R716" s="224"/>
      <c r="S716" s="219"/>
      <c r="T716" s="210"/>
      <c r="U716" s="211"/>
      <c r="V716" s="273"/>
      <c r="W716" s="205">
        <f>SUM(W717,W719,W721,W723,W725,W727,W729,W731,W733,W735,W737,W739,W741,W743,W745,W747,W749,W751,W753,W755,W757,W759,W761,W763,W765,W767)</f>
        <v>4787263.3199999994</v>
      </c>
      <c r="X716" s="6">
        <f>SUM(X717,X719,X721,X723,X725,X727,X729,X731,X733,X735,X737,X739,X741,X743,X745,X747,X749,X751,X753,X755,X757,X759,X761,X763,X765,X767)</f>
        <v>1013198</v>
      </c>
      <c r="Y716" s="6">
        <f>SUM(Y717,Y719,Y721,Y723,Y725,Y727,Y729,Y731,Y733,Y735,Y737,Y739,Y741,Y743,Y745,Y747,Y749,Y751,Y753,Y755,Y757,Y759,Y761,Y763,Y765,Y767)</f>
        <v>5800461.3199999984</v>
      </c>
    </row>
    <row r="717" spans="1:25" ht="51" hidden="1" customHeight="1" x14ac:dyDescent="0.3">
      <c r="A717" s="10" t="s">
        <v>2712</v>
      </c>
      <c r="B717" s="10" t="s">
        <v>2713</v>
      </c>
      <c r="C717" s="11" t="s">
        <v>2714</v>
      </c>
      <c r="D717" s="12"/>
      <c r="E717" s="12" t="s">
        <v>2715</v>
      </c>
      <c r="F717" s="12" t="s">
        <v>116</v>
      </c>
      <c r="G717" s="13">
        <v>1</v>
      </c>
      <c r="H717" s="13"/>
      <c r="I717" s="234">
        <v>10</v>
      </c>
      <c r="J717" s="322"/>
      <c r="K717" s="258"/>
      <c r="L717" s="281"/>
      <c r="M717" s="221"/>
      <c r="N717" s="422"/>
      <c r="O717" s="422"/>
      <c r="P717" s="422"/>
      <c r="Q717" s="422"/>
      <c r="R717" s="220"/>
      <c r="S717" s="221"/>
      <c r="T717" s="212">
        <f>IFERROR(ROUND(SUM(W718)/I717, 2),0)</f>
        <v>39406.67</v>
      </c>
      <c r="U717" s="202">
        <v>9309</v>
      </c>
      <c r="V717" s="274">
        <f>T717+ROUND(U717, 2)</f>
        <v>48715.67</v>
      </c>
      <c r="W717" s="182">
        <f>ROUND(T717*I717, 2)</f>
        <v>394066.7</v>
      </c>
      <c r="X717" s="14">
        <f>ROUND(I717*ROUND(U717, 2), 2)</f>
        <v>93090</v>
      </c>
      <c r="Y717" s="14">
        <f>W717+X717</f>
        <v>487156.7</v>
      </c>
    </row>
    <row r="718" spans="1:25" ht="238.05" hidden="1" customHeight="1" x14ac:dyDescent="0.4">
      <c r="A718" s="10" t="s">
        <v>2718</v>
      </c>
      <c r="B718" s="10"/>
      <c r="C718" s="24" t="s">
        <v>2719</v>
      </c>
      <c r="D718" s="12"/>
      <c r="E718" s="12" t="s">
        <v>2720</v>
      </c>
      <c r="F718" s="18" t="s">
        <v>116</v>
      </c>
      <c r="G718" s="19">
        <v>1</v>
      </c>
      <c r="H718" s="20"/>
      <c r="I718" s="194">
        <v>10</v>
      </c>
      <c r="J718" s="329"/>
      <c r="K718" s="257"/>
      <c r="L718" s="280"/>
      <c r="M718" s="401"/>
      <c r="N718" s="423"/>
      <c r="O718" s="423"/>
      <c r="P718" s="423"/>
      <c r="Q718" s="423"/>
      <c r="R718" s="218"/>
      <c r="S718" s="218"/>
      <c r="T718" s="213">
        <v>39406.67</v>
      </c>
      <c r="U718" s="211"/>
      <c r="V718" s="273"/>
      <c r="W718" s="206">
        <f>ROUND(ROUND(T718, 2)*I718, 2)</f>
        <v>394066.7</v>
      </c>
    </row>
    <row r="719" spans="1:25" ht="36.6" hidden="1" thickBot="1" x14ac:dyDescent="0.35">
      <c r="A719" s="10" t="s">
        <v>2724</v>
      </c>
      <c r="B719" s="10" t="s">
        <v>2713</v>
      </c>
      <c r="C719" s="11" t="s">
        <v>2714</v>
      </c>
      <c r="D719" s="12"/>
      <c r="E719" s="12" t="s">
        <v>2725</v>
      </c>
      <c r="F719" s="12" t="s">
        <v>116</v>
      </c>
      <c r="G719" s="13">
        <v>1</v>
      </c>
      <c r="H719" s="13"/>
      <c r="I719" s="234">
        <v>4</v>
      </c>
      <c r="J719" s="322"/>
      <c r="K719" s="258"/>
      <c r="L719" s="281"/>
      <c r="M719" s="221"/>
      <c r="N719" s="422"/>
      <c r="O719" s="422"/>
      <c r="P719" s="422"/>
      <c r="Q719" s="422"/>
      <c r="R719" s="220"/>
      <c r="S719" s="221"/>
      <c r="T719" s="212">
        <f>IFERROR(ROUND(SUM(W720)/I719, 2),0)</f>
        <v>39406.67</v>
      </c>
      <c r="U719" s="202">
        <v>9309</v>
      </c>
      <c r="V719" s="274">
        <f>T719+ROUND(U719, 2)</f>
        <v>48715.67</v>
      </c>
      <c r="W719" s="182">
        <f>ROUND(T719*I719, 2)</f>
        <v>157626.68</v>
      </c>
      <c r="X719" s="14">
        <f>ROUND(I719*ROUND(U719, 2), 2)</f>
        <v>37236</v>
      </c>
      <c r="Y719" s="14">
        <f>W719+X719</f>
        <v>194862.68</v>
      </c>
    </row>
    <row r="720" spans="1:25" ht="252" hidden="1" customHeight="1" x14ac:dyDescent="0.4">
      <c r="A720" s="10" t="s">
        <v>2726</v>
      </c>
      <c r="B720" s="10"/>
      <c r="C720" s="24" t="s">
        <v>2719</v>
      </c>
      <c r="D720" s="12"/>
      <c r="E720" s="12" t="s">
        <v>2727</v>
      </c>
      <c r="F720" s="18" t="s">
        <v>116</v>
      </c>
      <c r="G720" s="19">
        <v>1</v>
      </c>
      <c r="H720" s="20"/>
      <c r="I720" s="194">
        <v>4</v>
      </c>
      <c r="J720" s="329"/>
      <c r="K720" s="257"/>
      <c r="L720" s="280"/>
      <c r="M720" s="401"/>
      <c r="N720" s="423"/>
      <c r="O720" s="423"/>
      <c r="P720" s="423"/>
      <c r="Q720" s="423"/>
      <c r="R720" s="218"/>
      <c r="S720" s="218"/>
      <c r="T720" s="213">
        <v>39406.67</v>
      </c>
      <c r="U720" s="211"/>
      <c r="V720" s="273"/>
      <c r="W720" s="206">
        <f>ROUND(ROUND(T720, 2)*I720, 2)</f>
        <v>157626.68</v>
      </c>
    </row>
    <row r="721" spans="1:25" ht="36.6" hidden="1" thickBot="1" x14ac:dyDescent="0.35">
      <c r="A721" s="10" t="s">
        <v>2730</v>
      </c>
      <c r="B721" s="10" t="s">
        <v>2713</v>
      </c>
      <c r="C721" s="11" t="s">
        <v>2714</v>
      </c>
      <c r="D721" s="12"/>
      <c r="E721" s="12" t="s">
        <v>2731</v>
      </c>
      <c r="F721" s="12" t="s">
        <v>116</v>
      </c>
      <c r="G721" s="13">
        <v>1</v>
      </c>
      <c r="H721" s="13"/>
      <c r="I721" s="234">
        <v>1</v>
      </c>
      <c r="J721" s="322"/>
      <c r="K721" s="258"/>
      <c r="L721" s="281"/>
      <c r="M721" s="221"/>
      <c r="N721" s="422"/>
      <c r="O721" s="422"/>
      <c r="P721" s="422"/>
      <c r="Q721" s="422"/>
      <c r="R721" s="220"/>
      <c r="S721" s="221"/>
      <c r="T721" s="212">
        <f>IFERROR(ROUND(SUM(W722)/I721, 2),0)</f>
        <v>39406.67</v>
      </c>
      <c r="U721" s="202">
        <v>9309</v>
      </c>
      <c r="V721" s="274">
        <f>T721+ROUND(U721, 2)</f>
        <v>48715.67</v>
      </c>
      <c r="W721" s="182">
        <f>ROUND(T721*I721, 2)</f>
        <v>39406.67</v>
      </c>
      <c r="X721" s="14">
        <f>ROUND(I721*ROUND(U721, 2), 2)</f>
        <v>9309</v>
      </c>
      <c r="Y721" s="14">
        <f>W721+X721</f>
        <v>48715.67</v>
      </c>
    </row>
    <row r="722" spans="1:25" ht="174.45" hidden="1" customHeight="1" x14ac:dyDescent="0.4">
      <c r="A722" s="10" t="s">
        <v>2732</v>
      </c>
      <c r="B722" s="10"/>
      <c r="C722" s="24" t="s">
        <v>2719</v>
      </c>
      <c r="D722" s="12"/>
      <c r="E722" s="12" t="s">
        <v>2733</v>
      </c>
      <c r="F722" s="18" t="s">
        <v>116</v>
      </c>
      <c r="G722" s="19">
        <v>1</v>
      </c>
      <c r="H722" s="20"/>
      <c r="I722" s="194">
        <v>1</v>
      </c>
      <c r="J722" s="329"/>
      <c r="K722" s="257"/>
      <c r="L722" s="280"/>
      <c r="M722" s="401"/>
      <c r="N722" s="423"/>
      <c r="O722" s="423"/>
      <c r="P722" s="423"/>
      <c r="Q722" s="423"/>
      <c r="R722" s="218"/>
      <c r="S722" s="218"/>
      <c r="T722" s="213">
        <v>39406.67</v>
      </c>
      <c r="U722" s="211"/>
      <c r="V722" s="273"/>
      <c r="W722" s="206">
        <f>ROUND(ROUND(T722, 2)*I722, 2)</f>
        <v>39406.67</v>
      </c>
    </row>
    <row r="723" spans="1:25" ht="36.6" hidden="1" thickBot="1" x14ac:dyDescent="0.35">
      <c r="A723" s="10" t="s">
        <v>2736</v>
      </c>
      <c r="B723" s="10" t="s">
        <v>2713</v>
      </c>
      <c r="C723" s="11" t="s">
        <v>2714</v>
      </c>
      <c r="D723" s="12"/>
      <c r="E723" s="12" t="s">
        <v>2737</v>
      </c>
      <c r="F723" s="12" t="s">
        <v>116</v>
      </c>
      <c r="G723" s="13">
        <v>1</v>
      </c>
      <c r="H723" s="13"/>
      <c r="I723" s="234">
        <v>1</v>
      </c>
      <c r="J723" s="322"/>
      <c r="K723" s="258"/>
      <c r="L723" s="281"/>
      <c r="M723" s="221"/>
      <c r="N723" s="422"/>
      <c r="O723" s="422"/>
      <c r="P723" s="422"/>
      <c r="Q723" s="422"/>
      <c r="R723" s="220"/>
      <c r="S723" s="221"/>
      <c r="T723" s="212">
        <f>IFERROR(ROUND(SUM(W724)/I723, 2),0)</f>
        <v>39406.67</v>
      </c>
      <c r="U723" s="202">
        <v>9309</v>
      </c>
      <c r="V723" s="274">
        <f>T723+ROUND(U723, 2)</f>
        <v>48715.67</v>
      </c>
      <c r="W723" s="182">
        <f>ROUND(T723*I723, 2)</f>
        <v>39406.67</v>
      </c>
      <c r="X723" s="14">
        <f>ROUND(I723*ROUND(U723, 2), 2)</f>
        <v>9309</v>
      </c>
      <c r="Y723" s="14">
        <f>W723+X723</f>
        <v>48715.67</v>
      </c>
    </row>
    <row r="724" spans="1:25" ht="175.95" hidden="1" customHeight="1" x14ac:dyDescent="0.4">
      <c r="A724" s="10" t="s">
        <v>2738</v>
      </c>
      <c r="B724" s="10"/>
      <c r="C724" s="24" t="s">
        <v>2719</v>
      </c>
      <c r="D724" s="12"/>
      <c r="E724" s="12" t="s">
        <v>2739</v>
      </c>
      <c r="F724" s="18" t="s">
        <v>116</v>
      </c>
      <c r="G724" s="19">
        <v>1</v>
      </c>
      <c r="H724" s="20"/>
      <c r="I724" s="194">
        <v>1</v>
      </c>
      <c r="J724" s="329"/>
      <c r="K724" s="257"/>
      <c r="L724" s="280"/>
      <c r="M724" s="401"/>
      <c r="N724" s="423"/>
      <c r="O724" s="423"/>
      <c r="P724" s="423"/>
      <c r="Q724" s="423"/>
      <c r="R724" s="218"/>
      <c r="S724" s="218"/>
      <c r="T724" s="213">
        <v>39406.67</v>
      </c>
      <c r="U724" s="211"/>
      <c r="V724" s="273"/>
      <c r="W724" s="206">
        <f>ROUND(ROUND(T724, 2)*I724, 2)</f>
        <v>39406.67</v>
      </c>
    </row>
    <row r="725" spans="1:25" ht="0.45" hidden="1" customHeight="1" x14ac:dyDescent="0.3">
      <c r="A725" s="10" t="s">
        <v>2742</v>
      </c>
      <c r="B725" s="10" t="s">
        <v>2713</v>
      </c>
      <c r="C725" s="11" t="s">
        <v>2714</v>
      </c>
      <c r="D725" s="12"/>
      <c r="E725" s="12" t="s">
        <v>2743</v>
      </c>
      <c r="F725" s="12" t="s">
        <v>116</v>
      </c>
      <c r="G725" s="13">
        <v>1</v>
      </c>
      <c r="H725" s="13"/>
      <c r="I725" s="234">
        <v>5</v>
      </c>
      <c r="J725" s="322"/>
      <c r="K725" s="258"/>
      <c r="L725" s="281"/>
      <c r="M725" s="221"/>
      <c r="N725" s="422"/>
      <c r="O725" s="422"/>
      <c r="P725" s="422"/>
      <c r="Q725" s="422"/>
      <c r="R725" s="220"/>
      <c r="S725" s="221"/>
      <c r="T725" s="212">
        <f>IFERROR(ROUND(SUM(W726)/I725, 2),0)</f>
        <v>39406.67</v>
      </c>
      <c r="U725" s="202">
        <v>9309</v>
      </c>
      <c r="V725" s="274">
        <f>T725+ROUND(U725, 2)</f>
        <v>48715.67</v>
      </c>
      <c r="W725" s="182">
        <f>ROUND(T725*I725, 2)</f>
        <v>197033.35</v>
      </c>
      <c r="X725" s="14">
        <f>ROUND(I725*ROUND(U725, 2), 2)</f>
        <v>46545</v>
      </c>
      <c r="Y725" s="14">
        <f>W725+X725</f>
        <v>243578.35</v>
      </c>
    </row>
    <row r="726" spans="1:25" ht="214.5" hidden="1" customHeight="1" x14ac:dyDescent="0.4">
      <c r="A726" s="10" t="s">
        <v>2744</v>
      </c>
      <c r="B726" s="10"/>
      <c r="C726" s="24" t="s">
        <v>2745</v>
      </c>
      <c r="D726" s="12"/>
      <c r="E726" s="12" t="s">
        <v>2746</v>
      </c>
      <c r="F726" s="18" t="s">
        <v>116</v>
      </c>
      <c r="G726" s="19">
        <v>1</v>
      </c>
      <c r="H726" s="20"/>
      <c r="I726" s="194">
        <v>5</v>
      </c>
      <c r="J726" s="329"/>
      <c r="K726" s="257"/>
      <c r="L726" s="280"/>
      <c r="M726" s="401"/>
      <c r="N726" s="423"/>
      <c r="O726" s="423"/>
      <c r="P726" s="423"/>
      <c r="Q726" s="423"/>
      <c r="R726" s="218"/>
      <c r="S726" s="218"/>
      <c r="T726" s="213">
        <v>39406.67</v>
      </c>
      <c r="U726" s="211"/>
      <c r="V726" s="273"/>
      <c r="W726" s="206">
        <f>ROUND(ROUND(T726, 2)*I726, 2)</f>
        <v>197033.35</v>
      </c>
    </row>
    <row r="727" spans="1:25" ht="36.6" hidden="1" thickBot="1" x14ac:dyDescent="0.35">
      <c r="A727" s="10" t="s">
        <v>2750</v>
      </c>
      <c r="B727" s="10" t="s">
        <v>2713</v>
      </c>
      <c r="C727" s="11" t="s">
        <v>2714</v>
      </c>
      <c r="D727" s="12"/>
      <c r="E727" s="12" t="s">
        <v>2751</v>
      </c>
      <c r="F727" s="12" t="s">
        <v>116</v>
      </c>
      <c r="G727" s="13">
        <v>1</v>
      </c>
      <c r="H727" s="13"/>
      <c r="I727" s="234">
        <v>3</v>
      </c>
      <c r="J727" s="322"/>
      <c r="K727" s="258"/>
      <c r="L727" s="281"/>
      <c r="M727" s="221"/>
      <c r="N727" s="422"/>
      <c r="O727" s="422"/>
      <c r="P727" s="422"/>
      <c r="Q727" s="422"/>
      <c r="R727" s="220"/>
      <c r="S727" s="221"/>
      <c r="T727" s="212">
        <f>IFERROR(ROUND(SUM(W728)/I727, 2),0)</f>
        <v>40386.67</v>
      </c>
      <c r="U727" s="202">
        <v>9309</v>
      </c>
      <c r="V727" s="274">
        <f>T727+ROUND(U727, 2)</f>
        <v>49695.67</v>
      </c>
      <c r="W727" s="182">
        <f>ROUND(T727*I727, 2)</f>
        <v>121160.01</v>
      </c>
      <c r="X727" s="14">
        <f>ROUND(I727*ROUND(U727, 2), 2)</f>
        <v>27927</v>
      </c>
      <c r="Y727" s="14">
        <f>W727+X727</f>
        <v>149087.01</v>
      </c>
    </row>
    <row r="728" spans="1:25" ht="171" hidden="1" customHeight="1" x14ac:dyDescent="0.4">
      <c r="A728" s="10" t="s">
        <v>2752</v>
      </c>
      <c r="B728" s="10"/>
      <c r="C728" s="24" t="s">
        <v>2719</v>
      </c>
      <c r="D728" s="12"/>
      <c r="E728" s="12" t="s">
        <v>2753</v>
      </c>
      <c r="F728" s="18" t="s">
        <v>116</v>
      </c>
      <c r="G728" s="19">
        <v>1</v>
      </c>
      <c r="H728" s="20"/>
      <c r="I728" s="194">
        <v>3</v>
      </c>
      <c r="J728" s="329"/>
      <c r="K728" s="257"/>
      <c r="L728" s="280"/>
      <c r="M728" s="401"/>
      <c r="N728" s="423"/>
      <c r="O728" s="423"/>
      <c r="P728" s="423"/>
      <c r="Q728" s="423"/>
      <c r="R728" s="218"/>
      <c r="S728" s="218"/>
      <c r="T728" s="213">
        <v>40386.67</v>
      </c>
      <c r="U728" s="211"/>
      <c r="V728" s="273"/>
      <c r="W728" s="206">
        <f>ROUND(ROUND(T728, 2)*I728, 2)</f>
        <v>121160.01</v>
      </c>
    </row>
    <row r="729" spans="1:25" ht="36.6" hidden="1" thickBot="1" x14ac:dyDescent="0.35">
      <c r="A729" s="10" t="s">
        <v>2756</v>
      </c>
      <c r="B729" s="10" t="s">
        <v>2713</v>
      </c>
      <c r="C729" s="11" t="s">
        <v>2714</v>
      </c>
      <c r="D729" s="12"/>
      <c r="E729" s="12" t="s">
        <v>2757</v>
      </c>
      <c r="F729" s="12" t="s">
        <v>116</v>
      </c>
      <c r="G729" s="13">
        <v>1</v>
      </c>
      <c r="H729" s="13"/>
      <c r="I729" s="234">
        <v>6</v>
      </c>
      <c r="J729" s="322"/>
      <c r="K729" s="258"/>
      <c r="L729" s="281"/>
      <c r="M729" s="221"/>
      <c r="N729" s="422"/>
      <c r="O729" s="422"/>
      <c r="P729" s="422"/>
      <c r="Q729" s="422"/>
      <c r="R729" s="220"/>
      <c r="S729" s="221"/>
      <c r="T729" s="212">
        <f>IFERROR(ROUND(SUM(W730)/I729, 2),0)</f>
        <v>38496.67</v>
      </c>
      <c r="U729" s="202">
        <v>9309</v>
      </c>
      <c r="V729" s="274">
        <f>T729+ROUND(U729, 2)</f>
        <v>47805.67</v>
      </c>
      <c r="W729" s="182">
        <f>ROUND(T729*I729, 2)</f>
        <v>230980.02</v>
      </c>
      <c r="X729" s="14">
        <f>ROUND(I729*ROUND(U729, 2), 2)</f>
        <v>55854</v>
      </c>
      <c r="Y729" s="14">
        <f>W729+X729</f>
        <v>286834.02</v>
      </c>
    </row>
    <row r="730" spans="1:25" ht="90.45" hidden="1" customHeight="1" x14ac:dyDescent="0.4">
      <c r="A730" s="10" t="s">
        <v>2758</v>
      </c>
      <c r="B730" s="10"/>
      <c r="C730" s="24" t="s">
        <v>2719</v>
      </c>
      <c r="D730" s="12"/>
      <c r="E730" s="12" t="s">
        <v>2759</v>
      </c>
      <c r="F730" s="18" t="s">
        <v>116</v>
      </c>
      <c r="G730" s="19">
        <v>1</v>
      </c>
      <c r="H730" s="20"/>
      <c r="I730" s="194">
        <v>6</v>
      </c>
      <c r="J730" s="329"/>
      <c r="K730" s="257"/>
      <c r="L730" s="280"/>
      <c r="M730" s="401"/>
      <c r="N730" s="423"/>
      <c r="O730" s="423"/>
      <c r="P730" s="423"/>
      <c r="Q730" s="423"/>
      <c r="R730" s="218"/>
      <c r="S730" s="218"/>
      <c r="T730" s="213">
        <v>38496.67</v>
      </c>
      <c r="U730" s="211"/>
      <c r="V730" s="273"/>
      <c r="W730" s="206">
        <f>ROUND(ROUND(T730, 2)*I730, 2)</f>
        <v>230980.02</v>
      </c>
    </row>
    <row r="731" spans="1:25" ht="36.6" hidden="1" thickBot="1" x14ac:dyDescent="0.35">
      <c r="A731" s="10" t="s">
        <v>2762</v>
      </c>
      <c r="B731" s="10" t="s">
        <v>2713</v>
      </c>
      <c r="C731" s="11" t="s">
        <v>2714</v>
      </c>
      <c r="D731" s="12"/>
      <c r="E731" s="12" t="s">
        <v>2763</v>
      </c>
      <c r="F731" s="12" t="s">
        <v>116</v>
      </c>
      <c r="G731" s="13">
        <v>1</v>
      </c>
      <c r="H731" s="13"/>
      <c r="I731" s="234">
        <v>4</v>
      </c>
      <c r="J731" s="322"/>
      <c r="K731" s="258"/>
      <c r="L731" s="281"/>
      <c r="M731" s="221"/>
      <c r="N731" s="422"/>
      <c r="O731" s="422"/>
      <c r="P731" s="422"/>
      <c r="Q731" s="422"/>
      <c r="R731" s="220"/>
      <c r="S731" s="221"/>
      <c r="T731" s="212">
        <f>IFERROR(ROUND(SUM(W732)/I731, 2),0)</f>
        <v>38496.67</v>
      </c>
      <c r="U731" s="202">
        <v>9309</v>
      </c>
      <c r="V731" s="274">
        <f>T731+ROUND(U731, 2)</f>
        <v>47805.67</v>
      </c>
      <c r="W731" s="182">
        <f>ROUND(T731*I731, 2)</f>
        <v>153986.68</v>
      </c>
      <c r="X731" s="14">
        <f>ROUND(I731*ROUND(U731, 2), 2)</f>
        <v>37236</v>
      </c>
      <c r="Y731" s="14">
        <f>W731+X731</f>
        <v>191222.68</v>
      </c>
    </row>
    <row r="732" spans="1:25" ht="142.94999999999999" hidden="1" customHeight="1" x14ac:dyDescent="0.4">
      <c r="A732" s="10" t="s">
        <v>2764</v>
      </c>
      <c r="B732" s="10"/>
      <c r="C732" s="24" t="s">
        <v>2719</v>
      </c>
      <c r="D732" s="12"/>
      <c r="E732" s="12" t="s">
        <v>2765</v>
      </c>
      <c r="F732" s="18" t="s">
        <v>116</v>
      </c>
      <c r="G732" s="19">
        <v>1</v>
      </c>
      <c r="H732" s="20"/>
      <c r="I732" s="194">
        <v>4</v>
      </c>
      <c r="J732" s="329"/>
      <c r="K732" s="257"/>
      <c r="L732" s="280"/>
      <c r="M732" s="401"/>
      <c r="N732" s="423"/>
      <c r="O732" s="423"/>
      <c r="P732" s="423"/>
      <c r="Q732" s="423"/>
      <c r="R732" s="218"/>
      <c r="S732" s="218"/>
      <c r="T732" s="213">
        <v>38496.67</v>
      </c>
      <c r="U732" s="211"/>
      <c r="V732" s="273"/>
      <c r="W732" s="206">
        <f>ROUND(ROUND(T732, 2)*I732, 2)</f>
        <v>153986.68</v>
      </c>
    </row>
    <row r="733" spans="1:25" ht="0.45" hidden="1" customHeight="1" x14ac:dyDescent="0.3">
      <c r="A733" s="10" t="s">
        <v>2768</v>
      </c>
      <c r="B733" s="10" t="s">
        <v>2713</v>
      </c>
      <c r="C733" s="11" t="s">
        <v>2714</v>
      </c>
      <c r="D733" s="12"/>
      <c r="E733" s="12" t="s">
        <v>2769</v>
      </c>
      <c r="F733" s="12" t="s">
        <v>116</v>
      </c>
      <c r="G733" s="13">
        <v>1</v>
      </c>
      <c r="H733" s="13"/>
      <c r="I733" s="234">
        <v>10</v>
      </c>
      <c r="J733" s="322"/>
      <c r="K733" s="258"/>
      <c r="L733" s="281"/>
      <c r="M733" s="221"/>
      <c r="N733" s="422"/>
      <c r="O733" s="422"/>
      <c r="P733" s="422"/>
      <c r="Q733" s="422"/>
      <c r="R733" s="220"/>
      <c r="S733" s="221"/>
      <c r="T733" s="212">
        <f>IFERROR(ROUND(SUM(W734)/I733, 2),0)</f>
        <v>37736.67</v>
      </c>
      <c r="U733" s="202">
        <v>9309</v>
      </c>
      <c r="V733" s="274">
        <f>T733+ROUND(U733, 2)</f>
        <v>47045.67</v>
      </c>
      <c r="W733" s="182">
        <f>ROUND(T733*I733, 2)</f>
        <v>377366.7</v>
      </c>
      <c r="X733" s="14">
        <f>ROUND(I733*ROUND(U733, 2), 2)</f>
        <v>93090</v>
      </c>
      <c r="Y733" s="14">
        <f>W733+X733</f>
        <v>470456.7</v>
      </c>
    </row>
    <row r="734" spans="1:25" ht="166.05" hidden="1" customHeight="1" x14ac:dyDescent="0.4">
      <c r="A734" s="10" t="s">
        <v>2770</v>
      </c>
      <c r="B734" s="10"/>
      <c r="C734" s="24" t="s">
        <v>2745</v>
      </c>
      <c r="D734" s="12"/>
      <c r="E734" s="12" t="s">
        <v>2771</v>
      </c>
      <c r="F734" s="18" t="s">
        <v>116</v>
      </c>
      <c r="G734" s="19">
        <v>1</v>
      </c>
      <c r="H734" s="20"/>
      <c r="I734" s="194">
        <v>10</v>
      </c>
      <c r="J734" s="329"/>
      <c r="K734" s="257"/>
      <c r="L734" s="280"/>
      <c r="M734" s="401"/>
      <c r="N734" s="423"/>
      <c r="O734" s="423"/>
      <c r="P734" s="423"/>
      <c r="Q734" s="423"/>
      <c r="R734" s="218"/>
      <c r="S734" s="218"/>
      <c r="T734" s="213">
        <v>37736.67</v>
      </c>
      <c r="U734" s="211"/>
      <c r="V734" s="273"/>
      <c r="W734" s="206">
        <f>ROUND(ROUND(T734, 2)*I734, 2)</f>
        <v>377366.7</v>
      </c>
    </row>
    <row r="735" spans="1:25" ht="36.6" hidden="1" thickBot="1" x14ac:dyDescent="0.35">
      <c r="A735" s="10" t="s">
        <v>2774</v>
      </c>
      <c r="B735" s="10" t="s">
        <v>2713</v>
      </c>
      <c r="C735" s="11" t="s">
        <v>2714</v>
      </c>
      <c r="D735" s="12"/>
      <c r="E735" s="12" t="s">
        <v>2775</v>
      </c>
      <c r="F735" s="12" t="s">
        <v>116</v>
      </c>
      <c r="G735" s="13">
        <v>1</v>
      </c>
      <c r="H735" s="13"/>
      <c r="I735" s="234">
        <v>4</v>
      </c>
      <c r="J735" s="322"/>
      <c r="K735" s="258"/>
      <c r="L735" s="281"/>
      <c r="M735" s="221"/>
      <c r="N735" s="422"/>
      <c r="O735" s="422"/>
      <c r="P735" s="422"/>
      <c r="Q735" s="422"/>
      <c r="R735" s="220"/>
      <c r="S735" s="221"/>
      <c r="T735" s="212">
        <f>IFERROR(ROUND(SUM(W736)/I735, 2),0)</f>
        <v>37736.67</v>
      </c>
      <c r="U735" s="202">
        <v>9309</v>
      </c>
      <c r="V735" s="274">
        <f>T735+ROUND(U735, 2)</f>
        <v>47045.67</v>
      </c>
      <c r="W735" s="182">
        <f>ROUND(T735*I735, 2)</f>
        <v>150946.68</v>
      </c>
      <c r="X735" s="14">
        <f>ROUND(I735*ROUND(U735, 2), 2)</f>
        <v>37236</v>
      </c>
      <c r="Y735" s="14">
        <f>W735+X735</f>
        <v>188182.68</v>
      </c>
    </row>
    <row r="736" spans="1:25" ht="132" hidden="1" customHeight="1" x14ac:dyDescent="0.4">
      <c r="A736" s="10" t="s">
        <v>2776</v>
      </c>
      <c r="B736" s="10"/>
      <c r="C736" s="24" t="s">
        <v>2719</v>
      </c>
      <c r="D736" s="12"/>
      <c r="E736" s="12" t="s">
        <v>2777</v>
      </c>
      <c r="F736" s="18" t="s">
        <v>116</v>
      </c>
      <c r="G736" s="19">
        <v>1</v>
      </c>
      <c r="H736" s="20"/>
      <c r="I736" s="194">
        <v>4</v>
      </c>
      <c r="J736" s="329"/>
      <c r="K736" s="257"/>
      <c r="L736" s="280"/>
      <c r="M736" s="401"/>
      <c r="N736" s="423"/>
      <c r="O736" s="423"/>
      <c r="P736" s="423"/>
      <c r="Q736" s="423"/>
      <c r="R736" s="218"/>
      <c r="S736" s="218"/>
      <c r="T736" s="213">
        <v>37736.67</v>
      </c>
      <c r="U736" s="211"/>
      <c r="V736" s="273"/>
      <c r="W736" s="206">
        <f>ROUND(ROUND(T736, 2)*I736, 2)</f>
        <v>150946.68</v>
      </c>
    </row>
    <row r="737" spans="1:25" ht="36.6" hidden="1" thickBot="1" x14ac:dyDescent="0.35">
      <c r="A737" s="10" t="s">
        <v>2780</v>
      </c>
      <c r="B737" s="10" t="s">
        <v>2713</v>
      </c>
      <c r="C737" s="11" t="s">
        <v>2714</v>
      </c>
      <c r="D737" s="12"/>
      <c r="E737" s="12" t="s">
        <v>2781</v>
      </c>
      <c r="F737" s="12" t="s">
        <v>116</v>
      </c>
      <c r="G737" s="13">
        <v>1</v>
      </c>
      <c r="H737" s="13"/>
      <c r="I737" s="234">
        <v>5</v>
      </c>
      <c r="J737" s="322"/>
      <c r="K737" s="258"/>
      <c r="L737" s="281"/>
      <c r="M737" s="221"/>
      <c r="N737" s="422"/>
      <c r="O737" s="422"/>
      <c r="P737" s="422"/>
      <c r="Q737" s="422"/>
      <c r="R737" s="220"/>
      <c r="S737" s="221"/>
      <c r="T737" s="212">
        <f>IFERROR(ROUND(SUM(W738)/I737, 2),0)</f>
        <v>56520.67</v>
      </c>
      <c r="U737" s="202">
        <v>10751</v>
      </c>
      <c r="V737" s="274">
        <f>T737+ROUND(U737, 2)</f>
        <v>67271.67</v>
      </c>
      <c r="W737" s="182">
        <f>ROUND(T737*I737, 2)</f>
        <v>282603.34999999998</v>
      </c>
      <c r="X737" s="14">
        <f>ROUND(I737*ROUND(U737, 2), 2)</f>
        <v>53755</v>
      </c>
      <c r="Y737" s="14">
        <f>W737+X737</f>
        <v>336358.35</v>
      </c>
    </row>
    <row r="738" spans="1:25" ht="172.95" hidden="1" customHeight="1" x14ac:dyDescent="0.4">
      <c r="A738" s="10" t="s">
        <v>2782</v>
      </c>
      <c r="B738" s="10"/>
      <c r="C738" s="24" t="s">
        <v>2745</v>
      </c>
      <c r="D738" s="12"/>
      <c r="E738" s="12" t="s">
        <v>2783</v>
      </c>
      <c r="F738" s="18" t="s">
        <v>116</v>
      </c>
      <c r="G738" s="19">
        <v>1</v>
      </c>
      <c r="H738" s="20"/>
      <c r="I738" s="194">
        <v>5</v>
      </c>
      <c r="J738" s="329"/>
      <c r="K738" s="257"/>
      <c r="L738" s="280"/>
      <c r="M738" s="401"/>
      <c r="N738" s="423"/>
      <c r="O738" s="423"/>
      <c r="P738" s="423"/>
      <c r="Q738" s="423"/>
      <c r="R738" s="218"/>
      <c r="S738" s="218"/>
      <c r="T738" s="213">
        <v>56520.67</v>
      </c>
      <c r="U738" s="211"/>
      <c r="V738" s="273"/>
      <c r="W738" s="206">
        <f>ROUND(ROUND(T738, 2)*I738, 2)</f>
        <v>282603.34999999998</v>
      </c>
    </row>
    <row r="739" spans="1:25" ht="22.5" hidden="1" customHeight="1" x14ac:dyDescent="0.3">
      <c r="A739" s="10" t="s">
        <v>2786</v>
      </c>
      <c r="B739" s="10" t="s">
        <v>2713</v>
      </c>
      <c r="C739" s="11" t="s">
        <v>2714</v>
      </c>
      <c r="D739" s="12"/>
      <c r="E739" s="12" t="s">
        <v>2787</v>
      </c>
      <c r="F739" s="12" t="s">
        <v>116</v>
      </c>
      <c r="G739" s="13">
        <v>1</v>
      </c>
      <c r="H739" s="13"/>
      <c r="I739" s="234">
        <v>1</v>
      </c>
      <c r="J739" s="322"/>
      <c r="K739" s="258"/>
      <c r="L739" s="281"/>
      <c r="M739" s="221"/>
      <c r="N739" s="422"/>
      <c r="O739" s="422"/>
      <c r="P739" s="422"/>
      <c r="Q739" s="422"/>
      <c r="R739" s="220"/>
      <c r="S739" s="221"/>
      <c r="T739" s="212">
        <f>IFERROR(ROUND(SUM(W740)/I739, 2),0)</f>
        <v>56520.67</v>
      </c>
      <c r="U739" s="202">
        <v>10751</v>
      </c>
      <c r="V739" s="274">
        <f>T739+ROUND(U739, 2)</f>
        <v>67271.67</v>
      </c>
      <c r="W739" s="182">
        <f>ROUND(T739*I739, 2)</f>
        <v>56520.67</v>
      </c>
      <c r="X739" s="14">
        <f>ROUND(I739*ROUND(U739, 2), 2)</f>
        <v>10751</v>
      </c>
      <c r="Y739" s="14">
        <f>W739+X739</f>
        <v>67271.67</v>
      </c>
    </row>
    <row r="740" spans="1:25" ht="155.55000000000001" hidden="1" customHeight="1" x14ac:dyDescent="0.4">
      <c r="A740" s="10" t="s">
        <v>2788</v>
      </c>
      <c r="B740" s="10"/>
      <c r="C740" s="24" t="s">
        <v>2719</v>
      </c>
      <c r="D740" s="12"/>
      <c r="E740" s="12" t="s">
        <v>2789</v>
      </c>
      <c r="F740" s="18" t="s">
        <v>116</v>
      </c>
      <c r="G740" s="19">
        <v>1</v>
      </c>
      <c r="H740" s="20"/>
      <c r="I740" s="194">
        <v>1</v>
      </c>
      <c r="J740" s="329"/>
      <c r="K740" s="257"/>
      <c r="L740" s="280"/>
      <c r="M740" s="401"/>
      <c r="N740" s="423"/>
      <c r="O740" s="423"/>
      <c r="P740" s="423"/>
      <c r="Q740" s="423"/>
      <c r="R740" s="218"/>
      <c r="S740" s="218"/>
      <c r="T740" s="213">
        <v>56520.67</v>
      </c>
      <c r="U740" s="211"/>
      <c r="V740" s="273"/>
      <c r="W740" s="206">
        <f>ROUND(ROUND(T740, 2)*I740, 2)</f>
        <v>56520.67</v>
      </c>
    </row>
    <row r="741" spans="1:25" ht="36.6" hidden="1" thickBot="1" x14ac:dyDescent="0.35">
      <c r="A741" s="10" t="s">
        <v>2792</v>
      </c>
      <c r="B741" s="10" t="s">
        <v>2713</v>
      </c>
      <c r="C741" s="11" t="s">
        <v>2714</v>
      </c>
      <c r="D741" s="12"/>
      <c r="E741" s="12" t="s">
        <v>2793</v>
      </c>
      <c r="F741" s="12" t="s">
        <v>116</v>
      </c>
      <c r="G741" s="13">
        <v>1</v>
      </c>
      <c r="H741" s="13"/>
      <c r="I741" s="234">
        <v>5</v>
      </c>
      <c r="J741" s="322"/>
      <c r="K741" s="258"/>
      <c r="L741" s="281"/>
      <c r="M741" s="221"/>
      <c r="N741" s="422"/>
      <c r="O741" s="422"/>
      <c r="P741" s="422"/>
      <c r="Q741" s="422"/>
      <c r="R741" s="220"/>
      <c r="S741" s="221"/>
      <c r="T741" s="212">
        <f>IFERROR(ROUND(SUM(W742)/I741, 2),0)</f>
        <v>39406.67</v>
      </c>
      <c r="U741" s="202">
        <v>9309</v>
      </c>
      <c r="V741" s="274">
        <f>T741+ROUND(U741, 2)</f>
        <v>48715.67</v>
      </c>
      <c r="W741" s="182">
        <f>ROUND(T741*I741, 2)</f>
        <v>197033.35</v>
      </c>
      <c r="X741" s="14">
        <f>ROUND(I741*ROUND(U741, 2), 2)</f>
        <v>46545</v>
      </c>
      <c r="Y741" s="14">
        <f>W741+X741</f>
        <v>243578.35</v>
      </c>
    </row>
    <row r="742" spans="1:25" ht="103.5" hidden="1" customHeight="1" x14ac:dyDescent="0.4">
      <c r="A742" s="10" t="s">
        <v>2794</v>
      </c>
      <c r="B742" s="10"/>
      <c r="C742" s="24" t="s">
        <v>2745</v>
      </c>
      <c r="D742" s="12"/>
      <c r="E742" s="12" t="s">
        <v>2795</v>
      </c>
      <c r="F742" s="18" t="s">
        <v>116</v>
      </c>
      <c r="G742" s="19">
        <v>1</v>
      </c>
      <c r="H742" s="20"/>
      <c r="I742" s="194">
        <v>5</v>
      </c>
      <c r="J742" s="329"/>
      <c r="K742" s="257"/>
      <c r="L742" s="280"/>
      <c r="M742" s="401"/>
      <c r="N742" s="423"/>
      <c r="O742" s="423"/>
      <c r="P742" s="423"/>
      <c r="Q742" s="423"/>
      <c r="R742" s="218"/>
      <c r="S742" s="218"/>
      <c r="T742" s="213">
        <v>39406.67</v>
      </c>
      <c r="U742" s="211"/>
      <c r="V742" s="273"/>
      <c r="W742" s="206">
        <f>ROUND(ROUND(T742, 2)*I742, 2)</f>
        <v>197033.35</v>
      </c>
    </row>
    <row r="743" spans="1:25" ht="36.6" hidden="1" thickBot="1" x14ac:dyDescent="0.35">
      <c r="A743" s="10" t="s">
        <v>2798</v>
      </c>
      <c r="B743" s="10" t="s">
        <v>2713</v>
      </c>
      <c r="C743" s="11" t="s">
        <v>2714</v>
      </c>
      <c r="D743" s="12"/>
      <c r="E743" s="12" t="s">
        <v>2799</v>
      </c>
      <c r="F743" s="12" t="s">
        <v>116</v>
      </c>
      <c r="G743" s="13">
        <v>1</v>
      </c>
      <c r="H743" s="13"/>
      <c r="I743" s="234">
        <v>3</v>
      </c>
      <c r="J743" s="322"/>
      <c r="K743" s="258"/>
      <c r="L743" s="281"/>
      <c r="M743" s="221"/>
      <c r="N743" s="422"/>
      <c r="O743" s="422"/>
      <c r="P743" s="422"/>
      <c r="Q743" s="422"/>
      <c r="R743" s="220"/>
      <c r="S743" s="221"/>
      <c r="T743" s="212">
        <f>IFERROR(ROUND(SUM(W744)/I743, 2),0)</f>
        <v>39406.67</v>
      </c>
      <c r="U743" s="202">
        <v>9309</v>
      </c>
      <c r="V743" s="274">
        <f>T743+ROUND(U743, 2)</f>
        <v>48715.67</v>
      </c>
      <c r="W743" s="182">
        <f>ROUND(T743*I743, 2)</f>
        <v>118220.01</v>
      </c>
      <c r="X743" s="14">
        <f>ROUND(I743*ROUND(U743, 2), 2)</f>
        <v>27927</v>
      </c>
      <c r="Y743" s="14">
        <f>W743+X743</f>
        <v>146147.01</v>
      </c>
    </row>
    <row r="744" spans="1:25" ht="142.05000000000001" hidden="1" customHeight="1" x14ac:dyDescent="0.4">
      <c r="A744" s="10" t="s">
        <v>2800</v>
      </c>
      <c r="B744" s="10"/>
      <c r="C744" s="24" t="s">
        <v>2801</v>
      </c>
      <c r="D744" s="12"/>
      <c r="E744" s="12" t="s">
        <v>2802</v>
      </c>
      <c r="F744" s="18" t="s">
        <v>116</v>
      </c>
      <c r="G744" s="19">
        <v>1</v>
      </c>
      <c r="H744" s="20"/>
      <c r="I744" s="194">
        <v>3</v>
      </c>
      <c r="J744" s="329"/>
      <c r="K744" s="257"/>
      <c r="L744" s="280"/>
      <c r="M744" s="401"/>
      <c r="N744" s="423"/>
      <c r="O744" s="423"/>
      <c r="P744" s="423"/>
      <c r="Q744" s="423"/>
      <c r="R744" s="218"/>
      <c r="S744" s="218"/>
      <c r="T744" s="213">
        <v>39406.67</v>
      </c>
      <c r="U744" s="211"/>
      <c r="V744" s="273"/>
      <c r="W744" s="206">
        <f>ROUND(ROUND(T744, 2)*I744, 2)</f>
        <v>118220.01</v>
      </c>
    </row>
    <row r="745" spans="1:25" ht="30.45" hidden="1" customHeight="1" x14ac:dyDescent="0.3">
      <c r="A745" s="10" t="s">
        <v>2806</v>
      </c>
      <c r="B745" s="10" t="s">
        <v>2713</v>
      </c>
      <c r="C745" s="11" t="s">
        <v>2714</v>
      </c>
      <c r="D745" s="12"/>
      <c r="E745" s="12" t="s">
        <v>2807</v>
      </c>
      <c r="F745" s="12" t="s">
        <v>116</v>
      </c>
      <c r="G745" s="13">
        <v>1</v>
      </c>
      <c r="H745" s="13"/>
      <c r="I745" s="234">
        <v>15</v>
      </c>
      <c r="J745" s="322"/>
      <c r="K745" s="258"/>
      <c r="L745" s="281"/>
      <c r="M745" s="221"/>
      <c r="N745" s="422"/>
      <c r="O745" s="422"/>
      <c r="P745" s="422"/>
      <c r="Q745" s="422"/>
      <c r="R745" s="220"/>
      <c r="S745" s="221"/>
      <c r="T745" s="212">
        <f>IFERROR(ROUND(SUM(W746)/I745, 2),0)</f>
        <v>56520.67</v>
      </c>
      <c r="U745" s="202">
        <v>10751</v>
      </c>
      <c r="V745" s="274">
        <f>T745+ROUND(U745, 2)</f>
        <v>67271.67</v>
      </c>
      <c r="W745" s="182">
        <f>ROUND(T745*I745, 2)</f>
        <v>847810.05</v>
      </c>
      <c r="X745" s="14">
        <f>ROUND(I745*ROUND(U745, 2), 2)</f>
        <v>161265</v>
      </c>
      <c r="Y745" s="14">
        <f>W745+X745</f>
        <v>1009075.05</v>
      </c>
    </row>
    <row r="746" spans="1:25" ht="133.5" hidden="1" customHeight="1" x14ac:dyDescent="0.4">
      <c r="A746" s="10" t="s">
        <v>2808</v>
      </c>
      <c r="B746" s="10"/>
      <c r="C746" s="24" t="s">
        <v>2745</v>
      </c>
      <c r="D746" s="12"/>
      <c r="E746" s="12" t="s">
        <v>2809</v>
      </c>
      <c r="F746" s="18" t="s">
        <v>116</v>
      </c>
      <c r="G746" s="19">
        <v>1</v>
      </c>
      <c r="H746" s="20"/>
      <c r="I746" s="194">
        <v>15</v>
      </c>
      <c r="J746" s="329"/>
      <c r="K746" s="257"/>
      <c r="L746" s="280"/>
      <c r="M746" s="401"/>
      <c r="N746" s="423"/>
      <c r="O746" s="423"/>
      <c r="P746" s="423"/>
      <c r="Q746" s="423"/>
      <c r="R746" s="218"/>
      <c r="S746" s="218"/>
      <c r="T746" s="213">
        <v>56520.67</v>
      </c>
      <c r="U746" s="211"/>
      <c r="V746" s="273"/>
      <c r="W746" s="206">
        <f>ROUND(ROUND(T746, 2)*I746, 2)</f>
        <v>847810.05</v>
      </c>
    </row>
    <row r="747" spans="1:25" ht="36.6" hidden="1" thickBot="1" x14ac:dyDescent="0.35">
      <c r="A747" s="10" t="s">
        <v>2812</v>
      </c>
      <c r="B747" s="10" t="s">
        <v>2713</v>
      </c>
      <c r="C747" s="11" t="s">
        <v>2714</v>
      </c>
      <c r="D747" s="12"/>
      <c r="E747" s="12" t="s">
        <v>2813</v>
      </c>
      <c r="F747" s="12" t="s">
        <v>116</v>
      </c>
      <c r="G747" s="13">
        <v>1</v>
      </c>
      <c r="H747" s="13"/>
      <c r="I747" s="234">
        <v>4</v>
      </c>
      <c r="J747" s="322"/>
      <c r="K747" s="258"/>
      <c r="L747" s="281"/>
      <c r="M747" s="221"/>
      <c r="N747" s="422"/>
      <c r="O747" s="422"/>
      <c r="P747" s="422"/>
      <c r="Q747" s="422"/>
      <c r="R747" s="220"/>
      <c r="S747" s="221"/>
      <c r="T747" s="212">
        <f>IFERROR(ROUND(SUM(W748)/I747, 2),0)</f>
        <v>56520.67</v>
      </c>
      <c r="U747" s="202">
        <v>10751</v>
      </c>
      <c r="V747" s="274">
        <f>T747+ROUND(U747, 2)</f>
        <v>67271.67</v>
      </c>
      <c r="W747" s="182">
        <f>ROUND(T747*I747, 2)</f>
        <v>226082.68</v>
      </c>
      <c r="X747" s="14">
        <f>ROUND(I747*ROUND(U747, 2), 2)</f>
        <v>43004</v>
      </c>
      <c r="Y747" s="14">
        <f>W747+X747</f>
        <v>269086.68</v>
      </c>
    </row>
    <row r="748" spans="1:25" ht="161.55000000000001" hidden="1" customHeight="1" x14ac:dyDescent="0.4">
      <c r="A748" s="10" t="s">
        <v>2814</v>
      </c>
      <c r="B748" s="10"/>
      <c r="C748" s="24" t="s">
        <v>2719</v>
      </c>
      <c r="D748" s="12"/>
      <c r="E748" s="12" t="s">
        <v>2815</v>
      </c>
      <c r="F748" s="18" t="s">
        <v>116</v>
      </c>
      <c r="G748" s="19">
        <v>1</v>
      </c>
      <c r="H748" s="20"/>
      <c r="I748" s="194">
        <v>4</v>
      </c>
      <c r="J748" s="329"/>
      <c r="K748" s="257"/>
      <c r="L748" s="280"/>
      <c r="M748" s="401"/>
      <c r="N748" s="423"/>
      <c r="O748" s="423"/>
      <c r="P748" s="423"/>
      <c r="Q748" s="423"/>
      <c r="R748" s="218"/>
      <c r="S748" s="218"/>
      <c r="T748" s="213">
        <v>56520.67</v>
      </c>
      <c r="U748" s="211"/>
      <c r="V748" s="273"/>
      <c r="W748" s="206">
        <f>ROUND(ROUND(T748, 2)*I748, 2)</f>
        <v>226082.68</v>
      </c>
    </row>
    <row r="749" spans="1:25" ht="36.6" hidden="1" thickBot="1" x14ac:dyDescent="0.35">
      <c r="A749" s="10" t="s">
        <v>2818</v>
      </c>
      <c r="B749" s="10" t="s">
        <v>2713</v>
      </c>
      <c r="C749" s="11" t="s">
        <v>2714</v>
      </c>
      <c r="D749" s="12"/>
      <c r="E749" s="12" t="s">
        <v>2819</v>
      </c>
      <c r="F749" s="12" t="s">
        <v>116</v>
      </c>
      <c r="G749" s="13">
        <v>1</v>
      </c>
      <c r="H749" s="13"/>
      <c r="I749" s="234">
        <v>2</v>
      </c>
      <c r="J749" s="322"/>
      <c r="K749" s="258"/>
      <c r="L749" s="281"/>
      <c r="M749" s="221"/>
      <c r="N749" s="422"/>
      <c r="O749" s="422"/>
      <c r="P749" s="422"/>
      <c r="Q749" s="422"/>
      <c r="R749" s="220"/>
      <c r="S749" s="221"/>
      <c r="T749" s="212">
        <f>IFERROR(ROUND(SUM(W750)/I749, 2),0)</f>
        <v>63045</v>
      </c>
      <c r="U749" s="202">
        <v>10751</v>
      </c>
      <c r="V749" s="274">
        <f>T749+ROUND(U749, 2)</f>
        <v>73796</v>
      </c>
      <c r="W749" s="182">
        <f>ROUND(T749*I749, 2)</f>
        <v>126090</v>
      </c>
      <c r="X749" s="14">
        <f>ROUND(I749*ROUND(U749, 2), 2)</f>
        <v>21502</v>
      </c>
      <c r="Y749" s="14">
        <f>W749+X749</f>
        <v>147592</v>
      </c>
    </row>
    <row r="750" spans="1:25" ht="148.05000000000001" hidden="1" customHeight="1" x14ac:dyDescent="0.4">
      <c r="A750" s="10" t="s">
        <v>2820</v>
      </c>
      <c r="B750" s="10"/>
      <c r="C750" s="24" t="s">
        <v>2745</v>
      </c>
      <c r="D750" s="12"/>
      <c r="E750" s="12" t="s">
        <v>2821</v>
      </c>
      <c r="F750" s="18" t="s">
        <v>116</v>
      </c>
      <c r="G750" s="19">
        <v>1</v>
      </c>
      <c r="H750" s="20"/>
      <c r="I750" s="194">
        <v>2</v>
      </c>
      <c r="J750" s="329"/>
      <c r="K750" s="257"/>
      <c r="L750" s="280"/>
      <c r="M750" s="401"/>
      <c r="N750" s="423"/>
      <c r="O750" s="423"/>
      <c r="P750" s="423"/>
      <c r="Q750" s="423"/>
      <c r="R750" s="218"/>
      <c r="S750" s="218"/>
      <c r="T750" s="213">
        <v>63045</v>
      </c>
      <c r="U750" s="211"/>
      <c r="V750" s="273"/>
      <c r="W750" s="206">
        <f>ROUND(ROUND(T750, 2)*I750, 2)</f>
        <v>126090</v>
      </c>
    </row>
    <row r="751" spans="1:25" ht="36.6" hidden="1" thickBot="1" x14ac:dyDescent="0.35">
      <c r="A751" s="10" t="s">
        <v>2824</v>
      </c>
      <c r="B751" s="10" t="s">
        <v>2713</v>
      </c>
      <c r="C751" s="11" t="s">
        <v>2714</v>
      </c>
      <c r="D751" s="12"/>
      <c r="E751" s="12" t="s">
        <v>2825</v>
      </c>
      <c r="F751" s="12" t="s">
        <v>116</v>
      </c>
      <c r="G751" s="13">
        <v>1</v>
      </c>
      <c r="H751" s="13"/>
      <c r="I751" s="234">
        <v>2</v>
      </c>
      <c r="J751" s="322"/>
      <c r="K751" s="258"/>
      <c r="L751" s="281"/>
      <c r="M751" s="221"/>
      <c r="N751" s="422"/>
      <c r="O751" s="422"/>
      <c r="P751" s="422"/>
      <c r="Q751" s="422"/>
      <c r="R751" s="220"/>
      <c r="S751" s="221"/>
      <c r="T751" s="212">
        <f>IFERROR(ROUND(SUM(W752)/I751, 2),0)</f>
        <v>39406.67</v>
      </c>
      <c r="U751" s="202">
        <v>9309</v>
      </c>
      <c r="V751" s="274">
        <f>T751+ROUND(U751, 2)</f>
        <v>48715.67</v>
      </c>
      <c r="W751" s="182">
        <f>ROUND(T751*I751, 2)</f>
        <v>78813.34</v>
      </c>
      <c r="X751" s="14">
        <f>ROUND(I751*ROUND(U751, 2), 2)</f>
        <v>18618</v>
      </c>
      <c r="Y751" s="14">
        <f>W751+X751</f>
        <v>97431.34</v>
      </c>
    </row>
    <row r="752" spans="1:25" ht="127.95" hidden="1" customHeight="1" x14ac:dyDescent="0.4">
      <c r="A752" s="10" t="s">
        <v>2826</v>
      </c>
      <c r="B752" s="10"/>
      <c r="C752" s="24" t="s">
        <v>2745</v>
      </c>
      <c r="D752" s="12"/>
      <c r="E752" s="12" t="s">
        <v>2827</v>
      </c>
      <c r="F752" s="18" t="s">
        <v>116</v>
      </c>
      <c r="G752" s="19">
        <v>1</v>
      </c>
      <c r="H752" s="20"/>
      <c r="I752" s="194">
        <v>2</v>
      </c>
      <c r="J752" s="329"/>
      <c r="K752" s="257"/>
      <c r="L752" s="280"/>
      <c r="M752" s="401"/>
      <c r="N752" s="423"/>
      <c r="O752" s="423"/>
      <c r="P752" s="423"/>
      <c r="Q752" s="423"/>
      <c r="R752" s="218"/>
      <c r="S752" s="218"/>
      <c r="T752" s="213">
        <v>39406.67</v>
      </c>
      <c r="U752" s="211"/>
      <c r="V752" s="273"/>
      <c r="W752" s="206">
        <f>ROUND(ROUND(T752, 2)*I752, 2)</f>
        <v>78813.34</v>
      </c>
    </row>
    <row r="753" spans="1:25" ht="36.6" hidden="1" thickBot="1" x14ac:dyDescent="0.35">
      <c r="A753" s="10" t="s">
        <v>2830</v>
      </c>
      <c r="B753" s="10" t="s">
        <v>2713</v>
      </c>
      <c r="C753" s="11" t="s">
        <v>2714</v>
      </c>
      <c r="D753" s="12"/>
      <c r="E753" s="12" t="s">
        <v>2831</v>
      </c>
      <c r="F753" s="12" t="s">
        <v>116</v>
      </c>
      <c r="G753" s="13">
        <v>1</v>
      </c>
      <c r="H753" s="13"/>
      <c r="I753" s="234">
        <v>2</v>
      </c>
      <c r="J753" s="322"/>
      <c r="K753" s="258"/>
      <c r="L753" s="281"/>
      <c r="M753" s="221"/>
      <c r="N753" s="422"/>
      <c r="O753" s="422"/>
      <c r="P753" s="422"/>
      <c r="Q753" s="422"/>
      <c r="R753" s="220"/>
      <c r="S753" s="221"/>
      <c r="T753" s="212">
        <f>IFERROR(ROUND(SUM(W754)/I753, 2),0)</f>
        <v>56520.67</v>
      </c>
      <c r="U753" s="202">
        <v>10751</v>
      </c>
      <c r="V753" s="274">
        <f>T753+ROUND(U753, 2)</f>
        <v>67271.67</v>
      </c>
      <c r="W753" s="182">
        <f>ROUND(T753*I753, 2)</f>
        <v>113041.34</v>
      </c>
      <c r="X753" s="14">
        <f>ROUND(I753*ROUND(U753, 2), 2)</f>
        <v>21502</v>
      </c>
      <c r="Y753" s="14">
        <f>W753+X753</f>
        <v>134543.34</v>
      </c>
    </row>
    <row r="754" spans="1:25" ht="126.45" hidden="1" customHeight="1" x14ac:dyDescent="0.4">
      <c r="A754" s="10" t="s">
        <v>2832</v>
      </c>
      <c r="B754" s="10"/>
      <c r="C754" s="24" t="s">
        <v>2745</v>
      </c>
      <c r="D754" s="12"/>
      <c r="E754" s="12" t="s">
        <v>2833</v>
      </c>
      <c r="F754" s="18" t="s">
        <v>116</v>
      </c>
      <c r="G754" s="19">
        <v>1</v>
      </c>
      <c r="H754" s="20"/>
      <c r="I754" s="194">
        <v>2</v>
      </c>
      <c r="J754" s="329"/>
      <c r="K754" s="257"/>
      <c r="L754" s="280"/>
      <c r="M754" s="401"/>
      <c r="N754" s="423"/>
      <c r="O754" s="423"/>
      <c r="P754" s="423"/>
      <c r="Q754" s="423"/>
      <c r="R754" s="218"/>
      <c r="S754" s="218"/>
      <c r="T754" s="213">
        <v>56520.67</v>
      </c>
      <c r="U754" s="211"/>
      <c r="V754" s="273"/>
      <c r="W754" s="206">
        <f>ROUND(ROUND(T754, 2)*I754, 2)</f>
        <v>113041.34</v>
      </c>
    </row>
    <row r="755" spans="1:25" ht="36.6" hidden="1" thickBot="1" x14ac:dyDescent="0.35">
      <c r="A755" s="10" t="s">
        <v>2836</v>
      </c>
      <c r="B755" s="10" t="s">
        <v>2713</v>
      </c>
      <c r="C755" s="11" t="s">
        <v>2714</v>
      </c>
      <c r="D755" s="12"/>
      <c r="E755" s="12" t="s">
        <v>2837</v>
      </c>
      <c r="F755" s="12" t="s">
        <v>116</v>
      </c>
      <c r="G755" s="13">
        <v>1</v>
      </c>
      <c r="H755" s="13"/>
      <c r="I755" s="234">
        <v>2</v>
      </c>
      <c r="J755" s="322"/>
      <c r="K755" s="258"/>
      <c r="L755" s="281"/>
      <c r="M755" s="221"/>
      <c r="N755" s="422"/>
      <c r="O755" s="422"/>
      <c r="P755" s="422"/>
      <c r="Q755" s="422"/>
      <c r="R755" s="220"/>
      <c r="S755" s="221"/>
      <c r="T755" s="212">
        <f>IFERROR(ROUND(SUM(W756)/I755, 2),0)</f>
        <v>56520.67</v>
      </c>
      <c r="U755" s="202">
        <v>10751</v>
      </c>
      <c r="V755" s="274">
        <f>T755+ROUND(U755, 2)</f>
        <v>67271.67</v>
      </c>
      <c r="W755" s="182">
        <f>ROUND(T755*I755, 2)</f>
        <v>113041.34</v>
      </c>
      <c r="X755" s="14">
        <f>ROUND(I755*ROUND(U755, 2), 2)</f>
        <v>21502</v>
      </c>
      <c r="Y755" s="14">
        <f>W755+X755</f>
        <v>134543.34</v>
      </c>
    </row>
    <row r="756" spans="1:25" ht="172.95" hidden="1" customHeight="1" x14ac:dyDescent="0.4">
      <c r="A756" s="10" t="s">
        <v>2838</v>
      </c>
      <c r="B756" s="10"/>
      <c r="C756" s="24" t="s">
        <v>2719</v>
      </c>
      <c r="D756" s="12"/>
      <c r="E756" s="12" t="s">
        <v>2839</v>
      </c>
      <c r="F756" s="18" t="s">
        <v>116</v>
      </c>
      <c r="G756" s="19">
        <v>1</v>
      </c>
      <c r="H756" s="20"/>
      <c r="I756" s="194">
        <v>2</v>
      </c>
      <c r="J756" s="329"/>
      <c r="K756" s="257"/>
      <c r="L756" s="280"/>
      <c r="M756" s="401"/>
      <c r="N756" s="423"/>
      <c r="O756" s="423"/>
      <c r="P756" s="423"/>
      <c r="Q756" s="423"/>
      <c r="R756" s="218"/>
      <c r="S756" s="218"/>
      <c r="T756" s="213">
        <v>56520.67</v>
      </c>
      <c r="U756" s="211"/>
      <c r="V756" s="273"/>
      <c r="W756" s="206">
        <f>ROUND(ROUND(T756, 2)*I756, 2)</f>
        <v>113041.34</v>
      </c>
    </row>
    <row r="757" spans="1:25" ht="29.55" hidden="1" customHeight="1" x14ac:dyDescent="0.3">
      <c r="A757" s="10" t="s">
        <v>2842</v>
      </c>
      <c r="B757" s="10" t="s">
        <v>2713</v>
      </c>
      <c r="C757" s="11" t="s">
        <v>2714</v>
      </c>
      <c r="D757" s="12"/>
      <c r="E757" s="12" t="s">
        <v>2843</v>
      </c>
      <c r="F757" s="12" t="s">
        <v>116</v>
      </c>
      <c r="G757" s="13">
        <v>1</v>
      </c>
      <c r="H757" s="13"/>
      <c r="I757" s="234">
        <v>3</v>
      </c>
      <c r="J757" s="322"/>
      <c r="K757" s="258"/>
      <c r="L757" s="281"/>
      <c r="M757" s="221"/>
      <c r="N757" s="422"/>
      <c r="O757" s="422"/>
      <c r="P757" s="422"/>
      <c r="Q757" s="422"/>
      <c r="R757" s="220"/>
      <c r="S757" s="221"/>
      <c r="T757" s="212">
        <f>IFERROR(ROUND(SUM(W758)/I757, 2),0)</f>
        <v>39406.67</v>
      </c>
      <c r="U757" s="202">
        <v>9309</v>
      </c>
      <c r="V757" s="274">
        <f>T757+ROUND(U757, 2)</f>
        <v>48715.67</v>
      </c>
      <c r="W757" s="182">
        <f>ROUND(T757*I757, 2)</f>
        <v>118220.01</v>
      </c>
      <c r="X757" s="14">
        <f>ROUND(I757*ROUND(U757, 2), 2)</f>
        <v>27927</v>
      </c>
      <c r="Y757" s="14">
        <f>W757+X757</f>
        <v>146147.01</v>
      </c>
    </row>
    <row r="758" spans="1:25" ht="190.95" hidden="1" customHeight="1" x14ac:dyDescent="0.4">
      <c r="A758" s="10" t="s">
        <v>2844</v>
      </c>
      <c r="B758" s="10"/>
      <c r="C758" s="24" t="s">
        <v>2745</v>
      </c>
      <c r="D758" s="12"/>
      <c r="E758" s="12" t="s">
        <v>2845</v>
      </c>
      <c r="F758" s="18" t="s">
        <v>116</v>
      </c>
      <c r="G758" s="19">
        <v>1</v>
      </c>
      <c r="H758" s="20"/>
      <c r="I758" s="194">
        <v>3</v>
      </c>
      <c r="J758" s="329"/>
      <c r="K758" s="257"/>
      <c r="L758" s="280"/>
      <c r="M758" s="401"/>
      <c r="N758" s="423"/>
      <c r="O758" s="423"/>
      <c r="P758" s="423"/>
      <c r="Q758" s="423"/>
      <c r="R758" s="218"/>
      <c r="S758" s="218"/>
      <c r="T758" s="213">
        <v>39406.67</v>
      </c>
      <c r="U758" s="211"/>
      <c r="V758" s="273"/>
      <c r="W758" s="206">
        <f>ROUND(ROUND(T758, 2)*I758, 2)</f>
        <v>118220.01</v>
      </c>
    </row>
    <row r="759" spans="1:25" ht="36.6" hidden="1" thickBot="1" x14ac:dyDescent="0.35">
      <c r="A759" s="10" t="s">
        <v>2848</v>
      </c>
      <c r="B759" s="10" t="s">
        <v>2713</v>
      </c>
      <c r="C759" s="11" t="s">
        <v>2714</v>
      </c>
      <c r="D759" s="12"/>
      <c r="E759" s="12" t="s">
        <v>2849</v>
      </c>
      <c r="F759" s="12" t="s">
        <v>116</v>
      </c>
      <c r="G759" s="13">
        <v>1</v>
      </c>
      <c r="H759" s="13"/>
      <c r="I759" s="234">
        <v>2</v>
      </c>
      <c r="J759" s="322"/>
      <c r="K759" s="258"/>
      <c r="L759" s="281"/>
      <c r="M759" s="221"/>
      <c r="N759" s="422"/>
      <c r="O759" s="422"/>
      <c r="P759" s="422"/>
      <c r="Q759" s="422"/>
      <c r="R759" s="220"/>
      <c r="S759" s="221"/>
      <c r="T759" s="212">
        <f>IFERROR(ROUND(SUM(W760)/I759, 2),0)</f>
        <v>39406.67</v>
      </c>
      <c r="U759" s="202">
        <v>9309</v>
      </c>
      <c r="V759" s="274">
        <f>T759+ROUND(U759, 2)</f>
        <v>48715.67</v>
      </c>
      <c r="W759" s="182">
        <f>ROUND(T759*I759, 2)</f>
        <v>78813.34</v>
      </c>
      <c r="X759" s="14">
        <f>ROUND(I759*ROUND(U759, 2), 2)</f>
        <v>18618</v>
      </c>
      <c r="Y759" s="14">
        <f>W759+X759</f>
        <v>97431.34</v>
      </c>
    </row>
    <row r="760" spans="1:25" ht="192" hidden="1" customHeight="1" x14ac:dyDescent="0.4">
      <c r="A760" s="10" t="s">
        <v>2850</v>
      </c>
      <c r="B760" s="10"/>
      <c r="C760" s="24" t="s">
        <v>2745</v>
      </c>
      <c r="D760" s="12"/>
      <c r="E760" s="12" t="s">
        <v>2851</v>
      </c>
      <c r="F760" s="18" t="s">
        <v>116</v>
      </c>
      <c r="G760" s="19">
        <v>1</v>
      </c>
      <c r="H760" s="20"/>
      <c r="I760" s="194">
        <v>2</v>
      </c>
      <c r="J760" s="329"/>
      <c r="K760" s="257"/>
      <c r="L760" s="280"/>
      <c r="M760" s="401"/>
      <c r="N760" s="423"/>
      <c r="O760" s="423"/>
      <c r="P760" s="423"/>
      <c r="Q760" s="423"/>
      <c r="R760" s="218"/>
      <c r="S760" s="218"/>
      <c r="T760" s="213">
        <v>39406.67</v>
      </c>
      <c r="U760" s="211"/>
      <c r="V760" s="273"/>
      <c r="W760" s="206">
        <f>ROUND(ROUND(T760, 2)*I760, 2)</f>
        <v>78813.34</v>
      </c>
    </row>
    <row r="761" spans="1:25" ht="36.6" hidden="1" thickBot="1" x14ac:dyDescent="0.35">
      <c r="A761" s="10" t="s">
        <v>2854</v>
      </c>
      <c r="B761" s="10" t="s">
        <v>2713</v>
      </c>
      <c r="C761" s="11" t="s">
        <v>2714</v>
      </c>
      <c r="D761" s="12"/>
      <c r="E761" s="12" t="s">
        <v>2855</v>
      </c>
      <c r="F761" s="12" t="s">
        <v>116</v>
      </c>
      <c r="G761" s="13">
        <v>1</v>
      </c>
      <c r="H761" s="13"/>
      <c r="I761" s="234">
        <v>1</v>
      </c>
      <c r="J761" s="322"/>
      <c r="K761" s="258"/>
      <c r="L761" s="281"/>
      <c r="M761" s="221"/>
      <c r="N761" s="422"/>
      <c r="O761" s="422"/>
      <c r="P761" s="422"/>
      <c r="Q761" s="422"/>
      <c r="R761" s="220"/>
      <c r="S761" s="221"/>
      <c r="T761" s="212">
        <f>IFERROR(ROUND(SUM(W762)/I761, 2),0)</f>
        <v>39406.67</v>
      </c>
      <c r="U761" s="202">
        <v>9309</v>
      </c>
      <c r="V761" s="274">
        <f>T761+ROUND(U761, 2)</f>
        <v>48715.67</v>
      </c>
      <c r="W761" s="182">
        <f>ROUND(T761*I761, 2)</f>
        <v>39406.67</v>
      </c>
      <c r="X761" s="14">
        <f>ROUND(I761*ROUND(U761, 2), 2)</f>
        <v>9309</v>
      </c>
      <c r="Y761" s="14">
        <f>W761+X761</f>
        <v>48715.67</v>
      </c>
    </row>
    <row r="762" spans="1:25" ht="204.45" hidden="1" customHeight="1" x14ac:dyDescent="0.4">
      <c r="A762" s="10" t="s">
        <v>2856</v>
      </c>
      <c r="B762" s="10"/>
      <c r="C762" s="24" t="s">
        <v>2745</v>
      </c>
      <c r="D762" s="12"/>
      <c r="E762" s="12" t="s">
        <v>2857</v>
      </c>
      <c r="F762" s="18" t="s">
        <v>116</v>
      </c>
      <c r="G762" s="19">
        <v>1</v>
      </c>
      <c r="H762" s="20"/>
      <c r="I762" s="194">
        <v>1</v>
      </c>
      <c r="J762" s="329"/>
      <c r="K762" s="257"/>
      <c r="L762" s="280"/>
      <c r="M762" s="401"/>
      <c r="N762" s="423"/>
      <c r="O762" s="423"/>
      <c r="P762" s="423"/>
      <c r="Q762" s="423"/>
      <c r="R762" s="218"/>
      <c r="S762" s="218"/>
      <c r="T762" s="213">
        <v>39406.67</v>
      </c>
      <c r="U762" s="211"/>
      <c r="V762" s="273"/>
      <c r="W762" s="206">
        <f>ROUND(ROUND(T762, 2)*I762, 2)</f>
        <v>39406.67</v>
      </c>
    </row>
    <row r="763" spans="1:25" ht="31.05" hidden="1" customHeight="1" x14ac:dyDescent="0.3">
      <c r="A763" s="10" t="s">
        <v>2860</v>
      </c>
      <c r="B763" s="10" t="s">
        <v>2713</v>
      </c>
      <c r="C763" s="11" t="s">
        <v>2714</v>
      </c>
      <c r="D763" s="12"/>
      <c r="E763" s="12" t="s">
        <v>2861</v>
      </c>
      <c r="F763" s="12" t="s">
        <v>116</v>
      </c>
      <c r="G763" s="13">
        <v>1</v>
      </c>
      <c r="H763" s="13"/>
      <c r="I763" s="234">
        <v>1</v>
      </c>
      <c r="J763" s="322"/>
      <c r="K763" s="258"/>
      <c r="L763" s="281"/>
      <c r="M763" s="221"/>
      <c r="N763" s="422"/>
      <c r="O763" s="422"/>
      <c r="P763" s="422"/>
      <c r="Q763" s="422"/>
      <c r="R763" s="220"/>
      <c r="S763" s="221"/>
      <c r="T763" s="212">
        <f>IFERROR(ROUND(SUM(W764)/I763, 2),0)</f>
        <v>97185</v>
      </c>
      <c r="U763" s="202">
        <v>12606</v>
      </c>
      <c r="V763" s="274">
        <f>T763+ROUND(U763, 2)</f>
        <v>109791</v>
      </c>
      <c r="W763" s="182">
        <f>ROUND(T763*I763, 2)</f>
        <v>97185</v>
      </c>
      <c r="X763" s="14">
        <f>ROUND(I763*ROUND(U763, 2), 2)</f>
        <v>12606</v>
      </c>
      <c r="Y763" s="14">
        <f>W763+X763</f>
        <v>109791</v>
      </c>
    </row>
    <row r="764" spans="1:25" ht="146.55000000000001" hidden="1" customHeight="1" x14ac:dyDescent="0.4">
      <c r="A764" s="10" t="s">
        <v>2862</v>
      </c>
      <c r="B764" s="10"/>
      <c r="C764" s="24" t="s">
        <v>2719</v>
      </c>
      <c r="D764" s="12"/>
      <c r="E764" s="12" t="s">
        <v>2863</v>
      </c>
      <c r="F764" s="18" t="s">
        <v>116</v>
      </c>
      <c r="G764" s="19">
        <v>1</v>
      </c>
      <c r="H764" s="20"/>
      <c r="I764" s="194">
        <v>1</v>
      </c>
      <c r="J764" s="329"/>
      <c r="K764" s="257"/>
      <c r="L764" s="280"/>
      <c r="M764" s="401"/>
      <c r="N764" s="423"/>
      <c r="O764" s="423"/>
      <c r="P764" s="423"/>
      <c r="Q764" s="423"/>
      <c r="R764" s="218"/>
      <c r="S764" s="218"/>
      <c r="T764" s="213">
        <v>97185</v>
      </c>
      <c r="U764" s="211"/>
      <c r="V764" s="273"/>
      <c r="W764" s="206">
        <f>ROUND(ROUND(T764, 2)*I764, 2)</f>
        <v>97185</v>
      </c>
    </row>
    <row r="765" spans="1:25" ht="36.6" hidden="1" thickBot="1" x14ac:dyDescent="0.35">
      <c r="A765" s="10" t="s">
        <v>2866</v>
      </c>
      <c r="B765" s="10" t="s">
        <v>2713</v>
      </c>
      <c r="C765" s="11" t="s">
        <v>2714</v>
      </c>
      <c r="D765" s="12"/>
      <c r="E765" s="12" t="s">
        <v>2867</v>
      </c>
      <c r="F765" s="12" t="s">
        <v>116</v>
      </c>
      <c r="G765" s="13">
        <v>1</v>
      </c>
      <c r="H765" s="13"/>
      <c r="I765" s="234">
        <v>1</v>
      </c>
      <c r="J765" s="322"/>
      <c r="K765" s="258"/>
      <c r="L765" s="281"/>
      <c r="M765" s="221"/>
      <c r="N765" s="422"/>
      <c r="O765" s="422"/>
      <c r="P765" s="422"/>
      <c r="Q765" s="422"/>
      <c r="R765" s="220"/>
      <c r="S765" s="221"/>
      <c r="T765" s="212">
        <f>IFERROR(ROUND(SUM(W766)/I765, 2),0)</f>
        <v>170750.67</v>
      </c>
      <c r="U765" s="202">
        <v>23845</v>
      </c>
      <c r="V765" s="274">
        <f>T765+ROUND(U765, 2)</f>
        <v>194595.67</v>
      </c>
      <c r="W765" s="182">
        <f>ROUND(T765*I765, 2)</f>
        <v>170750.67</v>
      </c>
      <c r="X765" s="14">
        <f>ROUND(I765*ROUND(U765, 2), 2)</f>
        <v>23845</v>
      </c>
      <c r="Y765" s="14">
        <f>W765+X765</f>
        <v>194595.67</v>
      </c>
    </row>
    <row r="766" spans="1:25" ht="166.95" hidden="1" customHeight="1" x14ac:dyDescent="0.4">
      <c r="A766" s="10" t="s">
        <v>2868</v>
      </c>
      <c r="B766" s="10"/>
      <c r="C766" s="24" t="s">
        <v>2745</v>
      </c>
      <c r="D766" s="12"/>
      <c r="E766" s="12" t="s">
        <v>2869</v>
      </c>
      <c r="F766" s="18" t="s">
        <v>116</v>
      </c>
      <c r="G766" s="19">
        <v>1</v>
      </c>
      <c r="H766" s="20"/>
      <c r="I766" s="194">
        <v>1</v>
      </c>
      <c r="J766" s="329"/>
      <c r="K766" s="257"/>
      <c r="L766" s="280"/>
      <c r="M766" s="401"/>
      <c r="N766" s="423"/>
      <c r="O766" s="423"/>
      <c r="P766" s="423"/>
      <c r="Q766" s="423"/>
      <c r="R766" s="218"/>
      <c r="S766" s="218"/>
      <c r="T766" s="213">
        <v>170750.67</v>
      </c>
      <c r="U766" s="211"/>
      <c r="V766" s="273"/>
      <c r="W766" s="206">
        <f>ROUND(ROUND(T766, 2)*I766, 2)</f>
        <v>170750.67</v>
      </c>
    </row>
    <row r="767" spans="1:25" ht="36.6" hidden="1" thickBot="1" x14ac:dyDescent="0.35">
      <c r="A767" s="10" t="s">
        <v>2872</v>
      </c>
      <c r="B767" s="10" t="s">
        <v>2713</v>
      </c>
      <c r="C767" s="11" t="s">
        <v>2714</v>
      </c>
      <c r="D767" s="12"/>
      <c r="E767" s="12" t="s">
        <v>2873</v>
      </c>
      <c r="F767" s="12" t="s">
        <v>116</v>
      </c>
      <c r="G767" s="13">
        <v>1</v>
      </c>
      <c r="H767" s="13"/>
      <c r="I767" s="234">
        <v>2</v>
      </c>
      <c r="J767" s="322"/>
      <c r="K767" s="258"/>
      <c r="L767" s="281"/>
      <c r="M767" s="221"/>
      <c r="N767" s="422"/>
      <c r="O767" s="422"/>
      <c r="P767" s="422"/>
      <c r="Q767" s="422"/>
      <c r="R767" s="220"/>
      <c r="S767" s="221"/>
      <c r="T767" s="212">
        <f>IFERROR(ROUND(SUM(W768)/I767, 2),0)</f>
        <v>130825.67</v>
      </c>
      <c r="U767" s="202">
        <v>23845</v>
      </c>
      <c r="V767" s="274">
        <f>T767+ROUND(U767, 2)</f>
        <v>154670.66999999998</v>
      </c>
      <c r="W767" s="182">
        <f>ROUND(T767*I767, 2)</f>
        <v>261651.34</v>
      </c>
      <c r="X767" s="14">
        <f>ROUND(I767*ROUND(U767, 2), 2)</f>
        <v>47690</v>
      </c>
      <c r="Y767" s="14">
        <f>W767+X767</f>
        <v>309341.33999999997</v>
      </c>
    </row>
    <row r="768" spans="1:25" ht="170.55" hidden="1" customHeight="1" x14ac:dyDescent="0.4">
      <c r="A768" s="10" t="s">
        <v>2874</v>
      </c>
      <c r="B768" s="10"/>
      <c r="C768" s="24" t="s">
        <v>2745</v>
      </c>
      <c r="D768" s="12"/>
      <c r="E768" s="12" t="s">
        <v>2875</v>
      </c>
      <c r="F768" s="18" t="s">
        <v>116</v>
      </c>
      <c r="G768" s="19">
        <v>1</v>
      </c>
      <c r="H768" s="20"/>
      <c r="I768" s="235">
        <v>2</v>
      </c>
      <c r="J768" s="329"/>
      <c r="K768" s="257"/>
      <c r="L768" s="280"/>
      <c r="M768" s="401"/>
      <c r="N768" s="423"/>
      <c r="O768" s="423"/>
      <c r="P768" s="423"/>
      <c r="Q768" s="423"/>
      <c r="R768" s="218"/>
      <c r="S768" s="218"/>
      <c r="T768" s="213">
        <v>130825.67</v>
      </c>
      <c r="U768" s="211"/>
      <c r="V768" s="273"/>
      <c r="W768" s="206">
        <f>ROUND(ROUND(T768, 2)*I768, 2)</f>
        <v>261651.34</v>
      </c>
    </row>
    <row r="769" spans="1:25" ht="16.95" customHeight="1" x14ac:dyDescent="0.45">
      <c r="A769" s="10" t="s">
        <v>2878</v>
      </c>
      <c r="B769" s="10" t="s">
        <v>2879</v>
      </c>
      <c r="C769" s="173" t="s">
        <v>2880</v>
      </c>
      <c r="D769" s="174"/>
      <c r="E769" s="174"/>
      <c r="F769" s="174"/>
      <c r="G769" s="174"/>
      <c r="H769" s="174"/>
      <c r="I769" s="236"/>
      <c r="J769" s="324"/>
      <c r="K769" s="257"/>
      <c r="L769" s="280"/>
      <c r="M769" s="407"/>
      <c r="N769" s="421"/>
      <c r="O769" s="421"/>
      <c r="P769" s="421"/>
      <c r="Q769" s="421"/>
      <c r="R769" s="361"/>
      <c r="S769" s="359"/>
      <c r="T769" s="210"/>
      <c r="U769" s="211"/>
      <c r="V769" s="273"/>
      <c r="W769" s="205">
        <f t="shared" ref="W769:Y771" si="9">SUM(W770)</f>
        <v>0</v>
      </c>
      <c r="X769" s="6">
        <f t="shared" si="9"/>
        <v>1057732.71</v>
      </c>
      <c r="Y769" s="6">
        <f t="shared" si="9"/>
        <v>1057732.71</v>
      </c>
    </row>
    <row r="770" spans="1:25" ht="16.95" customHeight="1" x14ac:dyDescent="0.45">
      <c r="A770" s="10" t="s">
        <v>2881</v>
      </c>
      <c r="B770" s="10" t="s">
        <v>2882</v>
      </c>
      <c r="C770" s="173" t="s">
        <v>2883</v>
      </c>
      <c r="D770" s="174"/>
      <c r="E770" s="174"/>
      <c r="F770" s="174"/>
      <c r="G770" s="174"/>
      <c r="H770" s="174"/>
      <c r="I770" s="223"/>
      <c r="J770" s="324"/>
      <c r="K770" s="257"/>
      <c r="L770" s="280"/>
      <c r="M770" s="413"/>
      <c r="N770" s="421"/>
      <c r="O770" s="421"/>
      <c r="P770" s="421"/>
      <c r="Q770" s="421"/>
      <c r="R770" s="366"/>
      <c r="S770" s="365"/>
      <c r="T770" s="210"/>
      <c r="U770" s="211"/>
      <c r="V770" s="273"/>
      <c r="W770" s="205">
        <f t="shared" si="9"/>
        <v>0</v>
      </c>
      <c r="X770" s="6">
        <f t="shared" si="9"/>
        <v>1057732.71</v>
      </c>
      <c r="Y770" s="6">
        <f t="shared" si="9"/>
        <v>1057732.71</v>
      </c>
    </row>
    <row r="771" spans="1:25" ht="16.95" customHeight="1" x14ac:dyDescent="0.45">
      <c r="A771" s="10" t="s">
        <v>2884</v>
      </c>
      <c r="B771" s="10" t="s">
        <v>2885</v>
      </c>
      <c r="C771" s="173" t="s">
        <v>2886</v>
      </c>
      <c r="D771" s="174"/>
      <c r="E771" s="174"/>
      <c r="F771" s="174"/>
      <c r="G771" s="174"/>
      <c r="H771" s="174"/>
      <c r="I771" s="223"/>
      <c r="J771" s="324"/>
      <c r="K771" s="257"/>
      <c r="L771" s="280"/>
      <c r="M771" s="408"/>
      <c r="N771" s="421"/>
      <c r="O771" s="421"/>
      <c r="P771" s="421"/>
      <c r="Q771" s="421"/>
      <c r="R771" s="362"/>
      <c r="S771" s="360"/>
      <c r="T771" s="210"/>
      <c r="U771" s="211"/>
      <c r="V771" s="273"/>
      <c r="W771" s="205">
        <f t="shared" si="9"/>
        <v>0</v>
      </c>
      <c r="X771" s="6">
        <f t="shared" si="9"/>
        <v>1057732.71</v>
      </c>
      <c r="Y771" s="6">
        <f t="shared" si="9"/>
        <v>1057732.71</v>
      </c>
    </row>
    <row r="772" spans="1:25" ht="87.6" thickBot="1" x14ac:dyDescent="0.35">
      <c r="A772" s="249" t="s">
        <v>2887</v>
      </c>
      <c r="B772" s="249" t="s">
        <v>2888</v>
      </c>
      <c r="C772" s="250" t="s">
        <v>2889</v>
      </c>
      <c r="D772" s="251"/>
      <c r="E772" s="251" t="s">
        <v>2890</v>
      </c>
      <c r="F772" s="251" t="s">
        <v>64</v>
      </c>
      <c r="G772" s="239">
        <v>1</v>
      </c>
      <c r="H772" s="240"/>
      <c r="I772" s="241">
        <v>1348.65</v>
      </c>
      <c r="J772" s="332"/>
      <c r="K772" s="265"/>
      <c r="L772" s="288"/>
      <c r="M772" s="243"/>
      <c r="N772" s="422"/>
      <c r="O772" s="422"/>
      <c r="P772" s="422"/>
      <c r="Q772" s="422"/>
      <c r="R772" s="242"/>
      <c r="S772" s="243"/>
      <c r="T772" s="244">
        <v>0</v>
      </c>
      <c r="U772" s="245">
        <v>784.29</v>
      </c>
      <c r="V772" s="275">
        <f>T772+ROUND(U772, 2)</f>
        <v>784.29</v>
      </c>
      <c r="W772" s="246">
        <v>0</v>
      </c>
      <c r="X772" s="247">
        <f>ROUND(I772*ROUND(U772, 2), 2)</f>
        <v>1057732.71</v>
      </c>
      <c r="Y772" s="247">
        <f>W772+X772</f>
        <v>1057732.71</v>
      </c>
    </row>
    <row r="773" spans="1:25" ht="48" customHeight="1" thickBot="1" x14ac:dyDescent="0.5">
      <c r="A773" s="370" t="s">
        <v>2894</v>
      </c>
      <c r="B773" s="371"/>
      <c r="C773" s="371"/>
      <c r="D773" s="371"/>
      <c r="E773" s="371"/>
      <c r="F773" s="371"/>
      <c r="G773" s="371"/>
      <c r="H773" s="372"/>
      <c r="I773" s="248"/>
      <c r="J773" s="333"/>
      <c r="K773" s="266"/>
      <c r="L773" s="289"/>
      <c r="M773" s="414"/>
      <c r="N773" s="434"/>
      <c r="O773" s="434"/>
      <c r="P773" s="434"/>
      <c r="Q773" s="434"/>
      <c r="R773" s="270"/>
      <c r="S773" s="253"/>
      <c r="T773" s="376" t="s">
        <v>2961</v>
      </c>
      <c r="U773" s="377"/>
      <c r="V773" s="378"/>
      <c r="W773" s="292">
        <f>SUM(W9)</f>
        <v>50774880.949999996</v>
      </c>
      <c r="X773" s="292">
        <f>SUM(X9)</f>
        <v>83900402.040000007</v>
      </c>
      <c r="Y773" s="292">
        <f>W773+X773</f>
        <v>134675282.99000001</v>
      </c>
    </row>
    <row r="774" spans="1:25" ht="48" customHeight="1" thickBot="1" x14ac:dyDescent="0.5">
      <c r="A774" s="368" t="s">
        <v>2960</v>
      </c>
      <c r="B774" s="369"/>
      <c r="C774" s="369"/>
      <c r="D774" s="369"/>
      <c r="E774" s="369"/>
      <c r="F774" s="369"/>
      <c r="G774" s="369"/>
      <c r="H774" s="369"/>
      <c r="I774" s="252"/>
      <c r="J774" s="334"/>
      <c r="K774" s="267"/>
      <c r="L774" s="290"/>
      <c r="M774" s="415">
        <f>SUM(M8:M773)</f>
        <v>15393309.578400001</v>
      </c>
      <c r="N774" s="435"/>
      <c r="O774" s="435"/>
      <c r="P774" s="435"/>
      <c r="Q774" s="435"/>
      <c r="R774" s="293"/>
      <c r="S774" s="294"/>
      <c r="T774" s="373">
        <f>M774</f>
        <v>15393309.578400001</v>
      </c>
      <c r="U774" s="374"/>
      <c r="V774" s="375"/>
      <c r="W774" s="295"/>
      <c r="X774" s="295"/>
      <c r="Y774" s="296">
        <f>Y773-T774</f>
        <v>119281973.41160001</v>
      </c>
    </row>
    <row r="775" spans="1:25" ht="33" customHeight="1" x14ac:dyDescent="0.3"/>
  </sheetData>
  <mergeCells count="35">
    <mergeCell ref="A3:Y3"/>
    <mergeCell ref="A4:Y4"/>
    <mergeCell ref="A5:Y5"/>
    <mergeCell ref="A6:A8"/>
    <mergeCell ref="B6:B8"/>
    <mergeCell ref="C6:C8"/>
    <mergeCell ref="D6:D8"/>
    <mergeCell ref="E6:E8"/>
    <mergeCell ref="F6:F8"/>
    <mergeCell ref="G6:G8"/>
    <mergeCell ref="V7:V8"/>
    <mergeCell ref="W7:X7"/>
    <mergeCell ref="Y7:Y8"/>
    <mergeCell ref="H6:H8"/>
    <mergeCell ref="I6:I8"/>
    <mergeCell ref="T6:V6"/>
    <mergeCell ref="A774:H774"/>
    <mergeCell ref="A773:H773"/>
    <mergeCell ref="T774:V774"/>
    <mergeCell ref="T773:V773"/>
    <mergeCell ref="W6:Y6"/>
    <mergeCell ref="T7:U7"/>
    <mergeCell ref="J6:J8"/>
    <mergeCell ref="K6:K8"/>
    <mergeCell ref="M165:M166"/>
    <mergeCell ref="R165:R166"/>
    <mergeCell ref="S165:S166"/>
    <mergeCell ref="M496:M497"/>
    <mergeCell ref="R496:R497"/>
    <mergeCell ref="I496:I497"/>
    <mergeCell ref="S496:S497"/>
    <mergeCell ref="M769:M771"/>
    <mergeCell ref="R769:R771"/>
    <mergeCell ref="S769:S771"/>
    <mergeCell ref="C716:I716"/>
  </mergeCells>
  <pageMargins left="0.7" right="0.7" top="0.75" bottom="0.75" header="0.3" footer="0.3"/>
  <pageSetup paperSize="9" scale="15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T143"/>
  <sheetViews>
    <sheetView zoomScale="70" zoomScaleNormal="70" workbookViewId="0">
      <selection activeCell="D4" sqref="D1:D1048576"/>
    </sheetView>
  </sheetViews>
  <sheetFormatPr defaultColWidth="9.109375" defaultRowHeight="13.2" x14ac:dyDescent="0.3"/>
  <cols>
    <col min="1" max="1" width="11.5546875" style="439" customWidth="1"/>
    <col min="2" max="2" width="31.109375" style="439" customWidth="1"/>
    <col min="3" max="3" width="43.5546875" style="439" customWidth="1"/>
    <col min="4" max="4" width="12" style="439" customWidth="1"/>
    <col min="5" max="5" width="13.88671875" style="439" hidden="1" customWidth="1"/>
    <col min="6" max="6" width="15.88671875" style="439" customWidth="1"/>
    <col min="7" max="7" width="43" style="439" hidden="1" customWidth="1"/>
    <col min="8" max="8" width="12.109375" style="439" customWidth="1"/>
    <col min="9" max="9" width="22" style="439" hidden="1" customWidth="1"/>
    <col min="10" max="10" width="16.33203125" style="439" customWidth="1"/>
    <col min="11" max="11" width="43.88671875" style="439" hidden="1" customWidth="1"/>
    <col min="12" max="12" width="15.88671875" style="439" customWidth="1"/>
    <col min="13" max="13" width="22.5546875" style="439" hidden="1" customWidth="1"/>
    <col min="14" max="14" width="22.33203125" style="439" hidden="1" customWidth="1"/>
    <col min="15" max="15" width="19.33203125" style="439" customWidth="1"/>
    <col min="16" max="16" width="15.44140625" style="439" customWidth="1"/>
    <col min="17" max="16384" width="9.109375" style="439"/>
  </cols>
  <sheetData>
    <row r="1" spans="1:19" ht="23.25" customHeight="1" x14ac:dyDescent="0.3">
      <c r="A1" s="437" t="s">
        <v>2962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</row>
    <row r="2" spans="1:19" ht="25.5" customHeight="1" x14ac:dyDescent="0.3">
      <c r="A2" s="440" t="s">
        <v>2963</v>
      </c>
      <c r="B2" s="441" t="s">
        <v>2964</v>
      </c>
      <c r="C2" s="437" t="s">
        <v>2965</v>
      </c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</row>
    <row r="3" spans="1:19" s="450" customFormat="1" ht="20.399999999999999" x14ac:dyDescent="0.3">
      <c r="A3" s="442"/>
      <c r="B3" s="443"/>
      <c r="C3" s="444" t="s">
        <v>2966</v>
      </c>
      <c r="D3" s="445"/>
      <c r="E3" s="446" t="s">
        <v>2967</v>
      </c>
      <c r="F3" s="447"/>
      <c r="G3" s="446" t="s">
        <v>2968</v>
      </c>
      <c r="H3" s="447"/>
      <c r="I3" s="446" t="s">
        <v>2969</v>
      </c>
      <c r="J3" s="447"/>
      <c r="K3" s="446" t="s">
        <v>2970</v>
      </c>
      <c r="L3" s="447"/>
      <c r="M3" s="446" t="s">
        <v>2971</v>
      </c>
      <c r="N3" s="447"/>
      <c r="O3" s="448" t="s">
        <v>2972</v>
      </c>
      <c r="P3" s="449"/>
    </row>
    <row r="4" spans="1:19" ht="81" x14ac:dyDescent="0.3">
      <c r="A4" s="451"/>
      <c r="B4" s="452"/>
      <c r="C4" s="453" t="s">
        <v>2973</v>
      </c>
      <c r="D4" s="454" t="s">
        <v>2974</v>
      </c>
      <c r="E4" s="453" t="s">
        <v>2973</v>
      </c>
      <c r="F4" s="454" t="s">
        <v>2974</v>
      </c>
      <c r="G4" s="453" t="s">
        <v>2973</v>
      </c>
      <c r="H4" s="454" t="s">
        <v>2974</v>
      </c>
      <c r="I4" s="453" t="s">
        <v>2973</v>
      </c>
      <c r="J4" s="454" t="s">
        <v>2974</v>
      </c>
      <c r="K4" s="453" t="s">
        <v>2973</v>
      </c>
      <c r="L4" s="454" t="s">
        <v>2974</v>
      </c>
      <c r="M4" s="453" t="s">
        <v>2973</v>
      </c>
      <c r="N4" s="454" t="s">
        <v>2974</v>
      </c>
      <c r="O4" s="453" t="s">
        <v>2973</v>
      </c>
      <c r="P4" s="454" t="s">
        <v>2974</v>
      </c>
    </row>
    <row r="5" spans="1:19" ht="14.4" x14ac:dyDescent="0.3">
      <c r="A5" s="455" t="s">
        <v>2975</v>
      </c>
      <c r="B5" s="456" t="s">
        <v>2976</v>
      </c>
      <c r="C5" s="456" t="s">
        <v>2977</v>
      </c>
      <c r="D5" s="457" t="s">
        <v>2978</v>
      </c>
      <c r="E5" s="458" t="s">
        <v>2979</v>
      </c>
      <c r="F5" s="457" t="s">
        <v>2980</v>
      </c>
      <c r="G5" s="456" t="s">
        <v>2981</v>
      </c>
      <c r="H5" s="457" t="s">
        <v>2982</v>
      </c>
      <c r="I5" s="458" t="s">
        <v>2983</v>
      </c>
      <c r="J5" s="457" t="s">
        <v>2984</v>
      </c>
      <c r="K5" s="456" t="s">
        <v>2985</v>
      </c>
      <c r="L5" s="457" t="s">
        <v>2986</v>
      </c>
      <c r="M5" s="458" t="s">
        <v>2987</v>
      </c>
      <c r="N5" s="457" t="s">
        <v>2988</v>
      </c>
      <c r="O5" s="459" t="s">
        <v>2989</v>
      </c>
      <c r="P5" s="457" t="s">
        <v>2990</v>
      </c>
      <c r="Q5" s="460">
        <f t="shared" ref="Q5:Q13" si="0">A6</f>
        <v>2001</v>
      </c>
      <c r="R5" s="461">
        <f t="shared" ref="R5:R13" si="1">D6</f>
        <v>72.7</v>
      </c>
      <c r="S5" s="461">
        <f t="shared" ref="S5:S13" si="2">SUM(F6:L6)</f>
        <v>52.5</v>
      </c>
    </row>
    <row r="6" spans="1:19" ht="86.4" x14ac:dyDescent="0.3">
      <c r="A6" s="462">
        <v>2001</v>
      </c>
      <c r="B6" s="463" t="s">
        <v>2991</v>
      </c>
      <c r="C6" s="463" t="s">
        <v>2992</v>
      </c>
      <c r="D6" s="464">
        <v>72.7</v>
      </c>
      <c r="E6" s="465" t="s">
        <v>2993</v>
      </c>
      <c r="F6" s="464">
        <v>0</v>
      </c>
      <c r="G6" s="463" t="s">
        <v>2994</v>
      </c>
      <c r="H6" s="464">
        <v>33</v>
      </c>
      <c r="I6" s="465" t="s">
        <v>2993</v>
      </c>
      <c r="J6" s="464">
        <v>0</v>
      </c>
      <c r="K6" s="463" t="s">
        <v>2994</v>
      </c>
      <c r="L6" s="464">
        <v>19.5</v>
      </c>
      <c r="M6" s="465" t="s">
        <v>2993</v>
      </c>
      <c r="N6" s="464">
        <v>0</v>
      </c>
      <c r="O6" s="466" t="s">
        <v>2995</v>
      </c>
      <c r="P6" s="464">
        <v>125.2</v>
      </c>
      <c r="Q6" s="460">
        <f t="shared" si="0"/>
        <v>2002</v>
      </c>
      <c r="R6" s="461">
        <f t="shared" si="1"/>
        <v>53.1</v>
      </c>
      <c r="S6" s="461">
        <f t="shared" si="2"/>
        <v>62.400000000000006</v>
      </c>
    </row>
    <row r="7" spans="1:19" ht="86.4" x14ac:dyDescent="0.3">
      <c r="A7" s="462">
        <v>2002</v>
      </c>
      <c r="B7" s="463" t="s">
        <v>2991</v>
      </c>
      <c r="C7" s="463" t="s">
        <v>2992</v>
      </c>
      <c r="D7" s="464">
        <v>53.1</v>
      </c>
      <c r="E7" s="465" t="s">
        <v>2993</v>
      </c>
      <c r="F7" s="464">
        <v>0</v>
      </c>
      <c r="G7" s="463" t="s">
        <v>2994</v>
      </c>
      <c r="H7" s="464">
        <v>43.1</v>
      </c>
      <c r="I7" s="465" t="s">
        <v>2993</v>
      </c>
      <c r="J7" s="464">
        <v>0</v>
      </c>
      <c r="K7" s="463" t="s">
        <v>2994</v>
      </c>
      <c r="L7" s="464">
        <v>19.3</v>
      </c>
      <c r="M7" s="465" t="s">
        <v>2993</v>
      </c>
      <c r="N7" s="464">
        <v>0</v>
      </c>
      <c r="O7" s="466" t="s">
        <v>2995</v>
      </c>
      <c r="P7" s="464">
        <v>115.4</v>
      </c>
      <c r="Q7" s="460">
        <f t="shared" si="0"/>
        <v>2003</v>
      </c>
      <c r="R7" s="461">
        <f t="shared" si="1"/>
        <v>144.80000000000001</v>
      </c>
      <c r="S7" s="461">
        <f t="shared" si="2"/>
        <v>171.6</v>
      </c>
    </row>
    <row r="8" spans="1:19" ht="86.4" x14ac:dyDescent="0.3">
      <c r="A8" s="462">
        <v>2003</v>
      </c>
      <c r="B8" s="466" t="s">
        <v>2996</v>
      </c>
      <c r="C8" s="463" t="s">
        <v>2992</v>
      </c>
      <c r="D8" s="464">
        <v>144.80000000000001</v>
      </c>
      <c r="E8" s="465" t="s">
        <v>2993</v>
      </c>
      <c r="F8" s="464">
        <v>0</v>
      </c>
      <c r="G8" s="463" t="s">
        <v>2994</v>
      </c>
      <c r="H8" s="464">
        <v>149.1</v>
      </c>
      <c r="I8" s="465" t="s">
        <v>2993</v>
      </c>
      <c r="J8" s="464">
        <v>0</v>
      </c>
      <c r="K8" s="463" t="s">
        <v>2994</v>
      </c>
      <c r="L8" s="464">
        <v>22.5</v>
      </c>
      <c r="M8" s="465" t="s">
        <v>2993</v>
      </c>
      <c r="N8" s="464">
        <v>0</v>
      </c>
      <c r="O8" s="466" t="s">
        <v>2995</v>
      </c>
      <c r="P8" s="464">
        <v>316.5</v>
      </c>
      <c r="Q8" s="460">
        <f t="shared" si="0"/>
        <v>2004</v>
      </c>
      <c r="R8" s="461">
        <f t="shared" si="1"/>
        <v>44.3</v>
      </c>
      <c r="S8" s="461">
        <f t="shared" si="2"/>
        <v>70.900000000000006</v>
      </c>
    </row>
    <row r="9" spans="1:19" ht="115.2" x14ac:dyDescent="0.3">
      <c r="A9" s="462">
        <v>2004</v>
      </c>
      <c r="B9" s="466" t="s">
        <v>2997</v>
      </c>
      <c r="C9" s="463" t="s">
        <v>2992</v>
      </c>
      <c r="D9" s="464">
        <v>44.3</v>
      </c>
      <c r="E9" s="465" t="s">
        <v>2993</v>
      </c>
      <c r="F9" s="464">
        <v>0</v>
      </c>
      <c r="G9" s="463" t="s">
        <v>2994</v>
      </c>
      <c r="H9" s="464">
        <v>24.4</v>
      </c>
      <c r="I9" s="463" t="s">
        <v>2998</v>
      </c>
      <c r="J9" s="464">
        <v>9.5</v>
      </c>
      <c r="K9" s="463" t="s">
        <v>2994</v>
      </c>
      <c r="L9" s="464">
        <v>37</v>
      </c>
      <c r="M9" s="465" t="s">
        <v>2993</v>
      </c>
      <c r="N9" s="464">
        <v>0</v>
      </c>
      <c r="O9" s="466" t="s">
        <v>2995</v>
      </c>
      <c r="P9" s="464">
        <v>115.2</v>
      </c>
      <c r="Q9" s="460">
        <f t="shared" si="0"/>
        <v>2005</v>
      </c>
      <c r="R9" s="461">
        <f t="shared" si="1"/>
        <v>23.9</v>
      </c>
      <c r="S9" s="461">
        <f t="shared" si="2"/>
        <v>40.5</v>
      </c>
    </row>
    <row r="10" spans="1:19" ht="86.4" x14ac:dyDescent="0.3">
      <c r="A10" s="462">
        <v>2005</v>
      </c>
      <c r="B10" s="466" t="s">
        <v>2999</v>
      </c>
      <c r="C10" s="463" t="s">
        <v>2992</v>
      </c>
      <c r="D10" s="464">
        <v>23.9</v>
      </c>
      <c r="E10" s="465" t="s">
        <v>2993</v>
      </c>
      <c r="F10" s="464">
        <v>0</v>
      </c>
      <c r="G10" s="463" t="s">
        <v>2994</v>
      </c>
      <c r="H10" s="464">
        <v>36</v>
      </c>
      <c r="I10" s="465" t="s">
        <v>2993</v>
      </c>
      <c r="J10" s="464">
        <v>0</v>
      </c>
      <c r="K10" s="463" t="s">
        <v>2994</v>
      </c>
      <c r="L10" s="464">
        <v>4.5</v>
      </c>
      <c r="M10" s="465" t="s">
        <v>2993</v>
      </c>
      <c r="N10" s="464">
        <v>0</v>
      </c>
      <c r="O10" s="466" t="s">
        <v>2995</v>
      </c>
      <c r="P10" s="464">
        <v>64.400000000000006</v>
      </c>
      <c r="Q10" s="460">
        <f t="shared" si="0"/>
        <v>2006</v>
      </c>
      <c r="R10" s="461">
        <f t="shared" si="1"/>
        <v>20.399999999999999</v>
      </c>
      <c r="S10" s="461">
        <f t="shared" si="2"/>
        <v>45.8</v>
      </c>
    </row>
    <row r="11" spans="1:19" ht="86.4" x14ac:dyDescent="0.3">
      <c r="A11" s="462">
        <v>2006</v>
      </c>
      <c r="B11" s="466" t="s">
        <v>3000</v>
      </c>
      <c r="C11" s="463" t="s">
        <v>2992</v>
      </c>
      <c r="D11" s="464">
        <v>20.399999999999999</v>
      </c>
      <c r="E11" s="465" t="s">
        <v>2993</v>
      </c>
      <c r="F11" s="464">
        <v>0</v>
      </c>
      <c r="G11" s="463" t="s">
        <v>2994</v>
      </c>
      <c r="H11" s="464">
        <v>45.8</v>
      </c>
      <c r="I11" s="465" t="s">
        <v>2993</v>
      </c>
      <c r="J11" s="464">
        <v>0</v>
      </c>
      <c r="K11" s="465" t="s">
        <v>2993</v>
      </c>
      <c r="L11" s="464">
        <v>0</v>
      </c>
      <c r="M11" s="465" t="s">
        <v>2993</v>
      </c>
      <c r="N11" s="464">
        <v>0</v>
      </c>
      <c r="O11" s="466" t="s">
        <v>2995</v>
      </c>
      <c r="P11" s="464">
        <v>66.2</v>
      </c>
      <c r="Q11" s="460">
        <f t="shared" si="0"/>
        <v>2007</v>
      </c>
      <c r="R11" s="461">
        <f t="shared" si="1"/>
        <v>27.9</v>
      </c>
      <c r="S11" s="461">
        <f t="shared" si="2"/>
        <v>137</v>
      </c>
    </row>
    <row r="12" spans="1:19" ht="86.4" x14ac:dyDescent="0.3">
      <c r="A12" s="462">
        <v>2007</v>
      </c>
      <c r="B12" s="466" t="s">
        <v>3001</v>
      </c>
      <c r="C12" s="463" t="s">
        <v>2992</v>
      </c>
      <c r="D12" s="464">
        <v>27.9</v>
      </c>
      <c r="E12" s="465" t="s">
        <v>2993</v>
      </c>
      <c r="F12" s="464">
        <v>0</v>
      </c>
      <c r="G12" s="463" t="s">
        <v>2994</v>
      </c>
      <c r="H12" s="464">
        <v>110.2</v>
      </c>
      <c r="I12" s="465" t="s">
        <v>2993</v>
      </c>
      <c r="J12" s="464">
        <v>0</v>
      </c>
      <c r="K12" s="463" t="s">
        <v>2994</v>
      </c>
      <c r="L12" s="464">
        <v>26.8</v>
      </c>
      <c r="M12" s="465" t="s">
        <v>2993</v>
      </c>
      <c r="N12" s="464">
        <v>0</v>
      </c>
      <c r="O12" s="466" t="s">
        <v>2995</v>
      </c>
      <c r="P12" s="464">
        <v>164.9</v>
      </c>
      <c r="Q12" s="460">
        <f t="shared" si="0"/>
        <v>2008</v>
      </c>
      <c r="R12" s="461">
        <f t="shared" si="1"/>
        <v>101.7</v>
      </c>
      <c r="S12" s="461">
        <f t="shared" si="2"/>
        <v>0</v>
      </c>
    </row>
    <row r="13" spans="1:19" ht="86.4" x14ac:dyDescent="0.3">
      <c r="A13" s="462">
        <v>2008</v>
      </c>
      <c r="B13" s="466" t="s">
        <v>3002</v>
      </c>
      <c r="C13" s="463" t="s">
        <v>2992</v>
      </c>
      <c r="D13" s="464">
        <v>101.7</v>
      </c>
      <c r="E13" s="465" t="s">
        <v>2993</v>
      </c>
      <c r="F13" s="464">
        <v>0</v>
      </c>
      <c r="G13" s="465" t="s">
        <v>2993</v>
      </c>
      <c r="H13" s="464">
        <v>0</v>
      </c>
      <c r="I13" s="465" t="s">
        <v>2993</v>
      </c>
      <c r="J13" s="464">
        <v>0</v>
      </c>
      <c r="K13" s="465" t="s">
        <v>2993</v>
      </c>
      <c r="L13" s="464">
        <v>0</v>
      </c>
      <c r="M13" s="465" t="s">
        <v>2993</v>
      </c>
      <c r="N13" s="464">
        <v>0</v>
      </c>
      <c r="O13" s="466" t="s">
        <v>2995</v>
      </c>
      <c r="P13" s="464">
        <v>101.7</v>
      </c>
      <c r="Q13" s="460">
        <f t="shared" si="0"/>
        <v>2009</v>
      </c>
      <c r="R13" s="461">
        <f t="shared" si="1"/>
        <v>35.9</v>
      </c>
      <c r="S13" s="461">
        <f t="shared" si="2"/>
        <v>13.1</v>
      </c>
    </row>
    <row r="14" spans="1:19" ht="86.4" x14ac:dyDescent="0.3">
      <c r="A14" s="467">
        <v>2009</v>
      </c>
      <c r="B14" s="468" t="s">
        <v>3003</v>
      </c>
      <c r="C14" s="469" t="s">
        <v>2992</v>
      </c>
      <c r="D14" s="470">
        <v>35.9</v>
      </c>
      <c r="E14" s="471" t="s">
        <v>2993</v>
      </c>
      <c r="F14" s="470">
        <v>0</v>
      </c>
      <c r="G14" s="471" t="s">
        <v>2993</v>
      </c>
      <c r="H14" s="470">
        <v>0</v>
      </c>
      <c r="I14" s="471" t="s">
        <v>2993</v>
      </c>
      <c r="J14" s="470">
        <v>0</v>
      </c>
      <c r="K14" s="469" t="s">
        <v>2994</v>
      </c>
      <c r="L14" s="470">
        <v>13.1</v>
      </c>
      <c r="M14" s="471" t="s">
        <v>2993</v>
      </c>
      <c r="N14" s="470">
        <v>0</v>
      </c>
      <c r="O14" s="468" t="s">
        <v>2995</v>
      </c>
      <c r="P14" s="470">
        <v>49</v>
      </c>
      <c r="Q14" s="460" t="e">
        <f>#REF!</f>
        <v>#REF!</v>
      </c>
      <c r="R14" s="461" t="e">
        <f>#REF!</f>
        <v>#REF!</v>
      </c>
      <c r="S14" s="461" t="e">
        <f>SUM(#REF!)</f>
        <v>#REF!</v>
      </c>
    </row>
    <row r="15" spans="1:19" ht="100.8" x14ac:dyDescent="0.3">
      <c r="A15" s="467">
        <v>2010</v>
      </c>
      <c r="B15" s="468" t="s">
        <v>3004</v>
      </c>
      <c r="C15" s="469" t="s">
        <v>3005</v>
      </c>
      <c r="D15" s="472">
        <v>10.8</v>
      </c>
      <c r="E15" s="471" t="s">
        <v>2993</v>
      </c>
      <c r="F15" s="470">
        <v>0</v>
      </c>
      <c r="G15" s="469" t="s">
        <v>3006</v>
      </c>
      <c r="H15" s="470">
        <v>36.9</v>
      </c>
      <c r="I15" s="471" t="s">
        <v>2993</v>
      </c>
      <c r="J15" s="470">
        <v>0</v>
      </c>
      <c r="K15" s="469" t="s">
        <v>3006</v>
      </c>
      <c r="L15" s="470">
        <v>43.1</v>
      </c>
      <c r="M15" s="471" t="s">
        <v>2993</v>
      </c>
      <c r="N15" s="470">
        <v>0</v>
      </c>
      <c r="O15" s="468" t="s">
        <v>2995</v>
      </c>
      <c r="P15" s="470">
        <v>100.8</v>
      </c>
      <c r="Q15" s="460" t="e">
        <f>#REF!</f>
        <v>#REF!</v>
      </c>
      <c r="R15" s="461" t="e">
        <f>#REF!</f>
        <v>#REF!</v>
      </c>
      <c r="S15" s="461" t="e">
        <f>SUM(#REF!)</f>
        <v>#REF!</v>
      </c>
    </row>
    <row r="16" spans="1:19" ht="100.8" x14ac:dyDescent="0.3">
      <c r="A16" s="462">
        <v>2011</v>
      </c>
      <c r="B16" s="466" t="s">
        <v>3007</v>
      </c>
      <c r="C16" s="465" t="s">
        <v>2993</v>
      </c>
      <c r="D16" s="464">
        <v>0</v>
      </c>
      <c r="E16" s="465" t="s">
        <v>2993</v>
      </c>
      <c r="F16" s="464">
        <v>0</v>
      </c>
      <c r="G16" s="463" t="s">
        <v>3006</v>
      </c>
      <c r="H16" s="473">
        <v>3</v>
      </c>
      <c r="I16" s="465" t="s">
        <v>2993</v>
      </c>
      <c r="J16" s="464">
        <v>0</v>
      </c>
      <c r="K16" s="463" t="s">
        <v>3006</v>
      </c>
      <c r="L16" s="464">
        <v>30</v>
      </c>
      <c r="M16" s="465" t="s">
        <v>2993</v>
      </c>
      <c r="N16" s="464">
        <v>0</v>
      </c>
      <c r="O16" s="466" t="s">
        <v>2995</v>
      </c>
      <c r="P16" s="464">
        <v>33</v>
      </c>
      <c r="Q16" s="460">
        <f t="shared" ref="Q16:Q23" si="3">A17</f>
        <v>2012</v>
      </c>
      <c r="R16" s="461">
        <f t="shared" ref="R16:R23" si="4">D17</f>
        <v>25.9</v>
      </c>
      <c r="S16" s="461">
        <f t="shared" ref="S16:S23" si="5">SUM(F17:L17)</f>
        <v>90.2</v>
      </c>
    </row>
    <row r="17" spans="1:20" ht="86.4" x14ac:dyDescent="0.3">
      <c r="A17" s="462">
        <v>2012</v>
      </c>
      <c r="B17" s="466" t="s">
        <v>3008</v>
      </c>
      <c r="C17" s="463" t="s">
        <v>2992</v>
      </c>
      <c r="D17" s="464">
        <v>25.9</v>
      </c>
      <c r="E17" s="465" t="s">
        <v>2993</v>
      </c>
      <c r="F17" s="464">
        <v>0</v>
      </c>
      <c r="G17" s="463" t="s">
        <v>2994</v>
      </c>
      <c r="H17" s="474">
        <v>61.5</v>
      </c>
      <c r="I17" s="465" t="s">
        <v>2993</v>
      </c>
      <c r="J17" s="464">
        <v>0</v>
      </c>
      <c r="K17" s="463" t="s">
        <v>2994</v>
      </c>
      <c r="L17" s="464">
        <v>28.7</v>
      </c>
      <c r="M17" s="465" t="s">
        <v>2993</v>
      </c>
      <c r="N17" s="464">
        <v>0</v>
      </c>
      <c r="O17" s="466" t="s">
        <v>2995</v>
      </c>
      <c r="P17" s="464">
        <v>116.2</v>
      </c>
      <c r="Q17" s="460">
        <f t="shared" si="3"/>
        <v>2013</v>
      </c>
      <c r="R17" s="461">
        <f t="shared" si="4"/>
        <v>26.5</v>
      </c>
      <c r="S17" s="461">
        <f t="shared" si="5"/>
        <v>89.8</v>
      </c>
    </row>
    <row r="18" spans="1:20" ht="86.4" x14ac:dyDescent="0.3">
      <c r="A18" s="462">
        <v>2013</v>
      </c>
      <c r="B18" s="466" t="s">
        <v>3008</v>
      </c>
      <c r="C18" s="463" t="s">
        <v>2992</v>
      </c>
      <c r="D18" s="464">
        <v>26.5</v>
      </c>
      <c r="E18" s="465" t="s">
        <v>2993</v>
      </c>
      <c r="F18" s="464">
        <v>0</v>
      </c>
      <c r="G18" s="463" t="s">
        <v>2994</v>
      </c>
      <c r="H18" s="474">
        <v>63</v>
      </c>
      <c r="I18" s="465" t="s">
        <v>2993</v>
      </c>
      <c r="J18" s="464">
        <v>0</v>
      </c>
      <c r="K18" s="463" t="s">
        <v>2994</v>
      </c>
      <c r="L18" s="464">
        <v>26.8</v>
      </c>
      <c r="M18" s="465" t="s">
        <v>2993</v>
      </c>
      <c r="N18" s="464">
        <v>0</v>
      </c>
      <c r="O18" s="466" t="s">
        <v>2995</v>
      </c>
      <c r="P18" s="464">
        <v>116.2</v>
      </c>
      <c r="Q18" s="460">
        <f t="shared" si="3"/>
        <v>2014</v>
      </c>
      <c r="R18" s="461">
        <f t="shared" si="4"/>
        <v>41.1</v>
      </c>
      <c r="S18" s="461">
        <f t="shared" si="5"/>
        <v>76.5</v>
      </c>
    </row>
    <row r="19" spans="1:20" ht="86.4" x14ac:dyDescent="0.3">
      <c r="A19" s="462">
        <v>2014</v>
      </c>
      <c r="B19" s="466" t="s">
        <v>3008</v>
      </c>
      <c r="C19" s="463" t="s">
        <v>2992</v>
      </c>
      <c r="D19" s="464">
        <v>41.1</v>
      </c>
      <c r="E19" s="465" t="s">
        <v>2993</v>
      </c>
      <c r="F19" s="464">
        <v>0</v>
      </c>
      <c r="G19" s="463" t="s">
        <v>2994</v>
      </c>
      <c r="H19" s="474">
        <v>61.3</v>
      </c>
      <c r="I19" s="465" t="s">
        <v>2993</v>
      </c>
      <c r="J19" s="464">
        <v>0</v>
      </c>
      <c r="K19" s="463" t="s">
        <v>2994</v>
      </c>
      <c r="L19" s="464">
        <v>15.2</v>
      </c>
      <c r="M19" s="465" t="s">
        <v>2993</v>
      </c>
      <c r="N19" s="464">
        <v>0</v>
      </c>
      <c r="O19" s="466" t="s">
        <v>2995</v>
      </c>
      <c r="P19" s="464">
        <v>117.6</v>
      </c>
      <c r="Q19" s="460">
        <f t="shared" si="3"/>
        <v>2015</v>
      </c>
      <c r="R19" s="461">
        <f t="shared" si="4"/>
        <v>34.299999999999997</v>
      </c>
      <c r="S19" s="461">
        <f t="shared" si="5"/>
        <v>84.9</v>
      </c>
    </row>
    <row r="20" spans="1:20" ht="86.4" x14ac:dyDescent="0.3">
      <c r="A20" s="462">
        <v>2015</v>
      </c>
      <c r="B20" s="466" t="s">
        <v>3008</v>
      </c>
      <c r="C20" s="463" t="s">
        <v>2992</v>
      </c>
      <c r="D20" s="464">
        <v>34.299999999999997</v>
      </c>
      <c r="E20" s="465" t="s">
        <v>2993</v>
      </c>
      <c r="F20" s="464">
        <v>0</v>
      </c>
      <c r="G20" s="463" t="s">
        <v>2994</v>
      </c>
      <c r="H20" s="474">
        <v>59.8</v>
      </c>
      <c r="I20" s="465" t="s">
        <v>2993</v>
      </c>
      <c r="J20" s="464">
        <v>0</v>
      </c>
      <c r="K20" s="463" t="s">
        <v>2994</v>
      </c>
      <c r="L20" s="464">
        <v>25.1</v>
      </c>
      <c r="M20" s="465" t="s">
        <v>2993</v>
      </c>
      <c r="N20" s="464">
        <v>0</v>
      </c>
      <c r="O20" s="466" t="s">
        <v>2995</v>
      </c>
      <c r="P20" s="464">
        <v>119.3</v>
      </c>
      <c r="Q20" s="460">
        <f t="shared" si="3"/>
        <v>2016</v>
      </c>
      <c r="R20" s="461">
        <f t="shared" si="4"/>
        <v>52.6</v>
      </c>
      <c r="S20" s="461">
        <f t="shared" si="5"/>
        <v>61.5</v>
      </c>
    </row>
    <row r="21" spans="1:20" ht="86.4" x14ac:dyDescent="0.3">
      <c r="A21" s="462">
        <v>2016</v>
      </c>
      <c r="B21" s="466" t="s">
        <v>3008</v>
      </c>
      <c r="C21" s="463" t="s">
        <v>2992</v>
      </c>
      <c r="D21" s="464">
        <v>52.6</v>
      </c>
      <c r="E21" s="465" t="s">
        <v>2993</v>
      </c>
      <c r="F21" s="464">
        <v>0</v>
      </c>
      <c r="G21" s="463" t="s">
        <v>2994</v>
      </c>
      <c r="H21" s="474">
        <v>49.3</v>
      </c>
      <c r="I21" s="465" t="s">
        <v>2993</v>
      </c>
      <c r="J21" s="464">
        <v>0</v>
      </c>
      <c r="K21" s="463" t="s">
        <v>2994</v>
      </c>
      <c r="L21" s="464">
        <v>12.2</v>
      </c>
      <c r="M21" s="465" t="s">
        <v>2993</v>
      </c>
      <c r="N21" s="464">
        <v>0</v>
      </c>
      <c r="O21" s="466" t="s">
        <v>2995</v>
      </c>
      <c r="P21" s="464">
        <v>114.1</v>
      </c>
      <c r="Q21" s="460">
        <f t="shared" si="3"/>
        <v>2017</v>
      </c>
      <c r="R21" s="461">
        <f t="shared" si="4"/>
        <v>174.9</v>
      </c>
      <c r="S21" s="461">
        <f t="shared" si="5"/>
        <v>189.2</v>
      </c>
    </row>
    <row r="22" spans="1:20" ht="115.2" x14ac:dyDescent="0.3">
      <c r="A22" s="462">
        <v>2017</v>
      </c>
      <c r="B22" s="466" t="s">
        <v>2996</v>
      </c>
      <c r="C22" s="463" t="s">
        <v>2992</v>
      </c>
      <c r="D22" s="464">
        <v>174.9</v>
      </c>
      <c r="E22" s="465" t="s">
        <v>2993</v>
      </c>
      <c r="F22" s="464">
        <v>0</v>
      </c>
      <c r="G22" s="463" t="s">
        <v>2994</v>
      </c>
      <c r="H22" s="474">
        <v>145.6</v>
      </c>
      <c r="I22" s="463" t="s">
        <v>2998</v>
      </c>
      <c r="J22" s="464">
        <v>10.6</v>
      </c>
      <c r="K22" s="463" t="s">
        <v>2994</v>
      </c>
      <c r="L22" s="464">
        <v>33</v>
      </c>
      <c r="M22" s="465" t="s">
        <v>2993</v>
      </c>
      <c r="N22" s="464">
        <v>0</v>
      </c>
      <c r="O22" s="466" t="s">
        <v>2995</v>
      </c>
      <c r="P22" s="464">
        <v>364</v>
      </c>
      <c r="Q22" s="460">
        <f t="shared" si="3"/>
        <v>2018</v>
      </c>
      <c r="R22" s="461">
        <f t="shared" si="4"/>
        <v>26.1</v>
      </c>
      <c r="S22" s="461">
        <f t="shared" si="5"/>
        <v>52.3</v>
      </c>
    </row>
    <row r="23" spans="1:20" ht="100.8" x14ac:dyDescent="0.3">
      <c r="A23" s="462">
        <v>2018</v>
      </c>
      <c r="B23" s="466" t="s">
        <v>3009</v>
      </c>
      <c r="C23" s="463" t="s">
        <v>3005</v>
      </c>
      <c r="D23" s="475">
        <v>26.1</v>
      </c>
      <c r="E23" s="465" t="s">
        <v>2993</v>
      </c>
      <c r="F23" s="464">
        <v>0</v>
      </c>
      <c r="G23" s="463" t="s">
        <v>3006</v>
      </c>
      <c r="H23" s="474">
        <v>10.4</v>
      </c>
      <c r="I23" s="465" t="s">
        <v>2993</v>
      </c>
      <c r="J23" s="464">
        <v>0</v>
      </c>
      <c r="K23" s="463" t="s">
        <v>3006</v>
      </c>
      <c r="L23" s="464">
        <v>41.9</v>
      </c>
      <c r="M23" s="465" t="s">
        <v>2993</v>
      </c>
      <c r="N23" s="464">
        <v>0</v>
      </c>
      <c r="O23" s="466" t="s">
        <v>2995</v>
      </c>
      <c r="P23" s="464">
        <v>78.400000000000006</v>
      </c>
      <c r="Q23" s="460">
        <f t="shared" si="3"/>
        <v>2019</v>
      </c>
      <c r="R23" s="461">
        <f t="shared" si="4"/>
        <v>102.3</v>
      </c>
      <c r="S23" s="461">
        <f t="shared" si="5"/>
        <v>14.6</v>
      </c>
    </row>
    <row r="24" spans="1:20" ht="86.4" x14ac:dyDescent="0.3">
      <c r="A24" s="467">
        <v>2019</v>
      </c>
      <c r="B24" s="468" t="s">
        <v>3002</v>
      </c>
      <c r="C24" s="469" t="s">
        <v>2992</v>
      </c>
      <c r="D24" s="470">
        <v>102.3</v>
      </c>
      <c r="E24" s="471" t="s">
        <v>2993</v>
      </c>
      <c r="F24" s="470">
        <v>0</v>
      </c>
      <c r="G24" s="469" t="s">
        <v>2994</v>
      </c>
      <c r="H24" s="470">
        <v>14.6</v>
      </c>
      <c r="I24" s="471" t="s">
        <v>2993</v>
      </c>
      <c r="J24" s="470">
        <v>0</v>
      </c>
      <c r="K24" s="471" t="s">
        <v>2993</v>
      </c>
      <c r="L24" s="470">
        <v>0</v>
      </c>
      <c r="M24" s="471" t="s">
        <v>2993</v>
      </c>
      <c r="N24" s="470">
        <v>0</v>
      </c>
      <c r="O24" s="468" t="s">
        <v>2995</v>
      </c>
      <c r="P24" s="470">
        <v>116.8</v>
      </c>
      <c r="Q24" s="460" t="e">
        <f>#REF!</f>
        <v>#REF!</v>
      </c>
      <c r="R24" s="461" t="e">
        <f>#REF!</f>
        <v>#REF!</v>
      </c>
      <c r="S24" s="461" t="e">
        <f>SUM(#REF!)</f>
        <v>#REF!</v>
      </c>
    </row>
    <row r="25" spans="1:20" ht="100.8" x14ac:dyDescent="0.3">
      <c r="A25" s="462">
        <v>2020</v>
      </c>
      <c r="B25" s="466" t="s">
        <v>3010</v>
      </c>
      <c r="C25" s="463" t="s">
        <v>3005</v>
      </c>
      <c r="D25" s="475">
        <v>16.3</v>
      </c>
      <c r="E25" s="465" t="s">
        <v>2993</v>
      </c>
      <c r="F25" s="464">
        <v>0</v>
      </c>
      <c r="G25" s="463" t="s">
        <v>3006</v>
      </c>
      <c r="H25" s="474">
        <v>12.9</v>
      </c>
      <c r="I25" s="465" t="s">
        <v>2993</v>
      </c>
      <c r="J25" s="464">
        <v>0</v>
      </c>
      <c r="K25" s="463" t="s">
        <v>3006</v>
      </c>
      <c r="L25" s="464">
        <v>19.899999999999999</v>
      </c>
      <c r="M25" s="465" t="s">
        <v>2993</v>
      </c>
      <c r="N25" s="464">
        <v>0</v>
      </c>
      <c r="O25" s="466" t="s">
        <v>2995</v>
      </c>
      <c r="P25" s="464">
        <v>49.1</v>
      </c>
      <c r="Q25" s="460">
        <f t="shared" ref="Q25:Q32" si="6">A26</f>
        <v>2021</v>
      </c>
      <c r="R25" s="461">
        <f t="shared" ref="R25:R32" si="7">D26</f>
        <v>7.4</v>
      </c>
      <c r="S25" s="461">
        <f t="shared" ref="S25:S32" si="8">SUM(F26:L26)</f>
        <v>26.3</v>
      </c>
    </row>
    <row r="26" spans="1:20" ht="100.8" x14ac:dyDescent="0.3">
      <c r="A26" s="462">
        <v>2021</v>
      </c>
      <c r="B26" s="466" t="s">
        <v>3011</v>
      </c>
      <c r="C26" s="463" t="s">
        <v>3005</v>
      </c>
      <c r="D26" s="475">
        <v>7.4</v>
      </c>
      <c r="E26" s="465" t="s">
        <v>2993</v>
      </c>
      <c r="F26" s="464">
        <v>0</v>
      </c>
      <c r="G26" s="465" t="s">
        <v>2993</v>
      </c>
      <c r="H26" s="473">
        <v>0</v>
      </c>
      <c r="I26" s="465" t="s">
        <v>2993</v>
      </c>
      <c r="J26" s="464">
        <v>0</v>
      </c>
      <c r="K26" s="463" t="s">
        <v>3006</v>
      </c>
      <c r="L26" s="464">
        <v>26.3</v>
      </c>
      <c r="M26" s="465" t="s">
        <v>2993</v>
      </c>
      <c r="N26" s="464">
        <v>0</v>
      </c>
      <c r="O26" s="466" t="s">
        <v>2995</v>
      </c>
      <c r="P26" s="464">
        <v>33.799999999999997</v>
      </c>
      <c r="Q26" s="460">
        <f t="shared" si="6"/>
        <v>2022</v>
      </c>
      <c r="R26" s="461">
        <f t="shared" si="7"/>
        <v>197.9</v>
      </c>
      <c r="S26" s="461">
        <f t="shared" si="8"/>
        <v>325.70000000000005</v>
      </c>
      <c r="T26" s="461">
        <f>D27</f>
        <v>197.9</v>
      </c>
    </row>
    <row r="27" spans="1:20" ht="115.2" x14ac:dyDescent="0.3">
      <c r="A27" s="462">
        <v>2022</v>
      </c>
      <c r="B27" s="463" t="s">
        <v>3012</v>
      </c>
      <c r="C27" s="463" t="s">
        <v>2992</v>
      </c>
      <c r="D27" s="464">
        <v>197.9</v>
      </c>
      <c r="E27" s="465" t="s">
        <v>2993</v>
      </c>
      <c r="F27" s="464">
        <v>0</v>
      </c>
      <c r="G27" s="463" t="s">
        <v>2994</v>
      </c>
      <c r="H27" s="474">
        <v>153.30000000000001</v>
      </c>
      <c r="I27" s="463" t="s">
        <v>2998</v>
      </c>
      <c r="J27" s="464">
        <v>35.299999999999997</v>
      </c>
      <c r="K27" s="463" t="s">
        <v>2994</v>
      </c>
      <c r="L27" s="464">
        <v>137.1</v>
      </c>
      <c r="M27" s="465" t="s">
        <v>2993</v>
      </c>
      <c r="N27" s="464">
        <v>0</v>
      </c>
      <c r="O27" s="466" t="s">
        <v>2995</v>
      </c>
      <c r="P27" s="464">
        <v>523.6</v>
      </c>
      <c r="Q27" s="460">
        <f t="shared" si="6"/>
        <v>2023</v>
      </c>
      <c r="R27" s="461">
        <f t="shared" si="7"/>
        <v>78.400000000000006</v>
      </c>
      <c r="S27" s="461">
        <f t="shared" si="8"/>
        <v>14.5</v>
      </c>
    </row>
    <row r="28" spans="1:20" ht="86.4" x14ac:dyDescent="0.3">
      <c r="A28" s="462">
        <v>2023</v>
      </c>
      <c r="B28" s="466" t="s">
        <v>3002</v>
      </c>
      <c r="C28" s="463" t="s">
        <v>2992</v>
      </c>
      <c r="D28" s="464">
        <v>78.400000000000006</v>
      </c>
      <c r="E28" s="465" t="s">
        <v>2993</v>
      </c>
      <c r="F28" s="464">
        <v>0</v>
      </c>
      <c r="G28" s="463" t="s">
        <v>2994</v>
      </c>
      <c r="H28" s="474">
        <v>14.5</v>
      </c>
      <c r="I28" s="465" t="s">
        <v>2993</v>
      </c>
      <c r="J28" s="464">
        <v>0</v>
      </c>
      <c r="K28" s="465" t="s">
        <v>2993</v>
      </c>
      <c r="L28" s="464">
        <v>0</v>
      </c>
      <c r="M28" s="465" t="s">
        <v>2993</v>
      </c>
      <c r="N28" s="464">
        <v>0</v>
      </c>
      <c r="O28" s="466" t="s">
        <v>2995</v>
      </c>
      <c r="P28" s="464">
        <v>92.8</v>
      </c>
      <c r="Q28" s="460">
        <f t="shared" si="6"/>
        <v>2024</v>
      </c>
      <c r="R28" s="461">
        <f t="shared" si="7"/>
        <v>89.8</v>
      </c>
      <c r="S28" s="461">
        <f t="shared" si="8"/>
        <v>0</v>
      </c>
    </row>
    <row r="29" spans="1:20" ht="86.4" x14ac:dyDescent="0.3">
      <c r="A29" s="462">
        <v>2024</v>
      </c>
      <c r="B29" s="466" t="s">
        <v>3002</v>
      </c>
      <c r="C29" s="463" t="s">
        <v>2992</v>
      </c>
      <c r="D29" s="464">
        <v>89.8</v>
      </c>
      <c r="E29" s="465" t="s">
        <v>2993</v>
      </c>
      <c r="F29" s="464">
        <v>0</v>
      </c>
      <c r="G29" s="465" t="s">
        <v>2993</v>
      </c>
      <c r="H29" s="473">
        <v>0</v>
      </c>
      <c r="I29" s="465" t="s">
        <v>2993</v>
      </c>
      <c r="J29" s="464">
        <v>0</v>
      </c>
      <c r="K29" s="465" t="s">
        <v>2993</v>
      </c>
      <c r="L29" s="464">
        <v>0</v>
      </c>
      <c r="M29" s="465" t="s">
        <v>2993</v>
      </c>
      <c r="N29" s="464">
        <v>0</v>
      </c>
      <c r="O29" s="466" t="s">
        <v>2995</v>
      </c>
      <c r="P29" s="464">
        <v>89.8</v>
      </c>
      <c r="Q29" s="460">
        <f t="shared" si="6"/>
        <v>2025</v>
      </c>
      <c r="R29" s="461">
        <f t="shared" si="7"/>
        <v>35.9</v>
      </c>
      <c r="S29" s="461">
        <f t="shared" si="8"/>
        <v>52.5</v>
      </c>
    </row>
    <row r="30" spans="1:20" ht="86.4" x14ac:dyDescent="0.3">
      <c r="A30" s="462">
        <v>2025</v>
      </c>
      <c r="B30" s="465" t="s">
        <v>3013</v>
      </c>
      <c r="C30" s="463" t="s">
        <v>2992</v>
      </c>
      <c r="D30" s="464">
        <v>35.9</v>
      </c>
      <c r="E30" s="465" t="s">
        <v>2993</v>
      </c>
      <c r="F30" s="464">
        <v>0</v>
      </c>
      <c r="G30" s="463" t="s">
        <v>2994</v>
      </c>
      <c r="H30" s="474">
        <v>23.9</v>
      </c>
      <c r="I30" s="465" t="s">
        <v>2993</v>
      </c>
      <c r="J30" s="464">
        <v>0</v>
      </c>
      <c r="K30" s="463" t="s">
        <v>2994</v>
      </c>
      <c r="L30" s="464">
        <v>28.6</v>
      </c>
      <c r="M30" s="465" t="s">
        <v>2993</v>
      </c>
      <c r="N30" s="464">
        <v>0</v>
      </c>
      <c r="O30" s="466" t="s">
        <v>2995</v>
      </c>
      <c r="P30" s="464">
        <v>88.4</v>
      </c>
      <c r="Q30" s="460">
        <f t="shared" si="6"/>
        <v>2026</v>
      </c>
      <c r="R30" s="461">
        <f t="shared" si="7"/>
        <v>3.8</v>
      </c>
      <c r="S30" s="461">
        <f t="shared" si="8"/>
        <v>56.3</v>
      </c>
    </row>
    <row r="31" spans="1:20" ht="100.8" x14ac:dyDescent="0.3">
      <c r="A31" s="462">
        <v>2026</v>
      </c>
      <c r="B31" s="465" t="s">
        <v>3014</v>
      </c>
      <c r="C31" s="463" t="s">
        <v>3005</v>
      </c>
      <c r="D31" s="475">
        <v>3.8</v>
      </c>
      <c r="E31" s="465" t="s">
        <v>2993</v>
      </c>
      <c r="F31" s="464">
        <v>0</v>
      </c>
      <c r="G31" s="463" t="s">
        <v>3006</v>
      </c>
      <c r="H31" s="474">
        <v>17.899999999999999</v>
      </c>
      <c r="I31" s="465" t="s">
        <v>2993</v>
      </c>
      <c r="J31" s="464">
        <v>0</v>
      </c>
      <c r="K31" s="463" t="s">
        <v>3006</v>
      </c>
      <c r="L31" s="464">
        <v>38.4</v>
      </c>
      <c r="M31" s="465" t="s">
        <v>2993</v>
      </c>
      <c r="N31" s="464">
        <v>0</v>
      </c>
      <c r="O31" s="466" t="s">
        <v>2995</v>
      </c>
      <c r="P31" s="464">
        <v>60</v>
      </c>
      <c r="Q31" s="460">
        <f t="shared" si="6"/>
        <v>2027</v>
      </c>
      <c r="R31" s="461">
        <f t="shared" si="7"/>
        <v>9.6999999999999993</v>
      </c>
      <c r="S31" s="461">
        <f t="shared" si="8"/>
        <v>37.200000000000003</v>
      </c>
    </row>
    <row r="32" spans="1:20" ht="100.8" x14ac:dyDescent="0.3">
      <c r="A32" s="462">
        <v>2027</v>
      </c>
      <c r="B32" s="465" t="s">
        <v>3015</v>
      </c>
      <c r="C32" s="463" t="s">
        <v>3005</v>
      </c>
      <c r="D32" s="475">
        <v>9.6999999999999993</v>
      </c>
      <c r="E32" s="465" t="s">
        <v>2993</v>
      </c>
      <c r="F32" s="464">
        <v>0</v>
      </c>
      <c r="G32" s="465" t="s">
        <v>2993</v>
      </c>
      <c r="H32" s="473">
        <v>0</v>
      </c>
      <c r="I32" s="465" t="s">
        <v>2993</v>
      </c>
      <c r="J32" s="464">
        <v>0</v>
      </c>
      <c r="K32" s="463" t="s">
        <v>3006</v>
      </c>
      <c r="L32" s="464">
        <v>37.200000000000003</v>
      </c>
      <c r="M32" s="465" t="s">
        <v>2993</v>
      </c>
      <c r="N32" s="464">
        <v>0</v>
      </c>
      <c r="O32" s="466" t="s">
        <v>2995</v>
      </c>
      <c r="P32" s="464">
        <v>47.2</v>
      </c>
      <c r="Q32" s="460">
        <f t="shared" si="6"/>
        <v>2028</v>
      </c>
      <c r="R32" s="461">
        <f t="shared" si="7"/>
        <v>5.6</v>
      </c>
      <c r="S32" s="461">
        <f t="shared" si="8"/>
        <v>77.099999999999994</v>
      </c>
    </row>
    <row r="33" spans="1:20" ht="100.8" x14ac:dyDescent="0.3">
      <c r="A33" s="467">
        <v>2028</v>
      </c>
      <c r="B33" s="471" t="s">
        <v>3014</v>
      </c>
      <c r="C33" s="469" t="s">
        <v>3005</v>
      </c>
      <c r="D33" s="472">
        <v>5.6</v>
      </c>
      <c r="E33" s="471" t="s">
        <v>2993</v>
      </c>
      <c r="F33" s="470">
        <v>0</v>
      </c>
      <c r="G33" s="469" t="s">
        <v>3006</v>
      </c>
      <c r="H33" s="470">
        <v>24.6</v>
      </c>
      <c r="I33" s="471" t="s">
        <v>2993</v>
      </c>
      <c r="J33" s="470">
        <v>0</v>
      </c>
      <c r="K33" s="469" t="s">
        <v>3006</v>
      </c>
      <c r="L33" s="470">
        <v>52.5</v>
      </c>
      <c r="M33" s="471" t="s">
        <v>2993</v>
      </c>
      <c r="N33" s="470">
        <v>0</v>
      </c>
      <c r="O33" s="468" t="s">
        <v>2995</v>
      </c>
      <c r="P33" s="470">
        <v>82.7</v>
      </c>
      <c r="Q33" s="460" t="e">
        <f>#REF!</f>
        <v>#REF!</v>
      </c>
      <c r="R33" s="461" t="e">
        <f>#REF!</f>
        <v>#REF!</v>
      </c>
      <c r="S33" s="461" t="e">
        <f>SUM(#REF!)</f>
        <v>#REF!</v>
      </c>
    </row>
    <row r="34" spans="1:20" ht="100.8" x14ac:dyDescent="0.3">
      <c r="A34" s="462">
        <v>2029</v>
      </c>
      <c r="B34" s="465" t="s">
        <v>3015</v>
      </c>
      <c r="C34" s="463" t="s">
        <v>3005</v>
      </c>
      <c r="D34" s="475">
        <v>3.5</v>
      </c>
      <c r="E34" s="465" t="s">
        <v>2993</v>
      </c>
      <c r="F34" s="464">
        <v>0</v>
      </c>
      <c r="G34" s="463" t="s">
        <v>3006</v>
      </c>
      <c r="H34" s="464">
        <v>6.7</v>
      </c>
      <c r="I34" s="465" t="s">
        <v>2993</v>
      </c>
      <c r="J34" s="464">
        <v>0</v>
      </c>
      <c r="K34" s="463" t="s">
        <v>3006</v>
      </c>
      <c r="L34" s="464">
        <v>32.4</v>
      </c>
      <c r="M34" s="465" t="s">
        <v>2993</v>
      </c>
      <c r="N34" s="464">
        <v>0</v>
      </c>
      <c r="O34" s="466" t="s">
        <v>2995</v>
      </c>
      <c r="P34" s="464">
        <v>42.6</v>
      </c>
      <c r="Q34" s="460">
        <f t="shared" ref="Q34:Q41" si="9">A35</f>
        <v>2030</v>
      </c>
      <c r="R34" s="461">
        <f t="shared" ref="R34:R41" si="10">D35</f>
        <v>12.8</v>
      </c>
      <c r="S34" s="461">
        <f t="shared" ref="S34:S41" si="11">SUM(F35:L35)</f>
        <v>71.3</v>
      </c>
    </row>
    <row r="35" spans="1:20" ht="86.4" x14ac:dyDescent="0.3">
      <c r="A35" s="462">
        <v>2030</v>
      </c>
      <c r="B35" s="465" t="s">
        <v>3013</v>
      </c>
      <c r="C35" s="463" t="s">
        <v>2992</v>
      </c>
      <c r="D35" s="464">
        <v>12.8</v>
      </c>
      <c r="E35" s="465" t="s">
        <v>2993</v>
      </c>
      <c r="F35" s="464">
        <v>0</v>
      </c>
      <c r="G35" s="463" t="s">
        <v>2994</v>
      </c>
      <c r="H35" s="464">
        <v>46.4</v>
      </c>
      <c r="I35" s="465" t="s">
        <v>2993</v>
      </c>
      <c r="J35" s="464">
        <v>0</v>
      </c>
      <c r="K35" s="463" t="s">
        <v>2994</v>
      </c>
      <c r="L35" s="464">
        <v>24.9</v>
      </c>
      <c r="M35" s="465" t="s">
        <v>2993</v>
      </c>
      <c r="N35" s="464">
        <v>0</v>
      </c>
      <c r="O35" s="466" t="s">
        <v>2995</v>
      </c>
      <c r="P35" s="464">
        <v>84.1</v>
      </c>
      <c r="Q35" s="460">
        <f t="shared" si="9"/>
        <v>2031</v>
      </c>
      <c r="R35" s="461">
        <f t="shared" si="10"/>
        <v>6.3</v>
      </c>
      <c r="S35" s="461">
        <f t="shared" si="11"/>
        <v>68.800000000000011</v>
      </c>
    </row>
    <row r="36" spans="1:20" ht="100.8" x14ac:dyDescent="0.3">
      <c r="A36" s="462">
        <v>2031</v>
      </c>
      <c r="B36" s="466" t="s">
        <v>3016</v>
      </c>
      <c r="C36" s="463" t="s">
        <v>3005</v>
      </c>
      <c r="D36" s="475">
        <v>6.3</v>
      </c>
      <c r="E36" s="465" t="s">
        <v>2993</v>
      </c>
      <c r="F36" s="464">
        <v>0</v>
      </c>
      <c r="G36" s="463" t="s">
        <v>3006</v>
      </c>
      <c r="H36" s="464">
        <v>22.6</v>
      </c>
      <c r="I36" s="465" t="s">
        <v>2993</v>
      </c>
      <c r="J36" s="464">
        <v>0</v>
      </c>
      <c r="K36" s="463" t="s">
        <v>3006</v>
      </c>
      <c r="L36" s="464">
        <v>46.2</v>
      </c>
      <c r="M36" s="465" t="s">
        <v>2993</v>
      </c>
      <c r="N36" s="464">
        <v>0</v>
      </c>
      <c r="O36" s="466" t="s">
        <v>2995</v>
      </c>
      <c r="P36" s="464">
        <v>75.2</v>
      </c>
      <c r="Q36" s="460">
        <f t="shared" si="9"/>
        <v>2032</v>
      </c>
      <c r="R36" s="461">
        <f t="shared" si="10"/>
        <v>5.2</v>
      </c>
      <c r="S36" s="461">
        <f t="shared" si="11"/>
        <v>69.900000000000006</v>
      </c>
    </row>
    <row r="37" spans="1:20" ht="100.8" x14ac:dyDescent="0.3">
      <c r="A37" s="462">
        <v>2032</v>
      </c>
      <c r="B37" s="466" t="s">
        <v>3017</v>
      </c>
      <c r="C37" s="463" t="s">
        <v>3005</v>
      </c>
      <c r="D37" s="464">
        <v>5.2</v>
      </c>
      <c r="E37" s="465" t="s">
        <v>2993</v>
      </c>
      <c r="F37" s="464">
        <v>0</v>
      </c>
      <c r="G37" s="463" t="s">
        <v>3006</v>
      </c>
      <c r="H37" s="464">
        <v>19.100000000000001</v>
      </c>
      <c r="I37" s="465" t="s">
        <v>2993</v>
      </c>
      <c r="J37" s="464">
        <v>0</v>
      </c>
      <c r="K37" s="463" t="s">
        <v>3006</v>
      </c>
      <c r="L37" s="464">
        <v>50.8</v>
      </c>
      <c r="M37" s="465" t="s">
        <v>2993</v>
      </c>
      <c r="N37" s="464">
        <v>0</v>
      </c>
      <c r="O37" s="466" t="s">
        <v>2995</v>
      </c>
      <c r="P37" s="464">
        <v>75.099999999999994</v>
      </c>
      <c r="Q37" s="460">
        <f t="shared" si="9"/>
        <v>2033</v>
      </c>
      <c r="R37" s="461">
        <f t="shared" si="10"/>
        <v>6.2</v>
      </c>
      <c r="S37" s="461">
        <f t="shared" si="11"/>
        <v>106.7</v>
      </c>
    </row>
    <row r="38" spans="1:20" ht="86.4" x14ac:dyDescent="0.3">
      <c r="A38" s="462">
        <v>2033</v>
      </c>
      <c r="B38" s="466" t="s">
        <v>3018</v>
      </c>
      <c r="C38" s="463" t="s">
        <v>2992</v>
      </c>
      <c r="D38" s="464">
        <v>6.2</v>
      </c>
      <c r="E38" s="465" t="s">
        <v>2993</v>
      </c>
      <c r="F38" s="464">
        <v>0</v>
      </c>
      <c r="G38" s="463" t="s">
        <v>2994</v>
      </c>
      <c r="H38" s="464">
        <v>73.5</v>
      </c>
      <c r="I38" s="465" t="s">
        <v>2993</v>
      </c>
      <c r="J38" s="464">
        <v>0</v>
      </c>
      <c r="K38" s="463" t="s">
        <v>2994</v>
      </c>
      <c r="L38" s="464">
        <v>33.200000000000003</v>
      </c>
      <c r="M38" s="465" t="s">
        <v>2993</v>
      </c>
      <c r="N38" s="464">
        <v>0</v>
      </c>
      <c r="O38" s="466" t="s">
        <v>2995</v>
      </c>
      <c r="P38" s="464">
        <v>112.9</v>
      </c>
      <c r="Q38" s="460">
        <f t="shared" si="9"/>
        <v>2034</v>
      </c>
      <c r="R38" s="461">
        <f t="shared" si="10"/>
        <v>0</v>
      </c>
      <c r="S38" s="461">
        <f t="shared" si="11"/>
        <v>43.199999999999996</v>
      </c>
    </row>
    <row r="39" spans="1:20" ht="100.8" x14ac:dyDescent="0.3">
      <c r="A39" s="462">
        <v>2034</v>
      </c>
      <c r="B39" s="466" t="s">
        <v>3011</v>
      </c>
      <c r="C39" s="465" t="s">
        <v>2993</v>
      </c>
      <c r="D39" s="464">
        <v>0</v>
      </c>
      <c r="E39" s="465" t="s">
        <v>2993</v>
      </c>
      <c r="F39" s="464">
        <v>0</v>
      </c>
      <c r="G39" s="463" t="s">
        <v>3006</v>
      </c>
      <c r="H39" s="464">
        <v>5.9</v>
      </c>
      <c r="I39" s="465" t="s">
        <v>2993</v>
      </c>
      <c r="J39" s="464">
        <v>0</v>
      </c>
      <c r="K39" s="463" t="s">
        <v>3006</v>
      </c>
      <c r="L39" s="464">
        <v>37.299999999999997</v>
      </c>
      <c r="M39" s="465" t="s">
        <v>2993</v>
      </c>
      <c r="N39" s="464">
        <v>0</v>
      </c>
      <c r="O39" s="466" t="s">
        <v>2995</v>
      </c>
      <c r="P39" s="464">
        <v>43.2</v>
      </c>
      <c r="Q39" s="460">
        <f t="shared" si="9"/>
        <v>2035</v>
      </c>
      <c r="R39" s="461">
        <f t="shared" si="10"/>
        <v>3.1</v>
      </c>
      <c r="S39" s="461">
        <f t="shared" si="11"/>
        <v>36.700000000000003</v>
      </c>
    </row>
    <row r="40" spans="1:20" ht="100.8" x14ac:dyDescent="0.3">
      <c r="A40" s="462">
        <v>2035</v>
      </c>
      <c r="B40" s="466" t="s">
        <v>3007</v>
      </c>
      <c r="C40" s="463" t="s">
        <v>3005</v>
      </c>
      <c r="D40" s="464">
        <v>3.1</v>
      </c>
      <c r="E40" s="465" t="s">
        <v>2993</v>
      </c>
      <c r="F40" s="464">
        <v>0</v>
      </c>
      <c r="G40" s="463" t="s">
        <v>3006</v>
      </c>
      <c r="H40" s="464">
        <v>16.8</v>
      </c>
      <c r="I40" s="465" t="s">
        <v>2993</v>
      </c>
      <c r="J40" s="464">
        <v>0</v>
      </c>
      <c r="K40" s="463" t="s">
        <v>3006</v>
      </c>
      <c r="L40" s="464">
        <v>19.899999999999999</v>
      </c>
      <c r="M40" s="465" t="s">
        <v>2993</v>
      </c>
      <c r="N40" s="464">
        <v>0</v>
      </c>
      <c r="O40" s="466" t="s">
        <v>2995</v>
      </c>
      <c r="P40" s="464">
        <v>39.700000000000003</v>
      </c>
      <c r="Q40" s="460">
        <f t="shared" si="9"/>
        <v>2036</v>
      </c>
      <c r="R40" s="461">
        <f t="shared" si="10"/>
        <v>40.5</v>
      </c>
      <c r="S40" s="461">
        <f t="shared" si="11"/>
        <v>91.800000000000011</v>
      </c>
    </row>
    <row r="41" spans="1:20" ht="86.4" x14ac:dyDescent="0.3">
      <c r="A41" s="462">
        <v>2036</v>
      </c>
      <c r="B41" s="463" t="s">
        <v>3019</v>
      </c>
      <c r="C41" s="463" t="s">
        <v>2992</v>
      </c>
      <c r="D41" s="464">
        <v>40.5</v>
      </c>
      <c r="E41" s="465" t="s">
        <v>2993</v>
      </c>
      <c r="F41" s="464">
        <v>0</v>
      </c>
      <c r="G41" s="463" t="s">
        <v>2994</v>
      </c>
      <c r="H41" s="464">
        <v>72.7</v>
      </c>
      <c r="I41" s="465" t="s">
        <v>2993</v>
      </c>
      <c r="J41" s="464">
        <v>0</v>
      </c>
      <c r="K41" s="463" t="s">
        <v>2994</v>
      </c>
      <c r="L41" s="464">
        <v>19.100000000000001</v>
      </c>
      <c r="M41" s="465" t="s">
        <v>2993</v>
      </c>
      <c r="N41" s="464">
        <v>0</v>
      </c>
      <c r="O41" s="466" t="s">
        <v>2995</v>
      </c>
      <c r="P41" s="464">
        <v>132.30000000000001</v>
      </c>
      <c r="Q41" s="460">
        <f t="shared" si="9"/>
        <v>2037</v>
      </c>
      <c r="R41" s="461">
        <f t="shared" si="10"/>
        <v>301.60000000000002</v>
      </c>
      <c r="S41" s="461">
        <f t="shared" si="11"/>
        <v>252.9</v>
      </c>
    </row>
    <row r="42" spans="1:20" ht="86.4" x14ac:dyDescent="0.3">
      <c r="A42" s="467">
        <v>2037</v>
      </c>
      <c r="B42" s="469" t="s">
        <v>3020</v>
      </c>
      <c r="C42" s="469" t="s">
        <v>2992</v>
      </c>
      <c r="D42" s="470">
        <v>301.60000000000002</v>
      </c>
      <c r="E42" s="471" t="s">
        <v>2993</v>
      </c>
      <c r="F42" s="470">
        <v>0</v>
      </c>
      <c r="G42" s="469" t="s">
        <v>2994</v>
      </c>
      <c r="H42" s="470">
        <v>252.9</v>
      </c>
      <c r="I42" s="471" t="s">
        <v>2993</v>
      </c>
      <c r="J42" s="470">
        <v>0</v>
      </c>
      <c r="K42" s="471" t="s">
        <v>2993</v>
      </c>
      <c r="L42" s="470">
        <v>0</v>
      </c>
      <c r="M42" s="471" t="s">
        <v>2993</v>
      </c>
      <c r="N42" s="470">
        <v>0.7</v>
      </c>
      <c r="O42" s="468" t="s">
        <v>2995</v>
      </c>
      <c r="P42" s="470">
        <v>555.29999999999995</v>
      </c>
      <c r="Q42" s="460" t="e">
        <f>#REF!</f>
        <v>#REF!</v>
      </c>
      <c r="R42" s="461" t="e">
        <f>#REF!</f>
        <v>#REF!</v>
      </c>
      <c r="S42" s="461" t="e">
        <f>SUM(#REF!)</f>
        <v>#REF!</v>
      </c>
      <c r="T42" s="461">
        <f>D42</f>
        <v>301.60000000000002</v>
      </c>
    </row>
    <row r="43" spans="1:20" ht="86.4" x14ac:dyDescent="0.3">
      <c r="A43" s="462">
        <v>2038</v>
      </c>
      <c r="B43" s="466" t="s">
        <v>3021</v>
      </c>
      <c r="C43" s="463" t="s">
        <v>2992</v>
      </c>
      <c r="D43" s="464">
        <v>11.2</v>
      </c>
      <c r="E43" s="465" t="s">
        <v>2993</v>
      </c>
      <c r="F43" s="464">
        <v>0</v>
      </c>
      <c r="G43" s="465" t="s">
        <v>2993</v>
      </c>
      <c r="H43" s="464">
        <v>0</v>
      </c>
      <c r="I43" s="465" t="s">
        <v>2993</v>
      </c>
      <c r="J43" s="464">
        <v>0</v>
      </c>
      <c r="K43" s="465" t="s">
        <v>2993</v>
      </c>
      <c r="L43" s="464">
        <v>0</v>
      </c>
      <c r="M43" s="465" t="s">
        <v>2993</v>
      </c>
      <c r="N43" s="464">
        <v>0</v>
      </c>
      <c r="O43" s="466" t="s">
        <v>2995</v>
      </c>
      <c r="P43" s="464">
        <v>115.9</v>
      </c>
      <c r="Q43" s="460">
        <f t="shared" ref="Q43:Q50" si="12">A44</f>
        <v>2039</v>
      </c>
      <c r="R43" s="461">
        <f t="shared" ref="R43:R50" si="13">D44</f>
        <v>49.7</v>
      </c>
      <c r="S43" s="461">
        <f t="shared" ref="S43:S50" si="14">SUM(F44:L44)</f>
        <v>57.5</v>
      </c>
    </row>
    <row r="44" spans="1:20" ht="86.4" x14ac:dyDescent="0.3">
      <c r="A44" s="462">
        <v>2039</v>
      </c>
      <c r="B44" s="466" t="s">
        <v>3022</v>
      </c>
      <c r="C44" s="463" t="s">
        <v>2992</v>
      </c>
      <c r="D44" s="464">
        <v>49.7</v>
      </c>
      <c r="E44" s="465" t="s">
        <v>2993</v>
      </c>
      <c r="F44" s="464">
        <v>0</v>
      </c>
      <c r="G44" s="463" t="s">
        <v>2994</v>
      </c>
      <c r="H44" s="464">
        <v>37.9</v>
      </c>
      <c r="I44" s="465" t="s">
        <v>2993</v>
      </c>
      <c r="J44" s="464">
        <v>0</v>
      </c>
      <c r="K44" s="463" t="s">
        <v>2994</v>
      </c>
      <c r="L44" s="464">
        <v>19.600000000000001</v>
      </c>
      <c r="M44" s="465" t="s">
        <v>2993</v>
      </c>
      <c r="N44" s="464">
        <v>0</v>
      </c>
      <c r="O44" s="466" t="s">
        <v>2995</v>
      </c>
      <c r="P44" s="464">
        <v>107.2</v>
      </c>
      <c r="Q44" s="460">
        <f t="shared" si="12"/>
        <v>2040</v>
      </c>
      <c r="R44" s="461">
        <f t="shared" si="13"/>
        <v>73.099999999999994</v>
      </c>
      <c r="S44" s="461">
        <f t="shared" si="14"/>
        <v>37</v>
      </c>
    </row>
    <row r="45" spans="1:20" ht="86.4" x14ac:dyDescent="0.3">
      <c r="A45" s="462">
        <v>2040</v>
      </c>
      <c r="B45" s="466" t="s">
        <v>3022</v>
      </c>
      <c r="C45" s="463" t="s">
        <v>2992</v>
      </c>
      <c r="D45" s="464">
        <v>73.099999999999994</v>
      </c>
      <c r="E45" s="465" t="s">
        <v>2993</v>
      </c>
      <c r="F45" s="464">
        <v>0</v>
      </c>
      <c r="G45" s="463" t="s">
        <v>2994</v>
      </c>
      <c r="H45" s="464">
        <v>20.5</v>
      </c>
      <c r="I45" s="465" t="s">
        <v>2993</v>
      </c>
      <c r="J45" s="464">
        <v>0</v>
      </c>
      <c r="K45" s="463" t="s">
        <v>2994</v>
      </c>
      <c r="L45" s="464">
        <v>16.5</v>
      </c>
      <c r="M45" s="465" t="s">
        <v>2993</v>
      </c>
      <c r="N45" s="464">
        <v>0</v>
      </c>
      <c r="O45" s="466" t="s">
        <v>2995</v>
      </c>
      <c r="P45" s="464">
        <v>110.2</v>
      </c>
      <c r="Q45" s="460">
        <f t="shared" si="12"/>
        <v>2041</v>
      </c>
      <c r="R45" s="461">
        <f t="shared" si="13"/>
        <v>75.400000000000006</v>
      </c>
      <c r="S45" s="461">
        <f t="shared" si="14"/>
        <v>36.799999999999997</v>
      </c>
    </row>
    <row r="46" spans="1:20" ht="86.4" x14ac:dyDescent="0.3">
      <c r="A46" s="462">
        <v>2041</v>
      </c>
      <c r="B46" s="466" t="s">
        <v>3022</v>
      </c>
      <c r="C46" s="463" t="s">
        <v>2992</v>
      </c>
      <c r="D46" s="464">
        <v>75.400000000000006</v>
      </c>
      <c r="E46" s="465" t="s">
        <v>2993</v>
      </c>
      <c r="F46" s="464">
        <v>0</v>
      </c>
      <c r="G46" s="463" t="s">
        <v>2994</v>
      </c>
      <c r="H46" s="464">
        <v>11</v>
      </c>
      <c r="I46" s="465" t="s">
        <v>2993</v>
      </c>
      <c r="J46" s="464">
        <v>0</v>
      </c>
      <c r="K46" s="463" t="s">
        <v>2994</v>
      </c>
      <c r="L46" s="464">
        <v>25.8</v>
      </c>
      <c r="M46" s="465" t="s">
        <v>2993</v>
      </c>
      <c r="N46" s="464">
        <v>0</v>
      </c>
      <c r="O46" s="466" t="s">
        <v>2995</v>
      </c>
      <c r="P46" s="464">
        <v>112.3</v>
      </c>
      <c r="Q46" s="460">
        <f t="shared" si="12"/>
        <v>2042</v>
      </c>
      <c r="R46" s="461">
        <f t="shared" si="13"/>
        <v>28.5</v>
      </c>
      <c r="S46" s="461">
        <f t="shared" si="14"/>
        <v>152.79999999999998</v>
      </c>
    </row>
    <row r="47" spans="1:20" ht="115.2" x14ac:dyDescent="0.3">
      <c r="A47" s="462">
        <v>2042</v>
      </c>
      <c r="B47" s="466" t="s">
        <v>3023</v>
      </c>
      <c r="C47" s="463" t="s">
        <v>2992</v>
      </c>
      <c r="D47" s="464">
        <v>28.5</v>
      </c>
      <c r="E47" s="465" t="s">
        <v>2993</v>
      </c>
      <c r="F47" s="464">
        <v>0</v>
      </c>
      <c r="G47" s="463" t="s">
        <v>2994</v>
      </c>
      <c r="H47" s="464">
        <v>113.7</v>
      </c>
      <c r="I47" s="463" t="s">
        <v>2998</v>
      </c>
      <c r="J47" s="464">
        <v>21.5</v>
      </c>
      <c r="K47" s="463" t="s">
        <v>2994</v>
      </c>
      <c r="L47" s="464">
        <v>17.600000000000001</v>
      </c>
      <c r="M47" s="465" t="s">
        <v>2993</v>
      </c>
      <c r="N47" s="464">
        <v>0</v>
      </c>
      <c r="O47" s="466" t="s">
        <v>2995</v>
      </c>
      <c r="P47" s="464">
        <v>181.3</v>
      </c>
      <c r="Q47" s="460">
        <f t="shared" si="12"/>
        <v>2043</v>
      </c>
      <c r="R47" s="461">
        <f t="shared" si="13"/>
        <v>35.9</v>
      </c>
      <c r="S47" s="461">
        <f t="shared" si="14"/>
        <v>13.1</v>
      </c>
    </row>
    <row r="48" spans="1:20" ht="86.4" x14ac:dyDescent="0.3">
      <c r="A48" s="462">
        <v>2043</v>
      </c>
      <c r="B48" s="466" t="s">
        <v>3003</v>
      </c>
      <c r="C48" s="463" t="s">
        <v>2992</v>
      </c>
      <c r="D48" s="464">
        <v>35.9</v>
      </c>
      <c r="E48" s="465" t="s">
        <v>2993</v>
      </c>
      <c r="F48" s="464">
        <v>0</v>
      </c>
      <c r="G48" s="465" t="s">
        <v>2993</v>
      </c>
      <c r="H48" s="464">
        <v>0</v>
      </c>
      <c r="I48" s="465" t="s">
        <v>2993</v>
      </c>
      <c r="J48" s="464">
        <v>0</v>
      </c>
      <c r="K48" s="463" t="s">
        <v>2994</v>
      </c>
      <c r="L48" s="464">
        <v>13.1</v>
      </c>
      <c r="M48" s="465" t="s">
        <v>2993</v>
      </c>
      <c r="N48" s="464">
        <v>0</v>
      </c>
      <c r="O48" s="466" t="s">
        <v>2995</v>
      </c>
      <c r="P48" s="464">
        <v>49</v>
      </c>
      <c r="Q48" s="460">
        <f t="shared" si="12"/>
        <v>2044</v>
      </c>
      <c r="R48" s="461">
        <f t="shared" si="13"/>
        <v>109.4</v>
      </c>
      <c r="S48" s="461">
        <f t="shared" si="14"/>
        <v>0</v>
      </c>
    </row>
    <row r="49" spans="1:20" ht="86.4" x14ac:dyDescent="0.3">
      <c r="A49" s="462">
        <v>2044</v>
      </c>
      <c r="B49" s="466" t="s">
        <v>3002</v>
      </c>
      <c r="C49" s="463" t="s">
        <v>2992</v>
      </c>
      <c r="D49" s="464">
        <v>109.4</v>
      </c>
      <c r="E49" s="465" t="s">
        <v>2993</v>
      </c>
      <c r="F49" s="464">
        <v>0</v>
      </c>
      <c r="G49" s="465" t="s">
        <v>2993</v>
      </c>
      <c r="H49" s="464">
        <v>0</v>
      </c>
      <c r="I49" s="465" t="s">
        <v>2993</v>
      </c>
      <c r="J49" s="464">
        <v>0</v>
      </c>
      <c r="K49" s="465" t="s">
        <v>2993</v>
      </c>
      <c r="L49" s="464">
        <v>0</v>
      </c>
      <c r="M49" s="465" t="s">
        <v>2993</v>
      </c>
      <c r="N49" s="464">
        <v>0</v>
      </c>
      <c r="O49" s="466" t="s">
        <v>2995</v>
      </c>
      <c r="P49" s="464">
        <v>109.4</v>
      </c>
      <c r="Q49" s="460">
        <f t="shared" si="12"/>
        <v>2045</v>
      </c>
      <c r="R49" s="461">
        <f t="shared" si="13"/>
        <v>124.2</v>
      </c>
      <c r="S49" s="461">
        <f t="shared" si="14"/>
        <v>154.19999999999999</v>
      </c>
    </row>
    <row r="50" spans="1:20" ht="86.4" x14ac:dyDescent="0.3">
      <c r="A50" s="462">
        <v>2045</v>
      </c>
      <c r="B50" s="463" t="s">
        <v>3024</v>
      </c>
      <c r="C50" s="463" t="s">
        <v>2992</v>
      </c>
      <c r="D50" s="464">
        <v>124.2</v>
      </c>
      <c r="E50" s="465" t="s">
        <v>2993</v>
      </c>
      <c r="F50" s="464">
        <v>0</v>
      </c>
      <c r="G50" s="463" t="s">
        <v>2994</v>
      </c>
      <c r="H50" s="464">
        <v>58.2</v>
      </c>
      <c r="I50" s="465" t="s">
        <v>2993</v>
      </c>
      <c r="J50" s="464">
        <v>0</v>
      </c>
      <c r="K50" s="463" t="s">
        <v>2994</v>
      </c>
      <c r="L50" s="464">
        <v>96</v>
      </c>
      <c r="M50" s="465" t="s">
        <v>2993</v>
      </c>
      <c r="N50" s="464">
        <v>0</v>
      </c>
      <c r="O50" s="466" t="s">
        <v>2995</v>
      </c>
      <c r="P50" s="464">
        <v>278.60000000000002</v>
      </c>
      <c r="Q50" s="460">
        <f t="shared" si="12"/>
        <v>2046</v>
      </c>
      <c r="R50" s="461">
        <f t="shared" si="13"/>
        <v>154.19999999999999</v>
      </c>
      <c r="S50" s="461">
        <f t="shared" si="14"/>
        <v>212.6</v>
      </c>
    </row>
    <row r="51" spans="1:20" ht="86.4" x14ac:dyDescent="0.3">
      <c r="A51" s="467">
        <v>2046</v>
      </c>
      <c r="B51" s="471" t="s">
        <v>3025</v>
      </c>
      <c r="C51" s="469" t="s">
        <v>2992</v>
      </c>
      <c r="D51" s="470">
        <v>154.19999999999999</v>
      </c>
      <c r="E51" s="471" t="s">
        <v>2993</v>
      </c>
      <c r="F51" s="470">
        <v>0</v>
      </c>
      <c r="G51" s="469" t="s">
        <v>2994</v>
      </c>
      <c r="H51" s="470">
        <v>191.5</v>
      </c>
      <c r="I51" s="471" t="s">
        <v>2993</v>
      </c>
      <c r="J51" s="470">
        <v>0</v>
      </c>
      <c r="K51" s="469" t="s">
        <v>2994</v>
      </c>
      <c r="L51" s="470">
        <v>21.1</v>
      </c>
      <c r="M51" s="471" t="s">
        <v>2993</v>
      </c>
      <c r="N51" s="470">
        <v>0</v>
      </c>
      <c r="O51" s="468" t="s">
        <v>2995</v>
      </c>
      <c r="P51" s="470">
        <v>367</v>
      </c>
      <c r="Q51" s="460" t="e">
        <f>#REF!</f>
        <v>#REF!</v>
      </c>
      <c r="R51" s="461" t="e">
        <f>#REF!</f>
        <v>#REF!</v>
      </c>
      <c r="S51" s="461" t="e">
        <f>SUM(#REF!)</f>
        <v>#REF!</v>
      </c>
    </row>
    <row r="52" spans="1:20" ht="86.4" x14ac:dyDescent="0.3">
      <c r="A52" s="467">
        <v>2047</v>
      </c>
      <c r="B52" s="468" t="s">
        <v>3026</v>
      </c>
      <c r="C52" s="469" t="s">
        <v>2992</v>
      </c>
      <c r="D52" s="470">
        <v>15.2</v>
      </c>
      <c r="E52" s="471" t="s">
        <v>2993</v>
      </c>
      <c r="F52" s="470">
        <v>0</v>
      </c>
      <c r="G52" s="469" t="s">
        <v>2994</v>
      </c>
      <c r="H52" s="470">
        <v>55.7</v>
      </c>
      <c r="I52" s="471" t="s">
        <v>2993</v>
      </c>
      <c r="J52" s="470">
        <v>0</v>
      </c>
      <c r="K52" s="469" t="s">
        <v>2994</v>
      </c>
      <c r="L52" s="470">
        <v>18.3</v>
      </c>
      <c r="M52" s="471" t="s">
        <v>2993</v>
      </c>
      <c r="N52" s="470">
        <v>0</v>
      </c>
      <c r="O52" s="468" t="s">
        <v>2995</v>
      </c>
      <c r="P52" s="470">
        <v>89.2</v>
      </c>
      <c r="Q52" s="460" t="e">
        <f>#REF!</f>
        <v>#REF!</v>
      </c>
      <c r="R52" s="461" t="e">
        <f>#REF!</f>
        <v>#REF!</v>
      </c>
      <c r="S52" s="461" t="e">
        <f>SUM(#REF!)</f>
        <v>#REF!</v>
      </c>
    </row>
    <row r="53" spans="1:20" ht="86.4" x14ac:dyDescent="0.3">
      <c r="A53" s="462">
        <v>2048</v>
      </c>
      <c r="B53" s="463" t="s">
        <v>3027</v>
      </c>
      <c r="C53" s="463" t="s">
        <v>2992</v>
      </c>
      <c r="D53" s="464">
        <v>75.099999999999994</v>
      </c>
      <c r="E53" s="465" t="s">
        <v>2993</v>
      </c>
      <c r="F53" s="464">
        <v>0</v>
      </c>
      <c r="G53" s="463" t="s">
        <v>2994</v>
      </c>
      <c r="H53" s="464">
        <v>62.7</v>
      </c>
      <c r="I53" s="465" t="s">
        <v>2993</v>
      </c>
      <c r="J53" s="464">
        <v>0</v>
      </c>
      <c r="K53" s="463" t="s">
        <v>2994</v>
      </c>
      <c r="L53" s="464">
        <v>92.9</v>
      </c>
      <c r="M53" s="465" t="s">
        <v>2993</v>
      </c>
      <c r="N53" s="464">
        <v>0</v>
      </c>
      <c r="O53" s="466" t="s">
        <v>2995</v>
      </c>
      <c r="P53" s="464">
        <v>230.9</v>
      </c>
      <c r="Q53" s="460">
        <f t="shared" ref="Q53:Q60" si="15">A54</f>
        <v>2049</v>
      </c>
      <c r="R53" s="461">
        <f t="shared" ref="R53:R60" si="16">D54</f>
        <v>161.9</v>
      </c>
      <c r="S53" s="461">
        <f t="shared" ref="S53:S60" si="17">SUM(F54:L54)</f>
        <v>107.5</v>
      </c>
    </row>
    <row r="54" spans="1:20" ht="86.4" x14ac:dyDescent="0.3">
      <c r="A54" s="462">
        <v>2049</v>
      </c>
      <c r="B54" s="465" t="s">
        <v>3025</v>
      </c>
      <c r="C54" s="463" t="s">
        <v>2992</v>
      </c>
      <c r="D54" s="464">
        <v>161.9</v>
      </c>
      <c r="E54" s="465" t="s">
        <v>2993</v>
      </c>
      <c r="F54" s="464">
        <v>0</v>
      </c>
      <c r="G54" s="463" t="s">
        <v>2994</v>
      </c>
      <c r="H54" s="464">
        <v>90.7</v>
      </c>
      <c r="I54" s="465" t="s">
        <v>2993</v>
      </c>
      <c r="J54" s="464">
        <v>0</v>
      </c>
      <c r="K54" s="463" t="s">
        <v>2994</v>
      </c>
      <c r="L54" s="464">
        <v>16.8</v>
      </c>
      <c r="M54" s="465" t="s">
        <v>2993</v>
      </c>
      <c r="N54" s="464">
        <v>0</v>
      </c>
      <c r="O54" s="466" t="s">
        <v>2995</v>
      </c>
      <c r="P54" s="464">
        <v>269.60000000000002</v>
      </c>
      <c r="Q54" s="460">
        <f t="shared" si="15"/>
        <v>2050</v>
      </c>
      <c r="R54" s="461">
        <f t="shared" si="16"/>
        <v>46</v>
      </c>
      <c r="S54" s="461">
        <f t="shared" si="17"/>
        <v>43.8</v>
      </c>
    </row>
    <row r="55" spans="1:20" ht="86.4" x14ac:dyDescent="0.3">
      <c r="A55" s="462">
        <v>2050</v>
      </c>
      <c r="B55" s="465" t="s">
        <v>3028</v>
      </c>
      <c r="C55" s="463" t="s">
        <v>2992</v>
      </c>
      <c r="D55" s="464">
        <v>46</v>
      </c>
      <c r="E55" s="465" t="s">
        <v>2993</v>
      </c>
      <c r="F55" s="464">
        <v>0</v>
      </c>
      <c r="G55" s="463" t="s">
        <v>2994</v>
      </c>
      <c r="H55" s="464">
        <v>7.8</v>
      </c>
      <c r="I55" s="465" t="s">
        <v>2993</v>
      </c>
      <c r="J55" s="464">
        <v>0</v>
      </c>
      <c r="K55" s="463" t="s">
        <v>2994</v>
      </c>
      <c r="L55" s="464">
        <v>36</v>
      </c>
      <c r="M55" s="465" t="s">
        <v>2993</v>
      </c>
      <c r="N55" s="464">
        <v>0</v>
      </c>
      <c r="O55" s="466" t="s">
        <v>2995</v>
      </c>
      <c r="P55" s="464">
        <v>89.8</v>
      </c>
      <c r="Q55" s="460">
        <f t="shared" si="15"/>
        <v>2051</v>
      </c>
      <c r="R55" s="461">
        <f t="shared" si="16"/>
        <v>15.8</v>
      </c>
      <c r="S55" s="461">
        <f t="shared" si="17"/>
        <v>69.7</v>
      </c>
    </row>
    <row r="56" spans="1:20" ht="100.8" x14ac:dyDescent="0.3">
      <c r="A56" s="462">
        <v>2051</v>
      </c>
      <c r="B56" s="466" t="s">
        <v>3029</v>
      </c>
      <c r="C56" s="463" t="s">
        <v>3005</v>
      </c>
      <c r="D56" s="464">
        <v>15.8</v>
      </c>
      <c r="E56" s="465" t="s">
        <v>2993</v>
      </c>
      <c r="F56" s="464">
        <v>0</v>
      </c>
      <c r="G56" s="463" t="s">
        <v>3006</v>
      </c>
      <c r="H56" s="464">
        <v>10.5</v>
      </c>
      <c r="I56" s="465" t="s">
        <v>2993</v>
      </c>
      <c r="J56" s="464">
        <v>0</v>
      </c>
      <c r="K56" s="463" t="s">
        <v>3006</v>
      </c>
      <c r="L56" s="464">
        <v>59.2</v>
      </c>
      <c r="M56" s="465" t="s">
        <v>2993</v>
      </c>
      <c r="N56" s="464">
        <v>0</v>
      </c>
      <c r="O56" s="466" t="s">
        <v>2995</v>
      </c>
      <c r="P56" s="464">
        <v>86</v>
      </c>
      <c r="Q56" s="460">
        <f t="shared" si="15"/>
        <v>2052</v>
      </c>
      <c r="R56" s="461">
        <f t="shared" si="16"/>
        <v>3</v>
      </c>
      <c r="S56" s="461">
        <f t="shared" si="17"/>
        <v>28.900000000000002</v>
      </c>
    </row>
    <row r="57" spans="1:20" ht="100.8" x14ac:dyDescent="0.3">
      <c r="A57" s="462">
        <v>2052</v>
      </c>
      <c r="B57" s="466" t="s">
        <v>3007</v>
      </c>
      <c r="C57" s="463" t="s">
        <v>3005</v>
      </c>
      <c r="D57" s="464">
        <v>3</v>
      </c>
      <c r="E57" s="465" t="s">
        <v>2993</v>
      </c>
      <c r="F57" s="464">
        <v>0</v>
      </c>
      <c r="G57" s="463" t="s">
        <v>3006</v>
      </c>
      <c r="H57" s="464">
        <v>2.6</v>
      </c>
      <c r="I57" s="465" t="s">
        <v>2993</v>
      </c>
      <c r="J57" s="464">
        <v>0</v>
      </c>
      <c r="K57" s="463" t="s">
        <v>3006</v>
      </c>
      <c r="L57" s="464">
        <v>26.3</v>
      </c>
      <c r="M57" s="465" t="s">
        <v>2993</v>
      </c>
      <c r="N57" s="464">
        <v>0</v>
      </c>
      <c r="O57" s="466" t="s">
        <v>2995</v>
      </c>
      <c r="P57" s="464">
        <v>31.8</v>
      </c>
      <c r="Q57" s="460">
        <f t="shared" si="15"/>
        <v>2053</v>
      </c>
      <c r="R57" s="461">
        <f t="shared" si="16"/>
        <v>1</v>
      </c>
      <c r="S57" s="461">
        <f t="shared" si="17"/>
        <v>33.299999999999997</v>
      </c>
    </row>
    <row r="58" spans="1:20" ht="100.8" x14ac:dyDescent="0.3">
      <c r="A58" s="462">
        <v>2053</v>
      </c>
      <c r="B58" s="466" t="s">
        <v>3010</v>
      </c>
      <c r="C58" s="463" t="s">
        <v>3005</v>
      </c>
      <c r="D58" s="464">
        <v>1</v>
      </c>
      <c r="E58" s="465" t="s">
        <v>2993</v>
      </c>
      <c r="F58" s="464">
        <v>0</v>
      </c>
      <c r="G58" s="463" t="s">
        <v>3006</v>
      </c>
      <c r="H58" s="464">
        <v>5.9</v>
      </c>
      <c r="I58" s="465" t="s">
        <v>2993</v>
      </c>
      <c r="J58" s="464">
        <v>0</v>
      </c>
      <c r="K58" s="463" t="s">
        <v>3006</v>
      </c>
      <c r="L58" s="464">
        <v>27.4</v>
      </c>
      <c r="M58" s="465" t="s">
        <v>2993</v>
      </c>
      <c r="N58" s="464">
        <v>0</v>
      </c>
      <c r="O58" s="466" t="s">
        <v>2995</v>
      </c>
      <c r="P58" s="464">
        <v>34.299999999999997</v>
      </c>
      <c r="Q58" s="460">
        <f t="shared" si="15"/>
        <v>2054</v>
      </c>
      <c r="R58" s="461">
        <f t="shared" si="16"/>
        <v>39.200000000000003</v>
      </c>
      <c r="S58" s="461">
        <f t="shared" si="17"/>
        <v>40.299999999999997</v>
      </c>
    </row>
    <row r="59" spans="1:20" ht="100.8" x14ac:dyDescent="0.3">
      <c r="A59" s="462">
        <v>2054</v>
      </c>
      <c r="B59" s="466" t="s">
        <v>3030</v>
      </c>
      <c r="C59" s="463" t="s">
        <v>3005</v>
      </c>
      <c r="D59" s="464">
        <v>39.200000000000003</v>
      </c>
      <c r="E59" s="465" t="s">
        <v>2993</v>
      </c>
      <c r="F59" s="464">
        <v>0</v>
      </c>
      <c r="G59" s="463" t="s">
        <v>3006</v>
      </c>
      <c r="H59" s="464">
        <v>11.7</v>
      </c>
      <c r="I59" s="465" t="s">
        <v>2993</v>
      </c>
      <c r="J59" s="464">
        <v>0</v>
      </c>
      <c r="K59" s="463" t="s">
        <v>3006</v>
      </c>
      <c r="L59" s="464">
        <v>28.6</v>
      </c>
      <c r="M59" s="465" t="s">
        <v>2993</v>
      </c>
      <c r="N59" s="464">
        <v>0</v>
      </c>
      <c r="O59" s="466" t="s">
        <v>2995</v>
      </c>
      <c r="P59" s="464">
        <v>86.6</v>
      </c>
      <c r="Q59" s="460">
        <f t="shared" si="15"/>
        <v>2055</v>
      </c>
      <c r="R59" s="461">
        <f t="shared" si="16"/>
        <v>35.9</v>
      </c>
      <c r="S59" s="461">
        <f t="shared" si="17"/>
        <v>13.1</v>
      </c>
    </row>
    <row r="60" spans="1:20" ht="86.4" x14ac:dyDescent="0.3">
      <c r="A60" s="462">
        <v>2055</v>
      </c>
      <c r="B60" s="466" t="s">
        <v>3003</v>
      </c>
      <c r="C60" s="463" t="s">
        <v>2992</v>
      </c>
      <c r="D60" s="464">
        <v>35.9</v>
      </c>
      <c r="E60" s="465" t="s">
        <v>2993</v>
      </c>
      <c r="F60" s="464">
        <v>0</v>
      </c>
      <c r="G60" s="465" t="s">
        <v>2993</v>
      </c>
      <c r="H60" s="464">
        <v>0</v>
      </c>
      <c r="I60" s="465" t="s">
        <v>2993</v>
      </c>
      <c r="J60" s="464">
        <v>0</v>
      </c>
      <c r="K60" s="463" t="s">
        <v>2994</v>
      </c>
      <c r="L60" s="464">
        <v>13.1</v>
      </c>
      <c r="M60" s="465" t="s">
        <v>2993</v>
      </c>
      <c r="N60" s="464">
        <v>0</v>
      </c>
      <c r="O60" s="466" t="s">
        <v>2995</v>
      </c>
      <c r="P60" s="464">
        <v>49</v>
      </c>
      <c r="Q60" s="460">
        <f t="shared" si="15"/>
        <v>2056</v>
      </c>
      <c r="R60" s="461">
        <f t="shared" si="16"/>
        <v>108.4</v>
      </c>
      <c r="S60" s="461">
        <f t="shared" si="17"/>
        <v>0</v>
      </c>
    </row>
    <row r="61" spans="1:20" ht="86.4" x14ac:dyDescent="0.3">
      <c r="A61" s="467">
        <v>2056</v>
      </c>
      <c r="B61" s="468" t="s">
        <v>3002</v>
      </c>
      <c r="C61" s="469" t="s">
        <v>2992</v>
      </c>
      <c r="D61" s="470">
        <v>108.4</v>
      </c>
      <c r="E61" s="471" t="s">
        <v>2993</v>
      </c>
      <c r="F61" s="470">
        <v>0</v>
      </c>
      <c r="G61" s="471" t="s">
        <v>2993</v>
      </c>
      <c r="H61" s="470">
        <v>0</v>
      </c>
      <c r="I61" s="471" t="s">
        <v>2993</v>
      </c>
      <c r="J61" s="470">
        <v>0</v>
      </c>
      <c r="K61" s="471" t="s">
        <v>2993</v>
      </c>
      <c r="L61" s="470">
        <v>0</v>
      </c>
      <c r="M61" s="471" t="s">
        <v>2993</v>
      </c>
      <c r="N61" s="470">
        <v>0</v>
      </c>
      <c r="O61" s="468" t="s">
        <v>2995</v>
      </c>
      <c r="P61" s="470">
        <v>108.4</v>
      </c>
      <c r="Q61" s="460" t="e">
        <f>#REF!</f>
        <v>#REF!</v>
      </c>
      <c r="R61" s="461" t="e">
        <f>#REF!</f>
        <v>#REF!</v>
      </c>
      <c r="S61" s="461" t="e">
        <f>SUM(#REF!)</f>
        <v>#REF!</v>
      </c>
    </row>
    <row r="62" spans="1:20" ht="86.4" x14ac:dyDescent="0.3">
      <c r="A62" s="462">
        <v>2057</v>
      </c>
      <c r="B62" s="466" t="s">
        <v>3001</v>
      </c>
      <c r="C62" s="463" t="s">
        <v>2992</v>
      </c>
      <c r="D62" s="464">
        <v>12.1</v>
      </c>
      <c r="E62" s="465" t="s">
        <v>2993</v>
      </c>
      <c r="F62" s="464">
        <v>0</v>
      </c>
      <c r="G62" s="463" t="s">
        <v>2994</v>
      </c>
      <c r="H62" s="464">
        <v>35.9</v>
      </c>
      <c r="I62" s="465" t="s">
        <v>2993</v>
      </c>
      <c r="J62" s="464">
        <v>0</v>
      </c>
      <c r="K62" s="463" t="s">
        <v>2994</v>
      </c>
      <c r="L62" s="464">
        <v>17</v>
      </c>
      <c r="M62" s="465" t="s">
        <v>2993</v>
      </c>
      <c r="N62" s="464">
        <v>0</v>
      </c>
      <c r="O62" s="466" t="s">
        <v>2995</v>
      </c>
      <c r="P62" s="464">
        <v>65</v>
      </c>
      <c r="Q62" s="460">
        <f t="shared" ref="Q62:Q69" si="18">A63</f>
        <v>2058</v>
      </c>
      <c r="R62" s="461">
        <f t="shared" ref="R62:R69" si="19">D63</f>
        <v>147.5</v>
      </c>
      <c r="S62" s="461">
        <f t="shared" ref="S62:S69" si="20">SUM(F63:L63)</f>
        <v>109.6</v>
      </c>
      <c r="T62" s="461">
        <f>D63</f>
        <v>147.5</v>
      </c>
    </row>
    <row r="63" spans="1:20" ht="86.4" x14ac:dyDescent="0.3">
      <c r="A63" s="462">
        <v>2058</v>
      </c>
      <c r="B63" s="466" t="s">
        <v>3031</v>
      </c>
      <c r="C63" s="463" t="s">
        <v>2992</v>
      </c>
      <c r="D63" s="464">
        <v>147.5</v>
      </c>
      <c r="E63" s="465" t="s">
        <v>2993</v>
      </c>
      <c r="F63" s="464">
        <v>0</v>
      </c>
      <c r="G63" s="463" t="s">
        <v>2994</v>
      </c>
      <c r="H63" s="464">
        <v>97.1</v>
      </c>
      <c r="I63" s="465" t="s">
        <v>2993</v>
      </c>
      <c r="J63" s="464">
        <v>0</v>
      </c>
      <c r="K63" s="463" t="s">
        <v>2994</v>
      </c>
      <c r="L63" s="464">
        <v>12.5</v>
      </c>
      <c r="M63" s="465" t="s">
        <v>2993</v>
      </c>
      <c r="N63" s="464">
        <v>0</v>
      </c>
      <c r="O63" s="466" t="s">
        <v>2995</v>
      </c>
      <c r="P63" s="464">
        <v>257</v>
      </c>
      <c r="Q63" s="460">
        <f t="shared" si="18"/>
        <v>2059</v>
      </c>
      <c r="R63" s="461">
        <f t="shared" si="19"/>
        <v>8</v>
      </c>
      <c r="S63" s="461">
        <f t="shared" si="20"/>
        <v>23.5</v>
      </c>
    </row>
    <row r="64" spans="1:20" ht="100.8" x14ac:dyDescent="0.3">
      <c r="A64" s="462">
        <v>2059</v>
      </c>
      <c r="B64" s="466" t="s">
        <v>3007</v>
      </c>
      <c r="C64" s="463" t="s">
        <v>3005</v>
      </c>
      <c r="D64" s="464">
        <v>8</v>
      </c>
      <c r="E64" s="465" t="s">
        <v>2993</v>
      </c>
      <c r="F64" s="464">
        <v>0</v>
      </c>
      <c r="G64" s="465" t="s">
        <v>2993</v>
      </c>
      <c r="H64" s="464">
        <v>0</v>
      </c>
      <c r="I64" s="465" t="s">
        <v>2993</v>
      </c>
      <c r="J64" s="464">
        <v>0</v>
      </c>
      <c r="K64" s="463" t="s">
        <v>3006</v>
      </c>
      <c r="L64" s="464">
        <v>23.5</v>
      </c>
      <c r="M64" s="465" t="s">
        <v>2993</v>
      </c>
      <c r="N64" s="464">
        <v>0</v>
      </c>
      <c r="O64" s="466" t="s">
        <v>2995</v>
      </c>
      <c r="P64" s="464">
        <v>31.5</v>
      </c>
      <c r="Q64" s="460">
        <f t="shared" si="18"/>
        <v>2060</v>
      </c>
      <c r="R64" s="461">
        <f t="shared" si="19"/>
        <v>23.1</v>
      </c>
      <c r="S64" s="461">
        <f t="shared" si="20"/>
        <v>70.599999999999994</v>
      </c>
    </row>
    <row r="65" spans="1:19" ht="86.4" x14ac:dyDescent="0.3">
      <c r="A65" s="462">
        <v>2060</v>
      </c>
      <c r="B65" s="465" t="s">
        <v>3028</v>
      </c>
      <c r="C65" s="463" t="s">
        <v>2992</v>
      </c>
      <c r="D65" s="464">
        <v>23.1</v>
      </c>
      <c r="E65" s="465" t="s">
        <v>2993</v>
      </c>
      <c r="F65" s="464">
        <v>0</v>
      </c>
      <c r="G65" s="463" t="s">
        <v>2994</v>
      </c>
      <c r="H65" s="464">
        <v>12.6</v>
      </c>
      <c r="I65" s="465" t="s">
        <v>2993</v>
      </c>
      <c r="J65" s="464">
        <v>0</v>
      </c>
      <c r="K65" s="463" t="s">
        <v>2994</v>
      </c>
      <c r="L65" s="464">
        <v>58</v>
      </c>
      <c r="M65" s="465" t="s">
        <v>2993</v>
      </c>
      <c r="N65" s="464">
        <v>0</v>
      </c>
      <c r="O65" s="466" t="s">
        <v>2995</v>
      </c>
      <c r="P65" s="464">
        <v>93.7</v>
      </c>
      <c r="Q65" s="460">
        <f t="shared" si="18"/>
        <v>2061</v>
      </c>
      <c r="R65" s="461">
        <f t="shared" si="19"/>
        <v>64.400000000000006</v>
      </c>
      <c r="S65" s="461">
        <f t="shared" si="20"/>
        <v>156.69999999999999</v>
      </c>
    </row>
    <row r="66" spans="1:19" ht="86.4" x14ac:dyDescent="0.3">
      <c r="A66" s="462">
        <v>2061</v>
      </c>
      <c r="B66" s="463" t="s">
        <v>3032</v>
      </c>
      <c r="C66" s="463" t="s">
        <v>2992</v>
      </c>
      <c r="D66" s="464">
        <v>64.400000000000006</v>
      </c>
      <c r="E66" s="465" t="s">
        <v>2993</v>
      </c>
      <c r="F66" s="464">
        <v>0</v>
      </c>
      <c r="G66" s="463" t="s">
        <v>2994</v>
      </c>
      <c r="H66" s="464">
        <v>66.8</v>
      </c>
      <c r="I66" s="465" t="s">
        <v>2993</v>
      </c>
      <c r="J66" s="464">
        <v>0</v>
      </c>
      <c r="K66" s="463" t="s">
        <v>2994</v>
      </c>
      <c r="L66" s="464">
        <v>89.9</v>
      </c>
      <c r="M66" s="465" t="s">
        <v>2993</v>
      </c>
      <c r="N66" s="464">
        <v>0</v>
      </c>
      <c r="O66" s="466" t="s">
        <v>2995</v>
      </c>
      <c r="P66" s="464">
        <v>221.1</v>
      </c>
      <c r="Q66" s="460">
        <f t="shared" si="18"/>
        <v>2062</v>
      </c>
      <c r="R66" s="461">
        <f t="shared" si="19"/>
        <v>114.8</v>
      </c>
      <c r="S66" s="461">
        <f t="shared" si="20"/>
        <v>165.5</v>
      </c>
    </row>
    <row r="67" spans="1:19" ht="86.4" x14ac:dyDescent="0.3">
      <c r="A67" s="462">
        <v>2062</v>
      </c>
      <c r="B67" s="466" t="s">
        <v>3023</v>
      </c>
      <c r="C67" s="463" t="s">
        <v>2992</v>
      </c>
      <c r="D67" s="464">
        <v>114.8</v>
      </c>
      <c r="E67" s="465" t="s">
        <v>2993</v>
      </c>
      <c r="F67" s="464">
        <v>0</v>
      </c>
      <c r="G67" s="463" t="s">
        <v>2994</v>
      </c>
      <c r="H67" s="464">
        <v>99.3</v>
      </c>
      <c r="I67" s="465" t="s">
        <v>2993</v>
      </c>
      <c r="J67" s="464">
        <v>0</v>
      </c>
      <c r="K67" s="463" t="s">
        <v>2994</v>
      </c>
      <c r="L67" s="464">
        <v>66.2</v>
      </c>
      <c r="M67" s="465" t="s">
        <v>2993</v>
      </c>
      <c r="N67" s="464">
        <v>0</v>
      </c>
      <c r="O67" s="466" t="s">
        <v>2995</v>
      </c>
      <c r="P67" s="464">
        <v>280.3</v>
      </c>
      <c r="Q67" s="460">
        <f t="shared" si="18"/>
        <v>2063</v>
      </c>
      <c r="R67" s="461">
        <f t="shared" si="19"/>
        <v>85.7</v>
      </c>
      <c r="S67" s="461">
        <f t="shared" si="20"/>
        <v>0</v>
      </c>
    </row>
    <row r="68" spans="1:19" ht="86.4" x14ac:dyDescent="0.3">
      <c r="A68" s="462">
        <v>2063</v>
      </c>
      <c r="B68" s="466" t="s">
        <v>3002</v>
      </c>
      <c r="C68" s="463" t="s">
        <v>2992</v>
      </c>
      <c r="D68" s="464">
        <v>85.7</v>
      </c>
      <c r="E68" s="465" t="s">
        <v>2993</v>
      </c>
      <c r="F68" s="464">
        <v>0</v>
      </c>
      <c r="G68" s="465" t="s">
        <v>2993</v>
      </c>
      <c r="H68" s="464">
        <v>0</v>
      </c>
      <c r="I68" s="465" t="s">
        <v>2993</v>
      </c>
      <c r="J68" s="464">
        <v>0</v>
      </c>
      <c r="K68" s="465" t="s">
        <v>2993</v>
      </c>
      <c r="L68" s="464">
        <v>0</v>
      </c>
      <c r="M68" s="465" t="s">
        <v>2993</v>
      </c>
      <c r="N68" s="464">
        <v>0</v>
      </c>
      <c r="O68" s="466" t="s">
        <v>2995</v>
      </c>
      <c r="P68" s="464">
        <v>85.7</v>
      </c>
      <c r="Q68" s="460">
        <f t="shared" si="18"/>
        <v>2064</v>
      </c>
      <c r="R68" s="461">
        <f t="shared" si="19"/>
        <v>60.5</v>
      </c>
      <c r="S68" s="461">
        <f t="shared" si="20"/>
        <v>55.900000000000006</v>
      </c>
    </row>
    <row r="69" spans="1:19" ht="86.4" x14ac:dyDescent="0.3">
      <c r="A69" s="462">
        <v>2064</v>
      </c>
      <c r="B69" s="466" t="s">
        <v>3022</v>
      </c>
      <c r="C69" s="463" t="s">
        <v>2992</v>
      </c>
      <c r="D69" s="464">
        <v>60.5</v>
      </c>
      <c r="E69" s="465" t="s">
        <v>2993</v>
      </c>
      <c r="F69" s="464">
        <v>0</v>
      </c>
      <c r="G69" s="463" t="s">
        <v>2994</v>
      </c>
      <c r="H69" s="464">
        <v>30.8</v>
      </c>
      <c r="I69" s="465" t="s">
        <v>2993</v>
      </c>
      <c r="J69" s="464">
        <v>0</v>
      </c>
      <c r="K69" s="463" t="s">
        <v>2994</v>
      </c>
      <c r="L69" s="464">
        <v>25.1</v>
      </c>
      <c r="M69" s="465" t="s">
        <v>2993</v>
      </c>
      <c r="N69" s="464">
        <v>0</v>
      </c>
      <c r="O69" s="466" t="s">
        <v>2995</v>
      </c>
      <c r="P69" s="464">
        <v>116.4</v>
      </c>
      <c r="Q69" s="460">
        <f t="shared" si="18"/>
        <v>2065</v>
      </c>
      <c r="R69" s="461">
        <f t="shared" si="19"/>
        <v>1.7</v>
      </c>
      <c r="S69" s="461">
        <f t="shared" si="20"/>
        <v>29.5</v>
      </c>
    </row>
    <row r="70" spans="1:19" ht="100.8" x14ac:dyDescent="0.3">
      <c r="A70" s="467">
        <v>2065</v>
      </c>
      <c r="B70" s="468" t="s">
        <v>3007</v>
      </c>
      <c r="C70" s="469" t="s">
        <v>3005</v>
      </c>
      <c r="D70" s="470">
        <v>1.7</v>
      </c>
      <c r="E70" s="471" t="s">
        <v>2993</v>
      </c>
      <c r="F70" s="470">
        <v>0</v>
      </c>
      <c r="G70" s="469" t="s">
        <v>3006</v>
      </c>
      <c r="H70" s="470">
        <v>6.1</v>
      </c>
      <c r="I70" s="471" t="s">
        <v>2993</v>
      </c>
      <c r="J70" s="470">
        <v>0</v>
      </c>
      <c r="K70" s="469" t="s">
        <v>3006</v>
      </c>
      <c r="L70" s="470">
        <v>23.4</v>
      </c>
      <c r="M70" s="471" t="s">
        <v>2993</v>
      </c>
      <c r="N70" s="470">
        <v>0</v>
      </c>
      <c r="O70" s="468" t="s">
        <v>2995</v>
      </c>
      <c r="P70" s="470">
        <v>31.2</v>
      </c>
      <c r="Q70" s="460" t="e">
        <f>#REF!</f>
        <v>#REF!</v>
      </c>
      <c r="R70" s="461" t="e">
        <f>#REF!</f>
        <v>#REF!</v>
      </c>
      <c r="S70" s="461" t="e">
        <f>SUM(#REF!)</f>
        <v>#REF!</v>
      </c>
    </row>
    <row r="71" spans="1:19" ht="115.2" x14ac:dyDescent="0.3">
      <c r="A71" s="462">
        <v>2066</v>
      </c>
      <c r="B71" s="466" t="s">
        <v>3033</v>
      </c>
      <c r="C71" s="463" t="s">
        <v>2992</v>
      </c>
      <c r="D71" s="464">
        <v>71</v>
      </c>
      <c r="E71" s="465" t="s">
        <v>2993</v>
      </c>
      <c r="F71" s="464">
        <v>0</v>
      </c>
      <c r="G71" s="463" t="s">
        <v>2994</v>
      </c>
      <c r="H71" s="474">
        <v>42.2</v>
      </c>
      <c r="I71" s="463" t="s">
        <v>2998</v>
      </c>
      <c r="J71" s="464">
        <v>28.6</v>
      </c>
      <c r="K71" s="463" t="s">
        <v>2994</v>
      </c>
      <c r="L71" s="464">
        <v>23.8</v>
      </c>
      <c r="M71" s="465" t="s">
        <v>2993</v>
      </c>
      <c r="N71" s="464">
        <v>0</v>
      </c>
      <c r="O71" s="466" t="s">
        <v>2995</v>
      </c>
      <c r="P71" s="464">
        <v>165.5</v>
      </c>
      <c r="Q71" s="460">
        <f>A72</f>
        <v>2067</v>
      </c>
      <c r="R71" s="461">
        <f>D72</f>
        <v>58.2</v>
      </c>
      <c r="S71" s="461">
        <f>SUM(F72:L72)</f>
        <v>181.1</v>
      </c>
    </row>
    <row r="72" spans="1:19" ht="86.4" x14ac:dyDescent="0.3">
      <c r="A72" s="462">
        <v>2067</v>
      </c>
      <c r="B72" s="465" t="s">
        <v>3025</v>
      </c>
      <c r="C72" s="463" t="s">
        <v>2992</v>
      </c>
      <c r="D72" s="464">
        <v>58.2</v>
      </c>
      <c r="E72" s="465" t="s">
        <v>2993</v>
      </c>
      <c r="F72" s="464">
        <v>0</v>
      </c>
      <c r="G72" s="463" t="s">
        <v>2994</v>
      </c>
      <c r="H72" s="474">
        <v>155</v>
      </c>
      <c r="I72" s="465" t="s">
        <v>2993</v>
      </c>
      <c r="J72" s="464">
        <v>0</v>
      </c>
      <c r="K72" s="463" t="s">
        <v>2994</v>
      </c>
      <c r="L72" s="464">
        <v>26.1</v>
      </c>
      <c r="M72" s="465" t="s">
        <v>2993</v>
      </c>
      <c r="N72" s="464">
        <v>0</v>
      </c>
      <c r="O72" s="466" t="s">
        <v>2995</v>
      </c>
      <c r="P72" s="464">
        <v>239.3</v>
      </c>
      <c r="Q72" s="460">
        <f>A73</f>
        <v>2068</v>
      </c>
      <c r="R72" s="461">
        <f>D73</f>
        <v>40.200000000000003</v>
      </c>
      <c r="S72" s="461">
        <f>SUM(F73:L73)</f>
        <v>160.69999999999999</v>
      </c>
    </row>
    <row r="73" spans="1:19" ht="86.4" x14ac:dyDescent="0.3">
      <c r="A73" s="462">
        <v>2068</v>
      </c>
      <c r="B73" s="465" t="s">
        <v>3034</v>
      </c>
      <c r="C73" s="463" t="s">
        <v>2992</v>
      </c>
      <c r="D73" s="464">
        <v>40.200000000000003</v>
      </c>
      <c r="E73" s="465" t="s">
        <v>2993</v>
      </c>
      <c r="F73" s="464">
        <v>0</v>
      </c>
      <c r="G73" s="463" t="s">
        <v>2994</v>
      </c>
      <c r="H73" s="474">
        <v>43.9</v>
      </c>
      <c r="I73" s="465" t="s">
        <v>2993</v>
      </c>
      <c r="J73" s="464">
        <v>0</v>
      </c>
      <c r="K73" s="463" t="s">
        <v>2994</v>
      </c>
      <c r="L73" s="464">
        <v>116.8</v>
      </c>
      <c r="M73" s="465" t="s">
        <v>2993</v>
      </c>
      <c r="N73" s="464">
        <v>0</v>
      </c>
      <c r="O73" s="466" t="s">
        <v>2995</v>
      </c>
      <c r="P73" s="464">
        <v>200.9</v>
      </c>
      <c r="Q73" s="460">
        <f>A74</f>
        <v>2069</v>
      </c>
      <c r="R73" s="461">
        <f>D74</f>
        <v>8.3000000000000007</v>
      </c>
      <c r="S73" s="461">
        <f>SUM(F74:L74)</f>
        <v>6.3</v>
      </c>
    </row>
    <row r="74" spans="1:19" ht="100.8" x14ac:dyDescent="0.3">
      <c r="A74" s="462">
        <v>2069</v>
      </c>
      <c r="B74" s="466" t="s">
        <v>3035</v>
      </c>
      <c r="C74" s="463" t="s">
        <v>3005</v>
      </c>
      <c r="D74" s="464">
        <v>8.3000000000000007</v>
      </c>
      <c r="E74" s="465" t="s">
        <v>2993</v>
      </c>
      <c r="F74" s="464">
        <v>0</v>
      </c>
      <c r="G74" s="465" t="s">
        <v>2993</v>
      </c>
      <c r="H74" s="473">
        <v>0</v>
      </c>
      <c r="I74" s="465" t="s">
        <v>2993</v>
      </c>
      <c r="J74" s="464">
        <v>0</v>
      </c>
      <c r="K74" s="463" t="s">
        <v>3006</v>
      </c>
      <c r="L74" s="464">
        <v>6.3</v>
      </c>
      <c r="M74" s="465" t="s">
        <v>2993</v>
      </c>
      <c r="N74" s="464">
        <v>0</v>
      </c>
      <c r="O74" s="466" t="s">
        <v>2995</v>
      </c>
      <c r="P74" s="464">
        <v>21.1</v>
      </c>
      <c r="Q74" s="460">
        <f>A75</f>
        <v>2070</v>
      </c>
      <c r="R74" s="461">
        <f>D75</f>
        <v>32.9</v>
      </c>
      <c r="S74" s="461">
        <f>SUM(F75:L75)</f>
        <v>23.4</v>
      </c>
    </row>
    <row r="75" spans="1:19" ht="86.4" x14ac:dyDescent="0.3">
      <c r="A75" s="462">
        <v>2070</v>
      </c>
      <c r="B75" s="466" t="s">
        <v>3036</v>
      </c>
      <c r="C75" s="463" t="s">
        <v>2992</v>
      </c>
      <c r="D75" s="464">
        <v>32.9</v>
      </c>
      <c r="E75" s="465" t="s">
        <v>2993</v>
      </c>
      <c r="F75" s="464">
        <v>0</v>
      </c>
      <c r="G75" s="463" t="s">
        <v>2994</v>
      </c>
      <c r="H75" s="474">
        <v>14.6</v>
      </c>
      <c r="I75" s="465" t="s">
        <v>2993</v>
      </c>
      <c r="J75" s="464">
        <v>0</v>
      </c>
      <c r="K75" s="463" t="s">
        <v>2994</v>
      </c>
      <c r="L75" s="464">
        <v>8.8000000000000007</v>
      </c>
      <c r="M75" s="465" t="s">
        <v>2993</v>
      </c>
      <c r="N75" s="464">
        <v>0</v>
      </c>
      <c r="O75" s="466" t="s">
        <v>2995</v>
      </c>
      <c r="P75" s="464">
        <v>56.2</v>
      </c>
      <c r="Q75" s="460">
        <f>A76</f>
        <v>2071</v>
      </c>
      <c r="R75" s="461">
        <f>D76</f>
        <v>57.7</v>
      </c>
      <c r="S75" s="461">
        <f>SUM(F76:L76)</f>
        <v>189.7</v>
      </c>
    </row>
    <row r="76" spans="1:19" ht="86.4" x14ac:dyDescent="0.3">
      <c r="A76" s="462">
        <v>2071</v>
      </c>
      <c r="B76" s="465" t="s">
        <v>3025</v>
      </c>
      <c r="C76" s="463" t="s">
        <v>2992</v>
      </c>
      <c r="D76" s="464">
        <v>57.7</v>
      </c>
      <c r="E76" s="465" t="s">
        <v>2993</v>
      </c>
      <c r="F76" s="464">
        <v>0</v>
      </c>
      <c r="G76" s="463" t="s">
        <v>2994</v>
      </c>
      <c r="H76" s="474">
        <v>132</v>
      </c>
      <c r="I76" s="465" t="s">
        <v>2993</v>
      </c>
      <c r="J76" s="464">
        <v>0</v>
      </c>
      <c r="K76" s="463" t="s">
        <v>2994</v>
      </c>
      <c r="L76" s="464">
        <v>57.7</v>
      </c>
      <c r="M76" s="465" t="s">
        <v>2993</v>
      </c>
      <c r="N76" s="464">
        <v>0</v>
      </c>
      <c r="O76" s="466" t="s">
        <v>2995</v>
      </c>
      <c r="P76" s="464">
        <v>247.4</v>
      </c>
    </row>
    <row r="77" spans="1:19" ht="86.4" hidden="1" x14ac:dyDescent="0.3">
      <c r="A77" s="462">
        <v>3001</v>
      </c>
      <c r="B77" s="466" t="s">
        <v>3008</v>
      </c>
      <c r="C77" s="463" t="s">
        <v>2992</v>
      </c>
      <c r="D77" s="464">
        <v>69.900000000000006</v>
      </c>
      <c r="E77" s="465" t="s">
        <v>2993</v>
      </c>
      <c r="F77" s="464">
        <v>0</v>
      </c>
      <c r="G77" s="463" t="s">
        <v>2994</v>
      </c>
      <c r="H77" s="464">
        <v>36.799999999999997</v>
      </c>
      <c r="I77" s="465" t="s">
        <v>2993</v>
      </c>
      <c r="J77" s="464">
        <v>0</v>
      </c>
      <c r="K77" s="463" t="s">
        <v>2994</v>
      </c>
      <c r="L77" s="464">
        <v>22.2</v>
      </c>
      <c r="M77" s="465" t="s">
        <v>2993</v>
      </c>
      <c r="N77" s="464">
        <v>0</v>
      </c>
      <c r="O77" s="466" t="s">
        <v>2995</v>
      </c>
      <c r="P77" s="464">
        <v>129</v>
      </c>
    </row>
    <row r="78" spans="1:19" ht="86.4" hidden="1" x14ac:dyDescent="0.3">
      <c r="A78" s="462">
        <v>3002</v>
      </c>
      <c r="B78" s="466" t="s">
        <v>3008</v>
      </c>
      <c r="C78" s="463" t="s">
        <v>2992</v>
      </c>
      <c r="D78" s="464">
        <v>51.4</v>
      </c>
      <c r="E78" s="465" t="s">
        <v>2993</v>
      </c>
      <c r="F78" s="464">
        <v>0</v>
      </c>
      <c r="G78" s="463" t="s">
        <v>2994</v>
      </c>
      <c r="H78" s="464">
        <v>40.799999999999997</v>
      </c>
      <c r="I78" s="465" t="s">
        <v>2993</v>
      </c>
      <c r="J78" s="464">
        <v>0</v>
      </c>
      <c r="K78" s="463" t="s">
        <v>2994</v>
      </c>
      <c r="L78" s="464">
        <v>20.8</v>
      </c>
      <c r="M78" s="465" t="s">
        <v>2993</v>
      </c>
      <c r="N78" s="464">
        <v>0</v>
      </c>
      <c r="O78" s="466" t="s">
        <v>2995</v>
      </c>
      <c r="P78" s="464">
        <v>112.9</v>
      </c>
    </row>
    <row r="79" spans="1:19" ht="86.4" hidden="1" x14ac:dyDescent="0.3">
      <c r="A79" s="462">
        <v>3003</v>
      </c>
      <c r="B79" s="466" t="s">
        <v>3037</v>
      </c>
      <c r="C79" s="463" t="s">
        <v>2992</v>
      </c>
      <c r="D79" s="464">
        <v>65.5</v>
      </c>
      <c r="E79" s="465" t="s">
        <v>2993</v>
      </c>
      <c r="F79" s="464">
        <v>0</v>
      </c>
      <c r="G79" s="463" t="s">
        <v>2994</v>
      </c>
      <c r="H79" s="464">
        <v>16.2</v>
      </c>
      <c r="I79" s="465" t="s">
        <v>2993</v>
      </c>
      <c r="J79" s="464">
        <v>0</v>
      </c>
      <c r="K79" s="463" t="s">
        <v>2994</v>
      </c>
      <c r="L79" s="464">
        <v>56.4</v>
      </c>
      <c r="M79" s="465" t="s">
        <v>2993</v>
      </c>
      <c r="N79" s="464">
        <v>0</v>
      </c>
      <c r="O79" s="466" t="s">
        <v>2995</v>
      </c>
      <c r="P79" s="464">
        <v>138.1</v>
      </c>
    </row>
    <row r="80" spans="1:19" ht="86.4" hidden="1" x14ac:dyDescent="0.3">
      <c r="A80" s="462">
        <v>3004</v>
      </c>
      <c r="B80" s="466" t="s">
        <v>2996</v>
      </c>
      <c r="C80" s="463" t="s">
        <v>2992</v>
      </c>
      <c r="D80" s="464">
        <v>190</v>
      </c>
      <c r="E80" s="465" t="s">
        <v>2993</v>
      </c>
      <c r="F80" s="464">
        <v>0</v>
      </c>
      <c r="G80" s="463" t="s">
        <v>2994</v>
      </c>
      <c r="H80" s="464">
        <v>151.19999999999999</v>
      </c>
      <c r="I80" s="465" t="s">
        <v>2993</v>
      </c>
      <c r="J80" s="464">
        <v>0</v>
      </c>
      <c r="K80" s="463" t="s">
        <v>2994</v>
      </c>
      <c r="L80" s="464">
        <v>19.5</v>
      </c>
      <c r="M80" s="465" t="s">
        <v>2993</v>
      </c>
      <c r="N80" s="464">
        <v>0</v>
      </c>
      <c r="O80" s="466" t="s">
        <v>2995</v>
      </c>
      <c r="P80" s="464">
        <v>363.2</v>
      </c>
    </row>
    <row r="81" spans="1:16" ht="86.4" hidden="1" x14ac:dyDescent="0.3">
      <c r="A81" s="462">
        <v>3005</v>
      </c>
      <c r="B81" s="465" t="s">
        <v>3028</v>
      </c>
      <c r="C81" s="463" t="s">
        <v>2992</v>
      </c>
      <c r="D81" s="464">
        <v>7</v>
      </c>
      <c r="E81" s="465" t="s">
        <v>2993</v>
      </c>
      <c r="F81" s="464">
        <v>0</v>
      </c>
      <c r="G81" s="463" t="s">
        <v>2994</v>
      </c>
      <c r="H81" s="464">
        <v>26.2</v>
      </c>
      <c r="I81" s="465" t="s">
        <v>2993</v>
      </c>
      <c r="J81" s="464">
        <v>0</v>
      </c>
      <c r="K81" s="463" t="s">
        <v>2994</v>
      </c>
      <c r="L81" s="464">
        <v>40</v>
      </c>
      <c r="M81" s="465" t="s">
        <v>2993</v>
      </c>
      <c r="N81" s="464">
        <v>0</v>
      </c>
      <c r="O81" s="466" t="s">
        <v>2995</v>
      </c>
      <c r="P81" s="464">
        <v>73.099999999999994</v>
      </c>
    </row>
    <row r="82" spans="1:16" ht="86.4" hidden="1" x14ac:dyDescent="0.3">
      <c r="A82" s="462">
        <v>3006</v>
      </c>
      <c r="B82" s="466" t="s">
        <v>3002</v>
      </c>
      <c r="C82" s="463" t="s">
        <v>2992</v>
      </c>
      <c r="D82" s="464">
        <v>102.7</v>
      </c>
      <c r="E82" s="465" t="s">
        <v>2993</v>
      </c>
      <c r="F82" s="464">
        <v>0</v>
      </c>
      <c r="G82" s="465" t="s">
        <v>2993</v>
      </c>
      <c r="H82" s="464">
        <v>0</v>
      </c>
      <c r="I82" s="465" t="s">
        <v>2993</v>
      </c>
      <c r="J82" s="464">
        <v>0</v>
      </c>
      <c r="K82" s="465" t="s">
        <v>2993</v>
      </c>
      <c r="L82" s="464">
        <v>0</v>
      </c>
      <c r="M82" s="465" t="s">
        <v>2993</v>
      </c>
      <c r="N82" s="464">
        <v>0</v>
      </c>
      <c r="O82" s="466" t="s">
        <v>2995</v>
      </c>
      <c r="P82" s="464">
        <v>102.7</v>
      </c>
    </row>
    <row r="83" spans="1:16" ht="86.4" hidden="1" x14ac:dyDescent="0.3">
      <c r="A83" s="462">
        <v>3007</v>
      </c>
      <c r="B83" s="466" t="s">
        <v>3003</v>
      </c>
      <c r="C83" s="463" t="s">
        <v>2992</v>
      </c>
      <c r="D83" s="464">
        <v>25.7</v>
      </c>
      <c r="E83" s="465" t="s">
        <v>2993</v>
      </c>
      <c r="F83" s="464">
        <v>0</v>
      </c>
      <c r="G83" s="465" t="s">
        <v>2993</v>
      </c>
      <c r="H83" s="464">
        <v>0</v>
      </c>
      <c r="I83" s="465" t="s">
        <v>2993</v>
      </c>
      <c r="J83" s="464">
        <v>0</v>
      </c>
      <c r="K83" s="463" t="s">
        <v>2994</v>
      </c>
      <c r="L83" s="464">
        <v>17.2</v>
      </c>
      <c r="M83" s="465" t="s">
        <v>2993</v>
      </c>
      <c r="N83" s="464">
        <v>0</v>
      </c>
      <c r="O83" s="466" t="s">
        <v>2995</v>
      </c>
      <c r="P83" s="464">
        <v>42.9</v>
      </c>
    </row>
    <row r="84" spans="1:16" ht="100.8" hidden="1" x14ac:dyDescent="0.3">
      <c r="A84" s="462">
        <v>3008</v>
      </c>
      <c r="B84" s="466" t="s">
        <v>3007</v>
      </c>
      <c r="C84" s="465" t="s">
        <v>2993</v>
      </c>
      <c r="D84" s="464">
        <v>0</v>
      </c>
      <c r="E84" s="465" t="s">
        <v>2993</v>
      </c>
      <c r="F84" s="464">
        <v>0</v>
      </c>
      <c r="G84" s="463" t="s">
        <v>3006</v>
      </c>
      <c r="H84" s="464">
        <v>3.1</v>
      </c>
      <c r="I84" s="465" t="s">
        <v>2993</v>
      </c>
      <c r="J84" s="464">
        <v>0</v>
      </c>
      <c r="K84" s="463" t="s">
        <v>3006</v>
      </c>
      <c r="L84" s="464">
        <v>29.7</v>
      </c>
      <c r="M84" s="465" t="s">
        <v>2993</v>
      </c>
      <c r="N84" s="464">
        <v>0</v>
      </c>
      <c r="O84" s="466" t="s">
        <v>2995</v>
      </c>
      <c r="P84" s="464">
        <v>32.700000000000003</v>
      </c>
    </row>
    <row r="85" spans="1:16" ht="100.8" hidden="1" x14ac:dyDescent="0.3">
      <c r="A85" s="467">
        <v>3009</v>
      </c>
      <c r="B85" s="468" t="s">
        <v>3004</v>
      </c>
      <c r="C85" s="469" t="s">
        <v>3005</v>
      </c>
      <c r="D85" s="470">
        <v>10.9</v>
      </c>
      <c r="E85" s="471" t="s">
        <v>2993</v>
      </c>
      <c r="F85" s="470">
        <v>0</v>
      </c>
      <c r="G85" s="469" t="s">
        <v>3006</v>
      </c>
      <c r="H85" s="470">
        <v>36.9</v>
      </c>
      <c r="I85" s="471" t="s">
        <v>2993</v>
      </c>
      <c r="J85" s="470">
        <v>0</v>
      </c>
      <c r="K85" s="469" t="s">
        <v>3006</v>
      </c>
      <c r="L85" s="470">
        <v>43</v>
      </c>
      <c r="M85" s="471" t="s">
        <v>2993</v>
      </c>
      <c r="N85" s="470">
        <v>0</v>
      </c>
      <c r="O85" s="468" t="s">
        <v>2995</v>
      </c>
      <c r="P85" s="470">
        <v>100.8</v>
      </c>
    </row>
    <row r="86" spans="1:16" ht="86.4" hidden="1" x14ac:dyDescent="0.3">
      <c r="A86" s="467">
        <v>3010</v>
      </c>
      <c r="B86" s="468" t="s">
        <v>3038</v>
      </c>
      <c r="C86" s="469" t="s">
        <v>2992</v>
      </c>
      <c r="D86" s="470">
        <v>44.8</v>
      </c>
      <c r="E86" s="471" t="s">
        <v>2993</v>
      </c>
      <c r="F86" s="470">
        <v>0</v>
      </c>
      <c r="G86" s="469" t="s">
        <v>2994</v>
      </c>
      <c r="H86" s="470">
        <v>75.7</v>
      </c>
      <c r="I86" s="471" t="s">
        <v>2993</v>
      </c>
      <c r="J86" s="470">
        <v>0</v>
      </c>
      <c r="K86" s="469" t="s">
        <v>2994</v>
      </c>
      <c r="L86" s="470">
        <v>43.3</v>
      </c>
      <c r="M86" s="471" t="s">
        <v>2993</v>
      </c>
      <c r="N86" s="470">
        <v>0</v>
      </c>
      <c r="O86" s="468" t="s">
        <v>2995</v>
      </c>
      <c r="P86" s="470">
        <v>163.9</v>
      </c>
    </row>
    <row r="87" spans="1:16" ht="86.4" hidden="1" x14ac:dyDescent="0.3">
      <c r="A87" s="462">
        <v>3011</v>
      </c>
      <c r="B87" s="463" t="s">
        <v>3019</v>
      </c>
      <c r="C87" s="463" t="s">
        <v>2992</v>
      </c>
      <c r="D87" s="464">
        <v>43.6</v>
      </c>
      <c r="E87" s="465" t="s">
        <v>2993</v>
      </c>
      <c r="F87" s="464">
        <v>0</v>
      </c>
      <c r="G87" s="463" t="s">
        <v>2994</v>
      </c>
      <c r="H87" s="474">
        <v>70.599999999999994</v>
      </c>
      <c r="I87" s="465" t="s">
        <v>2993</v>
      </c>
      <c r="J87" s="464">
        <v>0</v>
      </c>
      <c r="K87" s="463" t="s">
        <v>2994</v>
      </c>
      <c r="L87" s="464">
        <v>30.9</v>
      </c>
      <c r="M87" s="465" t="s">
        <v>2993</v>
      </c>
      <c r="N87" s="464">
        <v>0</v>
      </c>
      <c r="O87" s="466" t="s">
        <v>2995</v>
      </c>
      <c r="P87" s="464">
        <v>145.1</v>
      </c>
    </row>
    <row r="88" spans="1:16" ht="115.2" hidden="1" x14ac:dyDescent="0.3">
      <c r="A88" s="462">
        <v>3012</v>
      </c>
      <c r="B88" s="466" t="s">
        <v>2996</v>
      </c>
      <c r="C88" s="463" t="s">
        <v>2992</v>
      </c>
      <c r="D88" s="464">
        <v>154.69999999999999</v>
      </c>
      <c r="E88" s="465" t="s">
        <v>2993</v>
      </c>
      <c r="F88" s="464">
        <v>0</v>
      </c>
      <c r="G88" s="463" t="s">
        <v>2994</v>
      </c>
      <c r="H88" s="474">
        <v>153.5</v>
      </c>
      <c r="I88" s="463" t="s">
        <v>2998</v>
      </c>
      <c r="J88" s="464">
        <v>10.6</v>
      </c>
      <c r="K88" s="463" t="s">
        <v>2994</v>
      </c>
      <c r="L88" s="464">
        <v>38.9</v>
      </c>
      <c r="M88" s="465" t="s">
        <v>2993</v>
      </c>
      <c r="N88" s="464">
        <v>0</v>
      </c>
      <c r="O88" s="466" t="s">
        <v>2995</v>
      </c>
      <c r="P88" s="464">
        <v>357.7</v>
      </c>
    </row>
    <row r="89" spans="1:16" ht="86.4" hidden="1" x14ac:dyDescent="0.3">
      <c r="A89" s="462">
        <v>3013</v>
      </c>
      <c r="B89" s="466" t="s">
        <v>3008</v>
      </c>
      <c r="C89" s="463" t="s">
        <v>2992</v>
      </c>
      <c r="D89" s="464">
        <v>34.4</v>
      </c>
      <c r="E89" s="465" t="s">
        <v>2993</v>
      </c>
      <c r="F89" s="464">
        <v>0</v>
      </c>
      <c r="G89" s="463" t="s">
        <v>2994</v>
      </c>
      <c r="H89" s="474">
        <v>57.2</v>
      </c>
      <c r="I89" s="465" t="s">
        <v>2993</v>
      </c>
      <c r="J89" s="464">
        <v>0</v>
      </c>
      <c r="K89" s="463" t="s">
        <v>2994</v>
      </c>
      <c r="L89" s="464">
        <v>28</v>
      </c>
      <c r="M89" s="465" t="s">
        <v>2993</v>
      </c>
      <c r="N89" s="464">
        <v>0</v>
      </c>
      <c r="O89" s="466" t="s">
        <v>2995</v>
      </c>
      <c r="P89" s="464">
        <v>119.6</v>
      </c>
    </row>
    <row r="90" spans="1:16" ht="86.4" hidden="1" x14ac:dyDescent="0.3">
      <c r="A90" s="462">
        <v>3014</v>
      </c>
      <c r="B90" s="466" t="s">
        <v>3008</v>
      </c>
      <c r="C90" s="463" t="s">
        <v>2992</v>
      </c>
      <c r="D90" s="464">
        <v>52.9</v>
      </c>
      <c r="E90" s="465" t="s">
        <v>2993</v>
      </c>
      <c r="F90" s="464">
        <v>0</v>
      </c>
      <c r="G90" s="463" t="s">
        <v>2994</v>
      </c>
      <c r="H90" s="474">
        <v>47.6</v>
      </c>
      <c r="I90" s="465" t="s">
        <v>2993</v>
      </c>
      <c r="J90" s="464">
        <v>0</v>
      </c>
      <c r="K90" s="463" t="s">
        <v>2994</v>
      </c>
      <c r="L90" s="464">
        <v>14</v>
      </c>
      <c r="M90" s="465" t="s">
        <v>2993</v>
      </c>
      <c r="N90" s="464">
        <v>0</v>
      </c>
      <c r="O90" s="466" t="s">
        <v>2995</v>
      </c>
      <c r="P90" s="464">
        <v>114.5</v>
      </c>
    </row>
    <row r="91" spans="1:16" ht="100.8" hidden="1" x14ac:dyDescent="0.3">
      <c r="A91" s="462">
        <v>3015</v>
      </c>
      <c r="B91" s="466" t="s">
        <v>3009</v>
      </c>
      <c r="C91" s="463" t="s">
        <v>3005</v>
      </c>
      <c r="D91" s="464">
        <v>26.2</v>
      </c>
      <c r="E91" s="465" t="s">
        <v>2993</v>
      </c>
      <c r="F91" s="464">
        <v>0</v>
      </c>
      <c r="G91" s="463" t="s">
        <v>3006</v>
      </c>
      <c r="H91" s="474">
        <v>10.4</v>
      </c>
      <c r="I91" s="465" t="s">
        <v>2993</v>
      </c>
      <c r="J91" s="464">
        <v>0</v>
      </c>
      <c r="K91" s="463" t="s">
        <v>3006</v>
      </c>
      <c r="L91" s="464">
        <v>41.8</v>
      </c>
      <c r="M91" s="465" t="s">
        <v>2993</v>
      </c>
      <c r="N91" s="464">
        <v>0</v>
      </c>
      <c r="O91" s="466" t="s">
        <v>2995</v>
      </c>
      <c r="P91" s="464">
        <v>78.400000000000006</v>
      </c>
    </row>
    <row r="92" spans="1:16" ht="86.4" hidden="1" x14ac:dyDescent="0.3">
      <c r="A92" s="462">
        <v>3016</v>
      </c>
      <c r="B92" s="466" t="s">
        <v>3002</v>
      </c>
      <c r="C92" s="463" t="s">
        <v>2992</v>
      </c>
      <c r="D92" s="464">
        <v>102.3</v>
      </c>
      <c r="E92" s="465" t="s">
        <v>2993</v>
      </c>
      <c r="F92" s="464">
        <v>0</v>
      </c>
      <c r="G92" s="463" t="s">
        <v>2994</v>
      </c>
      <c r="H92" s="474">
        <v>14.6</v>
      </c>
      <c r="I92" s="465" t="s">
        <v>2993</v>
      </c>
      <c r="J92" s="464">
        <v>0</v>
      </c>
      <c r="K92" s="465" t="s">
        <v>2993</v>
      </c>
      <c r="L92" s="464">
        <v>0</v>
      </c>
      <c r="M92" s="465" t="s">
        <v>2993</v>
      </c>
      <c r="N92" s="464">
        <v>0</v>
      </c>
      <c r="O92" s="466" t="s">
        <v>2995</v>
      </c>
      <c r="P92" s="464">
        <v>116.8</v>
      </c>
    </row>
    <row r="93" spans="1:16" ht="100.8" hidden="1" x14ac:dyDescent="0.3">
      <c r="A93" s="462">
        <v>3017</v>
      </c>
      <c r="B93" s="466" t="s">
        <v>3010</v>
      </c>
      <c r="C93" s="463" t="s">
        <v>3005</v>
      </c>
      <c r="D93" s="464">
        <v>21</v>
      </c>
      <c r="E93" s="465" t="s">
        <v>2993</v>
      </c>
      <c r="F93" s="464">
        <v>0</v>
      </c>
      <c r="G93" s="463" t="s">
        <v>3006</v>
      </c>
      <c r="H93" s="473">
        <v>8.3000000000000007</v>
      </c>
      <c r="I93" s="465" t="s">
        <v>2993</v>
      </c>
      <c r="J93" s="464">
        <v>0</v>
      </c>
      <c r="K93" s="463" t="s">
        <v>3006</v>
      </c>
      <c r="L93" s="464">
        <v>20.3</v>
      </c>
      <c r="M93" s="465" t="s">
        <v>2993</v>
      </c>
      <c r="N93" s="464">
        <v>0</v>
      </c>
      <c r="O93" s="466" t="s">
        <v>2995</v>
      </c>
      <c r="P93" s="464">
        <v>49.7</v>
      </c>
    </row>
    <row r="94" spans="1:16" ht="100.8" hidden="1" x14ac:dyDescent="0.3">
      <c r="A94" s="462">
        <v>3018</v>
      </c>
      <c r="B94" s="466" t="s">
        <v>3011</v>
      </c>
      <c r="C94" s="463" t="s">
        <v>3005</v>
      </c>
      <c r="D94" s="464">
        <v>7.4</v>
      </c>
      <c r="E94" s="465" t="s">
        <v>2993</v>
      </c>
      <c r="F94" s="464">
        <v>0</v>
      </c>
      <c r="G94" s="465" t="s">
        <v>2993</v>
      </c>
      <c r="H94" s="473">
        <v>0</v>
      </c>
      <c r="I94" s="465" t="s">
        <v>2993</v>
      </c>
      <c r="J94" s="464">
        <v>0</v>
      </c>
      <c r="K94" s="463" t="s">
        <v>3006</v>
      </c>
      <c r="L94" s="464">
        <v>26.3</v>
      </c>
      <c r="M94" s="465" t="s">
        <v>2993</v>
      </c>
      <c r="N94" s="464">
        <v>0</v>
      </c>
      <c r="O94" s="466" t="s">
        <v>2995</v>
      </c>
      <c r="P94" s="464">
        <v>33.799999999999997</v>
      </c>
    </row>
    <row r="95" spans="1:16" ht="115.2" hidden="1" x14ac:dyDescent="0.3">
      <c r="A95" s="467">
        <v>3019</v>
      </c>
      <c r="B95" s="469" t="s">
        <v>3012</v>
      </c>
      <c r="C95" s="469" t="s">
        <v>2992</v>
      </c>
      <c r="D95" s="470">
        <v>40.299999999999997</v>
      </c>
      <c r="E95" s="471" t="s">
        <v>2993</v>
      </c>
      <c r="F95" s="470">
        <v>0</v>
      </c>
      <c r="G95" s="469" t="s">
        <v>2994</v>
      </c>
      <c r="H95" s="470">
        <v>38.5</v>
      </c>
      <c r="I95" s="469" t="s">
        <v>2998</v>
      </c>
      <c r="J95" s="470">
        <v>48.4</v>
      </c>
      <c r="K95" s="469" t="s">
        <v>2994</v>
      </c>
      <c r="L95" s="470">
        <v>174</v>
      </c>
      <c r="M95" s="471" t="s">
        <v>2993</v>
      </c>
      <c r="N95" s="470">
        <v>0</v>
      </c>
      <c r="O95" s="468" t="s">
        <v>2995</v>
      </c>
      <c r="P95" s="470">
        <v>301.2</v>
      </c>
    </row>
    <row r="96" spans="1:16" ht="86.4" hidden="1" x14ac:dyDescent="0.3">
      <c r="A96" s="462">
        <v>3020</v>
      </c>
      <c r="B96" s="466" t="s">
        <v>3002</v>
      </c>
      <c r="C96" s="463" t="s">
        <v>2992</v>
      </c>
      <c r="D96" s="464">
        <v>75.7</v>
      </c>
      <c r="E96" s="465" t="s">
        <v>2993</v>
      </c>
      <c r="F96" s="464">
        <v>0</v>
      </c>
      <c r="G96" s="463" t="s">
        <v>2994</v>
      </c>
      <c r="H96" s="474">
        <v>15.3</v>
      </c>
      <c r="I96" s="465" t="s">
        <v>2993</v>
      </c>
      <c r="J96" s="464">
        <v>0</v>
      </c>
      <c r="K96" s="465" t="s">
        <v>2993</v>
      </c>
      <c r="L96" s="464">
        <v>0</v>
      </c>
      <c r="M96" s="465" t="s">
        <v>2993</v>
      </c>
      <c r="N96" s="464">
        <v>0</v>
      </c>
      <c r="O96" s="466" t="s">
        <v>2995</v>
      </c>
      <c r="P96" s="464">
        <v>90.9</v>
      </c>
    </row>
    <row r="97" spans="1:16" ht="86.4" hidden="1" x14ac:dyDescent="0.3">
      <c r="A97" s="462">
        <v>3021</v>
      </c>
      <c r="B97" s="465" t="s">
        <v>3028</v>
      </c>
      <c r="C97" s="463" t="s">
        <v>2992</v>
      </c>
      <c r="D97" s="464">
        <v>16.100000000000001</v>
      </c>
      <c r="E97" s="465" t="s">
        <v>2993</v>
      </c>
      <c r="F97" s="464">
        <v>0</v>
      </c>
      <c r="G97" s="463" t="s">
        <v>2994</v>
      </c>
      <c r="H97" s="474">
        <v>36.200000000000003</v>
      </c>
      <c r="I97" s="465" t="s">
        <v>2993</v>
      </c>
      <c r="J97" s="464">
        <v>0</v>
      </c>
      <c r="K97" s="463" t="s">
        <v>2994</v>
      </c>
      <c r="L97" s="464">
        <v>27</v>
      </c>
      <c r="M97" s="465" t="s">
        <v>2993</v>
      </c>
      <c r="N97" s="464">
        <v>0</v>
      </c>
      <c r="O97" s="466" t="s">
        <v>2995</v>
      </c>
      <c r="P97" s="464">
        <v>79.3</v>
      </c>
    </row>
    <row r="98" spans="1:16" ht="86.4" hidden="1" x14ac:dyDescent="0.3">
      <c r="A98" s="462">
        <v>3022</v>
      </c>
      <c r="B98" s="466" t="s">
        <v>3039</v>
      </c>
      <c r="C98" s="463" t="s">
        <v>2992</v>
      </c>
      <c r="D98" s="464">
        <v>54.8</v>
      </c>
      <c r="E98" s="465" t="s">
        <v>2993</v>
      </c>
      <c r="F98" s="464">
        <v>0</v>
      </c>
      <c r="G98" s="463" t="s">
        <v>2994</v>
      </c>
      <c r="H98" s="474">
        <v>49.5</v>
      </c>
      <c r="I98" s="465" t="s">
        <v>2993</v>
      </c>
      <c r="J98" s="464">
        <v>0</v>
      </c>
      <c r="K98" s="463" t="s">
        <v>2994</v>
      </c>
      <c r="L98" s="464">
        <v>32.799999999999997</v>
      </c>
      <c r="M98" s="465" t="s">
        <v>2993</v>
      </c>
      <c r="N98" s="464">
        <v>0</v>
      </c>
      <c r="O98" s="466" t="s">
        <v>2995</v>
      </c>
      <c r="P98" s="464">
        <v>137.1</v>
      </c>
    </row>
    <row r="99" spans="1:16" ht="86.4" hidden="1" x14ac:dyDescent="0.3">
      <c r="A99" s="462">
        <v>3023</v>
      </c>
      <c r="B99" s="466" t="s">
        <v>3023</v>
      </c>
      <c r="C99" s="463" t="s">
        <v>2992</v>
      </c>
      <c r="D99" s="464">
        <v>83.2</v>
      </c>
      <c r="E99" s="465" t="s">
        <v>2993</v>
      </c>
      <c r="F99" s="464">
        <v>0</v>
      </c>
      <c r="G99" s="463" t="s">
        <v>2994</v>
      </c>
      <c r="H99" s="474">
        <v>193.6</v>
      </c>
      <c r="I99" s="465" t="s">
        <v>2993</v>
      </c>
      <c r="J99" s="464">
        <v>0</v>
      </c>
      <c r="K99" s="463" t="s">
        <v>2994</v>
      </c>
      <c r="L99" s="464">
        <v>80</v>
      </c>
      <c r="M99" s="465" t="s">
        <v>2993</v>
      </c>
      <c r="N99" s="464">
        <v>0</v>
      </c>
      <c r="O99" s="466" t="s">
        <v>2995</v>
      </c>
      <c r="P99" s="464">
        <v>356.9</v>
      </c>
    </row>
    <row r="100" spans="1:16" ht="86.4" hidden="1" x14ac:dyDescent="0.3">
      <c r="A100" s="462">
        <v>3024</v>
      </c>
      <c r="B100" s="466" t="s">
        <v>3002</v>
      </c>
      <c r="C100" s="463" t="s">
        <v>2992</v>
      </c>
      <c r="D100" s="464">
        <v>88.9</v>
      </c>
      <c r="E100" s="465" t="s">
        <v>2993</v>
      </c>
      <c r="F100" s="464">
        <v>0</v>
      </c>
      <c r="G100" s="465" t="s">
        <v>2993</v>
      </c>
      <c r="H100" s="473">
        <v>0</v>
      </c>
      <c r="I100" s="465" t="s">
        <v>2993</v>
      </c>
      <c r="J100" s="464">
        <v>0</v>
      </c>
      <c r="K100" s="465" t="s">
        <v>2993</v>
      </c>
      <c r="L100" s="464">
        <v>0</v>
      </c>
      <c r="M100" s="465" t="s">
        <v>2993</v>
      </c>
      <c r="N100" s="464">
        <v>0</v>
      </c>
      <c r="O100" s="466" t="s">
        <v>2995</v>
      </c>
      <c r="P100" s="464">
        <v>88.9</v>
      </c>
    </row>
    <row r="101" spans="1:16" ht="100.8" hidden="1" x14ac:dyDescent="0.3">
      <c r="A101" s="462">
        <v>3025</v>
      </c>
      <c r="B101" s="466" t="s">
        <v>3011</v>
      </c>
      <c r="C101" s="465" t="s">
        <v>2993</v>
      </c>
      <c r="D101" s="464">
        <v>0</v>
      </c>
      <c r="E101" s="465" t="s">
        <v>2993</v>
      </c>
      <c r="F101" s="464">
        <v>0</v>
      </c>
      <c r="G101" s="463" t="s">
        <v>3006</v>
      </c>
      <c r="H101" s="473">
        <v>5.9</v>
      </c>
      <c r="I101" s="465" t="s">
        <v>2993</v>
      </c>
      <c r="J101" s="464">
        <v>0</v>
      </c>
      <c r="K101" s="463" t="s">
        <v>3006</v>
      </c>
      <c r="L101" s="464">
        <v>37.200000000000003</v>
      </c>
      <c r="M101" s="465" t="s">
        <v>2993</v>
      </c>
      <c r="N101" s="464">
        <v>0</v>
      </c>
      <c r="O101" s="466" t="s">
        <v>2995</v>
      </c>
      <c r="P101" s="464">
        <v>43.1</v>
      </c>
    </row>
    <row r="102" spans="1:16" ht="100.8" hidden="1" x14ac:dyDescent="0.3">
      <c r="A102" s="462">
        <v>3026</v>
      </c>
      <c r="B102" s="466" t="s">
        <v>3007</v>
      </c>
      <c r="C102" s="463" t="s">
        <v>3005</v>
      </c>
      <c r="D102" s="464">
        <v>3.1</v>
      </c>
      <c r="E102" s="465" t="s">
        <v>2993</v>
      </c>
      <c r="F102" s="464">
        <v>0</v>
      </c>
      <c r="G102" s="463" t="s">
        <v>3006</v>
      </c>
      <c r="H102" s="474">
        <v>17.600000000000001</v>
      </c>
      <c r="I102" s="465" t="s">
        <v>2993</v>
      </c>
      <c r="J102" s="464">
        <v>0</v>
      </c>
      <c r="K102" s="463" t="s">
        <v>3006</v>
      </c>
      <c r="L102" s="464">
        <v>21.4</v>
      </c>
      <c r="M102" s="465" t="s">
        <v>2993</v>
      </c>
      <c r="N102" s="464">
        <v>0</v>
      </c>
      <c r="O102" s="466" t="s">
        <v>2995</v>
      </c>
      <c r="P102" s="464">
        <v>42.1</v>
      </c>
    </row>
    <row r="103" spans="1:16" ht="86.4" hidden="1" x14ac:dyDescent="0.3">
      <c r="A103" s="462">
        <v>3027</v>
      </c>
      <c r="B103" s="463" t="s">
        <v>3019</v>
      </c>
      <c r="C103" s="463" t="s">
        <v>2992</v>
      </c>
      <c r="D103" s="464">
        <v>45.8</v>
      </c>
      <c r="E103" s="465" t="s">
        <v>2993</v>
      </c>
      <c r="F103" s="464">
        <v>0</v>
      </c>
      <c r="G103" s="463" t="s">
        <v>2994</v>
      </c>
      <c r="H103" s="474">
        <v>75</v>
      </c>
      <c r="I103" s="465" t="s">
        <v>2993</v>
      </c>
      <c r="J103" s="464">
        <v>0</v>
      </c>
      <c r="K103" s="463" t="s">
        <v>2994</v>
      </c>
      <c r="L103" s="464">
        <v>23.1</v>
      </c>
      <c r="M103" s="465" t="s">
        <v>2993</v>
      </c>
      <c r="N103" s="464">
        <v>0</v>
      </c>
      <c r="O103" s="466" t="s">
        <v>2995</v>
      </c>
      <c r="P103" s="464">
        <v>144</v>
      </c>
    </row>
    <row r="104" spans="1:16" ht="86.4" hidden="1" x14ac:dyDescent="0.3">
      <c r="A104" s="467">
        <v>3028</v>
      </c>
      <c r="B104" s="468" t="s">
        <v>3040</v>
      </c>
      <c r="C104" s="469" t="s">
        <v>2992</v>
      </c>
      <c r="D104" s="470">
        <v>32.200000000000003</v>
      </c>
      <c r="E104" s="471" t="s">
        <v>2993</v>
      </c>
      <c r="F104" s="470">
        <v>0</v>
      </c>
      <c r="G104" s="469" t="s">
        <v>2994</v>
      </c>
      <c r="H104" s="470">
        <v>72.400000000000006</v>
      </c>
      <c r="I104" s="471" t="s">
        <v>2993</v>
      </c>
      <c r="J104" s="470">
        <v>0</v>
      </c>
      <c r="K104" s="469" t="s">
        <v>2994</v>
      </c>
      <c r="L104" s="470">
        <v>5.5</v>
      </c>
      <c r="M104" s="471" t="s">
        <v>2993</v>
      </c>
      <c r="N104" s="470">
        <v>0</v>
      </c>
      <c r="O104" s="468" t="s">
        <v>2995</v>
      </c>
      <c r="P104" s="470">
        <v>110.1</v>
      </c>
    </row>
    <row r="105" spans="1:16" ht="100.8" hidden="1" x14ac:dyDescent="0.3">
      <c r="A105" s="462">
        <v>3029</v>
      </c>
      <c r="B105" s="466" t="s">
        <v>3007</v>
      </c>
      <c r="C105" s="463" t="s">
        <v>3005</v>
      </c>
      <c r="D105" s="464">
        <v>6.1</v>
      </c>
      <c r="E105" s="465" t="s">
        <v>2993</v>
      </c>
      <c r="F105" s="464">
        <v>0</v>
      </c>
      <c r="G105" s="465" t="s">
        <v>2993</v>
      </c>
      <c r="H105" s="464">
        <v>0</v>
      </c>
      <c r="I105" s="465" t="s">
        <v>2993</v>
      </c>
      <c r="J105" s="464">
        <v>0</v>
      </c>
      <c r="K105" s="463" t="s">
        <v>3006</v>
      </c>
      <c r="L105" s="464">
        <v>25.4</v>
      </c>
      <c r="M105" s="465" t="s">
        <v>2993</v>
      </c>
      <c r="N105" s="464">
        <v>0</v>
      </c>
      <c r="O105" s="466" t="s">
        <v>2995</v>
      </c>
      <c r="P105" s="464">
        <v>31.5</v>
      </c>
    </row>
    <row r="106" spans="1:16" ht="86.4" hidden="1" x14ac:dyDescent="0.3">
      <c r="A106" s="462">
        <v>3030</v>
      </c>
      <c r="B106" s="466" t="s">
        <v>3040</v>
      </c>
      <c r="C106" s="463" t="s">
        <v>2992</v>
      </c>
      <c r="D106" s="464">
        <v>51.7</v>
      </c>
      <c r="E106" s="465" t="s">
        <v>2993</v>
      </c>
      <c r="F106" s="464">
        <v>0</v>
      </c>
      <c r="G106" s="463" t="s">
        <v>2994</v>
      </c>
      <c r="H106" s="464">
        <v>40.799999999999997</v>
      </c>
      <c r="I106" s="465" t="s">
        <v>2993</v>
      </c>
      <c r="J106" s="464">
        <v>0</v>
      </c>
      <c r="K106" s="463" t="s">
        <v>2994</v>
      </c>
      <c r="L106" s="464">
        <v>24.7</v>
      </c>
      <c r="M106" s="465" t="s">
        <v>2993</v>
      </c>
      <c r="N106" s="464">
        <v>0</v>
      </c>
      <c r="O106" s="466" t="s">
        <v>2995</v>
      </c>
      <c r="P106" s="464">
        <v>117.2</v>
      </c>
    </row>
    <row r="107" spans="1:16" ht="86.4" hidden="1" x14ac:dyDescent="0.3">
      <c r="A107" s="462">
        <v>3031</v>
      </c>
      <c r="B107" s="466" t="s">
        <v>3040</v>
      </c>
      <c r="C107" s="463" t="s">
        <v>2992</v>
      </c>
      <c r="D107" s="464">
        <v>74.099999999999994</v>
      </c>
      <c r="E107" s="465" t="s">
        <v>2993</v>
      </c>
      <c r="F107" s="464">
        <v>0</v>
      </c>
      <c r="G107" s="463" t="s">
        <v>2994</v>
      </c>
      <c r="H107" s="464">
        <v>16.399999999999999</v>
      </c>
      <c r="I107" s="465" t="s">
        <v>2993</v>
      </c>
      <c r="J107" s="464">
        <v>0</v>
      </c>
      <c r="K107" s="463" t="s">
        <v>2994</v>
      </c>
      <c r="L107" s="464">
        <v>19.7</v>
      </c>
      <c r="M107" s="465" t="s">
        <v>2993</v>
      </c>
      <c r="N107" s="464">
        <v>0</v>
      </c>
      <c r="O107" s="466" t="s">
        <v>2995</v>
      </c>
      <c r="P107" s="464">
        <v>110.1</v>
      </c>
    </row>
    <row r="108" spans="1:16" ht="86.4" hidden="1" x14ac:dyDescent="0.3">
      <c r="A108" s="462">
        <v>3032</v>
      </c>
      <c r="B108" s="466" t="s">
        <v>3040</v>
      </c>
      <c r="C108" s="463" t="s">
        <v>2992</v>
      </c>
      <c r="D108" s="464">
        <v>76.3</v>
      </c>
      <c r="E108" s="465" t="s">
        <v>2993</v>
      </c>
      <c r="F108" s="464">
        <v>0</v>
      </c>
      <c r="G108" s="463" t="s">
        <v>2994</v>
      </c>
      <c r="H108" s="464">
        <v>12.7</v>
      </c>
      <c r="I108" s="465" t="s">
        <v>2993</v>
      </c>
      <c r="J108" s="464">
        <v>0</v>
      </c>
      <c r="K108" s="463" t="s">
        <v>2994</v>
      </c>
      <c r="L108" s="464">
        <v>25.8</v>
      </c>
      <c r="M108" s="465" t="s">
        <v>2993</v>
      </c>
      <c r="N108" s="464">
        <v>0</v>
      </c>
      <c r="O108" s="466" t="s">
        <v>2995</v>
      </c>
      <c r="P108" s="464">
        <v>114.8</v>
      </c>
    </row>
    <row r="109" spans="1:16" ht="86.4" hidden="1" x14ac:dyDescent="0.3">
      <c r="A109" s="462">
        <v>3033</v>
      </c>
      <c r="B109" s="466" t="s">
        <v>3003</v>
      </c>
      <c r="C109" s="463" t="s">
        <v>2992</v>
      </c>
      <c r="D109" s="464">
        <v>25.7</v>
      </c>
      <c r="E109" s="465" t="s">
        <v>2993</v>
      </c>
      <c r="F109" s="464">
        <v>0</v>
      </c>
      <c r="G109" s="465" t="s">
        <v>2993</v>
      </c>
      <c r="H109" s="464">
        <v>0</v>
      </c>
      <c r="I109" s="465" t="s">
        <v>2993</v>
      </c>
      <c r="J109" s="464">
        <v>0</v>
      </c>
      <c r="K109" s="463" t="s">
        <v>2994</v>
      </c>
      <c r="L109" s="464">
        <v>17.2</v>
      </c>
      <c r="M109" s="465" t="s">
        <v>2993</v>
      </c>
      <c r="N109" s="464">
        <v>0</v>
      </c>
      <c r="O109" s="466" t="s">
        <v>2995</v>
      </c>
      <c r="P109" s="464">
        <v>42.9</v>
      </c>
    </row>
    <row r="110" spans="1:16" ht="86.4" hidden="1" x14ac:dyDescent="0.3">
      <c r="A110" s="462">
        <v>3034</v>
      </c>
      <c r="B110" s="466" t="s">
        <v>3002</v>
      </c>
      <c r="C110" s="463" t="s">
        <v>2992</v>
      </c>
      <c r="D110" s="464">
        <v>112.4</v>
      </c>
      <c r="E110" s="465" t="s">
        <v>2993</v>
      </c>
      <c r="F110" s="464">
        <v>0</v>
      </c>
      <c r="G110" s="465" t="s">
        <v>2993</v>
      </c>
      <c r="H110" s="464">
        <v>0</v>
      </c>
      <c r="I110" s="465" t="s">
        <v>2993</v>
      </c>
      <c r="J110" s="464">
        <v>0</v>
      </c>
      <c r="K110" s="465" t="s">
        <v>2993</v>
      </c>
      <c r="L110" s="464">
        <v>0</v>
      </c>
      <c r="M110" s="465" t="s">
        <v>2993</v>
      </c>
      <c r="N110" s="464">
        <v>0</v>
      </c>
      <c r="O110" s="466" t="s">
        <v>2995</v>
      </c>
      <c r="P110" s="464">
        <v>112.4</v>
      </c>
    </row>
    <row r="111" spans="1:16" ht="86.4" hidden="1" x14ac:dyDescent="0.3">
      <c r="A111" s="462">
        <v>3035</v>
      </c>
      <c r="B111" s="466" t="s">
        <v>3040</v>
      </c>
      <c r="C111" s="463" t="s">
        <v>2992</v>
      </c>
      <c r="D111" s="464">
        <v>52.2</v>
      </c>
      <c r="E111" s="465" t="s">
        <v>2993</v>
      </c>
      <c r="F111" s="464">
        <v>0</v>
      </c>
      <c r="G111" s="463" t="s">
        <v>2994</v>
      </c>
      <c r="H111" s="464">
        <v>37</v>
      </c>
      <c r="I111" s="465" t="s">
        <v>2993</v>
      </c>
      <c r="J111" s="464">
        <v>0</v>
      </c>
      <c r="K111" s="463" t="s">
        <v>2994</v>
      </c>
      <c r="L111" s="464">
        <v>25.9</v>
      </c>
      <c r="M111" s="465" t="s">
        <v>2993</v>
      </c>
      <c r="N111" s="464">
        <v>0</v>
      </c>
      <c r="O111" s="466" t="s">
        <v>2995</v>
      </c>
      <c r="P111" s="464">
        <v>115.1</v>
      </c>
    </row>
    <row r="112" spans="1:16" ht="86.4" hidden="1" x14ac:dyDescent="0.3">
      <c r="A112" s="462">
        <v>3036</v>
      </c>
      <c r="B112" s="466" t="s">
        <v>3022</v>
      </c>
      <c r="C112" s="463" t="s">
        <v>2992</v>
      </c>
      <c r="D112" s="464">
        <v>27.3</v>
      </c>
      <c r="E112" s="465" t="s">
        <v>2993</v>
      </c>
      <c r="F112" s="464">
        <v>0</v>
      </c>
      <c r="G112" s="463" t="s">
        <v>2994</v>
      </c>
      <c r="H112" s="464">
        <v>63.7</v>
      </c>
      <c r="I112" s="465" t="s">
        <v>2993</v>
      </c>
      <c r="J112" s="464">
        <v>0</v>
      </c>
      <c r="K112" s="463" t="s">
        <v>2994</v>
      </c>
      <c r="L112" s="464">
        <v>26.9</v>
      </c>
      <c r="M112" s="465" t="s">
        <v>2993</v>
      </c>
      <c r="N112" s="464">
        <v>0</v>
      </c>
      <c r="O112" s="466" t="s">
        <v>2995</v>
      </c>
      <c r="P112" s="464">
        <v>117.9</v>
      </c>
    </row>
    <row r="113" spans="1:16" ht="86.4" hidden="1" x14ac:dyDescent="0.3">
      <c r="A113" s="467">
        <v>3037</v>
      </c>
      <c r="B113" s="471" t="s">
        <v>3025</v>
      </c>
      <c r="C113" s="469" t="s">
        <v>2992</v>
      </c>
      <c r="D113" s="470">
        <v>91.1</v>
      </c>
      <c r="E113" s="471" t="s">
        <v>2993</v>
      </c>
      <c r="F113" s="470">
        <v>0</v>
      </c>
      <c r="G113" s="469" t="s">
        <v>2994</v>
      </c>
      <c r="H113" s="470">
        <v>143.4</v>
      </c>
      <c r="I113" s="471" t="s">
        <v>2993</v>
      </c>
      <c r="J113" s="470">
        <v>0</v>
      </c>
      <c r="K113" s="469" t="s">
        <v>2994</v>
      </c>
      <c r="L113" s="470">
        <v>9.6999999999999993</v>
      </c>
      <c r="M113" s="471" t="s">
        <v>2993</v>
      </c>
      <c r="N113" s="470">
        <v>0</v>
      </c>
      <c r="O113" s="468" t="s">
        <v>2995</v>
      </c>
      <c r="P113" s="470">
        <v>244.2</v>
      </c>
    </row>
    <row r="114" spans="1:16" ht="86.4" hidden="1" x14ac:dyDescent="0.3">
      <c r="A114" s="467">
        <v>3038</v>
      </c>
      <c r="B114" s="468" t="s">
        <v>3041</v>
      </c>
      <c r="C114" s="469" t="s">
        <v>2992</v>
      </c>
      <c r="D114" s="470">
        <v>91.2</v>
      </c>
      <c r="E114" s="471" t="s">
        <v>2993</v>
      </c>
      <c r="F114" s="470">
        <v>0</v>
      </c>
      <c r="G114" s="469" t="s">
        <v>2994</v>
      </c>
      <c r="H114" s="470">
        <v>58.5</v>
      </c>
      <c r="I114" s="471" t="s">
        <v>2993</v>
      </c>
      <c r="J114" s="470">
        <v>0</v>
      </c>
      <c r="K114" s="469" t="s">
        <v>2994</v>
      </c>
      <c r="L114" s="470">
        <v>109.6</v>
      </c>
      <c r="M114" s="471" t="s">
        <v>2993</v>
      </c>
      <c r="N114" s="470">
        <v>0</v>
      </c>
      <c r="O114" s="468" t="s">
        <v>2995</v>
      </c>
      <c r="P114" s="470">
        <v>259.60000000000002</v>
      </c>
    </row>
    <row r="115" spans="1:16" ht="86.4" hidden="1" x14ac:dyDescent="0.3">
      <c r="A115" s="462">
        <v>3039</v>
      </c>
      <c r="B115" s="466" t="s">
        <v>3042</v>
      </c>
      <c r="C115" s="463" t="s">
        <v>2992</v>
      </c>
      <c r="D115" s="464">
        <v>7.1</v>
      </c>
      <c r="E115" s="465" t="s">
        <v>2993</v>
      </c>
      <c r="F115" s="464">
        <v>0</v>
      </c>
      <c r="G115" s="463" t="s">
        <v>2994</v>
      </c>
      <c r="H115" s="474">
        <v>34.1</v>
      </c>
      <c r="I115" s="465" t="s">
        <v>2993</v>
      </c>
      <c r="J115" s="464">
        <v>0</v>
      </c>
      <c r="K115" s="463" t="s">
        <v>2994</v>
      </c>
      <c r="L115" s="464">
        <v>29.5</v>
      </c>
      <c r="M115" s="465" t="s">
        <v>2993</v>
      </c>
      <c r="N115" s="464">
        <v>0</v>
      </c>
      <c r="O115" s="466" t="s">
        <v>2995</v>
      </c>
      <c r="P115" s="464">
        <v>70.7</v>
      </c>
    </row>
    <row r="116" spans="1:16" ht="86.4" hidden="1" x14ac:dyDescent="0.3">
      <c r="A116" s="462">
        <v>3040</v>
      </c>
      <c r="B116" s="463" t="s">
        <v>3043</v>
      </c>
      <c r="C116" s="463" t="s">
        <v>2992</v>
      </c>
      <c r="D116" s="464">
        <v>77.5</v>
      </c>
      <c r="E116" s="465" t="s">
        <v>2993</v>
      </c>
      <c r="F116" s="464">
        <v>0</v>
      </c>
      <c r="G116" s="463" t="s">
        <v>2994</v>
      </c>
      <c r="H116" s="474">
        <v>55.2</v>
      </c>
      <c r="I116" s="465" t="s">
        <v>2993</v>
      </c>
      <c r="J116" s="464">
        <v>0</v>
      </c>
      <c r="K116" s="463" t="s">
        <v>2994</v>
      </c>
      <c r="L116" s="464">
        <v>43</v>
      </c>
      <c r="M116" s="465" t="s">
        <v>2993</v>
      </c>
      <c r="N116" s="464">
        <v>0</v>
      </c>
      <c r="O116" s="466" t="s">
        <v>2995</v>
      </c>
      <c r="P116" s="464">
        <v>175.7</v>
      </c>
    </row>
    <row r="117" spans="1:16" ht="86.4" hidden="1" x14ac:dyDescent="0.3">
      <c r="A117" s="462">
        <v>3041</v>
      </c>
      <c r="B117" s="465" t="s">
        <v>3025</v>
      </c>
      <c r="C117" s="463" t="s">
        <v>2992</v>
      </c>
      <c r="D117" s="464">
        <v>205.7</v>
      </c>
      <c r="E117" s="465" t="s">
        <v>2993</v>
      </c>
      <c r="F117" s="464">
        <v>0</v>
      </c>
      <c r="G117" s="463" t="s">
        <v>2994</v>
      </c>
      <c r="H117" s="474">
        <v>129.6</v>
      </c>
      <c r="I117" s="465" t="s">
        <v>2993</v>
      </c>
      <c r="J117" s="464">
        <v>0</v>
      </c>
      <c r="K117" s="463" t="s">
        <v>2994</v>
      </c>
      <c r="L117" s="464">
        <v>16.7</v>
      </c>
      <c r="M117" s="465" t="s">
        <v>2993</v>
      </c>
      <c r="N117" s="464">
        <v>0</v>
      </c>
      <c r="O117" s="466" t="s">
        <v>2995</v>
      </c>
      <c r="P117" s="464">
        <v>352.3</v>
      </c>
    </row>
    <row r="118" spans="1:16" ht="100.8" hidden="1" x14ac:dyDescent="0.3">
      <c r="A118" s="462">
        <v>3042</v>
      </c>
      <c r="B118" s="466" t="s">
        <v>3029</v>
      </c>
      <c r="C118" s="463" t="s">
        <v>3005</v>
      </c>
      <c r="D118" s="464">
        <v>15.9</v>
      </c>
      <c r="E118" s="465" t="s">
        <v>2993</v>
      </c>
      <c r="F118" s="464">
        <v>0</v>
      </c>
      <c r="G118" s="463" t="s">
        <v>3006</v>
      </c>
      <c r="H118" s="474">
        <v>10.5</v>
      </c>
      <c r="I118" s="465" t="s">
        <v>2993</v>
      </c>
      <c r="J118" s="464">
        <v>0</v>
      </c>
      <c r="K118" s="463" t="s">
        <v>3006</v>
      </c>
      <c r="L118" s="464">
        <v>59.3</v>
      </c>
      <c r="M118" s="465" t="s">
        <v>2993</v>
      </c>
      <c r="N118" s="464">
        <v>0</v>
      </c>
      <c r="O118" s="466" t="s">
        <v>2995</v>
      </c>
      <c r="P118" s="464">
        <v>86.2</v>
      </c>
    </row>
    <row r="119" spans="1:16" ht="100.8" hidden="1" x14ac:dyDescent="0.3">
      <c r="A119" s="462">
        <v>3043</v>
      </c>
      <c r="B119" s="466" t="s">
        <v>3030</v>
      </c>
      <c r="C119" s="463" t="s">
        <v>3005</v>
      </c>
      <c r="D119" s="464">
        <v>39.200000000000003</v>
      </c>
      <c r="E119" s="465" t="s">
        <v>2993</v>
      </c>
      <c r="F119" s="464">
        <v>0</v>
      </c>
      <c r="G119" s="463" t="s">
        <v>3006</v>
      </c>
      <c r="H119" s="474">
        <v>11.7</v>
      </c>
      <c r="I119" s="465" t="s">
        <v>2993</v>
      </c>
      <c r="J119" s="464">
        <v>0</v>
      </c>
      <c r="K119" s="463" t="s">
        <v>3006</v>
      </c>
      <c r="L119" s="464">
        <v>28.6</v>
      </c>
      <c r="M119" s="465" t="s">
        <v>2993</v>
      </c>
      <c r="N119" s="464">
        <v>0</v>
      </c>
      <c r="O119" s="466" t="s">
        <v>2995</v>
      </c>
      <c r="P119" s="464">
        <v>86.7</v>
      </c>
    </row>
    <row r="120" spans="1:16" ht="100.8" hidden="1" x14ac:dyDescent="0.3">
      <c r="A120" s="462">
        <v>3044</v>
      </c>
      <c r="B120" s="466" t="s">
        <v>3007</v>
      </c>
      <c r="C120" s="463" t="s">
        <v>3005</v>
      </c>
      <c r="D120" s="464">
        <v>3.1</v>
      </c>
      <c r="E120" s="465" t="s">
        <v>2993</v>
      </c>
      <c r="F120" s="464">
        <v>0</v>
      </c>
      <c r="G120" s="463" t="s">
        <v>3006</v>
      </c>
      <c r="H120" s="473">
        <v>2.6</v>
      </c>
      <c r="I120" s="465" t="s">
        <v>2993</v>
      </c>
      <c r="J120" s="464">
        <v>0</v>
      </c>
      <c r="K120" s="463" t="s">
        <v>3006</v>
      </c>
      <c r="L120" s="464">
        <v>26</v>
      </c>
      <c r="M120" s="465" t="s">
        <v>2993</v>
      </c>
      <c r="N120" s="464">
        <v>0</v>
      </c>
      <c r="O120" s="466" t="s">
        <v>2995</v>
      </c>
      <c r="P120" s="464">
        <v>31.6</v>
      </c>
    </row>
    <row r="121" spans="1:16" ht="100.8" hidden="1" x14ac:dyDescent="0.3">
      <c r="A121" s="462">
        <v>3045</v>
      </c>
      <c r="B121" s="466" t="s">
        <v>3010</v>
      </c>
      <c r="C121" s="463" t="s">
        <v>3005</v>
      </c>
      <c r="D121" s="464">
        <v>1</v>
      </c>
      <c r="E121" s="465" t="s">
        <v>2993</v>
      </c>
      <c r="F121" s="464">
        <v>0</v>
      </c>
      <c r="G121" s="463" t="s">
        <v>3006</v>
      </c>
      <c r="H121" s="473">
        <v>5.9</v>
      </c>
      <c r="I121" s="465" t="s">
        <v>2993</v>
      </c>
      <c r="J121" s="464">
        <v>0</v>
      </c>
      <c r="K121" s="463" t="s">
        <v>3006</v>
      </c>
      <c r="L121" s="464">
        <v>27.4</v>
      </c>
      <c r="M121" s="465" t="s">
        <v>2993</v>
      </c>
      <c r="N121" s="464">
        <v>0</v>
      </c>
      <c r="O121" s="466" t="s">
        <v>2995</v>
      </c>
      <c r="P121" s="464">
        <v>34.299999999999997</v>
      </c>
    </row>
    <row r="122" spans="1:16" ht="86.4" hidden="1" x14ac:dyDescent="0.3">
      <c r="A122" s="462">
        <v>3046</v>
      </c>
      <c r="B122" s="466" t="s">
        <v>3003</v>
      </c>
      <c r="C122" s="463" t="s">
        <v>2992</v>
      </c>
      <c r="D122" s="464">
        <v>25.7</v>
      </c>
      <c r="E122" s="465" t="s">
        <v>2993</v>
      </c>
      <c r="F122" s="464">
        <v>0</v>
      </c>
      <c r="G122" s="465" t="s">
        <v>2993</v>
      </c>
      <c r="H122" s="473">
        <v>0</v>
      </c>
      <c r="I122" s="465" t="s">
        <v>2993</v>
      </c>
      <c r="J122" s="464">
        <v>0</v>
      </c>
      <c r="K122" s="463" t="s">
        <v>2994</v>
      </c>
      <c r="L122" s="464">
        <v>17.2</v>
      </c>
      <c r="M122" s="465" t="s">
        <v>2993</v>
      </c>
      <c r="N122" s="464">
        <v>0</v>
      </c>
      <c r="O122" s="466" t="s">
        <v>2995</v>
      </c>
      <c r="P122" s="464">
        <v>42.9</v>
      </c>
    </row>
    <row r="123" spans="1:16" ht="86.4" hidden="1" x14ac:dyDescent="0.3">
      <c r="A123" s="467">
        <v>3047</v>
      </c>
      <c r="B123" s="468" t="s">
        <v>3002</v>
      </c>
      <c r="C123" s="469" t="s">
        <v>2992</v>
      </c>
      <c r="D123" s="470">
        <v>109.4</v>
      </c>
      <c r="E123" s="471" t="s">
        <v>2993</v>
      </c>
      <c r="F123" s="470">
        <v>0</v>
      </c>
      <c r="G123" s="471" t="s">
        <v>2993</v>
      </c>
      <c r="H123" s="470">
        <v>0</v>
      </c>
      <c r="I123" s="471" t="s">
        <v>2993</v>
      </c>
      <c r="J123" s="470">
        <v>0</v>
      </c>
      <c r="K123" s="471" t="s">
        <v>2993</v>
      </c>
      <c r="L123" s="470">
        <v>0</v>
      </c>
      <c r="M123" s="471" t="s">
        <v>2993</v>
      </c>
      <c r="N123" s="470">
        <v>0</v>
      </c>
      <c r="O123" s="468" t="s">
        <v>2995</v>
      </c>
      <c r="P123" s="470">
        <v>109.4</v>
      </c>
    </row>
    <row r="124" spans="1:16" ht="86.4" hidden="1" x14ac:dyDescent="0.3">
      <c r="A124" s="462">
        <v>3048</v>
      </c>
      <c r="B124" s="466" t="s">
        <v>2997</v>
      </c>
      <c r="C124" s="463" t="s">
        <v>2992</v>
      </c>
      <c r="D124" s="464">
        <v>38.1</v>
      </c>
      <c r="E124" s="465" t="s">
        <v>2993</v>
      </c>
      <c r="F124" s="464">
        <v>0</v>
      </c>
      <c r="G124" s="463" t="s">
        <v>2994</v>
      </c>
      <c r="H124" s="464">
        <v>42.3</v>
      </c>
      <c r="I124" s="465" t="s">
        <v>2993</v>
      </c>
      <c r="J124" s="464">
        <v>0</v>
      </c>
      <c r="K124" s="463" t="s">
        <v>2994</v>
      </c>
      <c r="L124" s="464">
        <v>92.1</v>
      </c>
      <c r="M124" s="465" t="s">
        <v>2993</v>
      </c>
      <c r="N124" s="464">
        <v>0</v>
      </c>
      <c r="O124" s="466" t="s">
        <v>2995</v>
      </c>
      <c r="P124" s="464">
        <v>172.5</v>
      </c>
    </row>
    <row r="125" spans="1:16" ht="86.4" hidden="1" x14ac:dyDescent="0.3">
      <c r="A125" s="462">
        <v>3049</v>
      </c>
      <c r="B125" s="465" t="s">
        <v>3028</v>
      </c>
      <c r="C125" s="463" t="s">
        <v>2992</v>
      </c>
      <c r="D125" s="464">
        <v>18.7</v>
      </c>
      <c r="E125" s="465" t="s">
        <v>2993</v>
      </c>
      <c r="F125" s="464">
        <v>0</v>
      </c>
      <c r="G125" s="463" t="s">
        <v>2994</v>
      </c>
      <c r="H125" s="464">
        <v>19.399999999999999</v>
      </c>
      <c r="I125" s="465" t="s">
        <v>2993</v>
      </c>
      <c r="J125" s="464">
        <v>0</v>
      </c>
      <c r="K125" s="463" t="s">
        <v>2994</v>
      </c>
      <c r="L125" s="464">
        <v>60.8</v>
      </c>
      <c r="M125" s="465" t="s">
        <v>2993</v>
      </c>
      <c r="N125" s="464">
        <v>0</v>
      </c>
      <c r="O125" s="466" t="s">
        <v>2995</v>
      </c>
      <c r="P125" s="464">
        <v>98.9</v>
      </c>
    </row>
    <row r="126" spans="1:16" ht="86.4" hidden="1" x14ac:dyDescent="0.3">
      <c r="A126" s="462">
        <v>3050</v>
      </c>
      <c r="B126" s="463" t="s">
        <v>3044</v>
      </c>
      <c r="C126" s="463" t="s">
        <v>2992</v>
      </c>
      <c r="D126" s="464">
        <v>103.8</v>
      </c>
      <c r="E126" s="465" t="s">
        <v>2993</v>
      </c>
      <c r="F126" s="464">
        <v>0</v>
      </c>
      <c r="G126" s="463" t="s">
        <v>2994</v>
      </c>
      <c r="H126" s="464">
        <v>42.8</v>
      </c>
      <c r="I126" s="465" t="s">
        <v>2993</v>
      </c>
      <c r="J126" s="464">
        <v>0</v>
      </c>
      <c r="K126" s="463" t="s">
        <v>2994</v>
      </c>
      <c r="L126" s="464">
        <v>77.099999999999994</v>
      </c>
      <c r="M126" s="465" t="s">
        <v>2993</v>
      </c>
      <c r="N126" s="464">
        <v>0</v>
      </c>
      <c r="O126" s="466" t="s">
        <v>2995</v>
      </c>
      <c r="P126" s="464">
        <v>223.7</v>
      </c>
    </row>
    <row r="127" spans="1:16" ht="86.4" hidden="1" x14ac:dyDescent="0.3">
      <c r="A127" s="462">
        <v>3051</v>
      </c>
      <c r="B127" s="466" t="s">
        <v>3023</v>
      </c>
      <c r="C127" s="463" t="s">
        <v>2992</v>
      </c>
      <c r="D127" s="464">
        <v>107.4</v>
      </c>
      <c r="E127" s="465" t="s">
        <v>2993</v>
      </c>
      <c r="F127" s="464">
        <v>0</v>
      </c>
      <c r="G127" s="463" t="s">
        <v>2994</v>
      </c>
      <c r="H127" s="464">
        <v>119.6</v>
      </c>
      <c r="I127" s="465" t="s">
        <v>2993</v>
      </c>
      <c r="J127" s="464">
        <v>0</v>
      </c>
      <c r="K127" s="463" t="s">
        <v>2994</v>
      </c>
      <c r="L127" s="464">
        <v>83.7</v>
      </c>
      <c r="M127" s="465" t="s">
        <v>2993</v>
      </c>
      <c r="N127" s="464">
        <v>0</v>
      </c>
      <c r="O127" s="466" t="s">
        <v>2995</v>
      </c>
      <c r="P127" s="464">
        <v>310.60000000000002</v>
      </c>
    </row>
    <row r="128" spans="1:16" ht="86.4" hidden="1" x14ac:dyDescent="0.3">
      <c r="A128" s="462">
        <v>3052</v>
      </c>
      <c r="B128" s="466" t="s">
        <v>3002</v>
      </c>
      <c r="C128" s="463" t="s">
        <v>2992</v>
      </c>
      <c r="D128" s="464">
        <v>89.1</v>
      </c>
      <c r="E128" s="465" t="s">
        <v>2993</v>
      </c>
      <c r="F128" s="464">
        <v>0</v>
      </c>
      <c r="G128" s="465" t="s">
        <v>2993</v>
      </c>
      <c r="H128" s="464">
        <v>0</v>
      </c>
      <c r="I128" s="465" t="s">
        <v>2993</v>
      </c>
      <c r="J128" s="464">
        <v>0</v>
      </c>
      <c r="K128" s="465" t="s">
        <v>2993</v>
      </c>
      <c r="L128" s="464">
        <v>0</v>
      </c>
      <c r="M128" s="465" t="s">
        <v>2993</v>
      </c>
      <c r="N128" s="464">
        <v>0</v>
      </c>
      <c r="O128" s="466" t="s">
        <v>2995</v>
      </c>
      <c r="P128" s="464">
        <v>89.1</v>
      </c>
    </row>
    <row r="129" spans="1:16" ht="115.2" hidden="1" x14ac:dyDescent="0.3">
      <c r="A129" s="462">
        <v>3053</v>
      </c>
      <c r="B129" s="466" t="s">
        <v>3045</v>
      </c>
      <c r="C129" s="463" t="s">
        <v>2992</v>
      </c>
      <c r="D129" s="464">
        <v>98.1</v>
      </c>
      <c r="E129" s="465" t="s">
        <v>2993</v>
      </c>
      <c r="F129" s="464">
        <v>0</v>
      </c>
      <c r="G129" s="463" t="s">
        <v>2994</v>
      </c>
      <c r="H129" s="464">
        <v>74.900000000000006</v>
      </c>
      <c r="I129" s="463" t="s">
        <v>2998</v>
      </c>
      <c r="J129" s="464">
        <v>4</v>
      </c>
      <c r="K129" s="463" t="s">
        <v>2994</v>
      </c>
      <c r="L129" s="464">
        <v>50.1</v>
      </c>
      <c r="M129" s="465" t="s">
        <v>2993</v>
      </c>
      <c r="N129" s="464">
        <v>0</v>
      </c>
      <c r="O129" s="466" t="s">
        <v>2995</v>
      </c>
      <c r="P129" s="464">
        <v>227.1</v>
      </c>
    </row>
    <row r="130" spans="1:16" ht="115.2" hidden="1" x14ac:dyDescent="0.3">
      <c r="A130" s="462">
        <v>3054</v>
      </c>
      <c r="B130" s="466" t="s">
        <v>3046</v>
      </c>
      <c r="C130" s="463" t="s">
        <v>2992</v>
      </c>
      <c r="D130" s="464">
        <v>59.4</v>
      </c>
      <c r="E130" s="465" t="s">
        <v>2993</v>
      </c>
      <c r="F130" s="464">
        <v>0</v>
      </c>
      <c r="G130" s="463" t="s">
        <v>2994</v>
      </c>
      <c r="H130" s="464">
        <v>42.2</v>
      </c>
      <c r="I130" s="463" t="s">
        <v>2998</v>
      </c>
      <c r="J130" s="464">
        <v>27.3</v>
      </c>
      <c r="K130" s="463" t="s">
        <v>2994</v>
      </c>
      <c r="L130" s="464">
        <v>36.799999999999997</v>
      </c>
      <c r="M130" s="465" t="s">
        <v>2993</v>
      </c>
      <c r="N130" s="464">
        <v>0</v>
      </c>
      <c r="O130" s="466" t="s">
        <v>2995</v>
      </c>
      <c r="P130" s="464">
        <v>165.6</v>
      </c>
    </row>
    <row r="131" spans="1:16" ht="100.8" hidden="1" x14ac:dyDescent="0.3">
      <c r="A131" s="462">
        <v>3055</v>
      </c>
      <c r="B131" s="466" t="s">
        <v>3047</v>
      </c>
      <c r="C131" s="463" t="s">
        <v>3005</v>
      </c>
      <c r="D131" s="464">
        <v>2.9</v>
      </c>
      <c r="E131" s="465" t="s">
        <v>2993</v>
      </c>
      <c r="F131" s="464">
        <v>0</v>
      </c>
      <c r="G131" s="463" t="s">
        <v>3006</v>
      </c>
      <c r="H131" s="464">
        <v>27</v>
      </c>
      <c r="I131" s="465" t="s">
        <v>2993</v>
      </c>
      <c r="J131" s="464">
        <v>0</v>
      </c>
      <c r="K131" s="463" t="s">
        <v>3006</v>
      </c>
      <c r="L131" s="464">
        <v>28.5</v>
      </c>
      <c r="M131" s="465" t="s">
        <v>2993</v>
      </c>
      <c r="N131" s="464">
        <v>0</v>
      </c>
      <c r="O131" s="466" t="s">
        <v>2995</v>
      </c>
      <c r="P131" s="464">
        <v>58.4</v>
      </c>
    </row>
    <row r="132" spans="1:16" ht="100.8" hidden="1" x14ac:dyDescent="0.3">
      <c r="A132" s="467">
        <v>3057</v>
      </c>
      <c r="B132" s="468" t="s">
        <v>3035</v>
      </c>
      <c r="C132" s="469" t="s">
        <v>3005</v>
      </c>
      <c r="D132" s="470">
        <v>7.5</v>
      </c>
      <c r="E132" s="471" t="s">
        <v>2993</v>
      </c>
      <c r="F132" s="470">
        <v>0</v>
      </c>
      <c r="G132" s="469" t="s">
        <v>3006</v>
      </c>
      <c r="H132" s="470">
        <v>17.600000000000001</v>
      </c>
      <c r="I132" s="471" t="s">
        <v>2993</v>
      </c>
      <c r="J132" s="470">
        <v>0</v>
      </c>
      <c r="K132" s="469" t="s">
        <v>3006</v>
      </c>
      <c r="L132" s="470">
        <v>10.8</v>
      </c>
      <c r="M132" s="471" t="s">
        <v>2993</v>
      </c>
      <c r="N132" s="470">
        <v>0</v>
      </c>
      <c r="O132" s="468" t="s">
        <v>2995</v>
      </c>
      <c r="P132" s="470">
        <v>37.799999999999997</v>
      </c>
    </row>
    <row r="133" spans="1:16" ht="86.4" hidden="1" x14ac:dyDescent="0.3">
      <c r="A133" s="467">
        <v>3058</v>
      </c>
      <c r="B133" s="468" t="s">
        <v>3048</v>
      </c>
      <c r="C133" s="469" t="s">
        <v>2992</v>
      </c>
      <c r="D133" s="470">
        <v>38.5</v>
      </c>
      <c r="E133" s="471" t="s">
        <v>2993</v>
      </c>
      <c r="F133" s="470">
        <v>0</v>
      </c>
      <c r="G133" s="469" t="s">
        <v>2994</v>
      </c>
      <c r="H133" s="470">
        <v>19.899999999999999</v>
      </c>
      <c r="I133" s="471" t="s">
        <v>2993</v>
      </c>
      <c r="J133" s="470">
        <v>0</v>
      </c>
      <c r="K133" s="469" t="s">
        <v>2994</v>
      </c>
      <c r="L133" s="470">
        <v>77.7</v>
      </c>
      <c r="M133" s="471" t="s">
        <v>2993</v>
      </c>
      <c r="N133" s="470">
        <v>0</v>
      </c>
      <c r="O133" s="468" t="s">
        <v>2995</v>
      </c>
      <c r="P133" s="470">
        <v>136.19999999999999</v>
      </c>
    </row>
    <row r="134" spans="1:16" ht="86.4" hidden="1" x14ac:dyDescent="0.3">
      <c r="A134" s="462">
        <v>3058</v>
      </c>
      <c r="B134" s="466" t="s">
        <v>3048</v>
      </c>
      <c r="C134" s="463" t="s">
        <v>2992</v>
      </c>
      <c r="D134" s="464">
        <v>38.5</v>
      </c>
      <c r="E134" s="465" t="s">
        <v>2993</v>
      </c>
      <c r="F134" s="464">
        <v>0</v>
      </c>
      <c r="G134" s="463" t="s">
        <v>2994</v>
      </c>
      <c r="H134" s="464">
        <v>19.899999999999999</v>
      </c>
      <c r="I134" s="465" t="s">
        <v>2993</v>
      </c>
      <c r="J134" s="464">
        <v>0</v>
      </c>
      <c r="K134" s="463" t="s">
        <v>2994</v>
      </c>
      <c r="L134" s="464">
        <v>77.7</v>
      </c>
      <c r="M134" s="465" t="s">
        <v>2993</v>
      </c>
      <c r="N134" s="464">
        <v>0</v>
      </c>
      <c r="O134" s="466" t="s">
        <v>2995</v>
      </c>
      <c r="P134" s="464">
        <v>136.19999999999999</v>
      </c>
    </row>
    <row r="135" spans="1:16" ht="115.2" hidden="1" x14ac:dyDescent="0.3">
      <c r="A135" s="462">
        <v>3059</v>
      </c>
      <c r="B135" s="466" t="s">
        <v>3049</v>
      </c>
      <c r="C135" s="463" t="s">
        <v>2992</v>
      </c>
      <c r="D135" s="464">
        <v>13.5</v>
      </c>
      <c r="E135" s="465" t="s">
        <v>2993</v>
      </c>
      <c r="F135" s="464">
        <v>0</v>
      </c>
      <c r="G135" s="463" t="s">
        <v>2994</v>
      </c>
      <c r="H135" s="464">
        <v>13.8</v>
      </c>
      <c r="I135" s="463" t="s">
        <v>2998</v>
      </c>
      <c r="J135" s="464">
        <v>18.8</v>
      </c>
      <c r="K135" s="463" t="s">
        <v>2994</v>
      </c>
      <c r="L135" s="464">
        <v>6.8</v>
      </c>
      <c r="M135" s="465" t="s">
        <v>2993</v>
      </c>
      <c r="N135" s="464">
        <v>0</v>
      </c>
      <c r="O135" s="466" t="s">
        <v>2995</v>
      </c>
      <c r="P135" s="464">
        <v>52.9</v>
      </c>
    </row>
    <row r="136" spans="1:16" ht="86.4" hidden="1" x14ac:dyDescent="0.3">
      <c r="A136" s="462">
        <v>3060</v>
      </c>
      <c r="B136" s="466" t="s">
        <v>3050</v>
      </c>
      <c r="C136" s="463" t="s">
        <v>2992</v>
      </c>
      <c r="D136" s="464">
        <v>21.1</v>
      </c>
      <c r="E136" s="465" t="s">
        <v>2993</v>
      </c>
      <c r="F136" s="464">
        <v>0</v>
      </c>
      <c r="G136" s="463" t="s">
        <v>2994</v>
      </c>
      <c r="H136" s="464">
        <v>3.7</v>
      </c>
      <c r="I136" s="465" t="s">
        <v>2993</v>
      </c>
      <c r="J136" s="464">
        <v>0</v>
      </c>
      <c r="K136" s="463" t="s">
        <v>2994</v>
      </c>
      <c r="L136" s="464">
        <v>19.100000000000001</v>
      </c>
      <c r="M136" s="465" t="s">
        <v>2993</v>
      </c>
      <c r="N136" s="464">
        <v>0</v>
      </c>
      <c r="O136" s="466" t="s">
        <v>2995</v>
      </c>
      <c r="P136" s="464">
        <v>43.8</v>
      </c>
    </row>
    <row r="137" spans="1:16" ht="86.4" hidden="1" x14ac:dyDescent="0.3">
      <c r="A137" s="462">
        <v>3061</v>
      </c>
      <c r="B137" s="466" t="s">
        <v>3051</v>
      </c>
      <c r="C137" s="463" t="s">
        <v>2992</v>
      </c>
      <c r="D137" s="464">
        <v>4.8</v>
      </c>
      <c r="E137" s="465" t="s">
        <v>2993</v>
      </c>
      <c r="F137" s="464">
        <v>0</v>
      </c>
      <c r="G137" s="463" t="s">
        <v>2994</v>
      </c>
      <c r="H137" s="464">
        <v>25</v>
      </c>
      <c r="I137" s="465" t="s">
        <v>2993</v>
      </c>
      <c r="J137" s="464">
        <v>0</v>
      </c>
      <c r="K137" s="463" t="s">
        <v>2994</v>
      </c>
      <c r="L137" s="464">
        <v>19.399999999999999</v>
      </c>
      <c r="M137" s="465" t="s">
        <v>2993</v>
      </c>
      <c r="N137" s="464">
        <v>0</v>
      </c>
      <c r="O137" s="466" t="s">
        <v>2995</v>
      </c>
      <c r="P137" s="464">
        <v>49.2</v>
      </c>
    </row>
    <row r="138" spans="1:16" ht="86.4" hidden="1" x14ac:dyDescent="0.3">
      <c r="A138" s="462">
        <v>3062</v>
      </c>
      <c r="B138" s="465" t="s">
        <v>3052</v>
      </c>
      <c r="C138" s="463" t="s">
        <v>2992</v>
      </c>
      <c r="D138" s="464">
        <v>10.8</v>
      </c>
      <c r="E138" s="465" t="s">
        <v>2993</v>
      </c>
      <c r="F138" s="464">
        <v>0</v>
      </c>
      <c r="G138" s="463" t="s">
        <v>2994</v>
      </c>
      <c r="H138" s="464">
        <v>35.5</v>
      </c>
      <c r="I138" s="465" t="s">
        <v>2993</v>
      </c>
      <c r="J138" s="464">
        <v>0</v>
      </c>
      <c r="K138" s="465" t="s">
        <v>2993</v>
      </c>
      <c r="L138" s="464">
        <v>0</v>
      </c>
      <c r="M138" s="465" t="s">
        <v>2993</v>
      </c>
      <c r="N138" s="464">
        <v>0</v>
      </c>
      <c r="O138" s="466" t="s">
        <v>2995</v>
      </c>
      <c r="P138" s="464">
        <v>46.2</v>
      </c>
    </row>
    <row r="139" spans="1:16" ht="86.4" hidden="1" x14ac:dyDescent="0.3">
      <c r="A139" s="462">
        <v>3063</v>
      </c>
      <c r="B139" s="465" t="s">
        <v>3034</v>
      </c>
      <c r="C139" s="463" t="s">
        <v>2992</v>
      </c>
      <c r="D139" s="464">
        <v>54.2</v>
      </c>
      <c r="E139" s="465" t="s">
        <v>2993</v>
      </c>
      <c r="F139" s="464">
        <v>0</v>
      </c>
      <c r="G139" s="463" t="s">
        <v>2994</v>
      </c>
      <c r="H139" s="464">
        <v>63.7</v>
      </c>
      <c r="I139" s="465" t="s">
        <v>2993</v>
      </c>
      <c r="J139" s="464">
        <v>0</v>
      </c>
      <c r="K139" s="463" t="s">
        <v>2994</v>
      </c>
      <c r="L139" s="464">
        <v>55.6</v>
      </c>
      <c r="M139" s="465" t="s">
        <v>2993</v>
      </c>
      <c r="N139" s="464">
        <v>0</v>
      </c>
      <c r="O139" s="466" t="s">
        <v>2995</v>
      </c>
      <c r="P139" s="464">
        <v>173.5</v>
      </c>
    </row>
    <row r="140" spans="1:16" ht="100.8" hidden="1" x14ac:dyDescent="0.3">
      <c r="A140" s="462">
        <v>3064</v>
      </c>
      <c r="B140" s="466" t="s">
        <v>3029</v>
      </c>
      <c r="C140" s="463" t="s">
        <v>3005</v>
      </c>
      <c r="D140" s="464">
        <v>1.6</v>
      </c>
      <c r="E140" s="465" t="s">
        <v>2993</v>
      </c>
      <c r="F140" s="464">
        <v>0</v>
      </c>
      <c r="G140" s="463" t="s">
        <v>3006</v>
      </c>
      <c r="H140" s="464">
        <v>29.2</v>
      </c>
      <c r="I140" s="465" t="s">
        <v>2993</v>
      </c>
      <c r="J140" s="464">
        <v>0</v>
      </c>
      <c r="K140" s="463" t="s">
        <v>3006</v>
      </c>
      <c r="L140" s="464">
        <v>29.6</v>
      </c>
      <c r="M140" s="465" t="s">
        <v>2993</v>
      </c>
      <c r="N140" s="464">
        <v>0</v>
      </c>
      <c r="O140" s="466" t="s">
        <v>2995</v>
      </c>
      <c r="P140" s="464">
        <v>60.4</v>
      </c>
    </row>
    <row r="141" spans="1:16" ht="100.8" hidden="1" x14ac:dyDescent="0.3">
      <c r="A141" s="462">
        <v>3065</v>
      </c>
      <c r="B141" s="466" t="s">
        <v>3035</v>
      </c>
      <c r="C141" s="463" t="s">
        <v>3005</v>
      </c>
      <c r="D141" s="464">
        <v>8.3000000000000007</v>
      </c>
      <c r="E141" s="465" t="s">
        <v>2993</v>
      </c>
      <c r="F141" s="464">
        <v>0</v>
      </c>
      <c r="G141" s="465" t="s">
        <v>2993</v>
      </c>
      <c r="H141" s="464">
        <v>0</v>
      </c>
      <c r="I141" s="465" t="s">
        <v>2993</v>
      </c>
      <c r="J141" s="464">
        <v>0</v>
      </c>
      <c r="K141" s="463" t="s">
        <v>3006</v>
      </c>
      <c r="L141" s="464">
        <v>6.3</v>
      </c>
      <c r="M141" s="465" t="s">
        <v>2993</v>
      </c>
      <c r="N141" s="464">
        <v>0</v>
      </c>
      <c r="O141" s="466" t="s">
        <v>2995</v>
      </c>
      <c r="P141" s="464">
        <v>21.1</v>
      </c>
    </row>
    <row r="142" spans="1:16" ht="115.2" hidden="1" x14ac:dyDescent="0.3">
      <c r="A142" s="467">
        <v>3066</v>
      </c>
      <c r="B142" s="468" t="s">
        <v>3023</v>
      </c>
      <c r="C142" s="469" t="s">
        <v>2992</v>
      </c>
      <c r="D142" s="470">
        <v>25.5</v>
      </c>
      <c r="E142" s="471" t="s">
        <v>2993</v>
      </c>
      <c r="F142" s="470">
        <v>0</v>
      </c>
      <c r="G142" s="469" t="s">
        <v>2994</v>
      </c>
      <c r="H142" s="470">
        <v>121.4</v>
      </c>
      <c r="I142" s="469" t="s">
        <v>2998</v>
      </c>
      <c r="J142" s="470">
        <v>21.5</v>
      </c>
      <c r="K142" s="469" t="s">
        <v>2994</v>
      </c>
      <c r="L142" s="470">
        <v>13.7</v>
      </c>
      <c r="M142" s="471" t="s">
        <v>2993</v>
      </c>
      <c r="N142" s="470">
        <v>0</v>
      </c>
      <c r="O142" s="468" t="s">
        <v>2995</v>
      </c>
      <c r="P142" s="470">
        <v>182.1</v>
      </c>
    </row>
    <row r="143" spans="1:16" ht="86.4" hidden="1" x14ac:dyDescent="0.3">
      <c r="A143" s="467">
        <v>3067</v>
      </c>
      <c r="B143" s="468" t="s">
        <v>3036</v>
      </c>
      <c r="C143" s="469" t="s">
        <v>2992</v>
      </c>
      <c r="D143" s="470">
        <v>32.9</v>
      </c>
      <c r="E143" s="471" t="s">
        <v>2993</v>
      </c>
      <c r="F143" s="470">
        <v>0</v>
      </c>
      <c r="G143" s="469" t="s">
        <v>2994</v>
      </c>
      <c r="H143" s="470">
        <v>14.6</v>
      </c>
      <c r="I143" s="471" t="s">
        <v>2993</v>
      </c>
      <c r="J143" s="470">
        <v>0</v>
      </c>
      <c r="K143" s="469" t="s">
        <v>2994</v>
      </c>
      <c r="L143" s="470">
        <v>8.8000000000000007</v>
      </c>
      <c r="M143" s="471" t="s">
        <v>2993</v>
      </c>
      <c r="N143" s="470">
        <v>0</v>
      </c>
      <c r="O143" s="468" t="s">
        <v>2995</v>
      </c>
      <c r="P143" s="470">
        <v>56.2</v>
      </c>
    </row>
  </sheetData>
  <mergeCells count="11">
    <mergeCell ref="O3:P3"/>
    <mergeCell ref="A1:P1"/>
    <mergeCell ref="A2:A4"/>
    <mergeCell ref="B2:B4"/>
    <mergeCell ref="C2:P2"/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Изменения</vt:lpstr>
      <vt:lpstr>ТКП</vt:lpstr>
      <vt:lpstr>ВЫПОЛНЕНИЕ</vt:lpstr>
      <vt:lpstr>ВЫПОЛНЕНИЕ КС2</vt:lpstr>
      <vt:lpstr>Table 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2025-12-16T07:16:24Z</dcterms:created>
  <dcterms:modified xsi:type="dcterms:W3CDTF">2026-01-07T16:37:49Z</dcterms:modified>
  <cp:category/>
</cp:coreProperties>
</file>